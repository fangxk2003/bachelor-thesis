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chenjiebo/Desktop/同步空间/#试试深水的申请/1 交大之星/！项目执行/病例筛选/"/>
    </mc:Choice>
  </mc:AlternateContent>
  <xr:revisionPtr revIDLastSave="0" documentId="13_ncr:1_{7CE615DE-EE8F-8F45-AFE6-B405D3085A1F}" xr6:coauthVersionLast="47" xr6:coauthVersionMax="47" xr10:uidLastSave="{00000000-0000-0000-0000-000000000000}"/>
  <bookViews>
    <workbookView xWindow="4380" yWindow="680" windowWidth="24420" windowHeight="16880" activeTab="2" xr2:uid="{00000000-000D-0000-FFFF-FFFF00000000}"/>
  </bookViews>
  <sheets>
    <sheet name="2015-2019" sheetId="1" r:id="rId1"/>
    <sheet name="2020-2024.8" sheetId="2" r:id="rId2"/>
    <sheet name="2024.9-" sheetId="4" r:id="rId3"/>
    <sheet name="Sheet1" sheetId="5" r:id="rId4"/>
  </sheets>
  <definedNames>
    <definedName name="_xlnm._FilterDatabase" localSheetId="0" hidden="1">'2015-2019'!$A$1:$L$2022</definedName>
    <definedName name="_xlnm._FilterDatabase" localSheetId="1" hidden="1">'2020-2024.8'!$L:$L</definedName>
    <definedName name="_xlnm._FilterDatabase" localSheetId="2" hidden="1">'2024.9-'!$A$1:$L$89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68" i="4" l="1"/>
  <c r="H68" i="4"/>
  <c r="G68" i="4"/>
  <c r="L67" i="4"/>
  <c r="K67" i="4"/>
  <c r="J67" i="4"/>
  <c r="L66" i="4"/>
  <c r="K66" i="4"/>
  <c r="J66" i="4"/>
  <c r="L65" i="4"/>
  <c r="K65" i="4"/>
  <c r="J65" i="4"/>
  <c r="L64" i="4"/>
  <c r="K64" i="4"/>
  <c r="J64" i="4"/>
  <c r="L63" i="4"/>
  <c r="K63" i="4"/>
  <c r="J63" i="4"/>
  <c r="L62" i="4"/>
  <c r="K62" i="4"/>
  <c r="J62" i="4"/>
  <c r="L61" i="4"/>
  <c r="K61" i="4"/>
  <c r="J61" i="4"/>
  <c r="L60" i="4"/>
  <c r="K60" i="4"/>
  <c r="J60" i="4"/>
  <c r="L59" i="4"/>
  <c r="K59" i="4"/>
  <c r="J59" i="4"/>
  <c r="L58" i="4"/>
  <c r="K58" i="4"/>
  <c r="J58" i="4"/>
  <c r="L57" i="4"/>
  <c r="K57" i="4"/>
  <c r="J57" i="4"/>
  <c r="L56" i="4"/>
  <c r="K56" i="4"/>
  <c r="J56" i="4"/>
  <c r="L55" i="4"/>
  <c r="K55" i="4"/>
  <c r="J55" i="4"/>
  <c r="L54" i="4"/>
  <c r="K54" i="4"/>
  <c r="J54" i="4"/>
  <c r="L53" i="4"/>
  <c r="K53" i="4"/>
  <c r="J53" i="4"/>
  <c r="L52" i="4"/>
  <c r="K52" i="4"/>
  <c r="J52" i="4"/>
  <c r="L51" i="4"/>
  <c r="K51" i="4"/>
  <c r="J51" i="4"/>
  <c r="L50" i="4"/>
  <c r="K50" i="4"/>
  <c r="J50" i="4"/>
  <c r="L49" i="4"/>
  <c r="K49" i="4"/>
  <c r="J49" i="4"/>
  <c r="L48" i="4"/>
  <c r="K48" i="4"/>
  <c r="J48" i="4"/>
  <c r="L47" i="4"/>
  <c r="K47" i="4"/>
  <c r="J47" i="4"/>
  <c r="L46" i="4"/>
  <c r="K46" i="4"/>
  <c r="J46" i="4"/>
  <c r="L45" i="4"/>
  <c r="K45" i="4"/>
  <c r="J45" i="4"/>
  <c r="L44" i="4"/>
  <c r="K44" i="4"/>
  <c r="J44" i="4"/>
  <c r="L43" i="4"/>
  <c r="K43" i="4"/>
  <c r="J43" i="4"/>
  <c r="L42" i="4"/>
  <c r="K42" i="4"/>
  <c r="J42" i="4"/>
  <c r="L41" i="4"/>
  <c r="K41" i="4"/>
  <c r="J41" i="4"/>
  <c r="L40" i="4"/>
  <c r="K40" i="4"/>
  <c r="J40" i="4"/>
  <c r="L39" i="4"/>
  <c r="K39" i="4"/>
  <c r="J39" i="4"/>
  <c r="L38" i="4"/>
  <c r="K38" i="4"/>
  <c r="J38" i="4"/>
  <c r="L37" i="4"/>
  <c r="K37" i="4"/>
  <c r="J37" i="4"/>
  <c r="L36" i="4"/>
  <c r="K36" i="4"/>
  <c r="J36" i="4"/>
  <c r="L35" i="4"/>
  <c r="K35" i="4"/>
  <c r="J35" i="4"/>
  <c r="L34" i="4"/>
  <c r="K34" i="4"/>
  <c r="J34" i="4"/>
  <c r="L33" i="4"/>
  <c r="K33" i="4"/>
  <c r="J33" i="4"/>
  <c r="L32" i="4"/>
  <c r="K32" i="4"/>
  <c r="J32" i="4"/>
  <c r="L31" i="4"/>
  <c r="K31" i="4"/>
  <c r="J31" i="4"/>
  <c r="L30" i="4"/>
  <c r="K30" i="4"/>
  <c r="J30" i="4"/>
  <c r="L29" i="4"/>
  <c r="K29" i="4"/>
  <c r="J29" i="4"/>
  <c r="L28" i="4"/>
  <c r="K28" i="4"/>
  <c r="J28" i="4"/>
  <c r="L27" i="4"/>
  <c r="K27" i="4"/>
  <c r="J27" i="4"/>
  <c r="L26" i="4"/>
  <c r="K26" i="4"/>
  <c r="J26" i="4"/>
  <c r="L25" i="4"/>
  <c r="K25" i="4"/>
  <c r="J25" i="4"/>
  <c r="L24" i="4"/>
  <c r="K24" i="4"/>
  <c r="J24" i="4"/>
  <c r="L23" i="4"/>
  <c r="K23" i="4"/>
  <c r="J23" i="4"/>
  <c r="L22" i="4"/>
  <c r="K22" i="4"/>
  <c r="J22" i="4"/>
  <c r="L21" i="4"/>
  <c r="K21" i="4"/>
  <c r="J21" i="4"/>
  <c r="L20" i="4"/>
  <c r="K20" i="4"/>
  <c r="J20" i="4"/>
  <c r="L19" i="4"/>
  <c r="K19" i="4"/>
  <c r="J19" i="4"/>
  <c r="L18" i="4"/>
  <c r="K18" i="4"/>
  <c r="J18" i="4"/>
  <c r="L17" i="4"/>
  <c r="K17" i="4"/>
  <c r="J17" i="4"/>
  <c r="L16" i="4"/>
  <c r="K16" i="4"/>
  <c r="J16" i="4"/>
  <c r="L15" i="4"/>
  <c r="K15" i="4"/>
  <c r="J15" i="4"/>
  <c r="L14" i="4"/>
  <c r="K14" i="4"/>
  <c r="J14" i="4"/>
  <c r="L13" i="4"/>
  <c r="K13" i="4"/>
  <c r="J13" i="4"/>
  <c r="L12" i="4"/>
  <c r="K12" i="4"/>
  <c r="J12" i="4"/>
  <c r="L11" i="4"/>
  <c r="K11" i="4"/>
  <c r="J11" i="4"/>
  <c r="L10" i="4"/>
  <c r="K10" i="4"/>
  <c r="J10" i="4"/>
  <c r="L9" i="4"/>
  <c r="K9" i="4"/>
  <c r="J9" i="4"/>
  <c r="L8" i="4"/>
  <c r="K8" i="4"/>
  <c r="J8" i="4"/>
  <c r="L7" i="4"/>
  <c r="K7" i="4"/>
  <c r="J7" i="4"/>
  <c r="L6" i="4"/>
  <c r="K6" i="4"/>
  <c r="J6" i="4"/>
  <c r="L5" i="4"/>
  <c r="K5" i="4"/>
  <c r="J5" i="4"/>
  <c r="L4" i="4"/>
  <c r="K4" i="4"/>
  <c r="J4" i="4"/>
  <c r="L3" i="4"/>
  <c r="K3" i="4"/>
  <c r="J3" i="4"/>
  <c r="L2" i="4"/>
  <c r="K2" i="4"/>
  <c r="J2" i="4"/>
  <c r="I4384" i="2"/>
  <c r="H4384" i="2"/>
  <c r="G4384" i="2"/>
  <c r="L4383" i="2"/>
  <c r="K4383" i="2"/>
  <c r="J4383" i="2"/>
  <c r="L4382" i="2"/>
  <c r="K4382" i="2"/>
  <c r="J4382" i="2"/>
  <c r="L4381" i="2"/>
  <c r="K4381" i="2"/>
  <c r="J4381" i="2"/>
  <c r="L4380" i="2"/>
  <c r="K4380" i="2"/>
  <c r="J4380" i="2"/>
  <c r="L4379" i="2"/>
  <c r="K4379" i="2"/>
  <c r="J4379" i="2"/>
  <c r="L4378" i="2"/>
  <c r="K4378" i="2"/>
  <c r="J4378" i="2"/>
  <c r="L4377" i="2"/>
  <c r="K4377" i="2"/>
  <c r="J4377" i="2"/>
  <c r="L4376" i="2"/>
  <c r="K4376" i="2"/>
  <c r="J4376" i="2"/>
  <c r="L4375" i="2"/>
  <c r="K4375" i="2"/>
  <c r="J4375" i="2"/>
  <c r="L4374" i="2"/>
  <c r="K4374" i="2"/>
  <c r="J4374" i="2"/>
  <c r="L4373" i="2"/>
  <c r="K4373" i="2"/>
  <c r="J4373" i="2"/>
  <c r="L4372" i="2"/>
  <c r="K4372" i="2"/>
  <c r="J4372" i="2"/>
  <c r="L4371" i="2"/>
  <c r="K4371" i="2"/>
  <c r="J4371" i="2"/>
  <c r="L4370" i="2"/>
  <c r="K4370" i="2"/>
  <c r="J4370" i="2"/>
  <c r="L4369" i="2"/>
  <c r="K4369" i="2"/>
  <c r="J4369" i="2"/>
  <c r="L4368" i="2"/>
  <c r="K4368" i="2"/>
  <c r="J4368" i="2"/>
  <c r="L4367" i="2"/>
  <c r="K4367" i="2"/>
  <c r="J4367" i="2"/>
  <c r="L4366" i="2"/>
  <c r="K4366" i="2"/>
  <c r="J4366" i="2"/>
  <c r="L4365" i="2"/>
  <c r="K4365" i="2"/>
  <c r="J4365" i="2"/>
  <c r="L4364" i="2"/>
  <c r="K4364" i="2"/>
  <c r="J4364" i="2"/>
  <c r="L4363" i="2"/>
  <c r="K4363" i="2"/>
  <c r="J4363" i="2"/>
  <c r="L4362" i="2"/>
  <c r="K4362" i="2"/>
  <c r="J4362" i="2"/>
  <c r="L4361" i="2"/>
  <c r="K4361" i="2"/>
  <c r="J4361" i="2"/>
  <c r="L4360" i="2"/>
  <c r="K4360" i="2"/>
  <c r="J4360" i="2"/>
  <c r="L4359" i="2"/>
  <c r="K4359" i="2"/>
  <c r="J4359" i="2"/>
  <c r="L4358" i="2"/>
  <c r="K4358" i="2"/>
  <c r="J4358" i="2"/>
  <c r="L4357" i="2"/>
  <c r="K4357" i="2"/>
  <c r="J4357" i="2"/>
  <c r="L4356" i="2"/>
  <c r="K4356" i="2"/>
  <c r="J4356" i="2"/>
  <c r="L4355" i="2"/>
  <c r="K4355" i="2"/>
  <c r="J4355" i="2"/>
  <c r="L4354" i="2"/>
  <c r="K4354" i="2"/>
  <c r="J4354" i="2"/>
  <c r="L4353" i="2"/>
  <c r="K4353" i="2"/>
  <c r="J4353" i="2"/>
  <c r="L4352" i="2"/>
  <c r="K4352" i="2"/>
  <c r="J4352" i="2"/>
  <c r="L4351" i="2"/>
  <c r="K4351" i="2"/>
  <c r="J4351" i="2"/>
  <c r="L4350" i="2"/>
  <c r="K4350" i="2"/>
  <c r="J4350" i="2"/>
  <c r="L4349" i="2"/>
  <c r="K4349" i="2"/>
  <c r="J4349" i="2"/>
  <c r="L4348" i="2"/>
  <c r="K4348" i="2"/>
  <c r="J4348" i="2"/>
  <c r="L4347" i="2"/>
  <c r="K4347" i="2"/>
  <c r="J4347" i="2"/>
  <c r="L4346" i="2"/>
  <c r="K4346" i="2"/>
  <c r="J4346" i="2"/>
  <c r="L4345" i="2"/>
  <c r="K4345" i="2"/>
  <c r="J4345" i="2"/>
  <c r="L4344" i="2"/>
  <c r="K4344" i="2"/>
  <c r="J4344" i="2"/>
  <c r="L4343" i="2"/>
  <c r="K4343" i="2"/>
  <c r="J4343" i="2"/>
  <c r="L4342" i="2"/>
  <c r="K4342" i="2"/>
  <c r="J4342" i="2"/>
  <c r="L4341" i="2"/>
  <c r="K4341" i="2"/>
  <c r="J4341" i="2"/>
  <c r="L4340" i="2"/>
  <c r="K4340" i="2"/>
  <c r="J4340" i="2"/>
  <c r="L4339" i="2"/>
  <c r="K4339" i="2"/>
  <c r="J4339" i="2"/>
  <c r="L4338" i="2"/>
  <c r="K4338" i="2"/>
  <c r="J4338" i="2"/>
  <c r="L4337" i="2"/>
  <c r="K4337" i="2"/>
  <c r="J4337" i="2"/>
  <c r="L4336" i="2"/>
  <c r="K4336" i="2"/>
  <c r="J4336" i="2"/>
  <c r="L4335" i="2"/>
  <c r="K4335" i="2"/>
  <c r="J4335" i="2"/>
  <c r="L4334" i="2"/>
  <c r="K4334" i="2"/>
  <c r="J4334" i="2"/>
  <c r="L4333" i="2"/>
  <c r="K4333" i="2"/>
  <c r="J4333" i="2"/>
  <c r="L4332" i="2"/>
  <c r="K4332" i="2"/>
  <c r="J4332" i="2"/>
  <c r="L4331" i="2"/>
  <c r="K4331" i="2"/>
  <c r="J4331" i="2"/>
  <c r="L4330" i="2"/>
  <c r="K4330" i="2"/>
  <c r="J4330" i="2"/>
  <c r="L4329" i="2"/>
  <c r="K4329" i="2"/>
  <c r="J4329" i="2"/>
  <c r="L4328" i="2"/>
  <c r="K4328" i="2"/>
  <c r="J4328" i="2"/>
  <c r="L4327" i="2"/>
  <c r="K4327" i="2"/>
  <c r="J4327" i="2"/>
  <c r="L4326" i="2"/>
  <c r="K4326" i="2"/>
  <c r="J4326" i="2"/>
  <c r="L4325" i="2"/>
  <c r="K4325" i="2"/>
  <c r="J4325" i="2"/>
  <c r="L4324" i="2"/>
  <c r="K4324" i="2"/>
  <c r="J4324" i="2"/>
  <c r="L4323" i="2"/>
  <c r="K4323" i="2"/>
  <c r="J4323" i="2"/>
  <c r="L4322" i="2"/>
  <c r="K4322" i="2"/>
  <c r="J4322" i="2"/>
  <c r="L4321" i="2"/>
  <c r="K4321" i="2"/>
  <c r="J4321" i="2"/>
  <c r="L4320" i="2"/>
  <c r="K4320" i="2"/>
  <c r="J4320" i="2"/>
  <c r="L4319" i="2"/>
  <c r="K4319" i="2"/>
  <c r="J4319" i="2"/>
  <c r="L4318" i="2"/>
  <c r="K4318" i="2"/>
  <c r="J4318" i="2"/>
  <c r="L4317" i="2"/>
  <c r="K4317" i="2"/>
  <c r="J4317" i="2"/>
  <c r="L4316" i="2"/>
  <c r="K4316" i="2"/>
  <c r="J4316" i="2"/>
  <c r="L4315" i="2"/>
  <c r="K4315" i="2"/>
  <c r="J4315" i="2"/>
  <c r="L4314" i="2"/>
  <c r="K4314" i="2"/>
  <c r="J4314" i="2"/>
  <c r="L4313" i="2"/>
  <c r="K4313" i="2"/>
  <c r="J4313" i="2"/>
  <c r="L4312" i="2"/>
  <c r="K4312" i="2"/>
  <c r="J4312" i="2"/>
  <c r="L4311" i="2"/>
  <c r="K4311" i="2"/>
  <c r="J4311" i="2"/>
  <c r="L4310" i="2"/>
  <c r="K4310" i="2"/>
  <c r="J4310" i="2"/>
  <c r="L4309" i="2"/>
  <c r="K4309" i="2"/>
  <c r="J4309" i="2"/>
  <c r="L4308" i="2"/>
  <c r="K4308" i="2"/>
  <c r="J4308" i="2"/>
  <c r="L4307" i="2"/>
  <c r="K4307" i="2"/>
  <c r="J4307" i="2"/>
  <c r="L4306" i="2"/>
  <c r="K4306" i="2"/>
  <c r="J4306" i="2"/>
  <c r="L4305" i="2"/>
  <c r="K4305" i="2"/>
  <c r="J4305" i="2"/>
  <c r="L4304" i="2"/>
  <c r="K4304" i="2"/>
  <c r="J4304" i="2"/>
  <c r="L4303" i="2"/>
  <c r="K4303" i="2"/>
  <c r="J4303" i="2"/>
  <c r="L4302" i="2"/>
  <c r="K4302" i="2"/>
  <c r="J4302" i="2"/>
  <c r="L4301" i="2"/>
  <c r="K4301" i="2"/>
  <c r="J4301" i="2"/>
  <c r="L4300" i="2"/>
  <c r="K4300" i="2"/>
  <c r="J4300" i="2"/>
  <c r="L4299" i="2"/>
  <c r="K4299" i="2"/>
  <c r="J4299" i="2"/>
  <c r="L4298" i="2"/>
  <c r="K4298" i="2"/>
  <c r="J4298" i="2"/>
  <c r="L4297" i="2"/>
  <c r="K4297" i="2"/>
  <c r="J4297" i="2"/>
  <c r="L4296" i="2"/>
  <c r="K4296" i="2"/>
  <c r="J4296" i="2"/>
  <c r="L4295" i="2"/>
  <c r="K4295" i="2"/>
  <c r="J4295" i="2"/>
  <c r="L4294" i="2"/>
  <c r="K4294" i="2"/>
  <c r="J4294" i="2"/>
  <c r="L4293" i="2"/>
  <c r="K4293" i="2"/>
  <c r="J4293" i="2"/>
  <c r="L4292" i="2"/>
  <c r="K4292" i="2"/>
  <c r="J4292" i="2"/>
  <c r="L4291" i="2"/>
  <c r="K4291" i="2"/>
  <c r="J4291" i="2"/>
  <c r="L4290" i="2"/>
  <c r="K4290" i="2"/>
  <c r="J4290" i="2"/>
  <c r="L4289" i="2"/>
  <c r="K4289" i="2"/>
  <c r="J4289" i="2"/>
  <c r="L4288" i="2"/>
  <c r="K4288" i="2"/>
  <c r="J4288" i="2"/>
  <c r="L4287" i="2"/>
  <c r="K4287" i="2"/>
  <c r="J4287" i="2"/>
  <c r="L4286" i="2"/>
  <c r="K4286" i="2"/>
  <c r="J4286" i="2"/>
  <c r="L4285" i="2"/>
  <c r="K4285" i="2"/>
  <c r="J4285" i="2"/>
  <c r="L4284" i="2"/>
  <c r="K4284" i="2"/>
  <c r="J4284" i="2"/>
  <c r="L4283" i="2"/>
  <c r="K4283" i="2"/>
  <c r="J4283" i="2"/>
  <c r="L4282" i="2"/>
  <c r="K4282" i="2"/>
  <c r="J4282" i="2"/>
  <c r="L4281" i="2"/>
  <c r="K4281" i="2"/>
  <c r="J4281" i="2"/>
  <c r="L4280" i="2"/>
  <c r="K4280" i="2"/>
  <c r="J4280" i="2"/>
  <c r="L4279" i="2"/>
  <c r="K4279" i="2"/>
  <c r="J4279" i="2"/>
  <c r="L4278" i="2"/>
  <c r="K4278" i="2"/>
  <c r="J4278" i="2"/>
  <c r="L4277" i="2"/>
  <c r="K4277" i="2"/>
  <c r="J4277" i="2"/>
  <c r="L4276" i="2"/>
  <c r="K4276" i="2"/>
  <c r="J4276" i="2"/>
  <c r="L4275" i="2"/>
  <c r="K4275" i="2"/>
  <c r="J4275" i="2"/>
  <c r="L4274" i="2"/>
  <c r="K4274" i="2"/>
  <c r="J4274" i="2"/>
  <c r="L4273" i="2"/>
  <c r="K4273" i="2"/>
  <c r="J4273" i="2"/>
  <c r="L4272" i="2"/>
  <c r="K4272" i="2"/>
  <c r="J4272" i="2"/>
  <c r="L4271" i="2"/>
  <c r="K4271" i="2"/>
  <c r="J4271" i="2"/>
  <c r="L4270" i="2"/>
  <c r="K4270" i="2"/>
  <c r="J4270" i="2"/>
  <c r="L4269" i="2"/>
  <c r="K4269" i="2"/>
  <c r="J4269" i="2"/>
  <c r="L4268" i="2"/>
  <c r="K4268" i="2"/>
  <c r="J4268" i="2"/>
  <c r="L4267" i="2"/>
  <c r="K4267" i="2"/>
  <c r="J4267" i="2"/>
  <c r="L4266" i="2"/>
  <c r="K4266" i="2"/>
  <c r="J4266" i="2"/>
  <c r="L4265" i="2"/>
  <c r="K4265" i="2"/>
  <c r="J4265" i="2"/>
  <c r="L4264" i="2"/>
  <c r="K4264" i="2"/>
  <c r="J4264" i="2"/>
  <c r="L4263" i="2"/>
  <c r="K4263" i="2"/>
  <c r="J4263" i="2"/>
  <c r="L4262" i="2"/>
  <c r="K4262" i="2"/>
  <c r="J4262" i="2"/>
  <c r="L4261" i="2"/>
  <c r="K4261" i="2"/>
  <c r="J4261" i="2"/>
  <c r="L4260" i="2"/>
  <c r="K4260" i="2"/>
  <c r="J4260" i="2"/>
  <c r="L4259" i="2"/>
  <c r="K4259" i="2"/>
  <c r="J4259" i="2"/>
  <c r="L4258" i="2"/>
  <c r="K4258" i="2"/>
  <c r="J4258" i="2"/>
  <c r="L4257" i="2"/>
  <c r="K4257" i="2"/>
  <c r="J4257" i="2"/>
  <c r="L4256" i="2"/>
  <c r="K4256" i="2"/>
  <c r="J4256" i="2"/>
  <c r="L4255" i="2"/>
  <c r="K4255" i="2"/>
  <c r="J4255" i="2"/>
  <c r="L4254" i="2"/>
  <c r="K4254" i="2"/>
  <c r="J4254" i="2"/>
  <c r="L4253" i="2"/>
  <c r="K4253" i="2"/>
  <c r="J4253" i="2"/>
  <c r="L4252" i="2"/>
  <c r="K4252" i="2"/>
  <c r="J4252" i="2"/>
  <c r="L4251" i="2"/>
  <c r="K4251" i="2"/>
  <c r="J4251" i="2"/>
  <c r="L4250" i="2"/>
  <c r="K4250" i="2"/>
  <c r="J4250" i="2"/>
  <c r="L4249" i="2"/>
  <c r="K4249" i="2"/>
  <c r="J4249" i="2"/>
  <c r="L4248" i="2"/>
  <c r="K4248" i="2"/>
  <c r="J4248" i="2"/>
  <c r="L4247" i="2"/>
  <c r="K4247" i="2"/>
  <c r="J4247" i="2"/>
  <c r="L4246" i="2"/>
  <c r="K4246" i="2"/>
  <c r="J4246" i="2"/>
  <c r="L4245" i="2"/>
  <c r="K4245" i="2"/>
  <c r="J4245" i="2"/>
  <c r="L4244" i="2"/>
  <c r="K4244" i="2"/>
  <c r="J4244" i="2"/>
  <c r="L4243" i="2"/>
  <c r="K4243" i="2"/>
  <c r="J4243" i="2"/>
  <c r="L4242" i="2"/>
  <c r="K4242" i="2"/>
  <c r="J4242" i="2"/>
  <c r="L4241" i="2"/>
  <c r="K4241" i="2"/>
  <c r="J4241" i="2"/>
  <c r="L4240" i="2"/>
  <c r="K4240" i="2"/>
  <c r="J4240" i="2"/>
  <c r="L4239" i="2"/>
  <c r="K4239" i="2"/>
  <c r="J4239" i="2"/>
  <c r="L4238" i="2"/>
  <c r="K4238" i="2"/>
  <c r="J4238" i="2"/>
  <c r="L4237" i="2"/>
  <c r="K4237" i="2"/>
  <c r="J4237" i="2"/>
  <c r="L4236" i="2"/>
  <c r="K4236" i="2"/>
  <c r="J4236" i="2"/>
  <c r="L4235" i="2"/>
  <c r="K4235" i="2"/>
  <c r="J4235" i="2"/>
  <c r="L4234" i="2"/>
  <c r="K4234" i="2"/>
  <c r="J4234" i="2"/>
  <c r="L4233" i="2"/>
  <c r="K4233" i="2"/>
  <c r="J4233" i="2"/>
  <c r="L4232" i="2"/>
  <c r="K4232" i="2"/>
  <c r="J4232" i="2"/>
  <c r="L4231" i="2"/>
  <c r="K4231" i="2"/>
  <c r="J4231" i="2"/>
  <c r="L4230" i="2"/>
  <c r="K4230" i="2"/>
  <c r="J4230" i="2"/>
  <c r="L4229" i="2"/>
  <c r="K4229" i="2"/>
  <c r="J4229" i="2"/>
  <c r="L4228" i="2"/>
  <c r="K4228" i="2"/>
  <c r="J4228" i="2"/>
  <c r="L4227" i="2"/>
  <c r="K4227" i="2"/>
  <c r="J4227" i="2"/>
  <c r="L4226" i="2"/>
  <c r="K4226" i="2"/>
  <c r="J4226" i="2"/>
  <c r="L4225" i="2"/>
  <c r="K4225" i="2"/>
  <c r="J4225" i="2"/>
  <c r="L4224" i="2"/>
  <c r="K4224" i="2"/>
  <c r="J4224" i="2"/>
  <c r="L4223" i="2"/>
  <c r="K4223" i="2"/>
  <c r="J4223" i="2"/>
  <c r="L4222" i="2"/>
  <c r="K4222" i="2"/>
  <c r="J4222" i="2"/>
  <c r="L4221" i="2"/>
  <c r="K4221" i="2"/>
  <c r="J4221" i="2"/>
  <c r="L4220" i="2"/>
  <c r="K4220" i="2"/>
  <c r="J4220" i="2"/>
  <c r="L4219" i="2"/>
  <c r="K4219" i="2"/>
  <c r="J4219" i="2"/>
  <c r="L4218" i="2"/>
  <c r="K4218" i="2"/>
  <c r="J4218" i="2"/>
  <c r="L4217" i="2"/>
  <c r="K4217" i="2"/>
  <c r="J4217" i="2"/>
  <c r="L4216" i="2"/>
  <c r="K4216" i="2"/>
  <c r="J4216" i="2"/>
  <c r="L4215" i="2"/>
  <c r="K4215" i="2"/>
  <c r="J4215" i="2"/>
  <c r="L4214" i="2"/>
  <c r="K4214" i="2"/>
  <c r="J4214" i="2"/>
  <c r="L4213" i="2"/>
  <c r="K4213" i="2"/>
  <c r="J4213" i="2"/>
  <c r="L4212" i="2"/>
  <c r="K4212" i="2"/>
  <c r="J4212" i="2"/>
  <c r="L4211" i="2"/>
  <c r="K4211" i="2"/>
  <c r="J4211" i="2"/>
  <c r="L4210" i="2"/>
  <c r="K4210" i="2"/>
  <c r="J4210" i="2"/>
  <c r="L4209" i="2"/>
  <c r="K4209" i="2"/>
  <c r="J4209" i="2"/>
  <c r="L4208" i="2"/>
  <c r="K4208" i="2"/>
  <c r="J4208" i="2"/>
  <c r="L4207" i="2"/>
  <c r="K4207" i="2"/>
  <c r="J4207" i="2"/>
  <c r="L4206" i="2"/>
  <c r="K4206" i="2"/>
  <c r="J4206" i="2"/>
  <c r="L4205" i="2"/>
  <c r="K4205" i="2"/>
  <c r="J4205" i="2"/>
  <c r="L4204" i="2"/>
  <c r="K4204" i="2"/>
  <c r="J4204" i="2"/>
  <c r="L4203" i="2"/>
  <c r="K4203" i="2"/>
  <c r="J4203" i="2"/>
  <c r="L4202" i="2"/>
  <c r="K4202" i="2"/>
  <c r="J4202" i="2"/>
  <c r="L4201" i="2"/>
  <c r="K4201" i="2"/>
  <c r="J4201" i="2"/>
  <c r="L4200" i="2"/>
  <c r="K4200" i="2"/>
  <c r="J4200" i="2"/>
  <c r="L4199" i="2"/>
  <c r="K4199" i="2"/>
  <c r="J4199" i="2"/>
  <c r="L4198" i="2"/>
  <c r="K4198" i="2"/>
  <c r="J4198" i="2"/>
  <c r="L4197" i="2"/>
  <c r="K4197" i="2"/>
  <c r="J4197" i="2"/>
  <c r="L4196" i="2"/>
  <c r="K4196" i="2"/>
  <c r="J4196" i="2"/>
  <c r="L4195" i="2"/>
  <c r="K4195" i="2"/>
  <c r="J4195" i="2"/>
  <c r="L4194" i="2"/>
  <c r="K4194" i="2"/>
  <c r="J4194" i="2"/>
  <c r="L4193" i="2"/>
  <c r="K4193" i="2"/>
  <c r="J4193" i="2"/>
  <c r="L4192" i="2"/>
  <c r="K4192" i="2"/>
  <c r="J4192" i="2"/>
  <c r="L4191" i="2"/>
  <c r="K4191" i="2"/>
  <c r="J4191" i="2"/>
  <c r="L4190" i="2"/>
  <c r="K4190" i="2"/>
  <c r="J4190" i="2"/>
  <c r="L4189" i="2"/>
  <c r="K4189" i="2"/>
  <c r="J4189" i="2"/>
  <c r="L4188" i="2"/>
  <c r="K4188" i="2"/>
  <c r="J4188" i="2"/>
  <c r="L4187" i="2"/>
  <c r="K4187" i="2"/>
  <c r="J4187" i="2"/>
  <c r="L4186" i="2"/>
  <c r="K4186" i="2"/>
  <c r="J4186" i="2"/>
  <c r="L4185" i="2"/>
  <c r="K4185" i="2"/>
  <c r="J4185" i="2"/>
  <c r="L4184" i="2"/>
  <c r="K4184" i="2"/>
  <c r="J4184" i="2"/>
  <c r="L4183" i="2"/>
  <c r="K4183" i="2"/>
  <c r="J4183" i="2"/>
  <c r="L4182" i="2"/>
  <c r="K4182" i="2"/>
  <c r="J4182" i="2"/>
  <c r="L4181" i="2"/>
  <c r="K4181" i="2"/>
  <c r="J4181" i="2"/>
  <c r="L4180" i="2"/>
  <c r="K4180" i="2"/>
  <c r="J4180" i="2"/>
  <c r="L4179" i="2"/>
  <c r="K4179" i="2"/>
  <c r="J4179" i="2"/>
  <c r="L4178" i="2"/>
  <c r="K4178" i="2"/>
  <c r="J4178" i="2"/>
  <c r="L4177" i="2"/>
  <c r="K4177" i="2"/>
  <c r="J4177" i="2"/>
  <c r="L4176" i="2"/>
  <c r="K4176" i="2"/>
  <c r="J4176" i="2"/>
  <c r="L4175" i="2"/>
  <c r="K4175" i="2"/>
  <c r="J4175" i="2"/>
  <c r="L4174" i="2"/>
  <c r="K4174" i="2"/>
  <c r="J4174" i="2"/>
  <c r="L4173" i="2"/>
  <c r="K4173" i="2"/>
  <c r="J4173" i="2"/>
  <c r="L4172" i="2"/>
  <c r="K4172" i="2"/>
  <c r="J4172" i="2"/>
  <c r="L4171" i="2"/>
  <c r="K4171" i="2"/>
  <c r="J4171" i="2"/>
  <c r="L4170" i="2"/>
  <c r="K4170" i="2"/>
  <c r="J4170" i="2"/>
  <c r="L4169" i="2"/>
  <c r="K4169" i="2"/>
  <c r="J4169" i="2"/>
  <c r="L4168" i="2"/>
  <c r="K4168" i="2"/>
  <c r="J4168" i="2"/>
  <c r="L4167" i="2"/>
  <c r="K4167" i="2"/>
  <c r="J4167" i="2"/>
  <c r="L4166" i="2"/>
  <c r="K4166" i="2"/>
  <c r="J4166" i="2"/>
  <c r="L4165" i="2"/>
  <c r="K4165" i="2"/>
  <c r="J4165" i="2"/>
  <c r="L4164" i="2"/>
  <c r="K4164" i="2"/>
  <c r="J4164" i="2"/>
  <c r="L4163" i="2"/>
  <c r="K4163" i="2"/>
  <c r="J4163" i="2"/>
  <c r="L4162" i="2"/>
  <c r="K4162" i="2"/>
  <c r="J4162" i="2"/>
  <c r="L4161" i="2"/>
  <c r="K4161" i="2"/>
  <c r="J4161" i="2"/>
  <c r="L4160" i="2"/>
  <c r="K4160" i="2"/>
  <c r="J4160" i="2"/>
  <c r="L4159" i="2"/>
  <c r="K4159" i="2"/>
  <c r="J4159" i="2"/>
  <c r="L4158" i="2"/>
  <c r="K4158" i="2"/>
  <c r="J4158" i="2"/>
  <c r="L4157" i="2"/>
  <c r="K4157" i="2"/>
  <c r="J4157" i="2"/>
  <c r="L4156" i="2"/>
  <c r="K4156" i="2"/>
  <c r="J4156" i="2"/>
  <c r="L4155" i="2"/>
  <c r="K4155" i="2"/>
  <c r="J4155" i="2"/>
  <c r="L4154" i="2"/>
  <c r="K4154" i="2"/>
  <c r="J4154" i="2"/>
  <c r="L4153" i="2"/>
  <c r="K4153" i="2"/>
  <c r="J4153" i="2"/>
  <c r="L4152" i="2"/>
  <c r="K4152" i="2"/>
  <c r="J4152" i="2"/>
  <c r="L4151" i="2"/>
  <c r="K4151" i="2"/>
  <c r="J4151" i="2"/>
  <c r="L4150" i="2"/>
  <c r="K4150" i="2"/>
  <c r="J4150" i="2"/>
  <c r="L4149" i="2"/>
  <c r="K4149" i="2"/>
  <c r="J4149" i="2"/>
  <c r="L4148" i="2"/>
  <c r="K4148" i="2"/>
  <c r="J4148" i="2"/>
  <c r="L4147" i="2"/>
  <c r="K4147" i="2"/>
  <c r="J4147" i="2"/>
  <c r="L4146" i="2"/>
  <c r="K4146" i="2"/>
  <c r="J4146" i="2"/>
  <c r="L4145" i="2"/>
  <c r="K4145" i="2"/>
  <c r="J4145" i="2"/>
  <c r="L4144" i="2"/>
  <c r="K4144" i="2"/>
  <c r="J4144" i="2"/>
  <c r="L4143" i="2"/>
  <c r="K4143" i="2"/>
  <c r="J4143" i="2"/>
  <c r="L4142" i="2"/>
  <c r="K4142" i="2"/>
  <c r="J4142" i="2"/>
  <c r="L4141" i="2"/>
  <c r="K4141" i="2"/>
  <c r="J4141" i="2"/>
  <c r="L4140" i="2"/>
  <c r="K4140" i="2"/>
  <c r="J4140" i="2"/>
  <c r="L4139" i="2"/>
  <c r="K4139" i="2"/>
  <c r="J4139" i="2"/>
  <c r="L4138" i="2"/>
  <c r="K4138" i="2"/>
  <c r="J4138" i="2"/>
  <c r="L4137" i="2"/>
  <c r="K4137" i="2"/>
  <c r="J4137" i="2"/>
  <c r="L4136" i="2"/>
  <c r="K4136" i="2"/>
  <c r="J4136" i="2"/>
  <c r="L4135" i="2"/>
  <c r="K4135" i="2"/>
  <c r="J4135" i="2"/>
  <c r="L4134" i="2"/>
  <c r="K4134" i="2"/>
  <c r="J4134" i="2"/>
  <c r="L4133" i="2"/>
  <c r="K4133" i="2"/>
  <c r="J4133" i="2"/>
  <c r="L4132" i="2"/>
  <c r="K4132" i="2"/>
  <c r="J4132" i="2"/>
  <c r="L4131" i="2"/>
  <c r="K4131" i="2"/>
  <c r="J4131" i="2"/>
  <c r="L4130" i="2"/>
  <c r="K4130" i="2"/>
  <c r="J4130" i="2"/>
  <c r="L4129" i="2"/>
  <c r="K4129" i="2"/>
  <c r="J4129" i="2"/>
  <c r="L4128" i="2"/>
  <c r="K4128" i="2"/>
  <c r="J4128" i="2"/>
  <c r="L4127" i="2"/>
  <c r="K4127" i="2"/>
  <c r="J4127" i="2"/>
  <c r="L4126" i="2"/>
  <c r="K4126" i="2"/>
  <c r="J4126" i="2"/>
  <c r="L4125" i="2"/>
  <c r="K4125" i="2"/>
  <c r="J4125" i="2"/>
  <c r="L4124" i="2"/>
  <c r="K4124" i="2"/>
  <c r="J4124" i="2"/>
  <c r="L4123" i="2"/>
  <c r="K4123" i="2"/>
  <c r="J4123" i="2"/>
  <c r="L4122" i="2"/>
  <c r="K4122" i="2"/>
  <c r="J4122" i="2"/>
  <c r="L4121" i="2"/>
  <c r="K4121" i="2"/>
  <c r="J4121" i="2"/>
  <c r="L4120" i="2"/>
  <c r="K4120" i="2"/>
  <c r="J4120" i="2"/>
  <c r="L4119" i="2"/>
  <c r="K4119" i="2"/>
  <c r="J4119" i="2"/>
  <c r="L4118" i="2"/>
  <c r="K4118" i="2"/>
  <c r="J4118" i="2"/>
  <c r="L4117" i="2"/>
  <c r="K4117" i="2"/>
  <c r="J4117" i="2"/>
  <c r="L4116" i="2"/>
  <c r="K4116" i="2"/>
  <c r="J4116" i="2"/>
  <c r="L4115" i="2"/>
  <c r="K4115" i="2"/>
  <c r="J4115" i="2"/>
  <c r="L4114" i="2"/>
  <c r="K4114" i="2"/>
  <c r="J4114" i="2"/>
  <c r="L4113" i="2"/>
  <c r="K4113" i="2"/>
  <c r="J4113" i="2"/>
  <c r="L4112" i="2"/>
  <c r="K4112" i="2"/>
  <c r="J4112" i="2"/>
  <c r="L4111" i="2"/>
  <c r="K4111" i="2"/>
  <c r="J4111" i="2"/>
  <c r="L4110" i="2"/>
  <c r="K4110" i="2"/>
  <c r="J4110" i="2"/>
  <c r="L4109" i="2"/>
  <c r="K4109" i="2"/>
  <c r="J4109" i="2"/>
  <c r="L4108" i="2"/>
  <c r="K4108" i="2"/>
  <c r="J4108" i="2"/>
  <c r="L4107" i="2"/>
  <c r="K4107" i="2"/>
  <c r="J4107" i="2"/>
  <c r="L4106" i="2"/>
  <c r="K4106" i="2"/>
  <c r="J4106" i="2"/>
  <c r="L4105" i="2"/>
  <c r="K4105" i="2"/>
  <c r="J4105" i="2"/>
  <c r="L4104" i="2"/>
  <c r="K4104" i="2"/>
  <c r="J4104" i="2"/>
  <c r="L4103" i="2"/>
  <c r="K4103" i="2"/>
  <c r="J4103" i="2"/>
  <c r="L4102" i="2"/>
  <c r="K4102" i="2"/>
  <c r="J4102" i="2"/>
  <c r="L4101" i="2"/>
  <c r="K4101" i="2"/>
  <c r="J4101" i="2"/>
  <c r="L4100" i="2"/>
  <c r="K4100" i="2"/>
  <c r="J4100" i="2"/>
  <c r="L4099" i="2"/>
  <c r="K4099" i="2"/>
  <c r="J4099" i="2"/>
  <c r="L4098" i="2"/>
  <c r="K4098" i="2"/>
  <c r="J4098" i="2"/>
  <c r="L4097" i="2"/>
  <c r="K4097" i="2"/>
  <c r="J4097" i="2"/>
  <c r="L4096" i="2"/>
  <c r="K4096" i="2"/>
  <c r="J4096" i="2"/>
  <c r="L4095" i="2"/>
  <c r="K4095" i="2"/>
  <c r="J4095" i="2"/>
  <c r="L4094" i="2"/>
  <c r="K4094" i="2"/>
  <c r="J4094" i="2"/>
  <c r="L4093" i="2"/>
  <c r="K4093" i="2"/>
  <c r="J4093" i="2"/>
  <c r="L4092" i="2"/>
  <c r="K4092" i="2"/>
  <c r="J4092" i="2"/>
  <c r="L4091" i="2"/>
  <c r="K4091" i="2"/>
  <c r="J4091" i="2"/>
  <c r="L4090" i="2"/>
  <c r="K4090" i="2"/>
  <c r="J4090" i="2"/>
  <c r="L4089" i="2"/>
  <c r="K4089" i="2"/>
  <c r="J4089" i="2"/>
  <c r="L4088" i="2"/>
  <c r="K4088" i="2"/>
  <c r="J4088" i="2"/>
  <c r="L4087" i="2"/>
  <c r="K4087" i="2"/>
  <c r="J4087" i="2"/>
  <c r="L4086" i="2"/>
  <c r="K4086" i="2"/>
  <c r="J4086" i="2"/>
  <c r="L4085" i="2"/>
  <c r="K4085" i="2"/>
  <c r="J4085" i="2"/>
  <c r="L4084" i="2"/>
  <c r="K4084" i="2"/>
  <c r="J4084" i="2"/>
  <c r="L4083" i="2"/>
  <c r="K4083" i="2"/>
  <c r="J4083" i="2"/>
  <c r="L4082" i="2"/>
  <c r="K4082" i="2"/>
  <c r="J4082" i="2"/>
  <c r="L4081" i="2"/>
  <c r="K4081" i="2"/>
  <c r="J4081" i="2"/>
  <c r="L4080" i="2"/>
  <c r="K4080" i="2"/>
  <c r="J4080" i="2"/>
  <c r="L4079" i="2"/>
  <c r="K4079" i="2"/>
  <c r="J4079" i="2"/>
  <c r="L4078" i="2"/>
  <c r="K4078" i="2"/>
  <c r="J4078" i="2"/>
  <c r="L4077" i="2"/>
  <c r="K4077" i="2"/>
  <c r="J4077" i="2"/>
  <c r="L4076" i="2"/>
  <c r="K4076" i="2"/>
  <c r="J4076" i="2"/>
  <c r="L4075" i="2"/>
  <c r="K4075" i="2"/>
  <c r="J4075" i="2"/>
  <c r="L4074" i="2"/>
  <c r="K4074" i="2"/>
  <c r="J4074" i="2"/>
  <c r="L4073" i="2"/>
  <c r="K4073" i="2"/>
  <c r="J4073" i="2"/>
  <c r="L4072" i="2"/>
  <c r="K4072" i="2"/>
  <c r="J4072" i="2"/>
  <c r="L4071" i="2"/>
  <c r="K4071" i="2"/>
  <c r="J4071" i="2"/>
  <c r="L4070" i="2"/>
  <c r="K4070" i="2"/>
  <c r="J4070" i="2"/>
  <c r="L4069" i="2"/>
  <c r="K4069" i="2"/>
  <c r="J4069" i="2"/>
  <c r="L4068" i="2"/>
  <c r="K4068" i="2"/>
  <c r="J4068" i="2"/>
  <c r="L4067" i="2"/>
  <c r="K4067" i="2"/>
  <c r="J4067" i="2"/>
  <c r="L4066" i="2"/>
  <c r="K4066" i="2"/>
  <c r="J4066" i="2"/>
  <c r="L4065" i="2"/>
  <c r="K4065" i="2"/>
  <c r="J4065" i="2"/>
  <c r="L4064" i="2"/>
  <c r="K4064" i="2"/>
  <c r="J4064" i="2"/>
  <c r="L4063" i="2"/>
  <c r="K4063" i="2"/>
  <c r="J4063" i="2"/>
  <c r="L4062" i="2"/>
  <c r="K4062" i="2"/>
  <c r="J4062" i="2"/>
  <c r="L4061" i="2"/>
  <c r="K4061" i="2"/>
  <c r="J4061" i="2"/>
  <c r="L4060" i="2"/>
  <c r="K4060" i="2"/>
  <c r="J4060" i="2"/>
  <c r="L4059" i="2"/>
  <c r="K4059" i="2"/>
  <c r="J4059" i="2"/>
  <c r="L4058" i="2"/>
  <c r="K4058" i="2"/>
  <c r="J4058" i="2"/>
  <c r="L4057" i="2"/>
  <c r="K4057" i="2"/>
  <c r="J4057" i="2"/>
  <c r="L4056" i="2"/>
  <c r="K4056" i="2"/>
  <c r="J4056" i="2"/>
  <c r="L4055" i="2"/>
  <c r="K4055" i="2"/>
  <c r="J4055" i="2"/>
  <c r="L4054" i="2"/>
  <c r="K4054" i="2"/>
  <c r="J4054" i="2"/>
  <c r="L4053" i="2"/>
  <c r="K4053" i="2"/>
  <c r="J4053" i="2"/>
  <c r="L4052" i="2"/>
  <c r="K4052" i="2"/>
  <c r="J4052" i="2"/>
  <c r="L4051" i="2"/>
  <c r="K4051" i="2"/>
  <c r="J4051" i="2"/>
  <c r="L4050" i="2"/>
  <c r="K4050" i="2"/>
  <c r="J4050" i="2"/>
  <c r="L4049" i="2"/>
  <c r="K4049" i="2"/>
  <c r="J4049" i="2"/>
  <c r="L4048" i="2"/>
  <c r="K4048" i="2"/>
  <c r="J4048" i="2"/>
  <c r="L4047" i="2"/>
  <c r="K4047" i="2"/>
  <c r="J4047" i="2"/>
  <c r="L4046" i="2"/>
  <c r="K4046" i="2"/>
  <c r="J4046" i="2"/>
  <c r="L4045" i="2"/>
  <c r="K4045" i="2"/>
  <c r="J4045" i="2"/>
  <c r="L4044" i="2"/>
  <c r="K4044" i="2"/>
  <c r="J4044" i="2"/>
  <c r="L4043" i="2"/>
  <c r="K4043" i="2"/>
  <c r="J4043" i="2"/>
  <c r="L4042" i="2"/>
  <c r="K4042" i="2"/>
  <c r="J4042" i="2"/>
  <c r="L4041" i="2"/>
  <c r="K4041" i="2"/>
  <c r="J4041" i="2"/>
  <c r="L4040" i="2"/>
  <c r="K4040" i="2"/>
  <c r="J4040" i="2"/>
  <c r="L4039" i="2"/>
  <c r="K4039" i="2"/>
  <c r="J4039" i="2"/>
  <c r="L4038" i="2"/>
  <c r="K4038" i="2"/>
  <c r="J4038" i="2"/>
  <c r="L4037" i="2"/>
  <c r="K4037" i="2"/>
  <c r="J4037" i="2"/>
  <c r="L4036" i="2"/>
  <c r="K4036" i="2"/>
  <c r="J4036" i="2"/>
  <c r="L4035" i="2"/>
  <c r="K4035" i="2"/>
  <c r="J4035" i="2"/>
  <c r="L4034" i="2"/>
  <c r="K4034" i="2"/>
  <c r="J4034" i="2"/>
  <c r="L4033" i="2"/>
  <c r="K4033" i="2"/>
  <c r="J4033" i="2"/>
  <c r="L4032" i="2"/>
  <c r="K4032" i="2"/>
  <c r="J4032" i="2"/>
  <c r="L4031" i="2"/>
  <c r="K4031" i="2"/>
  <c r="J4031" i="2"/>
  <c r="L4030" i="2"/>
  <c r="K4030" i="2"/>
  <c r="J4030" i="2"/>
  <c r="L4029" i="2"/>
  <c r="K4029" i="2"/>
  <c r="J4029" i="2"/>
  <c r="L4028" i="2"/>
  <c r="K4028" i="2"/>
  <c r="J4028" i="2"/>
  <c r="L4027" i="2"/>
  <c r="K4027" i="2"/>
  <c r="J4027" i="2"/>
  <c r="L4026" i="2"/>
  <c r="K4026" i="2"/>
  <c r="J4026" i="2"/>
  <c r="L4025" i="2"/>
  <c r="K4025" i="2"/>
  <c r="J4025" i="2"/>
  <c r="L4024" i="2"/>
  <c r="K4024" i="2"/>
  <c r="J4024" i="2"/>
  <c r="L4023" i="2"/>
  <c r="K4023" i="2"/>
  <c r="J4023" i="2"/>
  <c r="L4022" i="2"/>
  <c r="K4022" i="2"/>
  <c r="J4022" i="2"/>
  <c r="L4021" i="2"/>
  <c r="K4021" i="2"/>
  <c r="J4021" i="2"/>
  <c r="L4020" i="2"/>
  <c r="K4020" i="2"/>
  <c r="J4020" i="2"/>
  <c r="L4019" i="2"/>
  <c r="K4019" i="2"/>
  <c r="J4019" i="2"/>
  <c r="L4018" i="2"/>
  <c r="K4018" i="2"/>
  <c r="J4018" i="2"/>
  <c r="L4017" i="2"/>
  <c r="K4017" i="2"/>
  <c r="J4017" i="2"/>
  <c r="L4016" i="2"/>
  <c r="K4016" i="2"/>
  <c r="J4016" i="2"/>
  <c r="L4015" i="2"/>
  <c r="K4015" i="2"/>
  <c r="J4015" i="2"/>
  <c r="L4014" i="2"/>
  <c r="K4014" i="2"/>
  <c r="J4014" i="2"/>
  <c r="L4013" i="2"/>
  <c r="K4013" i="2"/>
  <c r="J4013" i="2"/>
  <c r="L4012" i="2"/>
  <c r="K4012" i="2"/>
  <c r="J4012" i="2"/>
  <c r="L4011" i="2"/>
  <c r="K4011" i="2"/>
  <c r="J4011" i="2"/>
  <c r="L4010" i="2"/>
  <c r="K4010" i="2"/>
  <c r="J4010" i="2"/>
  <c r="L4009" i="2"/>
  <c r="K4009" i="2"/>
  <c r="J4009" i="2"/>
  <c r="L4008" i="2"/>
  <c r="K4008" i="2"/>
  <c r="J4008" i="2"/>
  <c r="L4007" i="2"/>
  <c r="K4007" i="2"/>
  <c r="J4007" i="2"/>
  <c r="L4006" i="2"/>
  <c r="K4006" i="2"/>
  <c r="J4006" i="2"/>
  <c r="L4005" i="2"/>
  <c r="K4005" i="2"/>
  <c r="J4005" i="2"/>
  <c r="L4004" i="2"/>
  <c r="K4004" i="2"/>
  <c r="J4004" i="2"/>
  <c r="L4003" i="2"/>
  <c r="K4003" i="2"/>
  <c r="J4003" i="2"/>
  <c r="L4002" i="2"/>
  <c r="K4002" i="2"/>
  <c r="J4002" i="2"/>
  <c r="L4001" i="2"/>
  <c r="K4001" i="2"/>
  <c r="J4001" i="2"/>
  <c r="L4000" i="2"/>
  <c r="K4000" i="2"/>
  <c r="J4000" i="2"/>
  <c r="L3999" i="2"/>
  <c r="K3999" i="2"/>
  <c r="J3999" i="2"/>
  <c r="L3998" i="2"/>
  <c r="K3998" i="2"/>
  <c r="J3998" i="2"/>
  <c r="L3997" i="2"/>
  <c r="K3997" i="2"/>
  <c r="J3997" i="2"/>
  <c r="L3996" i="2"/>
  <c r="K3996" i="2"/>
  <c r="J3996" i="2"/>
  <c r="L3995" i="2"/>
  <c r="K3995" i="2"/>
  <c r="J3995" i="2"/>
  <c r="L3994" i="2"/>
  <c r="K3994" i="2"/>
  <c r="J3994" i="2"/>
  <c r="L3993" i="2"/>
  <c r="K3993" i="2"/>
  <c r="J3993" i="2"/>
  <c r="L3992" i="2"/>
  <c r="K3992" i="2"/>
  <c r="J3992" i="2"/>
  <c r="L3991" i="2"/>
  <c r="K3991" i="2"/>
  <c r="J3991" i="2"/>
  <c r="L3990" i="2"/>
  <c r="K3990" i="2"/>
  <c r="J3990" i="2"/>
  <c r="L3989" i="2"/>
  <c r="K3989" i="2"/>
  <c r="J3989" i="2"/>
  <c r="L3988" i="2"/>
  <c r="K3988" i="2"/>
  <c r="J3988" i="2"/>
  <c r="L3987" i="2"/>
  <c r="K3987" i="2"/>
  <c r="J3987" i="2"/>
  <c r="L3986" i="2"/>
  <c r="K3986" i="2"/>
  <c r="J3986" i="2"/>
  <c r="L3985" i="2"/>
  <c r="K3985" i="2"/>
  <c r="J3985" i="2"/>
  <c r="L3984" i="2"/>
  <c r="K3984" i="2"/>
  <c r="J3984" i="2"/>
  <c r="L3983" i="2"/>
  <c r="K3983" i="2"/>
  <c r="J3983" i="2"/>
  <c r="L3982" i="2"/>
  <c r="K3982" i="2"/>
  <c r="J3982" i="2"/>
  <c r="L3981" i="2"/>
  <c r="K3981" i="2"/>
  <c r="J3981" i="2"/>
  <c r="L3980" i="2"/>
  <c r="K3980" i="2"/>
  <c r="J3980" i="2"/>
  <c r="L3979" i="2"/>
  <c r="K3979" i="2"/>
  <c r="J3979" i="2"/>
  <c r="L3978" i="2"/>
  <c r="K3978" i="2"/>
  <c r="J3978" i="2"/>
  <c r="L3977" i="2"/>
  <c r="K3977" i="2"/>
  <c r="J3977" i="2"/>
  <c r="L3976" i="2"/>
  <c r="K3976" i="2"/>
  <c r="J3976" i="2"/>
  <c r="L3975" i="2"/>
  <c r="K3975" i="2"/>
  <c r="J3975" i="2"/>
  <c r="L3974" i="2"/>
  <c r="K3974" i="2"/>
  <c r="J3974" i="2"/>
  <c r="L3973" i="2"/>
  <c r="K3973" i="2"/>
  <c r="J3973" i="2"/>
  <c r="L3972" i="2"/>
  <c r="K3972" i="2"/>
  <c r="J3972" i="2"/>
  <c r="L3971" i="2"/>
  <c r="K3971" i="2"/>
  <c r="J3971" i="2"/>
  <c r="L3970" i="2"/>
  <c r="K3970" i="2"/>
  <c r="J3970" i="2"/>
  <c r="L3969" i="2"/>
  <c r="K3969" i="2"/>
  <c r="J3969" i="2"/>
  <c r="L3968" i="2"/>
  <c r="K3968" i="2"/>
  <c r="J3968" i="2"/>
  <c r="L3967" i="2"/>
  <c r="K3967" i="2"/>
  <c r="J3967" i="2"/>
  <c r="L3966" i="2"/>
  <c r="K3966" i="2"/>
  <c r="J3966" i="2"/>
  <c r="L3965" i="2"/>
  <c r="K3965" i="2"/>
  <c r="J3965" i="2"/>
  <c r="L3964" i="2"/>
  <c r="K3964" i="2"/>
  <c r="J3964" i="2"/>
  <c r="L3963" i="2"/>
  <c r="K3963" i="2"/>
  <c r="J3963" i="2"/>
  <c r="L3962" i="2"/>
  <c r="K3962" i="2"/>
  <c r="J3962" i="2"/>
  <c r="L3961" i="2"/>
  <c r="K3961" i="2"/>
  <c r="J3961" i="2"/>
  <c r="L3960" i="2"/>
  <c r="K3960" i="2"/>
  <c r="J3960" i="2"/>
  <c r="L3959" i="2"/>
  <c r="K3959" i="2"/>
  <c r="J3959" i="2"/>
  <c r="L3958" i="2"/>
  <c r="K3958" i="2"/>
  <c r="J3958" i="2"/>
  <c r="L3957" i="2"/>
  <c r="K3957" i="2"/>
  <c r="J3957" i="2"/>
  <c r="L3956" i="2"/>
  <c r="K3956" i="2"/>
  <c r="J3956" i="2"/>
  <c r="L3955" i="2"/>
  <c r="K3955" i="2"/>
  <c r="J3955" i="2"/>
  <c r="L3954" i="2"/>
  <c r="K3954" i="2"/>
  <c r="J3954" i="2"/>
  <c r="L3953" i="2"/>
  <c r="K3953" i="2"/>
  <c r="J3953" i="2"/>
  <c r="L3952" i="2"/>
  <c r="K3952" i="2"/>
  <c r="J3952" i="2"/>
  <c r="L3951" i="2"/>
  <c r="K3951" i="2"/>
  <c r="J3951" i="2"/>
  <c r="L3950" i="2"/>
  <c r="K3950" i="2"/>
  <c r="J3950" i="2"/>
  <c r="L3949" i="2"/>
  <c r="K3949" i="2"/>
  <c r="J3949" i="2"/>
  <c r="L3948" i="2"/>
  <c r="K3948" i="2"/>
  <c r="J3948" i="2"/>
  <c r="L3947" i="2"/>
  <c r="K3947" i="2"/>
  <c r="J3947" i="2"/>
  <c r="L3946" i="2"/>
  <c r="K3946" i="2"/>
  <c r="J3946" i="2"/>
  <c r="L3945" i="2"/>
  <c r="K3945" i="2"/>
  <c r="J3945" i="2"/>
  <c r="L3944" i="2"/>
  <c r="K3944" i="2"/>
  <c r="J3944" i="2"/>
  <c r="L3943" i="2"/>
  <c r="K3943" i="2"/>
  <c r="J3943" i="2"/>
  <c r="L3942" i="2"/>
  <c r="K3942" i="2"/>
  <c r="J3942" i="2"/>
  <c r="L3941" i="2"/>
  <c r="K3941" i="2"/>
  <c r="J3941" i="2"/>
  <c r="L3940" i="2"/>
  <c r="K3940" i="2"/>
  <c r="J3940" i="2"/>
  <c r="L3939" i="2"/>
  <c r="K3939" i="2"/>
  <c r="J3939" i="2"/>
  <c r="L3938" i="2"/>
  <c r="K3938" i="2"/>
  <c r="J3938" i="2"/>
  <c r="L3937" i="2"/>
  <c r="K3937" i="2"/>
  <c r="J3937" i="2"/>
  <c r="L3936" i="2"/>
  <c r="K3936" i="2"/>
  <c r="J3936" i="2"/>
  <c r="L3935" i="2"/>
  <c r="K3935" i="2"/>
  <c r="J3935" i="2"/>
  <c r="L3934" i="2"/>
  <c r="K3934" i="2"/>
  <c r="J3934" i="2"/>
  <c r="L3933" i="2"/>
  <c r="K3933" i="2"/>
  <c r="J3933" i="2"/>
  <c r="L3932" i="2"/>
  <c r="K3932" i="2"/>
  <c r="J3932" i="2"/>
  <c r="L3931" i="2"/>
  <c r="K3931" i="2"/>
  <c r="J3931" i="2"/>
  <c r="L3930" i="2"/>
  <c r="K3930" i="2"/>
  <c r="J3930" i="2"/>
  <c r="L3929" i="2"/>
  <c r="K3929" i="2"/>
  <c r="J3929" i="2"/>
  <c r="L3928" i="2"/>
  <c r="K3928" i="2"/>
  <c r="J3928" i="2"/>
  <c r="L3927" i="2"/>
  <c r="K3927" i="2"/>
  <c r="J3927" i="2"/>
  <c r="L3926" i="2"/>
  <c r="K3926" i="2"/>
  <c r="J3926" i="2"/>
  <c r="L3925" i="2"/>
  <c r="K3925" i="2"/>
  <c r="J3925" i="2"/>
  <c r="L3924" i="2"/>
  <c r="K3924" i="2"/>
  <c r="J3924" i="2"/>
  <c r="L3923" i="2"/>
  <c r="K3923" i="2"/>
  <c r="J3923" i="2"/>
  <c r="L3922" i="2"/>
  <c r="K3922" i="2"/>
  <c r="J3922" i="2"/>
  <c r="L3921" i="2"/>
  <c r="K3921" i="2"/>
  <c r="J3921" i="2"/>
  <c r="L3920" i="2"/>
  <c r="K3920" i="2"/>
  <c r="J3920" i="2"/>
  <c r="L3919" i="2"/>
  <c r="K3919" i="2"/>
  <c r="J3919" i="2"/>
  <c r="L3918" i="2"/>
  <c r="K3918" i="2"/>
  <c r="J3918" i="2"/>
  <c r="L3917" i="2"/>
  <c r="K3917" i="2"/>
  <c r="J3917" i="2"/>
  <c r="L3916" i="2"/>
  <c r="K3916" i="2"/>
  <c r="J3916" i="2"/>
  <c r="L3915" i="2"/>
  <c r="K3915" i="2"/>
  <c r="J3915" i="2"/>
  <c r="L3914" i="2"/>
  <c r="K3914" i="2"/>
  <c r="J3914" i="2"/>
  <c r="L3913" i="2"/>
  <c r="K3913" i="2"/>
  <c r="J3913" i="2"/>
  <c r="L3912" i="2"/>
  <c r="K3912" i="2"/>
  <c r="J3912" i="2"/>
  <c r="L3911" i="2"/>
  <c r="K3911" i="2"/>
  <c r="J3911" i="2"/>
  <c r="L3910" i="2"/>
  <c r="K3910" i="2"/>
  <c r="J3910" i="2"/>
  <c r="L3909" i="2"/>
  <c r="K3909" i="2"/>
  <c r="J3909" i="2"/>
  <c r="L3908" i="2"/>
  <c r="K3908" i="2"/>
  <c r="J3908" i="2"/>
  <c r="L3907" i="2"/>
  <c r="K3907" i="2"/>
  <c r="J3907" i="2"/>
  <c r="L3906" i="2"/>
  <c r="K3906" i="2"/>
  <c r="J3906" i="2"/>
  <c r="L3905" i="2"/>
  <c r="K3905" i="2"/>
  <c r="J3905" i="2"/>
  <c r="L3904" i="2"/>
  <c r="K3904" i="2"/>
  <c r="J3904" i="2"/>
  <c r="L3903" i="2"/>
  <c r="K3903" i="2"/>
  <c r="J3903" i="2"/>
  <c r="L3902" i="2"/>
  <c r="K3902" i="2"/>
  <c r="J3902" i="2"/>
  <c r="L3901" i="2"/>
  <c r="K3901" i="2"/>
  <c r="J3901" i="2"/>
  <c r="L3900" i="2"/>
  <c r="K3900" i="2"/>
  <c r="J3900" i="2"/>
  <c r="L3899" i="2"/>
  <c r="K3899" i="2"/>
  <c r="J3899" i="2"/>
  <c r="L3898" i="2"/>
  <c r="K3898" i="2"/>
  <c r="J3898" i="2"/>
  <c r="L3897" i="2"/>
  <c r="K3897" i="2"/>
  <c r="J3897" i="2"/>
  <c r="L3896" i="2"/>
  <c r="K3896" i="2"/>
  <c r="J3896" i="2"/>
  <c r="L3895" i="2"/>
  <c r="K3895" i="2"/>
  <c r="J3895" i="2"/>
  <c r="L3894" i="2"/>
  <c r="K3894" i="2"/>
  <c r="J3894" i="2"/>
  <c r="L3893" i="2"/>
  <c r="K3893" i="2"/>
  <c r="J3893" i="2"/>
  <c r="L3892" i="2"/>
  <c r="K3892" i="2"/>
  <c r="J3892" i="2"/>
  <c r="L3891" i="2"/>
  <c r="K3891" i="2"/>
  <c r="J3891" i="2"/>
  <c r="L3890" i="2"/>
  <c r="K3890" i="2"/>
  <c r="J3890" i="2"/>
  <c r="L3889" i="2"/>
  <c r="K3889" i="2"/>
  <c r="J3889" i="2"/>
  <c r="L3888" i="2"/>
  <c r="K3888" i="2"/>
  <c r="J3888" i="2"/>
  <c r="L3887" i="2"/>
  <c r="K3887" i="2"/>
  <c r="J3887" i="2"/>
  <c r="L3886" i="2"/>
  <c r="K3886" i="2"/>
  <c r="J3886" i="2"/>
  <c r="L3885" i="2"/>
  <c r="K3885" i="2"/>
  <c r="J3885" i="2"/>
  <c r="L3884" i="2"/>
  <c r="K3884" i="2"/>
  <c r="J3884" i="2"/>
  <c r="L3883" i="2"/>
  <c r="K3883" i="2"/>
  <c r="J3883" i="2"/>
  <c r="L3882" i="2"/>
  <c r="K3882" i="2"/>
  <c r="J3882" i="2"/>
  <c r="L3881" i="2"/>
  <c r="K3881" i="2"/>
  <c r="J3881" i="2"/>
  <c r="L3880" i="2"/>
  <c r="K3880" i="2"/>
  <c r="J3880" i="2"/>
  <c r="L3879" i="2"/>
  <c r="K3879" i="2"/>
  <c r="J3879" i="2"/>
  <c r="L3878" i="2"/>
  <c r="K3878" i="2"/>
  <c r="J3878" i="2"/>
  <c r="L3877" i="2"/>
  <c r="K3877" i="2"/>
  <c r="J3877" i="2"/>
  <c r="L3876" i="2"/>
  <c r="K3876" i="2"/>
  <c r="J3876" i="2"/>
  <c r="L3875" i="2"/>
  <c r="K3875" i="2"/>
  <c r="J3875" i="2"/>
  <c r="L3874" i="2"/>
  <c r="K3874" i="2"/>
  <c r="J3874" i="2"/>
  <c r="L3873" i="2"/>
  <c r="K3873" i="2"/>
  <c r="J3873" i="2"/>
  <c r="L3872" i="2"/>
  <c r="K3872" i="2"/>
  <c r="J3872" i="2"/>
  <c r="L3871" i="2"/>
  <c r="K3871" i="2"/>
  <c r="J3871" i="2"/>
  <c r="L3870" i="2"/>
  <c r="K3870" i="2"/>
  <c r="J3870" i="2"/>
  <c r="L3869" i="2"/>
  <c r="K3869" i="2"/>
  <c r="J3869" i="2"/>
  <c r="L3868" i="2"/>
  <c r="K3868" i="2"/>
  <c r="J3868" i="2"/>
  <c r="L3867" i="2"/>
  <c r="K3867" i="2"/>
  <c r="J3867" i="2"/>
  <c r="L3866" i="2"/>
  <c r="K3866" i="2"/>
  <c r="J3866" i="2"/>
  <c r="L3865" i="2"/>
  <c r="K3865" i="2"/>
  <c r="J3865" i="2"/>
  <c r="L3864" i="2"/>
  <c r="K3864" i="2"/>
  <c r="J3864" i="2"/>
  <c r="L3863" i="2"/>
  <c r="K3863" i="2"/>
  <c r="J3863" i="2"/>
  <c r="L3862" i="2"/>
  <c r="K3862" i="2"/>
  <c r="J3862" i="2"/>
  <c r="L3861" i="2"/>
  <c r="K3861" i="2"/>
  <c r="J3861" i="2"/>
  <c r="L3860" i="2"/>
  <c r="K3860" i="2"/>
  <c r="J3860" i="2"/>
  <c r="L3859" i="2"/>
  <c r="K3859" i="2"/>
  <c r="J3859" i="2"/>
  <c r="L3858" i="2"/>
  <c r="K3858" i="2"/>
  <c r="J3858" i="2"/>
  <c r="L3857" i="2"/>
  <c r="K3857" i="2"/>
  <c r="J3857" i="2"/>
  <c r="L3856" i="2"/>
  <c r="K3856" i="2"/>
  <c r="J3856" i="2"/>
  <c r="L3855" i="2"/>
  <c r="K3855" i="2"/>
  <c r="J3855" i="2"/>
  <c r="L3854" i="2"/>
  <c r="K3854" i="2"/>
  <c r="J3854" i="2"/>
  <c r="L3853" i="2"/>
  <c r="K3853" i="2"/>
  <c r="J3853" i="2"/>
  <c r="L3852" i="2"/>
  <c r="K3852" i="2"/>
  <c r="J3852" i="2"/>
  <c r="L3851" i="2"/>
  <c r="K3851" i="2"/>
  <c r="J3851" i="2"/>
  <c r="L3850" i="2"/>
  <c r="K3850" i="2"/>
  <c r="J3850" i="2"/>
  <c r="L3849" i="2"/>
  <c r="K3849" i="2"/>
  <c r="J3849" i="2"/>
  <c r="L3848" i="2"/>
  <c r="K3848" i="2"/>
  <c r="J3848" i="2"/>
  <c r="L3847" i="2"/>
  <c r="K3847" i="2"/>
  <c r="J3847" i="2"/>
  <c r="L3846" i="2"/>
  <c r="K3846" i="2"/>
  <c r="J3846" i="2"/>
  <c r="L3845" i="2"/>
  <c r="K3845" i="2"/>
  <c r="J3845" i="2"/>
  <c r="L3844" i="2"/>
  <c r="K3844" i="2"/>
  <c r="J3844" i="2"/>
  <c r="L3843" i="2"/>
  <c r="K3843" i="2"/>
  <c r="J3843" i="2"/>
  <c r="L3842" i="2"/>
  <c r="K3842" i="2"/>
  <c r="J3842" i="2"/>
  <c r="L3841" i="2"/>
  <c r="K3841" i="2"/>
  <c r="J3841" i="2"/>
  <c r="L3840" i="2"/>
  <c r="K3840" i="2"/>
  <c r="J3840" i="2"/>
  <c r="L3839" i="2"/>
  <c r="K3839" i="2"/>
  <c r="J3839" i="2"/>
  <c r="L3838" i="2"/>
  <c r="K3838" i="2"/>
  <c r="J3838" i="2"/>
  <c r="L3837" i="2"/>
  <c r="K3837" i="2"/>
  <c r="J3837" i="2"/>
  <c r="L3836" i="2"/>
  <c r="K3836" i="2"/>
  <c r="J3836" i="2"/>
  <c r="L3835" i="2"/>
  <c r="K3835" i="2"/>
  <c r="J3835" i="2"/>
  <c r="L3834" i="2"/>
  <c r="K3834" i="2"/>
  <c r="J3834" i="2"/>
  <c r="L3833" i="2"/>
  <c r="K3833" i="2"/>
  <c r="J3833" i="2"/>
  <c r="L3832" i="2"/>
  <c r="K3832" i="2"/>
  <c r="J3832" i="2"/>
  <c r="L3831" i="2"/>
  <c r="K3831" i="2"/>
  <c r="J3831" i="2"/>
  <c r="L3830" i="2"/>
  <c r="K3830" i="2"/>
  <c r="J3830" i="2"/>
  <c r="L3829" i="2"/>
  <c r="K3829" i="2"/>
  <c r="J3829" i="2"/>
  <c r="L3828" i="2"/>
  <c r="K3828" i="2"/>
  <c r="J3828" i="2"/>
  <c r="L3827" i="2"/>
  <c r="K3827" i="2"/>
  <c r="J3827" i="2"/>
  <c r="L3826" i="2"/>
  <c r="K3826" i="2"/>
  <c r="J3826" i="2"/>
  <c r="L3825" i="2"/>
  <c r="K3825" i="2"/>
  <c r="J3825" i="2"/>
  <c r="L3824" i="2"/>
  <c r="K3824" i="2"/>
  <c r="J3824" i="2"/>
  <c r="L3823" i="2"/>
  <c r="K3823" i="2"/>
  <c r="J3823" i="2"/>
  <c r="L3822" i="2"/>
  <c r="K3822" i="2"/>
  <c r="J3822" i="2"/>
  <c r="L3821" i="2"/>
  <c r="K3821" i="2"/>
  <c r="J3821" i="2"/>
  <c r="L3820" i="2"/>
  <c r="K3820" i="2"/>
  <c r="J3820" i="2"/>
  <c r="L3819" i="2"/>
  <c r="K3819" i="2"/>
  <c r="J3819" i="2"/>
  <c r="L3818" i="2"/>
  <c r="K3818" i="2"/>
  <c r="J3818" i="2"/>
  <c r="L3817" i="2"/>
  <c r="K3817" i="2"/>
  <c r="J3817" i="2"/>
  <c r="L3816" i="2"/>
  <c r="K3816" i="2"/>
  <c r="J3816" i="2"/>
  <c r="L3815" i="2"/>
  <c r="K3815" i="2"/>
  <c r="J3815" i="2"/>
  <c r="L3814" i="2"/>
  <c r="K3814" i="2"/>
  <c r="J3814" i="2"/>
  <c r="L3813" i="2"/>
  <c r="K3813" i="2"/>
  <c r="J3813" i="2"/>
  <c r="L3812" i="2"/>
  <c r="K3812" i="2"/>
  <c r="J3812" i="2"/>
  <c r="L3811" i="2"/>
  <c r="K3811" i="2"/>
  <c r="J3811" i="2"/>
  <c r="L3810" i="2"/>
  <c r="K3810" i="2"/>
  <c r="J3810" i="2"/>
  <c r="L3809" i="2"/>
  <c r="K3809" i="2"/>
  <c r="J3809" i="2"/>
  <c r="L3808" i="2"/>
  <c r="K3808" i="2"/>
  <c r="J3808" i="2"/>
  <c r="L3807" i="2"/>
  <c r="K3807" i="2"/>
  <c r="J3807" i="2"/>
  <c r="L3806" i="2"/>
  <c r="K3806" i="2"/>
  <c r="J3806" i="2"/>
  <c r="L3805" i="2"/>
  <c r="K3805" i="2"/>
  <c r="J3805" i="2"/>
  <c r="L3804" i="2"/>
  <c r="K3804" i="2"/>
  <c r="J3804" i="2"/>
  <c r="L3803" i="2"/>
  <c r="K3803" i="2"/>
  <c r="J3803" i="2"/>
  <c r="L3802" i="2"/>
  <c r="K3802" i="2"/>
  <c r="J3802" i="2"/>
  <c r="L3801" i="2"/>
  <c r="K3801" i="2"/>
  <c r="J3801" i="2"/>
  <c r="L3800" i="2"/>
  <c r="K3800" i="2"/>
  <c r="J3800" i="2"/>
  <c r="L3799" i="2"/>
  <c r="K3799" i="2"/>
  <c r="J3799" i="2"/>
  <c r="L3798" i="2"/>
  <c r="K3798" i="2"/>
  <c r="J3798" i="2"/>
  <c r="L3797" i="2"/>
  <c r="K3797" i="2"/>
  <c r="J3797" i="2"/>
  <c r="L3796" i="2"/>
  <c r="K3796" i="2"/>
  <c r="J3796" i="2"/>
  <c r="L3795" i="2"/>
  <c r="K3795" i="2"/>
  <c r="J3795" i="2"/>
  <c r="L3794" i="2"/>
  <c r="K3794" i="2"/>
  <c r="J3794" i="2"/>
  <c r="L3793" i="2"/>
  <c r="K3793" i="2"/>
  <c r="J3793" i="2"/>
  <c r="L3792" i="2"/>
  <c r="K3792" i="2"/>
  <c r="J3792" i="2"/>
  <c r="L3791" i="2"/>
  <c r="K3791" i="2"/>
  <c r="J3791" i="2"/>
  <c r="L3790" i="2"/>
  <c r="K3790" i="2"/>
  <c r="J3790" i="2"/>
  <c r="L3789" i="2"/>
  <c r="K3789" i="2"/>
  <c r="J3789" i="2"/>
  <c r="L3788" i="2"/>
  <c r="K3788" i="2"/>
  <c r="J3788" i="2"/>
  <c r="L3787" i="2"/>
  <c r="K3787" i="2"/>
  <c r="J3787" i="2"/>
  <c r="L3786" i="2"/>
  <c r="K3786" i="2"/>
  <c r="J3786" i="2"/>
  <c r="L3785" i="2"/>
  <c r="K3785" i="2"/>
  <c r="J3785" i="2"/>
  <c r="L3784" i="2"/>
  <c r="K3784" i="2"/>
  <c r="J3784" i="2"/>
  <c r="L3783" i="2"/>
  <c r="K3783" i="2"/>
  <c r="J3783" i="2"/>
  <c r="L3782" i="2"/>
  <c r="K3782" i="2"/>
  <c r="J3782" i="2"/>
  <c r="L3781" i="2"/>
  <c r="K3781" i="2"/>
  <c r="J3781" i="2"/>
  <c r="L3780" i="2"/>
  <c r="K3780" i="2"/>
  <c r="J3780" i="2"/>
  <c r="L3779" i="2"/>
  <c r="K3779" i="2"/>
  <c r="J3779" i="2"/>
  <c r="L3778" i="2"/>
  <c r="K3778" i="2"/>
  <c r="J3778" i="2"/>
  <c r="L3777" i="2"/>
  <c r="K3777" i="2"/>
  <c r="J3777" i="2"/>
  <c r="L3776" i="2"/>
  <c r="K3776" i="2"/>
  <c r="J3776" i="2"/>
  <c r="L3775" i="2"/>
  <c r="K3775" i="2"/>
  <c r="J3775" i="2"/>
  <c r="L3774" i="2"/>
  <c r="K3774" i="2"/>
  <c r="J3774" i="2"/>
  <c r="L3773" i="2"/>
  <c r="K3773" i="2"/>
  <c r="J3773" i="2"/>
  <c r="L3772" i="2"/>
  <c r="K3772" i="2"/>
  <c r="J3772" i="2"/>
  <c r="L3771" i="2"/>
  <c r="K3771" i="2"/>
  <c r="J3771" i="2"/>
  <c r="L3770" i="2"/>
  <c r="K3770" i="2"/>
  <c r="J3770" i="2"/>
  <c r="L3769" i="2"/>
  <c r="K3769" i="2"/>
  <c r="J3769" i="2"/>
  <c r="L3768" i="2"/>
  <c r="K3768" i="2"/>
  <c r="J3768" i="2"/>
  <c r="L3767" i="2"/>
  <c r="K3767" i="2"/>
  <c r="J3767" i="2"/>
  <c r="L3766" i="2"/>
  <c r="K3766" i="2"/>
  <c r="J3766" i="2"/>
  <c r="L3765" i="2"/>
  <c r="K3765" i="2"/>
  <c r="J3765" i="2"/>
  <c r="L3764" i="2"/>
  <c r="K3764" i="2"/>
  <c r="J3764" i="2"/>
  <c r="L3763" i="2"/>
  <c r="K3763" i="2"/>
  <c r="J3763" i="2"/>
  <c r="L3762" i="2"/>
  <c r="K3762" i="2"/>
  <c r="J3762" i="2"/>
  <c r="L3761" i="2"/>
  <c r="K3761" i="2"/>
  <c r="J3761" i="2"/>
  <c r="L3760" i="2"/>
  <c r="K3760" i="2"/>
  <c r="J3760" i="2"/>
  <c r="L3759" i="2"/>
  <c r="K3759" i="2"/>
  <c r="J3759" i="2"/>
  <c r="L3758" i="2"/>
  <c r="K3758" i="2"/>
  <c r="J3758" i="2"/>
  <c r="L3757" i="2"/>
  <c r="K3757" i="2"/>
  <c r="J3757" i="2"/>
  <c r="L3756" i="2"/>
  <c r="K3756" i="2"/>
  <c r="J3756" i="2"/>
  <c r="L3755" i="2"/>
  <c r="K3755" i="2"/>
  <c r="J3755" i="2"/>
  <c r="L3754" i="2"/>
  <c r="K3754" i="2"/>
  <c r="J3754" i="2"/>
  <c r="L3753" i="2"/>
  <c r="K3753" i="2"/>
  <c r="J3753" i="2"/>
  <c r="L3752" i="2"/>
  <c r="K3752" i="2"/>
  <c r="J3752" i="2"/>
  <c r="L3751" i="2"/>
  <c r="K3751" i="2"/>
  <c r="J3751" i="2"/>
  <c r="L3750" i="2"/>
  <c r="K3750" i="2"/>
  <c r="J3750" i="2"/>
  <c r="L3749" i="2"/>
  <c r="K3749" i="2"/>
  <c r="J3749" i="2"/>
  <c r="L3748" i="2"/>
  <c r="K3748" i="2"/>
  <c r="J3748" i="2"/>
  <c r="L3747" i="2"/>
  <c r="K3747" i="2"/>
  <c r="J3747" i="2"/>
  <c r="L3746" i="2"/>
  <c r="K3746" i="2"/>
  <c r="J3746" i="2"/>
  <c r="L3745" i="2"/>
  <c r="K3745" i="2"/>
  <c r="J3745" i="2"/>
  <c r="L3744" i="2"/>
  <c r="K3744" i="2"/>
  <c r="J3744" i="2"/>
  <c r="L3743" i="2"/>
  <c r="K3743" i="2"/>
  <c r="J3743" i="2"/>
  <c r="L3742" i="2"/>
  <c r="K3742" i="2"/>
  <c r="J3742" i="2"/>
  <c r="L3741" i="2"/>
  <c r="K3741" i="2"/>
  <c r="J3741" i="2"/>
  <c r="L3740" i="2"/>
  <c r="K3740" i="2"/>
  <c r="J3740" i="2"/>
  <c r="L3739" i="2"/>
  <c r="K3739" i="2"/>
  <c r="J3739" i="2"/>
  <c r="L3738" i="2"/>
  <c r="K3738" i="2"/>
  <c r="J3738" i="2"/>
  <c r="L3737" i="2"/>
  <c r="K3737" i="2"/>
  <c r="J3737" i="2"/>
  <c r="L3736" i="2"/>
  <c r="K3736" i="2"/>
  <c r="J3736" i="2"/>
  <c r="L3735" i="2"/>
  <c r="K3735" i="2"/>
  <c r="J3735" i="2"/>
  <c r="L3734" i="2"/>
  <c r="K3734" i="2"/>
  <c r="J3734" i="2"/>
  <c r="L3733" i="2"/>
  <c r="K3733" i="2"/>
  <c r="J3733" i="2"/>
  <c r="L3732" i="2"/>
  <c r="K3732" i="2"/>
  <c r="J3732" i="2"/>
  <c r="L3731" i="2"/>
  <c r="K3731" i="2"/>
  <c r="J3731" i="2"/>
  <c r="L3730" i="2"/>
  <c r="K3730" i="2"/>
  <c r="J3730" i="2"/>
  <c r="L3729" i="2"/>
  <c r="K3729" i="2"/>
  <c r="J3729" i="2"/>
  <c r="L3728" i="2"/>
  <c r="K3728" i="2"/>
  <c r="J3728" i="2"/>
  <c r="L3727" i="2"/>
  <c r="K3727" i="2"/>
  <c r="J3727" i="2"/>
  <c r="L3726" i="2"/>
  <c r="K3726" i="2"/>
  <c r="J3726" i="2"/>
  <c r="L3725" i="2"/>
  <c r="K3725" i="2"/>
  <c r="J3725" i="2"/>
  <c r="L3724" i="2"/>
  <c r="K3724" i="2"/>
  <c r="J3724" i="2"/>
  <c r="L3723" i="2"/>
  <c r="K3723" i="2"/>
  <c r="J3723" i="2"/>
  <c r="L3722" i="2"/>
  <c r="K3722" i="2"/>
  <c r="J3722" i="2"/>
  <c r="L3721" i="2"/>
  <c r="K3721" i="2"/>
  <c r="J3721" i="2"/>
  <c r="L3720" i="2"/>
  <c r="K3720" i="2"/>
  <c r="J3720" i="2"/>
  <c r="L3719" i="2"/>
  <c r="K3719" i="2"/>
  <c r="J3719" i="2"/>
  <c r="L3718" i="2"/>
  <c r="K3718" i="2"/>
  <c r="J3718" i="2"/>
  <c r="L3717" i="2"/>
  <c r="K3717" i="2"/>
  <c r="J3717" i="2"/>
  <c r="L3716" i="2"/>
  <c r="K3716" i="2"/>
  <c r="J3716" i="2"/>
  <c r="L3715" i="2"/>
  <c r="K3715" i="2"/>
  <c r="J3715" i="2"/>
  <c r="L3714" i="2"/>
  <c r="K3714" i="2"/>
  <c r="J3714" i="2"/>
  <c r="L3713" i="2"/>
  <c r="K3713" i="2"/>
  <c r="J3713" i="2"/>
  <c r="L3712" i="2"/>
  <c r="K3712" i="2"/>
  <c r="J3712" i="2"/>
  <c r="L3711" i="2"/>
  <c r="K3711" i="2"/>
  <c r="J3711" i="2"/>
  <c r="L3710" i="2"/>
  <c r="K3710" i="2"/>
  <c r="J3710" i="2"/>
  <c r="L3709" i="2"/>
  <c r="K3709" i="2"/>
  <c r="J3709" i="2"/>
  <c r="L3708" i="2"/>
  <c r="K3708" i="2"/>
  <c r="J3708" i="2"/>
  <c r="L3707" i="2"/>
  <c r="K3707" i="2"/>
  <c r="J3707" i="2"/>
  <c r="L3706" i="2"/>
  <c r="K3706" i="2"/>
  <c r="J3706" i="2"/>
  <c r="L3705" i="2"/>
  <c r="K3705" i="2"/>
  <c r="J3705" i="2"/>
  <c r="L3704" i="2"/>
  <c r="K3704" i="2"/>
  <c r="J3704" i="2"/>
  <c r="L3703" i="2"/>
  <c r="K3703" i="2"/>
  <c r="J3703" i="2"/>
  <c r="L3702" i="2"/>
  <c r="K3702" i="2"/>
  <c r="J3702" i="2"/>
  <c r="L3701" i="2"/>
  <c r="K3701" i="2"/>
  <c r="J3701" i="2"/>
  <c r="L3700" i="2"/>
  <c r="K3700" i="2"/>
  <c r="J3700" i="2"/>
  <c r="L3699" i="2"/>
  <c r="K3699" i="2"/>
  <c r="J3699" i="2"/>
  <c r="L3698" i="2"/>
  <c r="K3698" i="2"/>
  <c r="J3698" i="2"/>
  <c r="L3697" i="2"/>
  <c r="K3697" i="2"/>
  <c r="J3697" i="2"/>
  <c r="L3696" i="2"/>
  <c r="K3696" i="2"/>
  <c r="J3696" i="2"/>
  <c r="L3695" i="2"/>
  <c r="K3695" i="2"/>
  <c r="J3695" i="2"/>
  <c r="L3694" i="2"/>
  <c r="K3694" i="2"/>
  <c r="J3694" i="2"/>
  <c r="L3693" i="2"/>
  <c r="K3693" i="2"/>
  <c r="J3693" i="2"/>
  <c r="L3692" i="2"/>
  <c r="K3692" i="2"/>
  <c r="J3692" i="2"/>
  <c r="L3691" i="2"/>
  <c r="K3691" i="2"/>
  <c r="J3691" i="2"/>
  <c r="L3690" i="2"/>
  <c r="K3690" i="2"/>
  <c r="J3690" i="2"/>
  <c r="L3689" i="2"/>
  <c r="K3689" i="2"/>
  <c r="J3689" i="2"/>
  <c r="L3688" i="2"/>
  <c r="K3688" i="2"/>
  <c r="J3688" i="2"/>
  <c r="L3687" i="2"/>
  <c r="K3687" i="2"/>
  <c r="J3687" i="2"/>
  <c r="L3686" i="2"/>
  <c r="K3686" i="2"/>
  <c r="J3686" i="2"/>
  <c r="L3685" i="2"/>
  <c r="K3685" i="2"/>
  <c r="J3685" i="2"/>
  <c r="L3684" i="2"/>
  <c r="K3684" i="2"/>
  <c r="J3684" i="2"/>
  <c r="L3683" i="2"/>
  <c r="K3683" i="2"/>
  <c r="J3683" i="2"/>
  <c r="L3682" i="2"/>
  <c r="K3682" i="2"/>
  <c r="J3682" i="2"/>
  <c r="L3681" i="2"/>
  <c r="K3681" i="2"/>
  <c r="J3681" i="2"/>
  <c r="L3680" i="2"/>
  <c r="K3680" i="2"/>
  <c r="J3680" i="2"/>
  <c r="L3679" i="2"/>
  <c r="K3679" i="2"/>
  <c r="J3679" i="2"/>
  <c r="L3678" i="2"/>
  <c r="K3678" i="2"/>
  <c r="J3678" i="2"/>
  <c r="L3677" i="2"/>
  <c r="K3677" i="2"/>
  <c r="J3677" i="2"/>
  <c r="L3676" i="2"/>
  <c r="K3676" i="2"/>
  <c r="J3676" i="2"/>
  <c r="L3675" i="2"/>
  <c r="K3675" i="2"/>
  <c r="J3675" i="2"/>
  <c r="L3674" i="2"/>
  <c r="K3674" i="2"/>
  <c r="J3674" i="2"/>
  <c r="L3673" i="2"/>
  <c r="K3673" i="2"/>
  <c r="J3673" i="2"/>
  <c r="L3672" i="2"/>
  <c r="K3672" i="2"/>
  <c r="J3672" i="2"/>
  <c r="L3671" i="2"/>
  <c r="K3671" i="2"/>
  <c r="J3671" i="2"/>
  <c r="L3670" i="2"/>
  <c r="K3670" i="2"/>
  <c r="J3670" i="2"/>
  <c r="L3669" i="2"/>
  <c r="K3669" i="2"/>
  <c r="J3669" i="2"/>
  <c r="L3668" i="2"/>
  <c r="K3668" i="2"/>
  <c r="J3668" i="2"/>
  <c r="L3667" i="2"/>
  <c r="K3667" i="2"/>
  <c r="J3667" i="2"/>
  <c r="L3666" i="2"/>
  <c r="K3666" i="2"/>
  <c r="J3666" i="2"/>
  <c r="L3665" i="2"/>
  <c r="K3665" i="2"/>
  <c r="J3665" i="2"/>
  <c r="L3664" i="2"/>
  <c r="K3664" i="2"/>
  <c r="J3664" i="2"/>
  <c r="L3663" i="2"/>
  <c r="K3663" i="2"/>
  <c r="J3663" i="2"/>
  <c r="L3662" i="2"/>
  <c r="K3662" i="2"/>
  <c r="J3662" i="2"/>
  <c r="L3661" i="2"/>
  <c r="K3661" i="2"/>
  <c r="J3661" i="2"/>
  <c r="L3660" i="2"/>
  <c r="K3660" i="2"/>
  <c r="J3660" i="2"/>
  <c r="L3659" i="2"/>
  <c r="K3659" i="2"/>
  <c r="J3659" i="2"/>
  <c r="L3658" i="2"/>
  <c r="K3658" i="2"/>
  <c r="J3658" i="2"/>
  <c r="L3657" i="2"/>
  <c r="K3657" i="2"/>
  <c r="J3657" i="2"/>
  <c r="L3656" i="2"/>
  <c r="K3656" i="2"/>
  <c r="J3656" i="2"/>
  <c r="L3655" i="2"/>
  <c r="K3655" i="2"/>
  <c r="J3655" i="2"/>
  <c r="L3654" i="2"/>
  <c r="K3654" i="2"/>
  <c r="J3654" i="2"/>
  <c r="L3653" i="2"/>
  <c r="K3653" i="2"/>
  <c r="J3653" i="2"/>
  <c r="L3652" i="2"/>
  <c r="K3652" i="2"/>
  <c r="J3652" i="2"/>
  <c r="L3651" i="2"/>
  <c r="K3651" i="2"/>
  <c r="J3651" i="2"/>
  <c r="L3650" i="2"/>
  <c r="K3650" i="2"/>
  <c r="J3650" i="2"/>
  <c r="L3649" i="2"/>
  <c r="K3649" i="2"/>
  <c r="J3649" i="2"/>
  <c r="L3648" i="2"/>
  <c r="K3648" i="2"/>
  <c r="J3648" i="2"/>
  <c r="L3647" i="2"/>
  <c r="K3647" i="2"/>
  <c r="J3647" i="2"/>
  <c r="L3646" i="2"/>
  <c r="K3646" i="2"/>
  <c r="J3646" i="2"/>
  <c r="L3645" i="2"/>
  <c r="K3645" i="2"/>
  <c r="J3645" i="2"/>
  <c r="L3644" i="2"/>
  <c r="K3644" i="2"/>
  <c r="J3644" i="2"/>
  <c r="L3643" i="2"/>
  <c r="K3643" i="2"/>
  <c r="J3643" i="2"/>
  <c r="L3642" i="2"/>
  <c r="K3642" i="2"/>
  <c r="J3642" i="2"/>
  <c r="L3641" i="2"/>
  <c r="K3641" i="2"/>
  <c r="J3641" i="2"/>
  <c r="L3640" i="2"/>
  <c r="K3640" i="2"/>
  <c r="J3640" i="2"/>
  <c r="L3639" i="2"/>
  <c r="K3639" i="2"/>
  <c r="J3639" i="2"/>
  <c r="L3638" i="2"/>
  <c r="K3638" i="2"/>
  <c r="J3638" i="2"/>
  <c r="L3637" i="2"/>
  <c r="K3637" i="2"/>
  <c r="J3637" i="2"/>
  <c r="L3636" i="2"/>
  <c r="K3636" i="2"/>
  <c r="J3636" i="2"/>
  <c r="L3635" i="2"/>
  <c r="K3635" i="2"/>
  <c r="J3635" i="2"/>
  <c r="L3634" i="2"/>
  <c r="K3634" i="2"/>
  <c r="J3634" i="2"/>
  <c r="L3633" i="2"/>
  <c r="K3633" i="2"/>
  <c r="J3633" i="2"/>
  <c r="L3632" i="2"/>
  <c r="K3632" i="2"/>
  <c r="J3632" i="2"/>
  <c r="L3631" i="2"/>
  <c r="K3631" i="2"/>
  <c r="J3631" i="2"/>
  <c r="L3630" i="2"/>
  <c r="K3630" i="2"/>
  <c r="J3630" i="2"/>
  <c r="L3629" i="2"/>
  <c r="K3629" i="2"/>
  <c r="J3629" i="2"/>
  <c r="L3628" i="2"/>
  <c r="K3628" i="2"/>
  <c r="J3628" i="2"/>
  <c r="L3627" i="2"/>
  <c r="K3627" i="2"/>
  <c r="J3627" i="2"/>
  <c r="L3626" i="2"/>
  <c r="K3626" i="2"/>
  <c r="J3626" i="2"/>
  <c r="L3625" i="2"/>
  <c r="K3625" i="2"/>
  <c r="J3625" i="2"/>
  <c r="L3624" i="2"/>
  <c r="K3624" i="2"/>
  <c r="J3624" i="2"/>
  <c r="L3623" i="2"/>
  <c r="K3623" i="2"/>
  <c r="J3623" i="2"/>
  <c r="L3622" i="2"/>
  <c r="K3622" i="2"/>
  <c r="J3622" i="2"/>
  <c r="L3621" i="2"/>
  <c r="K3621" i="2"/>
  <c r="J3621" i="2"/>
  <c r="L3620" i="2"/>
  <c r="K3620" i="2"/>
  <c r="J3620" i="2"/>
  <c r="L3619" i="2"/>
  <c r="K3619" i="2"/>
  <c r="J3619" i="2"/>
  <c r="L3618" i="2"/>
  <c r="K3618" i="2"/>
  <c r="J3618" i="2"/>
  <c r="L3617" i="2"/>
  <c r="K3617" i="2"/>
  <c r="J3617" i="2"/>
  <c r="L3616" i="2"/>
  <c r="K3616" i="2"/>
  <c r="J3616" i="2"/>
  <c r="L3615" i="2"/>
  <c r="K3615" i="2"/>
  <c r="J3615" i="2"/>
  <c r="L3614" i="2"/>
  <c r="K3614" i="2"/>
  <c r="J3614" i="2"/>
  <c r="L3613" i="2"/>
  <c r="K3613" i="2"/>
  <c r="J3613" i="2"/>
  <c r="L3612" i="2"/>
  <c r="K3612" i="2"/>
  <c r="J3612" i="2"/>
  <c r="L3611" i="2"/>
  <c r="K3611" i="2"/>
  <c r="J3611" i="2"/>
  <c r="L3610" i="2"/>
  <c r="K3610" i="2"/>
  <c r="J3610" i="2"/>
  <c r="L3609" i="2"/>
  <c r="K3609" i="2"/>
  <c r="J3609" i="2"/>
  <c r="L3608" i="2"/>
  <c r="K3608" i="2"/>
  <c r="J3608" i="2"/>
  <c r="L3607" i="2"/>
  <c r="K3607" i="2"/>
  <c r="J3607" i="2"/>
  <c r="L3606" i="2"/>
  <c r="K3606" i="2"/>
  <c r="J3606" i="2"/>
  <c r="L3605" i="2"/>
  <c r="K3605" i="2"/>
  <c r="J3605" i="2"/>
  <c r="L3604" i="2"/>
  <c r="K3604" i="2"/>
  <c r="J3604" i="2"/>
  <c r="L3603" i="2"/>
  <c r="K3603" i="2"/>
  <c r="J3603" i="2"/>
  <c r="L3602" i="2"/>
  <c r="K3602" i="2"/>
  <c r="J3602" i="2"/>
  <c r="L3601" i="2"/>
  <c r="K3601" i="2"/>
  <c r="J3601" i="2"/>
  <c r="L3600" i="2"/>
  <c r="K3600" i="2"/>
  <c r="J3600" i="2"/>
  <c r="L3599" i="2"/>
  <c r="K3599" i="2"/>
  <c r="J3599" i="2"/>
  <c r="L3598" i="2"/>
  <c r="K3598" i="2"/>
  <c r="J3598" i="2"/>
  <c r="L3597" i="2"/>
  <c r="K3597" i="2"/>
  <c r="J3597" i="2"/>
  <c r="L3596" i="2"/>
  <c r="K3596" i="2"/>
  <c r="J3596" i="2"/>
  <c r="L3595" i="2"/>
  <c r="K3595" i="2"/>
  <c r="J3595" i="2"/>
  <c r="L3594" i="2"/>
  <c r="K3594" i="2"/>
  <c r="J3594" i="2"/>
  <c r="L3593" i="2"/>
  <c r="K3593" i="2"/>
  <c r="J3593" i="2"/>
  <c r="L3592" i="2"/>
  <c r="K3592" i="2"/>
  <c r="J3592" i="2"/>
  <c r="L3591" i="2"/>
  <c r="K3591" i="2"/>
  <c r="J3591" i="2"/>
  <c r="L3590" i="2"/>
  <c r="K3590" i="2"/>
  <c r="J3590" i="2"/>
  <c r="L3589" i="2"/>
  <c r="K3589" i="2"/>
  <c r="J3589" i="2"/>
  <c r="L3588" i="2"/>
  <c r="K3588" i="2"/>
  <c r="J3588" i="2"/>
  <c r="L3587" i="2"/>
  <c r="K3587" i="2"/>
  <c r="J3587" i="2"/>
  <c r="L3586" i="2"/>
  <c r="K3586" i="2"/>
  <c r="J3586" i="2"/>
  <c r="L3585" i="2"/>
  <c r="K3585" i="2"/>
  <c r="J3585" i="2"/>
  <c r="L3584" i="2"/>
  <c r="K3584" i="2"/>
  <c r="J3584" i="2"/>
  <c r="L3583" i="2"/>
  <c r="K3583" i="2"/>
  <c r="J3583" i="2"/>
  <c r="L3582" i="2"/>
  <c r="K3582" i="2"/>
  <c r="J3582" i="2"/>
  <c r="L3581" i="2"/>
  <c r="K3581" i="2"/>
  <c r="J3581" i="2"/>
  <c r="L3580" i="2"/>
  <c r="K3580" i="2"/>
  <c r="J3580" i="2"/>
  <c r="L3579" i="2"/>
  <c r="K3579" i="2"/>
  <c r="J3579" i="2"/>
  <c r="L3578" i="2"/>
  <c r="K3578" i="2"/>
  <c r="J3578" i="2"/>
  <c r="L3577" i="2"/>
  <c r="K3577" i="2"/>
  <c r="J3577" i="2"/>
  <c r="L3576" i="2"/>
  <c r="K3576" i="2"/>
  <c r="J3576" i="2"/>
  <c r="L3575" i="2"/>
  <c r="K3575" i="2"/>
  <c r="J3575" i="2"/>
  <c r="L3574" i="2"/>
  <c r="K3574" i="2"/>
  <c r="J3574" i="2"/>
  <c r="L3573" i="2"/>
  <c r="K3573" i="2"/>
  <c r="J3573" i="2"/>
  <c r="L3572" i="2"/>
  <c r="K3572" i="2"/>
  <c r="J3572" i="2"/>
  <c r="L3571" i="2"/>
  <c r="K3571" i="2"/>
  <c r="J3571" i="2"/>
  <c r="L3570" i="2"/>
  <c r="K3570" i="2"/>
  <c r="J3570" i="2"/>
  <c r="L3569" i="2"/>
  <c r="K3569" i="2"/>
  <c r="J3569" i="2"/>
  <c r="L3568" i="2"/>
  <c r="K3568" i="2"/>
  <c r="J3568" i="2"/>
  <c r="L3567" i="2"/>
  <c r="K3567" i="2"/>
  <c r="J3567" i="2"/>
  <c r="L3566" i="2"/>
  <c r="K3566" i="2"/>
  <c r="J3566" i="2"/>
  <c r="L3565" i="2"/>
  <c r="K3565" i="2"/>
  <c r="J3565" i="2"/>
  <c r="L3564" i="2"/>
  <c r="K3564" i="2"/>
  <c r="J3564" i="2"/>
  <c r="L3563" i="2"/>
  <c r="K3563" i="2"/>
  <c r="J3563" i="2"/>
  <c r="L3562" i="2"/>
  <c r="K3562" i="2"/>
  <c r="J3562" i="2"/>
  <c r="L3561" i="2"/>
  <c r="K3561" i="2"/>
  <c r="J3561" i="2"/>
  <c r="L3560" i="2"/>
  <c r="K3560" i="2"/>
  <c r="J3560" i="2"/>
  <c r="L3559" i="2"/>
  <c r="K3559" i="2"/>
  <c r="J3559" i="2"/>
  <c r="L3558" i="2"/>
  <c r="K3558" i="2"/>
  <c r="J3558" i="2"/>
  <c r="L3557" i="2"/>
  <c r="K3557" i="2"/>
  <c r="J3557" i="2"/>
  <c r="L3556" i="2"/>
  <c r="K3556" i="2"/>
  <c r="J3556" i="2"/>
  <c r="L3555" i="2"/>
  <c r="K3555" i="2"/>
  <c r="J3555" i="2"/>
  <c r="L3554" i="2"/>
  <c r="K3554" i="2"/>
  <c r="J3554" i="2"/>
  <c r="L3553" i="2"/>
  <c r="K3553" i="2"/>
  <c r="J3553" i="2"/>
  <c r="L3552" i="2"/>
  <c r="K3552" i="2"/>
  <c r="J3552" i="2"/>
  <c r="L3551" i="2"/>
  <c r="K3551" i="2"/>
  <c r="J3551" i="2"/>
  <c r="L3550" i="2"/>
  <c r="K3550" i="2"/>
  <c r="J3550" i="2"/>
  <c r="L3549" i="2"/>
  <c r="K3549" i="2"/>
  <c r="J3549" i="2"/>
  <c r="L3548" i="2"/>
  <c r="K3548" i="2"/>
  <c r="J3548" i="2"/>
  <c r="L3547" i="2"/>
  <c r="K3547" i="2"/>
  <c r="J3547" i="2"/>
  <c r="L3546" i="2"/>
  <c r="K3546" i="2"/>
  <c r="J3546" i="2"/>
  <c r="L3545" i="2"/>
  <c r="K3545" i="2"/>
  <c r="J3545" i="2"/>
  <c r="L3544" i="2"/>
  <c r="K3544" i="2"/>
  <c r="J3544" i="2"/>
  <c r="L3543" i="2"/>
  <c r="K3543" i="2"/>
  <c r="J3543" i="2"/>
  <c r="L3542" i="2"/>
  <c r="K3542" i="2"/>
  <c r="J3542" i="2"/>
  <c r="L3541" i="2"/>
  <c r="K3541" i="2"/>
  <c r="J3541" i="2"/>
  <c r="L3540" i="2"/>
  <c r="K3540" i="2"/>
  <c r="J3540" i="2"/>
  <c r="L3539" i="2"/>
  <c r="K3539" i="2"/>
  <c r="J3539" i="2"/>
  <c r="L3538" i="2"/>
  <c r="K3538" i="2"/>
  <c r="J3538" i="2"/>
  <c r="L3537" i="2"/>
  <c r="K3537" i="2"/>
  <c r="J3537" i="2"/>
  <c r="L3536" i="2"/>
  <c r="K3536" i="2"/>
  <c r="J3536" i="2"/>
  <c r="L3535" i="2"/>
  <c r="K3535" i="2"/>
  <c r="J3535" i="2"/>
  <c r="L3534" i="2"/>
  <c r="K3534" i="2"/>
  <c r="J3534" i="2"/>
  <c r="L3533" i="2"/>
  <c r="K3533" i="2"/>
  <c r="J3533" i="2"/>
  <c r="L3532" i="2"/>
  <c r="K3532" i="2"/>
  <c r="J3532" i="2"/>
  <c r="L3531" i="2"/>
  <c r="K3531" i="2"/>
  <c r="J3531" i="2"/>
  <c r="L3530" i="2"/>
  <c r="K3530" i="2"/>
  <c r="J3530" i="2"/>
  <c r="L3529" i="2"/>
  <c r="K3529" i="2"/>
  <c r="J3529" i="2"/>
  <c r="L3528" i="2"/>
  <c r="K3528" i="2"/>
  <c r="J3528" i="2"/>
  <c r="L3527" i="2"/>
  <c r="K3527" i="2"/>
  <c r="J3527" i="2"/>
  <c r="L3526" i="2"/>
  <c r="K3526" i="2"/>
  <c r="J3526" i="2"/>
  <c r="L3525" i="2"/>
  <c r="K3525" i="2"/>
  <c r="J3525" i="2"/>
  <c r="L3524" i="2"/>
  <c r="K3524" i="2"/>
  <c r="J3524" i="2"/>
  <c r="L3523" i="2"/>
  <c r="K3523" i="2"/>
  <c r="J3523" i="2"/>
  <c r="L3522" i="2"/>
  <c r="K3522" i="2"/>
  <c r="J3522" i="2"/>
  <c r="L3521" i="2"/>
  <c r="K3521" i="2"/>
  <c r="J3521" i="2"/>
  <c r="L3520" i="2"/>
  <c r="K3520" i="2"/>
  <c r="J3520" i="2"/>
  <c r="L3519" i="2"/>
  <c r="K3519" i="2"/>
  <c r="J3519" i="2"/>
  <c r="L3518" i="2"/>
  <c r="K3518" i="2"/>
  <c r="J3518" i="2"/>
  <c r="L3517" i="2"/>
  <c r="K3517" i="2"/>
  <c r="J3517" i="2"/>
  <c r="L3516" i="2"/>
  <c r="K3516" i="2"/>
  <c r="J3516" i="2"/>
  <c r="L3515" i="2"/>
  <c r="K3515" i="2"/>
  <c r="J3515" i="2"/>
  <c r="L3514" i="2"/>
  <c r="K3514" i="2"/>
  <c r="J3514" i="2"/>
  <c r="L3513" i="2"/>
  <c r="K3513" i="2"/>
  <c r="J3513" i="2"/>
  <c r="L3512" i="2"/>
  <c r="K3512" i="2"/>
  <c r="J3512" i="2"/>
  <c r="L3511" i="2"/>
  <c r="K3511" i="2"/>
  <c r="J3511" i="2"/>
  <c r="L3510" i="2"/>
  <c r="K3510" i="2"/>
  <c r="J3510" i="2"/>
  <c r="L3509" i="2"/>
  <c r="K3509" i="2"/>
  <c r="J3509" i="2"/>
  <c r="L3508" i="2"/>
  <c r="K3508" i="2"/>
  <c r="J3508" i="2"/>
  <c r="L3507" i="2"/>
  <c r="K3507" i="2"/>
  <c r="J3507" i="2"/>
  <c r="L3506" i="2"/>
  <c r="K3506" i="2"/>
  <c r="J3506" i="2"/>
  <c r="L3505" i="2"/>
  <c r="K3505" i="2"/>
  <c r="J3505" i="2"/>
  <c r="L3504" i="2"/>
  <c r="K3504" i="2"/>
  <c r="J3504" i="2"/>
  <c r="L3503" i="2"/>
  <c r="K3503" i="2"/>
  <c r="J3503" i="2"/>
  <c r="L3502" i="2"/>
  <c r="K3502" i="2"/>
  <c r="J3502" i="2"/>
  <c r="L3501" i="2"/>
  <c r="K3501" i="2"/>
  <c r="J3501" i="2"/>
  <c r="L3500" i="2"/>
  <c r="K3500" i="2"/>
  <c r="J3500" i="2"/>
  <c r="L3499" i="2"/>
  <c r="K3499" i="2"/>
  <c r="J3499" i="2"/>
  <c r="L3498" i="2"/>
  <c r="K3498" i="2"/>
  <c r="J3498" i="2"/>
  <c r="L3497" i="2"/>
  <c r="K3497" i="2"/>
  <c r="J3497" i="2"/>
  <c r="L3496" i="2"/>
  <c r="K3496" i="2"/>
  <c r="J3496" i="2"/>
  <c r="L3495" i="2"/>
  <c r="K3495" i="2"/>
  <c r="J3495" i="2"/>
  <c r="L3494" i="2"/>
  <c r="K3494" i="2"/>
  <c r="J3494" i="2"/>
  <c r="L3493" i="2"/>
  <c r="K3493" i="2"/>
  <c r="J3493" i="2"/>
  <c r="L3492" i="2"/>
  <c r="K3492" i="2"/>
  <c r="J3492" i="2"/>
  <c r="L3491" i="2"/>
  <c r="K3491" i="2"/>
  <c r="J3491" i="2"/>
  <c r="L3490" i="2"/>
  <c r="K3490" i="2"/>
  <c r="J3490" i="2"/>
  <c r="L3489" i="2"/>
  <c r="K3489" i="2"/>
  <c r="J3489" i="2"/>
  <c r="L3488" i="2"/>
  <c r="K3488" i="2"/>
  <c r="J3488" i="2"/>
  <c r="L3487" i="2"/>
  <c r="K3487" i="2"/>
  <c r="J3487" i="2"/>
  <c r="L3486" i="2"/>
  <c r="K3486" i="2"/>
  <c r="J3486" i="2"/>
  <c r="L3485" i="2"/>
  <c r="K3485" i="2"/>
  <c r="J3485" i="2"/>
  <c r="L3484" i="2"/>
  <c r="K3484" i="2"/>
  <c r="J3484" i="2"/>
  <c r="L3483" i="2"/>
  <c r="K3483" i="2"/>
  <c r="J3483" i="2"/>
  <c r="L3482" i="2"/>
  <c r="K3482" i="2"/>
  <c r="J3482" i="2"/>
  <c r="L3481" i="2"/>
  <c r="K3481" i="2"/>
  <c r="J3481" i="2"/>
  <c r="L3480" i="2"/>
  <c r="K3480" i="2"/>
  <c r="J3480" i="2"/>
  <c r="L3479" i="2"/>
  <c r="K3479" i="2"/>
  <c r="J3479" i="2"/>
  <c r="L3478" i="2"/>
  <c r="K3478" i="2"/>
  <c r="J3478" i="2"/>
  <c r="L3477" i="2"/>
  <c r="K3477" i="2"/>
  <c r="J3477" i="2"/>
  <c r="L3476" i="2"/>
  <c r="K3476" i="2"/>
  <c r="J3476" i="2"/>
  <c r="L3475" i="2"/>
  <c r="K3475" i="2"/>
  <c r="J3475" i="2"/>
  <c r="L3474" i="2"/>
  <c r="K3474" i="2"/>
  <c r="J3474" i="2"/>
  <c r="L3473" i="2"/>
  <c r="K3473" i="2"/>
  <c r="J3473" i="2"/>
  <c r="L3472" i="2"/>
  <c r="K3472" i="2"/>
  <c r="J3472" i="2"/>
  <c r="L3471" i="2"/>
  <c r="K3471" i="2"/>
  <c r="J3471" i="2"/>
  <c r="L3470" i="2"/>
  <c r="K3470" i="2"/>
  <c r="J3470" i="2"/>
  <c r="L3469" i="2"/>
  <c r="K3469" i="2"/>
  <c r="J3469" i="2"/>
  <c r="L3468" i="2"/>
  <c r="K3468" i="2"/>
  <c r="J3468" i="2"/>
  <c r="L3467" i="2"/>
  <c r="K3467" i="2"/>
  <c r="J3467" i="2"/>
  <c r="L3466" i="2"/>
  <c r="K3466" i="2"/>
  <c r="J3466" i="2"/>
  <c r="L3465" i="2"/>
  <c r="K3465" i="2"/>
  <c r="J3465" i="2"/>
  <c r="L3464" i="2"/>
  <c r="K3464" i="2"/>
  <c r="J3464" i="2"/>
  <c r="L3463" i="2"/>
  <c r="K3463" i="2"/>
  <c r="J3463" i="2"/>
  <c r="L3462" i="2"/>
  <c r="K3462" i="2"/>
  <c r="J3462" i="2"/>
  <c r="L3461" i="2"/>
  <c r="K3461" i="2"/>
  <c r="J3461" i="2"/>
  <c r="L3460" i="2"/>
  <c r="K3460" i="2"/>
  <c r="J3460" i="2"/>
  <c r="L3459" i="2"/>
  <c r="K3459" i="2"/>
  <c r="J3459" i="2"/>
  <c r="L3458" i="2"/>
  <c r="K3458" i="2"/>
  <c r="J3458" i="2"/>
  <c r="L3457" i="2"/>
  <c r="K3457" i="2"/>
  <c r="J3457" i="2"/>
  <c r="L3456" i="2"/>
  <c r="K3456" i="2"/>
  <c r="J3456" i="2"/>
  <c r="L3455" i="2"/>
  <c r="K3455" i="2"/>
  <c r="J3455" i="2"/>
  <c r="L3454" i="2"/>
  <c r="K3454" i="2"/>
  <c r="J3454" i="2"/>
  <c r="L3453" i="2"/>
  <c r="K3453" i="2"/>
  <c r="J3453" i="2"/>
  <c r="L3452" i="2"/>
  <c r="K3452" i="2"/>
  <c r="J3452" i="2"/>
  <c r="L3451" i="2"/>
  <c r="K3451" i="2"/>
  <c r="J3451" i="2"/>
  <c r="L3450" i="2"/>
  <c r="K3450" i="2"/>
  <c r="J3450" i="2"/>
  <c r="L3449" i="2"/>
  <c r="K3449" i="2"/>
  <c r="J3449" i="2"/>
  <c r="L3448" i="2"/>
  <c r="K3448" i="2"/>
  <c r="J3448" i="2"/>
  <c r="L3447" i="2"/>
  <c r="K3447" i="2"/>
  <c r="J3447" i="2"/>
  <c r="L3446" i="2"/>
  <c r="K3446" i="2"/>
  <c r="J3446" i="2"/>
  <c r="L3445" i="2"/>
  <c r="K3445" i="2"/>
  <c r="J3445" i="2"/>
  <c r="L3444" i="2"/>
  <c r="K3444" i="2"/>
  <c r="J3444" i="2"/>
  <c r="L3443" i="2"/>
  <c r="K3443" i="2"/>
  <c r="J3443" i="2"/>
  <c r="L3442" i="2"/>
  <c r="K3442" i="2"/>
  <c r="J3442" i="2"/>
  <c r="L3441" i="2"/>
  <c r="K3441" i="2"/>
  <c r="J3441" i="2"/>
  <c r="L3440" i="2"/>
  <c r="K3440" i="2"/>
  <c r="J3440" i="2"/>
  <c r="L3439" i="2"/>
  <c r="K3439" i="2"/>
  <c r="J3439" i="2"/>
  <c r="L3438" i="2"/>
  <c r="K3438" i="2"/>
  <c r="J3438" i="2"/>
  <c r="L3437" i="2"/>
  <c r="K3437" i="2"/>
  <c r="J3437" i="2"/>
  <c r="L3436" i="2"/>
  <c r="K3436" i="2"/>
  <c r="J3436" i="2"/>
  <c r="L3435" i="2"/>
  <c r="K3435" i="2"/>
  <c r="J3435" i="2"/>
  <c r="L3434" i="2"/>
  <c r="K3434" i="2"/>
  <c r="J3434" i="2"/>
  <c r="L3433" i="2"/>
  <c r="K3433" i="2"/>
  <c r="J3433" i="2"/>
  <c r="L3432" i="2"/>
  <c r="K3432" i="2"/>
  <c r="J3432" i="2"/>
  <c r="L3431" i="2"/>
  <c r="K3431" i="2"/>
  <c r="J3431" i="2"/>
  <c r="L3430" i="2"/>
  <c r="K3430" i="2"/>
  <c r="J3430" i="2"/>
  <c r="L3429" i="2"/>
  <c r="K3429" i="2"/>
  <c r="J3429" i="2"/>
  <c r="L3428" i="2"/>
  <c r="K3428" i="2"/>
  <c r="J3428" i="2"/>
  <c r="L3427" i="2"/>
  <c r="K3427" i="2"/>
  <c r="J3427" i="2"/>
  <c r="L3426" i="2"/>
  <c r="K3426" i="2"/>
  <c r="J3426" i="2"/>
  <c r="L3425" i="2"/>
  <c r="K3425" i="2"/>
  <c r="J3425" i="2"/>
  <c r="L3424" i="2"/>
  <c r="K3424" i="2"/>
  <c r="J3424" i="2"/>
  <c r="L3423" i="2"/>
  <c r="K3423" i="2"/>
  <c r="J3423" i="2"/>
  <c r="L3422" i="2"/>
  <c r="K3422" i="2"/>
  <c r="J3422" i="2"/>
  <c r="L3421" i="2"/>
  <c r="K3421" i="2"/>
  <c r="J3421" i="2"/>
  <c r="L3420" i="2"/>
  <c r="K3420" i="2"/>
  <c r="J3420" i="2"/>
  <c r="L3419" i="2"/>
  <c r="K3419" i="2"/>
  <c r="J3419" i="2"/>
  <c r="L3418" i="2"/>
  <c r="K3418" i="2"/>
  <c r="J3418" i="2"/>
  <c r="L3417" i="2"/>
  <c r="K3417" i="2"/>
  <c r="J3417" i="2"/>
  <c r="L3416" i="2"/>
  <c r="K3416" i="2"/>
  <c r="J3416" i="2"/>
  <c r="L3415" i="2"/>
  <c r="K3415" i="2"/>
  <c r="J3415" i="2"/>
  <c r="L3414" i="2"/>
  <c r="K3414" i="2"/>
  <c r="J3414" i="2"/>
  <c r="L3413" i="2"/>
  <c r="K3413" i="2"/>
  <c r="J3413" i="2"/>
  <c r="L3412" i="2"/>
  <c r="K3412" i="2"/>
  <c r="J3412" i="2"/>
  <c r="L3411" i="2"/>
  <c r="K3411" i="2"/>
  <c r="J3411" i="2"/>
  <c r="L3410" i="2"/>
  <c r="K3410" i="2"/>
  <c r="J3410" i="2"/>
  <c r="L3409" i="2"/>
  <c r="K3409" i="2"/>
  <c r="J3409" i="2"/>
  <c r="L3408" i="2"/>
  <c r="K3408" i="2"/>
  <c r="J3408" i="2"/>
  <c r="L3407" i="2"/>
  <c r="K3407" i="2"/>
  <c r="J3407" i="2"/>
  <c r="L3406" i="2"/>
  <c r="K3406" i="2"/>
  <c r="J3406" i="2"/>
  <c r="L3405" i="2"/>
  <c r="K3405" i="2"/>
  <c r="J3405" i="2"/>
  <c r="L3404" i="2"/>
  <c r="K3404" i="2"/>
  <c r="J3404" i="2"/>
  <c r="L3403" i="2"/>
  <c r="K3403" i="2"/>
  <c r="J3403" i="2"/>
  <c r="L3402" i="2"/>
  <c r="K3402" i="2"/>
  <c r="J3402" i="2"/>
  <c r="L3401" i="2"/>
  <c r="K3401" i="2"/>
  <c r="J3401" i="2"/>
  <c r="L3400" i="2"/>
  <c r="K3400" i="2"/>
  <c r="J3400" i="2"/>
  <c r="L3399" i="2"/>
  <c r="K3399" i="2"/>
  <c r="J3399" i="2"/>
  <c r="L3398" i="2"/>
  <c r="K3398" i="2"/>
  <c r="J3398" i="2"/>
  <c r="L3397" i="2"/>
  <c r="K3397" i="2"/>
  <c r="J3397" i="2"/>
  <c r="L3396" i="2"/>
  <c r="K3396" i="2"/>
  <c r="J3396" i="2"/>
  <c r="L3395" i="2"/>
  <c r="K3395" i="2"/>
  <c r="J3395" i="2"/>
  <c r="L3394" i="2"/>
  <c r="K3394" i="2"/>
  <c r="J3394" i="2"/>
  <c r="L3393" i="2"/>
  <c r="K3393" i="2"/>
  <c r="J3393" i="2"/>
  <c r="L3392" i="2"/>
  <c r="K3392" i="2"/>
  <c r="J3392" i="2"/>
  <c r="L3391" i="2"/>
  <c r="K3391" i="2"/>
  <c r="J3391" i="2"/>
  <c r="L3390" i="2"/>
  <c r="K3390" i="2"/>
  <c r="J3390" i="2"/>
  <c r="L3389" i="2"/>
  <c r="K3389" i="2"/>
  <c r="J3389" i="2"/>
  <c r="L3388" i="2"/>
  <c r="K3388" i="2"/>
  <c r="J3388" i="2"/>
  <c r="L3387" i="2"/>
  <c r="K3387" i="2"/>
  <c r="J3387" i="2"/>
  <c r="L3386" i="2"/>
  <c r="K3386" i="2"/>
  <c r="J3386" i="2"/>
  <c r="L3385" i="2"/>
  <c r="K3385" i="2"/>
  <c r="J3385" i="2"/>
  <c r="L3384" i="2"/>
  <c r="K3384" i="2"/>
  <c r="J3384" i="2"/>
  <c r="L3383" i="2"/>
  <c r="K3383" i="2"/>
  <c r="J3383" i="2"/>
  <c r="L3382" i="2"/>
  <c r="K3382" i="2"/>
  <c r="J3382" i="2"/>
  <c r="L3381" i="2"/>
  <c r="K3381" i="2"/>
  <c r="J3381" i="2"/>
  <c r="L3380" i="2"/>
  <c r="K3380" i="2"/>
  <c r="J3380" i="2"/>
  <c r="L3379" i="2"/>
  <c r="K3379" i="2"/>
  <c r="J3379" i="2"/>
  <c r="L3378" i="2"/>
  <c r="K3378" i="2"/>
  <c r="J3378" i="2"/>
  <c r="L3377" i="2"/>
  <c r="K3377" i="2"/>
  <c r="J3377" i="2"/>
  <c r="L3376" i="2"/>
  <c r="K3376" i="2"/>
  <c r="J3376" i="2"/>
  <c r="L3375" i="2"/>
  <c r="K3375" i="2"/>
  <c r="J3375" i="2"/>
  <c r="L3374" i="2"/>
  <c r="K3374" i="2"/>
  <c r="J3374" i="2"/>
  <c r="L3373" i="2"/>
  <c r="K3373" i="2"/>
  <c r="J3373" i="2"/>
  <c r="L3372" i="2"/>
  <c r="K3372" i="2"/>
  <c r="J3372" i="2"/>
  <c r="L3371" i="2"/>
  <c r="K3371" i="2"/>
  <c r="J3371" i="2"/>
  <c r="L3370" i="2"/>
  <c r="K3370" i="2"/>
  <c r="J3370" i="2"/>
  <c r="L3369" i="2"/>
  <c r="K3369" i="2"/>
  <c r="J3369" i="2"/>
  <c r="L3368" i="2"/>
  <c r="K3368" i="2"/>
  <c r="J3368" i="2"/>
  <c r="L3367" i="2"/>
  <c r="K3367" i="2"/>
  <c r="J3367" i="2"/>
  <c r="L3366" i="2"/>
  <c r="K3366" i="2"/>
  <c r="J3366" i="2"/>
  <c r="L3365" i="2"/>
  <c r="K3365" i="2"/>
  <c r="J3365" i="2"/>
  <c r="L3364" i="2"/>
  <c r="K3364" i="2"/>
  <c r="J3364" i="2"/>
  <c r="L3363" i="2"/>
  <c r="K3363" i="2"/>
  <c r="J3363" i="2"/>
  <c r="L3362" i="2"/>
  <c r="K3362" i="2"/>
  <c r="J3362" i="2"/>
  <c r="L3361" i="2"/>
  <c r="K3361" i="2"/>
  <c r="J3361" i="2"/>
  <c r="L3360" i="2"/>
  <c r="K3360" i="2"/>
  <c r="J3360" i="2"/>
  <c r="L3359" i="2"/>
  <c r="K3359" i="2"/>
  <c r="J3359" i="2"/>
  <c r="L3358" i="2"/>
  <c r="K3358" i="2"/>
  <c r="J3358" i="2"/>
  <c r="L3357" i="2"/>
  <c r="K3357" i="2"/>
  <c r="J3357" i="2"/>
  <c r="L3356" i="2"/>
  <c r="K3356" i="2"/>
  <c r="J3356" i="2"/>
  <c r="L3355" i="2"/>
  <c r="K3355" i="2"/>
  <c r="J3355" i="2"/>
  <c r="L3354" i="2"/>
  <c r="K3354" i="2"/>
  <c r="J3354" i="2"/>
  <c r="L3353" i="2"/>
  <c r="K3353" i="2"/>
  <c r="J3353" i="2"/>
  <c r="L3352" i="2"/>
  <c r="K3352" i="2"/>
  <c r="J3352" i="2"/>
  <c r="L3351" i="2"/>
  <c r="K3351" i="2"/>
  <c r="J3351" i="2"/>
  <c r="L3350" i="2"/>
  <c r="K3350" i="2"/>
  <c r="J3350" i="2"/>
  <c r="L3349" i="2"/>
  <c r="K3349" i="2"/>
  <c r="J3349" i="2"/>
  <c r="L3348" i="2"/>
  <c r="K3348" i="2"/>
  <c r="J3348" i="2"/>
  <c r="L3347" i="2"/>
  <c r="K3347" i="2"/>
  <c r="J3347" i="2"/>
  <c r="L3346" i="2"/>
  <c r="K3346" i="2"/>
  <c r="J3346" i="2"/>
  <c r="L3345" i="2"/>
  <c r="K3345" i="2"/>
  <c r="J3345" i="2"/>
  <c r="L3344" i="2"/>
  <c r="K3344" i="2"/>
  <c r="J3344" i="2"/>
  <c r="L3343" i="2"/>
  <c r="K3343" i="2"/>
  <c r="J3343" i="2"/>
  <c r="L3342" i="2"/>
  <c r="K3342" i="2"/>
  <c r="J3342" i="2"/>
  <c r="L3341" i="2"/>
  <c r="K3341" i="2"/>
  <c r="J3341" i="2"/>
  <c r="L3340" i="2"/>
  <c r="K3340" i="2"/>
  <c r="J3340" i="2"/>
  <c r="L3339" i="2"/>
  <c r="K3339" i="2"/>
  <c r="J3339" i="2"/>
  <c r="L3338" i="2"/>
  <c r="K3338" i="2"/>
  <c r="J3338" i="2"/>
  <c r="L3337" i="2"/>
  <c r="K3337" i="2"/>
  <c r="J3337" i="2"/>
  <c r="L3336" i="2"/>
  <c r="K3336" i="2"/>
  <c r="J3336" i="2"/>
  <c r="L3335" i="2"/>
  <c r="K3335" i="2"/>
  <c r="J3335" i="2"/>
  <c r="L3334" i="2"/>
  <c r="K3334" i="2"/>
  <c r="J3334" i="2"/>
  <c r="L3333" i="2"/>
  <c r="K3333" i="2"/>
  <c r="J3333" i="2"/>
  <c r="L3332" i="2"/>
  <c r="K3332" i="2"/>
  <c r="J3332" i="2"/>
  <c r="L3331" i="2"/>
  <c r="K3331" i="2"/>
  <c r="J3331" i="2"/>
  <c r="L3330" i="2"/>
  <c r="K3330" i="2"/>
  <c r="J3330" i="2"/>
  <c r="L3329" i="2"/>
  <c r="K3329" i="2"/>
  <c r="J3329" i="2"/>
  <c r="L3328" i="2"/>
  <c r="K3328" i="2"/>
  <c r="J3328" i="2"/>
  <c r="L3327" i="2"/>
  <c r="K3327" i="2"/>
  <c r="J3327" i="2"/>
  <c r="L3326" i="2"/>
  <c r="K3326" i="2"/>
  <c r="J3326" i="2"/>
  <c r="L3325" i="2"/>
  <c r="K3325" i="2"/>
  <c r="J3325" i="2"/>
  <c r="L3324" i="2"/>
  <c r="K3324" i="2"/>
  <c r="J3324" i="2"/>
  <c r="L3323" i="2"/>
  <c r="K3323" i="2"/>
  <c r="J3323" i="2"/>
  <c r="L3322" i="2"/>
  <c r="K3322" i="2"/>
  <c r="J3322" i="2"/>
  <c r="L3321" i="2"/>
  <c r="K3321" i="2"/>
  <c r="J3321" i="2"/>
  <c r="L3320" i="2"/>
  <c r="K3320" i="2"/>
  <c r="J3320" i="2"/>
  <c r="L3319" i="2"/>
  <c r="K3319" i="2"/>
  <c r="J3319" i="2"/>
  <c r="L3318" i="2"/>
  <c r="K3318" i="2"/>
  <c r="J3318" i="2"/>
  <c r="L3317" i="2"/>
  <c r="K3317" i="2"/>
  <c r="J3317" i="2"/>
  <c r="L3316" i="2"/>
  <c r="K3316" i="2"/>
  <c r="J3316" i="2"/>
  <c r="L3315" i="2"/>
  <c r="K3315" i="2"/>
  <c r="J3315" i="2"/>
  <c r="L3314" i="2"/>
  <c r="K3314" i="2"/>
  <c r="J3314" i="2"/>
  <c r="L3313" i="2"/>
  <c r="K3313" i="2"/>
  <c r="J3313" i="2"/>
  <c r="L3312" i="2"/>
  <c r="K3312" i="2"/>
  <c r="J3312" i="2"/>
  <c r="L3311" i="2"/>
  <c r="K3311" i="2"/>
  <c r="J3311" i="2"/>
  <c r="L3310" i="2"/>
  <c r="K3310" i="2"/>
  <c r="J3310" i="2"/>
  <c r="L3309" i="2"/>
  <c r="K3309" i="2"/>
  <c r="J3309" i="2"/>
  <c r="L3308" i="2"/>
  <c r="K3308" i="2"/>
  <c r="J3308" i="2"/>
  <c r="L3307" i="2"/>
  <c r="K3307" i="2"/>
  <c r="J3307" i="2"/>
  <c r="L3306" i="2"/>
  <c r="K3306" i="2"/>
  <c r="J3306" i="2"/>
  <c r="L3305" i="2"/>
  <c r="K3305" i="2"/>
  <c r="J3305" i="2"/>
  <c r="L3304" i="2"/>
  <c r="K3304" i="2"/>
  <c r="J3304" i="2"/>
  <c r="L3303" i="2"/>
  <c r="K3303" i="2"/>
  <c r="J3303" i="2"/>
  <c r="L3302" i="2"/>
  <c r="K3302" i="2"/>
  <c r="J3302" i="2"/>
  <c r="L3301" i="2"/>
  <c r="K3301" i="2"/>
  <c r="J3301" i="2"/>
  <c r="L3300" i="2"/>
  <c r="K3300" i="2"/>
  <c r="J3300" i="2"/>
  <c r="L3299" i="2"/>
  <c r="K3299" i="2"/>
  <c r="J3299" i="2"/>
  <c r="L3298" i="2"/>
  <c r="K3298" i="2"/>
  <c r="J3298" i="2"/>
  <c r="L3297" i="2"/>
  <c r="K3297" i="2"/>
  <c r="J3297" i="2"/>
  <c r="L3296" i="2"/>
  <c r="K3296" i="2"/>
  <c r="J3296" i="2"/>
  <c r="L3295" i="2"/>
  <c r="K3295" i="2"/>
  <c r="J3295" i="2"/>
  <c r="L3294" i="2"/>
  <c r="K3294" i="2"/>
  <c r="J3294" i="2"/>
  <c r="L3293" i="2"/>
  <c r="K3293" i="2"/>
  <c r="J3293" i="2"/>
  <c r="L3292" i="2"/>
  <c r="K3292" i="2"/>
  <c r="J3292" i="2"/>
  <c r="L3291" i="2"/>
  <c r="K3291" i="2"/>
  <c r="J3291" i="2"/>
  <c r="L3290" i="2"/>
  <c r="K3290" i="2"/>
  <c r="J3290" i="2"/>
  <c r="L3289" i="2"/>
  <c r="K3289" i="2"/>
  <c r="J3289" i="2"/>
  <c r="L3288" i="2"/>
  <c r="K3288" i="2"/>
  <c r="J3288" i="2"/>
  <c r="L3287" i="2"/>
  <c r="K3287" i="2"/>
  <c r="J3287" i="2"/>
  <c r="L3286" i="2"/>
  <c r="K3286" i="2"/>
  <c r="J3286" i="2"/>
  <c r="L3285" i="2"/>
  <c r="K3285" i="2"/>
  <c r="J3285" i="2"/>
  <c r="L3284" i="2"/>
  <c r="K3284" i="2"/>
  <c r="J3284" i="2"/>
  <c r="L3283" i="2"/>
  <c r="K3283" i="2"/>
  <c r="J3283" i="2"/>
  <c r="L3282" i="2"/>
  <c r="K3282" i="2"/>
  <c r="J3282" i="2"/>
  <c r="L3281" i="2"/>
  <c r="K3281" i="2"/>
  <c r="J3281" i="2"/>
  <c r="L3280" i="2"/>
  <c r="K3280" i="2"/>
  <c r="J3280" i="2"/>
  <c r="L3279" i="2"/>
  <c r="K3279" i="2"/>
  <c r="J3279" i="2"/>
  <c r="L3278" i="2"/>
  <c r="K3278" i="2"/>
  <c r="J3278" i="2"/>
  <c r="L3277" i="2"/>
  <c r="K3277" i="2"/>
  <c r="J3277" i="2"/>
  <c r="L3276" i="2"/>
  <c r="K3276" i="2"/>
  <c r="J3276" i="2"/>
  <c r="L3275" i="2"/>
  <c r="K3275" i="2"/>
  <c r="J3275" i="2"/>
  <c r="L3274" i="2"/>
  <c r="K3274" i="2"/>
  <c r="J3274" i="2"/>
  <c r="L3273" i="2"/>
  <c r="K3273" i="2"/>
  <c r="J3273" i="2"/>
  <c r="L3272" i="2"/>
  <c r="K3272" i="2"/>
  <c r="J3272" i="2"/>
  <c r="L3271" i="2"/>
  <c r="K3271" i="2"/>
  <c r="J3271" i="2"/>
  <c r="L3270" i="2"/>
  <c r="K3270" i="2"/>
  <c r="J3270" i="2"/>
  <c r="L3269" i="2"/>
  <c r="K3269" i="2"/>
  <c r="J3269" i="2"/>
  <c r="L3268" i="2"/>
  <c r="K3268" i="2"/>
  <c r="J3268" i="2"/>
  <c r="L3267" i="2"/>
  <c r="K3267" i="2"/>
  <c r="J3267" i="2"/>
  <c r="L3266" i="2"/>
  <c r="K3266" i="2"/>
  <c r="J3266" i="2"/>
  <c r="L3265" i="2"/>
  <c r="K3265" i="2"/>
  <c r="J3265" i="2"/>
  <c r="L3264" i="2"/>
  <c r="K3264" i="2"/>
  <c r="J3264" i="2"/>
  <c r="L3263" i="2"/>
  <c r="K3263" i="2"/>
  <c r="J3263" i="2"/>
  <c r="L3262" i="2"/>
  <c r="K3262" i="2"/>
  <c r="J3262" i="2"/>
  <c r="L3261" i="2"/>
  <c r="K3261" i="2"/>
  <c r="J3261" i="2"/>
  <c r="L3260" i="2"/>
  <c r="K3260" i="2"/>
  <c r="J3260" i="2"/>
  <c r="L3259" i="2"/>
  <c r="K3259" i="2"/>
  <c r="J3259" i="2"/>
  <c r="L3258" i="2"/>
  <c r="K3258" i="2"/>
  <c r="J3258" i="2"/>
  <c r="L3257" i="2"/>
  <c r="K3257" i="2"/>
  <c r="J3257" i="2"/>
  <c r="L3256" i="2"/>
  <c r="K3256" i="2"/>
  <c r="J3256" i="2"/>
  <c r="L3255" i="2"/>
  <c r="K3255" i="2"/>
  <c r="J3255" i="2"/>
  <c r="L3254" i="2"/>
  <c r="K3254" i="2"/>
  <c r="J3254" i="2"/>
  <c r="L3253" i="2"/>
  <c r="K3253" i="2"/>
  <c r="J3253" i="2"/>
  <c r="L3252" i="2"/>
  <c r="K3252" i="2"/>
  <c r="J3252" i="2"/>
  <c r="L3251" i="2"/>
  <c r="K3251" i="2"/>
  <c r="J3251" i="2"/>
  <c r="L3250" i="2"/>
  <c r="K3250" i="2"/>
  <c r="J3250" i="2"/>
  <c r="L3249" i="2"/>
  <c r="K3249" i="2"/>
  <c r="J3249" i="2"/>
  <c r="L3248" i="2"/>
  <c r="K3248" i="2"/>
  <c r="J3248" i="2"/>
  <c r="L3247" i="2"/>
  <c r="K3247" i="2"/>
  <c r="J3247" i="2"/>
  <c r="L3246" i="2"/>
  <c r="K3246" i="2"/>
  <c r="J3246" i="2"/>
  <c r="L3245" i="2"/>
  <c r="K3245" i="2"/>
  <c r="J3245" i="2"/>
  <c r="L3244" i="2"/>
  <c r="K3244" i="2"/>
  <c r="J3244" i="2"/>
  <c r="L3243" i="2"/>
  <c r="K3243" i="2"/>
  <c r="J3243" i="2"/>
  <c r="L3242" i="2"/>
  <c r="K3242" i="2"/>
  <c r="J3242" i="2"/>
  <c r="L3241" i="2"/>
  <c r="K3241" i="2"/>
  <c r="J3241" i="2"/>
  <c r="L3240" i="2"/>
  <c r="K3240" i="2"/>
  <c r="J3240" i="2"/>
  <c r="L3239" i="2"/>
  <c r="K3239" i="2"/>
  <c r="J3239" i="2"/>
  <c r="L3238" i="2"/>
  <c r="K3238" i="2"/>
  <c r="J3238" i="2"/>
  <c r="L3237" i="2"/>
  <c r="K3237" i="2"/>
  <c r="J3237" i="2"/>
  <c r="L3236" i="2"/>
  <c r="K3236" i="2"/>
  <c r="J3236" i="2"/>
  <c r="L3235" i="2"/>
  <c r="K3235" i="2"/>
  <c r="J3235" i="2"/>
  <c r="L3234" i="2"/>
  <c r="K3234" i="2"/>
  <c r="J3234" i="2"/>
  <c r="L3233" i="2"/>
  <c r="K3233" i="2"/>
  <c r="J3233" i="2"/>
  <c r="L3232" i="2"/>
  <c r="K3232" i="2"/>
  <c r="J3232" i="2"/>
  <c r="L3231" i="2"/>
  <c r="K3231" i="2"/>
  <c r="J3231" i="2"/>
  <c r="L3230" i="2"/>
  <c r="K3230" i="2"/>
  <c r="J3230" i="2"/>
  <c r="L3229" i="2"/>
  <c r="K3229" i="2"/>
  <c r="J3229" i="2"/>
  <c r="L3228" i="2"/>
  <c r="K3228" i="2"/>
  <c r="J3228" i="2"/>
  <c r="L3227" i="2"/>
  <c r="K3227" i="2"/>
  <c r="J3227" i="2"/>
  <c r="L3226" i="2"/>
  <c r="K3226" i="2"/>
  <c r="J3226" i="2"/>
  <c r="L3225" i="2"/>
  <c r="K3225" i="2"/>
  <c r="J3225" i="2"/>
  <c r="L3224" i="2"/>
  <c r="K3224" i="2"/>
  <c r="J3224" i="2"/>
  <c r="L3223" i="2"/>
  <c r="K3223" i="2"/>
  <c r="J3223" i="2"/>
  <c r="L3222" i="2"/>
  <c r="K3222" i="2"/>
  <c r="J3222" i="2"/>
  <c r="L3221" i="2"/>
  <c r="K3221" i="2"/>
  <c r="J3221" i="2"/>
  <c r="L3220" i="2"/>
  <c r="K3220" i="2"/>
  <c r="J3220" i="2"/>
  <c r="L3219" i="2"/>
  <c r="K3219" i="2"/>
  <c r="J3219" i="2"/>
  <c r="L3218" i="2"/>
  <c r="K3218" i="2"/>
  <c r="J3218" i="2"/>
  <c r="L3217" i="2"/>
  <c r="K3217" i="2"/>
  <c r="J3217" i="2"/>
  <c r="L3216" i="2"/>
  <c r="K3216" i="2"/>
  <c r="J3216" i="2"/>
  <c r="L3215" i="2"/>
  <c r="K3215" i="2"/>
  <c r="J3215" i="2"/>
  <c r="L3214" i="2"/>
  <c r="K3214" i="2"/>
  <c r="J3214" i="2"/>
  <c r="L3213" i="2"/>
  <c r="K3213" i="2"/>
  <c r="J3213" i="2"/>
  <c r="L3212" i="2"/>
  <c r="K3212" i="2"/>
  <c r="J3212" i="2"/>
  <c r="L3211" i="2"/>
  <c r="K3211" i="2"/>
  <c r="J3211" i="2"/>
  <c r="L3210" i="2"/>
  <c r="K3210" i="2"/>
  <c r="J3210" i="2"/>
  <c r="L3209" i="2"/>
  <c r="K3209" i="2"/>
  <c r="J3209" i="2"/>
  <c r="L3208" i="2"/>
  <c r="K3208" i="2"/>
  <c r="J3208" i="2"/>
  <c r="L3207" i="2"/>
  <c r="K3207" i="2"/>
  <c r="J3207" i="2"/>
  <c r="L3206" i="2"/>
  <c r="K3206" i="2"/>
  <c r="J3206" i="2"/>
  <c r="L3205" i="2"/>
  <c r="K3205" i="2"/>
  <c r="J3205" i="2"/>
  <c r="L3204" i="2"/>
  <c r="K3204" i="2"/>
  <c r="J3204" i="2"/>
  <c r="L3203" i="2"/>
  <c r="K3203" i="2"/>
  <c r="J3203" i="2"/>
  <c r="L3202" i="2"/>
  <c r="K3202" i="2"/>
  <c r="J3202" i="2"/>
  <c r="L3201" i="2"/>
  <c r="K3201" i="2"/>
  <c r="J3201" i="2"/>
  <c r="L3200" i="2"/>
  <c r="K3200" i="2"/>
  <c r="J3200" i="2"/>
  <c r="L3199" i="2"/>
  <c r="K3199" i="2"/>
  <c r="J3199" i="2"/>
  <c r="L3198" i="2"/>
  <c r="K3198" i="2"/>
  <c r="J3198" i="2"/>
  <c r="L3197" i="2"/>
  <c r="K3197" i="2"/>
  <c r="J3197" i="2"/>
  <c r="L3196" i="2"/>
  <c r="K3196" i="2"/>
  <c r="J3196" i="2"/>
  <c r="L3195" i="2"/>
  <c r="K3195" i="2"/>
  <c r="J3195" i="2"/>
  <c r="L3194" i="2"/>
  <c r="K3194" i="2"/>
  <c r="J3194" i="2"/>
  <c r="L3193" i="2"/>
  <c r="K3193" i="2"/>
  <c r="J3193" i="2"/>
  <c r="L3192" i="2"/>
  <c r="K3192" i="2"/>
  <c r="J3192" i="2"/>
  <c r="L3191" i="2"/>
  <c r="K3191" i="2"/>
  <c r="J3191" i="2"/>
  <c r="L3190" i="2"/>
  <c r="K3190" i="2"/>
  <c r="J3190" i="2"/>
  <c r="L3189" i="2"/>
  <c r="K3189" i="2"/>
  <c r="J3189" i="2"/>
  <c r="L3188" i="2"/>
  <c r="K3188" i="2"/>
  <c r="J3188" i="2"/>
  <c r="L3187" i="2"/>
  <c r="K3187" i="2"/>
  <c r="J3187" i="2"/>
  <c r="L3186" i="2"/>
  <c r="K3186" i="2"/>
  <c r="J3186" i="2"/>
  <c r="L3185" i="2"/>
  <c r="K3185" i="2"/>
  <c r="J3185" i="2"/>
  <c r="L3184" i="2"/>
  <c r="K3184" i="2"/>
  <c r="J3184" i="2"/>
  <c r="L3183" i="2"/>
  <c r="K3183" i="2"/>
  <c r="J3183" i="2"/>
  <c r="L3182" i="2"/>
  <c r="K3182" i="2"/>
  <c r="J3182" i="2"/>
  <c r="L3181" i="2"/>
  <c r="K3181" i="2"/>
  <c r="J3181" i="2"/>
  <c r="L3180" i="2"/>
  <c r="K3180" i="2"/>
  <c r="J3180" i="2"/>
  <c r="L3179" i="2"/>
  <c r="K3179" i="2"/>
  <c r="J3179" i="2"/>
  <c r="L3178" i="2"/>
  <c r="K3178" i="2"/>
  <c r="J3178" i="2"/>
  <c r="L3177" i="2"/>
  <c r="K3177" i="2"/>
  <c r="J3177" i="2"/>
  <c r="L3176" i="2"/>
  <c r="K3176" i="2"/>
  <c r="J3176" i="2"/>
  <c r="L3175" i="2"/>
  <c r="K3175" i="2"/>
  <c r="J3175" i="2"/>
  <c r="L3174" i="2"/>
  <c r="K3174" i="2"/>
  <c r="J3174" i="2"/>
  <c r="L3173" i="2"/>
  <c r="K3173" i="2"/>
  <c r="J3173" i="2"/>
  <c r="L3172" i="2"/>
  <c r="K3172" i="2"/>
  <c r="J3172" i="2"/>
  <c r="L3171" i="2"/>
  <c r="K3171" i="2"/>
  <c r="J3171" i="2"/>
  <c r="L3170" i="2"/>
  <c r="K3170" i="2"/>
  <c r="J3170" i="2"/>
  <c r="L3169" i="2"/>
  <c r="K3169" i="2"/>
  <c r="J3169" i="2"/>
  <c r="L3168" i="2"/>
  <c r="K3168" i="2"/>
  <c r="J3168" i="2"/>
  <c r="L3167" i="2"/>
  <c r="K3167" i="2"/>
  <c r="J3167" i="2"/>
  <c r="L3166" i="2"/>
  <c r="K3166" i="2"/>
  <c r="J3166" i="2"/>
  <c r="L3165" i="2"/>
  <c r="K3165" i="2"/>
  <c r="J3165" i="2"/>
  <c r="L3164" i="2"/>
  <c r="K3164" i="2"/>
  <c r="J3164" i="2"/>
  <c r="L3163" i="2"/>
  <c r="K3163" i="2"/>
  <c r="J3163" i="2"/>
  <c r="L3162" i="2"/>
  <c r="K3162" i="2"/>
  <c r="J3162" i="2"/>
  <c r="L3161" i="2"/>
  <c r="K3161" i="2"/>
  <c r="J3161" i="2"/>
  <c r="L3160" i="2"/>
  <c r="K3160" i="2"/>
  <c r="J3160" i="2"/>
  <c r="L3159" i="2"/>
  <c r="K3159" i="2"/>
  <c r="J3159" i="2"/>
  <c r="L3158" i="2"/>
  <c r="K3158" i="2"/>
  <c r="J3158" i="2"/>
  <c r="L3157" i="2"/>
  <c r="K3157" i="2"/>
  <c r="J3157" i="2"/>
  <c r="L3156" i="2"/>
  <c r="K3156" i="2"/>
  <c r="J3156" i="2"/>
  <c r="L3155" i="2"/>
  <c r="K3155" i="2"/>
  <c r="J3155" i="2"/>
  <c r="L3154" i="2"/>
  <c r="K3154" i="2"/>
  <c r="J3154" i="2"/>
  <c r="L3153" i="2"/>
  <c r="K3153" i="2"/>
  <c r="J3153" i="2"/>
  <c r="L3152" i="2"/>
  <c r="K3152" i="2"/>
  <c r="J3152" i="2"/>
  <c r="L3151" i="2"/>
  <c r="K3151" i="2"/>
  <c r="J3151" i="2"/>
  <c r="L3150" i="2"/>
  <c r="K3150" i="2"/>
  <c r="J3150" i="2"/>
  <c r="L3149" i="2"/>
  <c r="K3149" i="2"/>
  <c r="J3149" i="2"/>
  <c r="L3148" i="2"/>
  <c r="K3148" i="2"/>
  <c r="J3148" i="2"/>
  <c r="L3147" i="2"/>
  <c r="K3147" i="2"/>
  <c r="J3147" i="2"/>
  <c r="L3146" i="2"/>
  <c r="K3146" i="2"/>
  <c r="J3146" i="2"/>
  <c r="L3145" i="2"/>
  <c r="K3145" i="2"/>
  <c r="J3145" i="2"/>
  <c r="L3144" i="2"/>
  <c r="K3144" i="2"/>
  <c r="J3144" i="2"/>
  <c r="L3143" i="2"/>
  <c r="K3143" i="2"/>
  <c r="J3143" i="2"/>
  <c r="L3142" i="2"/>
  <c r="K3142" i="2"/>
  <c r="J3142" i="2"/>
  <c r="L3141" i="2"/>
  <c r="K3141" i="2"/>
  <c r="J3141" i="2"/>
  <c r="L3140" i="2"/>
  <c r="K3140" i="2"/>
  <c r="J3140" i="2"/>
  <c r="L3139" i="2"/>
  <c r="K3139" i="2"/>
  <c r="J3139" i="2"/>
  <c r="L3138" i="2"/>
  <c r="K3138" i="2"/>
  <c r="J3138" i="2"/>
  <c r="L3137" i="2"/>
  <c r="K3137" i="2"/>
  <c r="J3137" i="2"/>
  <c r="L3136" i="2"/>
  <c r="K3136" i="2"/>
  <c r="J3136" i="2"/>
  <c r="L3135" i="2"/>
  <c r="K3135" i="2"/>
  <c r="J3135" i="2"/>
  <c r="L3134" i="2"/>
  <c r="K3134" i="2"/>
  <c r="J3134" i="2"/>
  <c r="L3133" i="2"/>
  <c r="K3133" i="2"/>
  <c r="J3133" i="2"/>
  <c r="L3132" i="2"/>
  <c r="K3132" i="2"/>
  <c r="J3132" i="2"/>
  <c r="L3131" i="2"/>
  <c r="K3131" i="2"/>
  <c r="J3131" i="2"/>
  <c r="L3130" i="2"/>
  <c r="K3130" i="2"/>
  <c r="J3130" i="2"/>
  <c r="L3129" i="2"/>
  <c r="K3129" i="2"/>
  <c r="J3129" i="2"/>
  <c r="L3128" i="2"/>
  <c r="K3128" i="2"/>
  <c r="J3128" i="2"/>
  <c r="L3127" i="2"/>
  <c r="K3127" i="2"/>
  <c r="J3127" i="2"/>
  <c r="L3126" i="2"/>
  <c r="K3126" i="2"/>
  <c r="J3126" i="2"/>
  <c r="L3125" i="2"/>
  <c r="K3125" i="2"/>
  <c r="J3125" i="2"/>
  <c r="L3124" i="2"/>
  <c r="K3124" i="2"/>
  <c r="J3124" i="2"/>
  <c r="L3123" i="2"/>
  <c r="K3123" i="2"/>
  <c r="J3123" i="2"/>
  <c r="L3122" i="2"/>
  <c r="K3122" i="2"/>
  <c r="J3122" i="2"/>
  <c r="L3121" i="2"/>
  <c r="K3121" i="2"/>
  <c r="J3121" i="2"/>
  <c r="L3120" i="2"/>
  <c r="K3120" i="2"/>
  <c r="J3120" i="2"/>
  <c r="L3119" i="2"/>
  <c r="K3119" i="2"/>
  <c r="J3119" i="2"/>
  <c r="L3118" i="2"/>
  <c r="K3118" i="2"/>
  <c r="J3118" i="2"/>
  <c r="L3117" i="2"/>
  <c r="K3117" i="2"/>
  <c r="J3117" i="2"/>
  <c r="L3116" i="2"/>
  <c r="K3116" i="2"/>
  <c r="J3116" i="2"/>
  <c r="L3115" i="2"/>
  <c r="K3115" i="2"/>
  <c r="J3115" i="2"/>
  <c r="L3114" i="2"/>
  <c r="K3114" i="2"/>
  <c r="J3114" i="2"/>
  <c r="L3113" i="2"/>
  <c r="K3113" i="2"/>
  <c r="J3113" i="2"/>
  <c r="L3112" i="2"/>
  <c r="K3112" i="2"/>
  <c r="J3112" i="2"/>
  <c r="L3111" i="2"/>
  <c r="K3111" i="2"/>
  <c r="J3111" i="2"/>
  <c r="L3110" i="2"/>
  <c r="K3110" i="2"/>
  <c r="J3110" i="2"/>
  <c r="L3109" i="2"/>
  <c r="K3109" i="2"/>
  <c r="J3109" i="2"/>
  <c r="L3108" i="2"/>
  <c r="K3108" i="2"/>
  <c r="J3108" i="2"/>
  <c r="L3107" i="2"/>
  <c r="K3107" i="2"/>
  <c r="J3107" i="2"/>
  <c r="L3106" i="2"/>
  <c r="K3106" i="2"/>
  <c r="J3106" i="2"/>
  <c r="L3105" i="2"/>
  <c r="K3105" i="2"/>
  <c r="J3105" i="2"/>
  <c r="L3104" i="2"/>
  <c r="K3104" i="2"/>
  <c r="J3104" i="2"/>
  <c r="L3103" i="2"/>
  <c r="K3103" i="2"/>
  <c r="J3103" i="2"/>
  <c r="L3102" i="2"/>
  <c r="K3102" i="2"/>
  <c r="J3102" i="2"/>
  <c r="L3101" i="2"/>
  <c r="K3101" i="2"/>
  <c r="J3101" i="2"/>
  <c r="L3100" i="2"/>
  <c r="K3100" i="2"/>
  <c r="J3100" i="2"/>
  <c r="L3099" i="2"/>
  <c r="K3099" i="2"/>
  <c r="J3099" i="2"/>
  <c r="L3098" i="2"/>
  <c r="K3098" i="2"/>
  <c r="J3098" i="2"/>
  <c r="L3097" i="2"/>
  <c r="K3097" i="2"/>
  <c r="J3097" i="2"/>
  <c r="L3096" i="2"/>
  <c r="K3096" i="2"/>
  <c r="J3096" i="2"/>
  <c r="L3095" i="2"/>
  <c r="K3095" i="2"/>
  <c r="J3095" i="2"/>
  <c r="L3094" i="2"/>
  <c r="K3094" i="2"/>
  <c r="J3094" i="2"/>
  <c r="L3093" i="2"/>
  <c r="K3093" i="2"/>
  <c r="J3093" i="2"/>
  <c r="L3092" i="2"/>
  <c r="K3092" i="2"/>
  <c r="J3092" i="2"/>
  <c r="L3091" i="2"/>
  <c r="K3091" i="2"/>
  <c r="J3091" i="2"/>
  <c r="L3090" i="2"/>
  <c r="K3090" i="2"/>
  <c r="J3090" i="2"/>
  <c r="L3089" i="2"/>
  <c r="K3089" i="2"/>
  <c r="J3089" i="2"/>
  <c r="L3088" i="2"/>
  <c r="K3088" i="2"/>
  <c r="J3088" i="2"/>
  <c r="L3087" i="2"/>
  <c r="K3087" i="2"/>
  <c r="J3087" i="2"/>
  <c r="L3086" i="2"/>
  <c r="K3086" i="2"/>
  <c r="J3086" i="2"/>
  <c r="L3085" i="2"/>
  <c r="K3085" i="2"/>
  <c r="J3085" i="2"/>
  <c r="L3084" i="2"/>
  <c r="K3084" i="2"/>
  <c r="J3084" i="2"/>
  <c r="L3083" i="2"/>
  <c r="K3083" i="2"/>
  <c r="J3083" i="2"/>
  <c r="L3082" i="2"/>
  <c r="K3082" i="2"/>
  <c r="J3082" i="2"/>
  <c r="L3081" i="2"/>
  <c r="K3081" i="2"/>
  <c r="J3081" i="2"/>
  <c r="L3080" i="2"/>
  <c r="K3080" i="2"/>
  <c r="J3080" i="2"/>
  <c r="L3079" i="2"/>
  <c r="K3079" i="2"/>
  <c r="J3079" i="2"/>
  <c r="L3078" i="2"/>
  <c r="K3078" i="2"/>
  <c r="J3078" i="2"/>
  <c r="L3077" i="2"/>
  <c r="K3077" i="2"/>
  <c r="J3077" i="2"/>
  <c r="L3076" i="2"/>
  <c r="K3076" i="2"/>
  <c r="J3076" i="2"/>
  <c r="L3075" i="2"/>
  <c r="K3075" i="2"/>
  <c r="J3075" i="2"/>
  <c r="L3074" i="2"/>
  <c r="K3074" i="2"/>
  <c r="J3074" i="2"/>
  <c r="L3073" i="2"/>
  <c r="K3073" i="2"/>
  <c r="J3073" i="2"/>
  <c r="L3072" i="2"/>
  <c r="K3072" i="2"/>
  <c r="J3072" i="2"/>
  <c r="L3071" i="2"/>
  <c r="K3071" i="2"/>
  <c r="J3071" i="2"/>
  <c r="L3070" i="2"/>
  <c r="K3070" i="2"/>
  <c r="J3070" i="2"/>
  <c r="L3069" i="2"/>
  <c r="K3069" i="2"/>
  <c r="J3069" i="2"/>
  <c r="L3068" i="2"/>
  <c r="K3068" i="2"/>
  <c r="J3068" i="2"/>
  <c r="L3067" i="2"/>
  <c r="K3067" i="2"/>
  <c r="J3067" i="2"/>
  <c r="L3066" i="2"/>
  <c r="K3066" i="2"/>
  <c r="J3066" i="2"/>
  <c r="L3065" i="2"/>
  <c r="K3065" i="2"/>
  <c r="J3065" i="2"/>
  <c r="L3064" i="2"/>
  <c r="K3064" i="2"/>
  <c r="J3064" i="2"/>
  <c r="L3063" i="2"/>
  <c r="K3063" i="2"/>
  <c r="J3063" i="2"/>
  <c r="L3062" i="2"/>
  <c r="K3062" i="2"/>
  <c r="J3062" i="2"/>
  <c r="L3061" i="2"/>
  <c r="K3061" i="2"/>
  <c r="J3061" i="2"/>
  <c r="L3060" i="2"/>
  <c r="K3060" i="2"/>
  <c r="J3060" i="2"/>
  <c r="L3059" i="2"/>
  <c r="K3059" i="2"/>
  <c r="J3059" i="2"/>
  <c r="L3058" i="2"/>
  <c r="K3058" i="2"/>
  <c r="J3058" i="2"/>
  <c r="L3057" i="2"/>
  <c r="K3057" i="2"/>
  <c r="J3057" i="2"/>
  <c r="L3056" i="2"/>
  <c r="K3056" i="2"/>
  <c r="J3056" i="2"/>
  <c r="L3055" i="2"/>
  <c r="K3055" i="2"/>
  <c r="J3055" i="2"/>
  <c r="L3054" i="2"/>
  <c r="K3054" i="2"/>
  <c r="J3054" i="2"/>
  <c r="L3053" i="2"/>
  <c r="K3053" i="2"/>
  <c r="J3053" i="2"/>
  <c r="L3052" i="2"/>
  <c r="K3052" i="2"/>
  <c r="J3052" i="2"/>
  <c r="L3051" i="2"/>
  <c r="K3051" i="2"/>
  <c r="J3051" i="2"/>
  <c r="L3050" i="2"/>
  <c r="K3050" i="2"/>
  <c r="J3050" i="2"/>
  <c r="L3049" i="2"/>
  <c r="K3049" i="2"/>
  <c r="J3049" i="2"/>
  <c r="L3048" i="2"/>
  <c r="K3048" i="2"/>
  <c r="J3048" i="2"/>
  <c r="L3047" i="2"/>
  <c r="K3047" i="2"/>
  <c r="J3047" i="2"/>
  <c r="L3046" i="2"/>
  <c r="K3046" i="2"/>
  <c r="J3046" i="2"/>
  <c r="L3045" i="2"/>
  <c r="K3045" i="2"/>
  <c r="J3045" i="2"/>
  <c r="L3044" i="2"/>
  <c r="K3044" i="2"/>
  <c r="J3044" i="2"/>
  <c r="L3043" i="2"/>
  <c r="K3043" i="2"/>
  <c r="J3043" i="2"/>
  <c r="L3042" i="2"/>
  <c r="K3042" i="2"/>
  <c r="J3042" i="2"/>
  <c r="L3041" i="2"/>
  <c r="K3041" i="2"/>
  <c r="J3041" i="2"/>
  <c r="L3040" i="2"/>
  <c r="K3040" i="2"/>
  <c r="J3040" i="2"/>
  <c r="L3039" i="2"/>
  <c r="K3039" i="2"/>
  <c r="J3039" i="2"/>
  <c r="L3038" i="2"/>
  <c r="K3038" i="2"/>
  <c r="J3038" i="2"/>
  <c r="L3037" i="2"/>
  <c r="K3037" i="2"/>
  <c r="J3037" i="2"/>
  <c r="L3036" i="2"/>
  <c r="K3036" i="2"/>
  <c r="J3036" i="2"/>
  <c r="L3035" i="2"/>
  <c r="K3035" i="2"/>
  <c r="J3035" i="2"/>
  <c r="L3034" i="2"/>
  <c r="K3034" i="2"/>
  <c r="J3034" i="2"/>
  <c r="L3033" i="2"/>
  <c r="K3033" i="2"/>
  <c r="J3033" i="2"/>
  <c r="L3032" i="2"/>
  <c r="K3032" i="2"/>
  <c r="J3032" i="2"/>
  <c r="L3031" i="2"/>
  <c r="K3031" i="2"/>
  <c r="J3031" i="2"/>
  <c r="L3030" i="2"/>
  <c r="K3030" i="2"/>
  <c r="J3030" i="2"/>
  <c r="L3029" i="2"/>
  <c r="K3029" i="2"/>
  <c r="J3029" i="2"/>
  <c r="L3028" i="2"/>
  <c r="K3028" i="2"/>
  <c r="J3028" i="2"/>
  <c r="L3027" i="2"/>
  <c r="K3027" i="2"/>
  <c r="J3027" i="2"/>
  <c r="L3026" i="2"/>
  <c r="K3026" i="2"/>
  <c r="J3026" i="2"/>
  <c r="L3025" i="2"/>
  <c r="K3025" i="2"/>
  <c r="J3025" i="2"/>
  <c r="L3024" i="2"/>
  <c r="K3024" i="2"/>
  <c r="J3024" i="2"/>
  <c r="L3023" i="2"/>
  <c r="K3023" i="2"/>
  <c r="J3023" i="2"/>
  <c r="L3022" i="2"/>
  <c r="K3022" i="2"/>
  <c r="J3022" i="2"/>
  <c r="L3021" i="2"/>
  <c r="K3021" i="2"/>
  <c r="J3021" i="2"/>
  <c r="L3020" i="2"/>
  <c r="K3020" i="2"/>
  <c r="J3020" i="2"/>
  <c r="L3019" i="2"/>
  <c r="K3019" i="2"/>
  <c r="J3019" i="2"/>
  <c r="L3018" i="2"/>
  <c r="K3018" i="2"/>
  <c r="J3018" i="2"/>
  <c r="L3017" i="2"/>
  <c r="K3017" i="2"/>
  <c r="J3017" i="2"/>
  <c r="L3016" i="2"/>
  <c r="K3016" i="2"/>
  <c r="J3016" i="2"/>
  <c r="L3015" i="2"/>
  <c r="K3015" i="2"/>
  <c r="J3015" i="2"/>
  <c r="L3014" i="2"/>
  <c r="K3014" i="2"/>
  <c r="J3014" i="2"/>
  <c r="L3013" i="2"/>
  <c r="K3013" i="2"/>
  <c r="J3013" i="2"/>
  <c r="L3012" i="2"/>
  <c r="K3012" i="2"/>
  <c r="J3012" i="2"/>
  <c r="L3011" i="2"/>
  <c r="K3011" i="2"/>
  <c r="J3011" i="2"/>
  <c r="L3010" i="2"/>
  <c r="K3010" i="2"/>
  <c r="J3010" i="2"/>
  <c r="L3009" i="2"/>
  <c r="K3009" i="2"/>
  <c r="J3009" i="2"/>
  <c r="L3008" i="2"/>
  <c r="K3008" i="2"/>
  <c r="J3008" i="2"/>
  <c r="L3007" i="2"/>
  <c r="K3007" i="2"/>
  <c r="J3007" i="2"/>
  <c r="L3006" i="2"/>
  <c r="K3006" i="2"/>
  <c r="J3006" i="2"/>
  <c r="L3005" i="2"/>
  <c r="K3005" i="2"/>
  <c r="J3005" i="2"/>
  <c r="L3004" i="2"/>
  <c r="K3004" i="2"/>
  <c r="J3004" i="2"/>
  <c r="L3003" i="2"/>
  <c r="K3003" i="2"/>
  <c r="J3003" i="2"/>
  <c r="L3002" i="2"/>
  <c r="K3002" i="2"/>
  <c r="J3002" i="2"/>
  <c r="L3001" i="2"/>
  <c r="K3001" i="2"/>
  <c r="J3001" i="2"/>
  <c r="L3000" i="2"/>
  <c r="K3000" i="2"/>
  <c r="J3000" i="2"/>
  <c r="L2999" i="2"/>
  <c r="K2999" i="2"/>
  <c r="J2999" i="2"/>
  <c r="L2998" i="2"/>
  <c r="K2998" i="2"/>
  <c r="J2998" i="2"/>
  <c r="L2997" i="2"/>
  <c r="K2997" i="2"/>
  <c r="J2997" i="2"/>
  <c r="L2996" i="2"/>
  <c r="K2996" i="2"/>
  <c r="J2996" i="2"/>
  <c r="L2995" i="2"/>
  <c r="K2995" i="2"/>
  <c r="J2995" i="2"/>
  <c r="L2994" i="2"/>
  <c r="K2994" i="2"/>
  <c r="J2994" i="2"/>
  <c r="L2993" i="2"/>
  <c r="K2993" i="2"/>
  <c r="J2993" i="2"/>
  <c r="L2992" i="2"/>
  <c r="K2992" i="2"/>
  <c r="J2992" i="2"/>
  <c r="L2991" i="2"/>
  <c r="K2991" i="2"/>
  <c r="J2991" i="2"/>
  <c r="L2990" i="2"/>
  <c r="K2990" i="2"/>
  <c r="J2990" i="2"/>
  <c r="L2989" i="2"/>
  <c r="K2989" i="2"/>
  <c r="J2989" i="2"/>
  <c r="L2988" i="2"/>
  <c r="K2988" i="2"/>
  <c r="J2988" i="2"/>
  <c r="L2987" i="2"/>
  <c r="K2987" i="2"/>
  <c r="J2987" i="2"/>
  <c r="L2986" i="2"/>
  <c r="K2986" i="2"/>
  <c r="J2986" i="2"/>
  <c r="L2985" i="2"/>
  <c r="K2985" i="2"/>
  <c r="J2985" i="2"/>
  <c r="L2984" i="2"/>
  <c r="K2984" i="2"/>
  <c r="J2984" i="2"/>
  <c r="L2983" i="2"/>
  <c r="K2983" i="2"/>
  <c r="J2983" i="2"/>
  <c r="L2982" i="2"/>
  <c r="K2982" i="2"/>
  <c r="J2982" i="2"/>
  <c r="L2981" i="2"/>
  <c r="K2981" i="2"/>
  <c r="J2981" i="2"/>
  <c r="L2980" i="2"/>
  <c r="K2980" i="2"/>
  <c r="J2980" i="2"/>
  <c r="L2979" i="2"/>
  <c r="K2979" i="2"/>
  <c r="J2979" i="2"/>
  <c r="L2978" i="2"/>
  <c r="K2978" i="2"/>
  <c r="J2978" i="2"/>
  <c r="L2977" i="2"/>
  <c r="K2977" i="2"/>
  <c r="J2977" i="2"/>
  <c r="L2976" i="2"/>
  <c r="K2976" i="2"/>
  <c r="J2976" i="2"/>
  <c r="L2975" i="2"/>
  <c r="K2975" i="2"/>
  <c r="J2975" i="2"/>
  <c r="L2974" i="2"/>
  <c r="K2974" i="2"/>
  <c r="J2974" i="2"/>
  <c r="L2973" i="2"/>
  <c r="K2973" i="2"/>
  <c r="J2973" i="2"/>
  <c r="L2972" i="2"/>
  <c r="K2972" i="2"/>
  <c r="J2972" i="2"/>
  <c r="L2971" i="2"/>
  <c r="K2971" i="2"/>
  <c r="J2971" i="2"/>
  <c r="L2970" i="2"/>
  <c r="K2970" i="2"/>
  <c r="J2970" i="2"/>
  <c r="L2969" i="2"/>
  <c r="K2969" i="2"/>
  <c r="J2969" i="2"/>
  <c r="L2968" i="2"/>
  <c r="K2968" i="2"/>
  <c r="J2968" i="2"/>
  <c r="L2967" i="2"/>
  <c r="K2967" i="2"/>
  <c r="J2967" i="2"/>
  <c r="L2966" i="2"/>
  <c r="K2966" i="2"/>
  <c r="J2966" i="2"/>
  <c r="L2965" i="2"/>
  <c r="K2965" i="2"/>
  <c r="J2965" i="2"/>
  <c r="L2964" i="2"/>
  <c r="K2964" i="2"/>
  <c r="J2964" i="2"/>
  <c r="L2963" i="2"/>
  <c r="K2963" i="2"/>
  <c r="J2963" i="2"/>
  <c r="L2962" i="2"/>
  <c r="K2962" i="2"/>
  <c r="J2962" i="2"/>
  <c r="L2961" i="2"/>
  <c r="K2961" i="2"/>
  <c r="J2961" i="2"/>
  <c r="L2960" i="2"/>
  <c r="K2960" i="2"/>
  <c r="J2960" i="2"/>
  <c r="L2959" i="2"/>
  <c r="K2959" i="2"/>
  <c r="J2959" i="2"/>
  <c r="L2958" i="2"/>
  <c r="K2958" i="2"/>
  <c r="J2958" i="2"/>
  <c r="L2957" i="2"/>
  <c r="K2957" i="2"/>
  <c r="J2957" i="2"/>
  <c r="L2956" i="2"/>
  <c r="K2956" i="2"/>
  <c r="J2956" i="2"/>
  <c r="L2955" i="2"/>
  <c r="K2955" i="2"/>
  <c r="J2955" i="2"/>
  <c r="L2954" i="2"/>
  <c r="K2954" i="2"/>
  <c r="J2954" i="2"/>
  <c r="L2953" i="2"/>
  <c r="K2953" i="2"/>
  <c r="J2953" i="2"/>
  <c r="L2952" i="2"/>
  <c r="K2952" i="2"/>
  <c r="J2952" i="2"/>
  <c r="L2951" i="2"/>
  <c r="K2951" i="2"/>
  <c r="J2951" i="2"/>
  <c r="L2950" i="2"/>
  <c r="K2950" i="2"/>
  <c r="J2950" i="2"/>
  <c r="L2949" i="2"/>
  <c r="K2949" i="2"/>
  <c r="J2949" i="2"/>
  <c r="L2948" i="2"/>
  <c r="K2948" i="2"/>
  <c r="J2948" i="2"/>
  <c r="L2947" i="2"/>
  <c r="K2947" i="2"/>
  <c r="J2947" i="2"/>
  <c r="L2946" i="2"/>
  <c r="K2946" i="2"/>
  <c r="J2946" i="2"/>
  <c r="L2945" i="2"/>
  <c r="K2945" i="2"/>
  <c r="J2945" i="2"/>
  <c r="L2944" i="2"/>
  <c r="K2944" i="2"/>
  <c r="J2944" i="2"/>
  <c r="L2943" i="2"/>
  <c r="K2943" i="2"/>
  <c r="J2943" i="2"/>
  <c r="L2942" i="2"/>
  <c r="K2942" i="2"/>
  <c r="J2942" i="2"/>
  <c r="L2941" i="2"/>
  <c r="K2941" i="2"/>
  <c r="J2941" i="2"/>
  <c r="L2940" i="2"/>
  <c r="K2940" i="2"/>
  <c r="J2940" i="2"/>
  <c r="L2939" i="2"/>
  <c r="K2939" i="2"/>
  <c r="J2939" i="2"/>
  <c r="L2938" i="2"/>
  <c r="K2938" i="2"/>
  <c r="J2938" i="2"/>
  <c r="L2937" i="2"/>
  <c r="K2937" i="2"/>
  <c r="J2937" i="2"/>
  <c r="L2936" i="2"/>
  <c r="K2936" i="2"/>
  <c r="J2936" i="2"/>
  <c r="L2935" i="2"/>
  <c r="K2935" i="2"/>
  <c r="J2935" i="2"/>
  <c r="L2934" i="2"/>
  <c r="K2934" i="2"/>
  <c r="J2934" i="2"/>
  <c r="L2933" i="2"/>
  <c r="K2933" i="2"/>
  <c r="J2933" i="2"/>
  <c r="L2932" i="2"/>
  <c r="K2932" i="2"/>
  <c r="J2932" i="2"/>
  <c r="L2931" i="2"/>
  <c r="K2931" i="2"/>
  <c r="J2931" i="2"/>
  <c r="L2930" i="2"/>
  <c r="K2930" i="2"/>
  <c r="J2930" i="2"/>
  <c r="L2929" i="2"/>
  <c r="K2929" i="2"/>
  <c r="J2929" i="2"/>
  <c r="L2928" i="2"/>
  <c r="K2928" i="2"/>
  <c r="J2928" i="2"/>
  <c r="L2927" i="2"/>
  <c r="K2927" i="2"/>
  <c r="J2927" i="2"/>
  <c r="L2926" i="2"/>
  <c r="K2926" i="2"/>
  <c r="J2926" i="2"/>
  <c r="L2925" i="2"/>
  <c r="K2925" i="2"/>
  <c r="J2925" i="2"/>
  <c r="L2924" i="2"/>
  <c r="K2924" i="2"/>
  <c r="J2924" i="2"/>
  <c r="L2923" i="2"/>
  <c r="K2923" i="2"/>
  <c r="J2923" i="2"/>
  <c r="L2922" i="2"/>
  <c r="K2922" i="2"/>
  <c r="J2922" i="2"/>
  <c r="L2921" i="2"/>
  <c r="K2921" i="2"/>
  <c r="J2921" i="2"/>
  <c r="L2920" i="2"/>
  <c r="K2920" i="2"/>
  <c r="J2920" i="2"/>
  <c r="L2919" i="2"/>
  <c r="K2919" i="2"/>
  <c r="J2919" i="2"/>
  <c r="L2918" i="2"/>
  <c r="K2918" i="2"/>
  <c r="J2918" i="2"/>
  <c r="L2917" i="2"/>
  <c r="K2917" i="2"/>
  <c r="J2917" i="2"/>
  <c r="L2916" i="2"/>
  <c r="K2916" i="2"/>
  <c r="J2916" i="2"/>
  <c r="L2915" i="2"/>
  <c r="K2915" i="2"/>
  <c r="J2915" i="2"/>
  <c r="L2914" i="2"/>
  <c r="K2914" i="2"/>
  <c r="J2914" i="2"/>
  <c r="L2913" i="2"/>
  <c r="K2913" i="2"/>
  <c r="J2913" i="2"/>
  <c r="L2912" i="2"/>
  <c r="K2912" i="2"/>
  <c r="J2912" i="2"/>
  <c r="L2911" i="2"/>
  <c r="K2911" i="2"/>
  <c r="J2911" i="2"/>
  <c r="L2910" i="2"/>
  <c r="K2910" i="2"/>
  <c r="J2910" i="2"/>
  <c r="L2909" i="2"/>
  <c r="K2909" i="2"/>
  <c r="J2909" i="2"/>
  <c r="L2908" i="2"/>
  <c r="K2908" i="2"/>
  <c r="J2908" i="2"/>
  <c r="L2907" i="2"/>
  <c r="K2907" i="2"/>
  <c r="J2907" i="2"/>
  <c r="L2906" i="2"/>
  <c r="K2906" i="2"/>
  <c r="J2906" i="2"/>
  <c r="L2905" i="2"/>
  <c r="K2905" i="2"/>
  <c r="J2905" i="2"/>
  <c r="L2904" i="2"/>
  <c r="K2904" i="2"/>
  <c r="J2904" i="2"/>
  <c r="L2903" i="2"/>
  <c r="K2903" i="2"/>
  <c r="J2903" i="2"/>
  <c r="L2902" i="2"/>
  <c r="K2902" i="2"/>
  <c r="J2902" i="2"/>
  <c r="L2901" i="2"/>
  <c r="K2901" i="2"/>
  <c r="J2901" i="2"/>
  <c r="L2900" i="2"/>
  <c r="K2900" i="2"/>
  <c r="J2900" i="2"/>
  <c r="L2899" i="2"/>
  <c r="K2899" i="2"/>
  <c r="J2899" i="2"/>
  <c r="L2898" i="2"/>
  <c r="K2898" i="2"/>
  <c r="J2898" i="2"/>
  <c r="L2897" i="2"/>
  <c r="K2897" i="2"/>
  <c r="J2897" i="2"/>
  <c r="L2896" i="2"/>
  <c r="K2896" i="2"/>
  <c r="J2896" i="2"/>
  <c r="L2895" i="2"/>
  <c r="K2895" i="2"/>
  <c r="J2895" i="2"/>
  <c r="L2894" i="2"/>
  <c r="K2894" i="2"/>
  <c r="J2894" i="2"/>
  <c r="L2893" i="2"/>
  <c r="K2893" i="2"/>
  <c r="J2893" i="2"/>
  <c r="L2892" i="2"/>
  <c r="K2892" i="2"/>
  <c r="J2892" i="2"/>
  <c r="L2891" i="2"/>
  <c r="K2891" i="2"/>
  <c r="J2891" i="2"/>
  <c r="L2890" i="2"/>
  <c r="K2890" i="2"/>
  <c r="J2890" i="2"/>
  <c r="L2889" i="2"/>
  <c r="K2889" i="2"/>
  <c r="J2889" i="2"/>
  <c r="L2888" i="2"/>
  <c r="K2888" i="2"/>
  <c r="J2888" i="2"/>
  <c r="L2887" i="2"/>
  <c r="K2887" i="2"/>
  <c r="J2887" i="2"/>
  <c r="L2886" i="2"/>
  <c r="K2886" i="2"/>
  <c r="J2886" i="2"/>
  <c r="L2885" i="2"/>
  <c r="K2885" i="2"/>
  <c r="J2885" i="2"/>
  <c r="L2884" i="2"/>
  <c r="K2884" i="2"/>
  <c r="J2884" i="2"/>
  <c r="L2883" i="2"/>
  <c r="K2883" i="2"/>
  <c r="J2883" i="2"/>
  <c r="L2882" i="2"/>
  <c r="K2882" i="2"/>
  <c r="J2882" i="2"/>
  <c r="L2881" i="2"/>
  <c r="K2881" i="2"/>
  <c r="J2881" i="2"/>
  <c r="L2880" i="2"/>
  <c r="K2880" i="2"/>
  <c r="J2880" i="2"/>
  <c r="L2879" i="2"/>
  <c r="K2879" i="2"/>
  <c r="J2879" i="2"/>
  <c r="L2878" i="2"/>
  <c r="K2878" i="2"/>
  <c r="J2878" i="2"/>
  <c r="L2877" i="2"/>
  <c r="K2877" i="2"/>
  <c r="J2877" i="2"/>
  <c r="L2876" i="2"/>
  <c r="K2876" i="2"/>
  <c r="J2876" i="2"/>
  <c r="L2875" i="2"/>
  <c r="K2875" i="2"/>
  <c r="J2875" i="2"/>
  <c r="L2874" i="2"/>
  <c r="K2874" i="2"/>
  <c r="J2874" i="2"/>
  <c r="L2873" i="2"/>
  <c r="K2873" i="2"/>
  <c r="J2873" i="2"/>
  <c r="L2872" i="2"/>
  <c r="K2872" i="2"/>
  <c r="J2872" i="2"/>
  <c r="L2871" i="2"/>
  <c r="K2871" i="2"/>
  <c r="J2871" i="2"/>
  <c r="L2870" i="2"/>
  <c r="K2870" i="2"/>
  <c r="J2870" i="2"/>
  <c r="L2869" i="2"/>
  <c r="K2869" i="2"/>
  <c r="J2869" i="2"/>
  <c r="L2868" i="2"/>
  <c r="K2868" i="2"/>
  <c r="J2868" i="2"/>
  <c r="L2867" i="2"/>
  <c r="K2867" i="2"/>
  <c r="J2867" i="2"/>
  <c r="L2866" i="2"/>
  <c r="K2866" i="2"/>
  <c r="J2866" i="2"/>
  <c r="L2865" i="2"/>
  <c r="K2865" i="2"/>
  <c r="J2865" i="2"/>
  <c r="L2864" i="2"/>
  <c r="K2864" i="2"/>
  <c r="J2864" i="2"/>
  <c r="L2863" i="2"/>
  <c r="K2863" i="2"/>
  <c r="J2863" i="2"/>
  <c r="L2862" i="2"/>
  <c r="K2862" i="2"/>
  <c r="J2862" i="2"/>
  <c r="L2861" i="2"/>
  <c r="K2861" i="2"/>
  <c r="J2861" i="2"/>
  <c r="L2860" i="2"/>
  <c r="K2860" i="2"/>
  <c r="J2860" i="2"/>
  <c r="L2859" i="2"/>
  <c r="K2859" i="2"/>
  <c r="J2859" i="2"/>
  <c r="L2858" i="2"/>
  <c r="K2858" i="2"/>
  <c r="J2858" i="2"/>
  <c r="L2857" i="2"/>
  <c r="K2857" i="2"/>
  <c r="J2857" i="2"/>
  <c r="L2856" i="2"/>
  <c r="K2856" i="2"/>
  <c r="J2856" i="2"/>
  <c r="L2855" i="2"/>
  <c r="K2855" i="2"/>
  <c r="J2855" i="2"/>
  <c r="L2854" i="2"/>
  <c r="K2854" i="2"/>
  <c r="J2854" i="2"/>
  <c r="L2853" i="2"/>
  <c r="K2853" i="2"/>
  <c r="J2853" i="2"/>
  <c r="L2852" i="2"/>
  <c r="K2852" i="2"/>
  <c r="J2852" i="2"/>
  <c r="L2851" i="2"/>
  <c r="K2851" i="2"/>
  <c r="J2851" i="2"/>
  <c r="L2850" i="2"/>
  <c r="K2850" i="2"/>
  <c r="J2850" i="2"/>
  <c r="L2849" i="2"/>
  <c r="K2849" i="2"/>
  <c r="J2849" i="2"/>
  <c r="L2848" i="2"/>
  <c r="K2848" i="2"/>
  <c r="J2848" i="2"/>
  <c r="L2847" i="2"/>
  <c r="K2847" i="2"/>
  <c r="J2847" i="2"/>
  <c r="L2846" i="2"/>
  <c r="K2846" i="2"/>
  <c r="J2846" i="2"/>
  <c r="L2845" i="2"/>
  <c r="K2845" i="2"/>
  <c r="J2845" i="2"/>
  <c r="L2844" i="2"/>
  <c r="K2844" i="2"/>
  <c r="J2844" i="2"/>
  <c r="L2843" i="2"/>
  <c r="K2843" i="2"/>
  <c r="J2843" i="2"/>
  <c r="L2842" i="2"/>
  <c r="K2842" i="2"/>
  <c r="J2842" i="2"/>
  <c r="L2841" i="2"/>
  <c r="K2841" i="2"/>
  <c r="J2841" i="2"/>
  <c r="L2840" i="2"/>
  <c r="K2840" i="2"/>
  <c r="J2840" i="2"/>
  <c r="L2839" i="2"/>
  <c r="K2839" i="2"/>
  <c r="J2839" i="2"/>
  <c r="L2838" i="2"/>
  <c r="K2838" i="2"/>
  <c r="J2838" i="2"/>
  <c r="L2837" i="2"/>
  <c r="K2837" i="2"/>
  <c r="J2837" i="2"/>
  <c r="L2836" i="2"/>
  <c r="K2836" i="2"/>
  <c r="J2836" i="2"/>
  <c r="L2835" i="2"/>
  <c r="K2835" i="2"/>
  <c r="J2835" i="2"/>
  <c r="L2834" i="2"/>
  <c r="K2834" i="2"/>
  <c r="J2834" i="2"/>
  <c r="L2833" i="2"/>
  <c r="K2833" i="2"/>
  <c r="J2833" i="2"/>
  <c r="L2832" i="2"/>
  <c r="K2832" i="2"/>
  <c r="J2832" i="2"/>
  <c r="L2831" i="2"/>
  <c r="K2831" i="2"/>
  <c r="J2831" i="2"/>
  <c r="L2830" i="2"/>
  <c r="K2830" i="2"/>
  <c r="J2830" i="2"/>
  <c r="L2829" i="2"/>
  <c r="K2829" i="2"/>
  <c r="J2829" i="2"/>
  <c r="L2828" i="2"/>
  <c r="K2828" i="2"/>
  <c r="J2828" i="2"/>
  <c r="L2827" i="2"/>
  <c r="K2827" i="2"/>
  <c r="J2827" i="2"/>
  <c r="L2826" i="2"/>
  <c r="K2826" i="2"/>
  <c r="J2826" i="2"/>
  <c r="L2825" i="2"/>
  <c r="K2825" i="2"/>
  <c r="J2825" i="2"/>
  <c r="L2824" i="2"/>
  <c r="K2824" i="2"/>
  <c r="J2824" i="2"/>
  <c r="L2823" i="2"/>
  <c r="K2823" i="2"/>
  <c r="J2823" i="2"/>
  <c r="L2822" i="2"/>
  <c r="K2822" i="2"/>
  <c r="J2822" i="2"/>
  <c r="L2821" i="2"/>
  <c r="K2821" i="2"/>
  <c r="J2821" i="2"/>
  <c r="L2820" i="2"/>
  <c r="K2820" i="2"/>
  <c r="J2820" i="2"/>
  <c r="L2819" i="2"/>
  <c r="K2819" i="2"/>
  <c r="J2819" i="2"/>
  <c r="L2818" i="2"/>
  <c r="K2818" i="2"/>
  <c r="J2818" i="2"/>
  <c r="L2817" i="2"/>
  <c r="K2817" i="2"/>
  <c r="J2817" i="2"/>
  <c r="L2816" i="2"/>
  <c r="K2816" i="2"/>
  <c r="J2816" i="2"/>
  <c r="L2815" i="2"/>
  <c r="K2815" i="2"/>
  <c r="J2815" i="2"/>
  <c r="L2814" i="2"/>
  <c r="K2814" i="2"/>
  <c r="J2814" i="2"/>
  <c r="L2813" i="2"/>
  <c r="K2813" i="2"/>
  <c r="J2813" i="2"/>
  <c r="L2812" i="2"/>
  <c r="K2812" i="2"/>
  <c r="J2812" i="2"/>
  <c r="L2811" i="2"/>
  <c r="K2811" i="2"/>
  <c r="J2811" i="2"/>
  <c r="L2810" i="2"/>
  <c r="K2810" i="2"/>
  <c r="J2810" i="2"/>
  <c r="L2809" i="2"/>
  <c r="K2809" i="2"/>
  <c r="J2809" i="2"/>
  <c r="L2808" i="2"/>
  <c r="K2808" i="2"/>
  <c r="J2808" i="2"/>
  <c r="L2807" i="2"/>
  <c r="K2807" i="2"/>
  <c r="J2807" i="2"/>
  <c r="L2806" i="2"/>
  <c r="K2806" i="2"/>
  <c r="J2806" i="2"/>
  <c r="L2805" i="2"/>
  <c r="K2805" i="2"/>
  <c r="J2805" i="2"/>
  <c r="L2804" i="2"/>
  <c r="K2804" i="2"/>
  <c r="J2804" i="2"/>
  <c r="L2803" i="2"/>
  <c r="K2803" i="2"/>
  <c r="J2803" i="2"/>
  <c r="L2802" i="2"/>
  <c r="K2802" i="2"/>
  <c r="J2802" i="2"/>
  <c r="L2801" i="2"/>
  <c r="K2801" i="2"/>
  <c r="J2801" i="2"/>
  <c r="L2800" i="2"/>
  <c r="K2800" i="2"/>
  <c r="J2800" i="2"/>
  <c r="L2799" i="2"/>
  <c r="K2799" i="2"/>
  <c r="J2799" i="2"/>
  <c r="L2798" i="2"/>
  <c r="K2798" i="2"/>
  <c r="J2798" i="2"/>
  <c r="L2797" i="2"/>
  <c r="K2797" i="2"/>
  <c r="J2797" i="2"/>
  <c r="L2796" i="2"/>
  <c r="K2796" i="2"/>
  <c r="J2796" i="2"/>
  <c r="L2795" i="2"/>
  <c r="K2795" i="2"/>
  <c r="J2795" i="2"/>
  <c r="L2794" i="2"/>
  <c r="K2794" i="2"/>
  <c r="J2794" i="2"/>
  <c r="L2793" i="2"/>
  <c r="K2793" i="2"/>
  <c r="J2793" i="2"/>
  <c r="L2792" i="2"/>
  <c r="K2792" i="2"/>
  <c r="J2792" i="2"/>
  <c r="L2791" i="2"/>
  <c r="K2791" i="2"/>
  <c r="J2791" i="2"/>
  <c r="L2790" i="2"/>
  <c r="K2790" i="2"/>
  <c r="J2790" i="2"/>
  <c r="L2789" i="2"/>
  <c r="K2789" i="2"/>
  <c r="J2789" i="2"/>
  <c r="L2788" i="2"/>
  <c r="K2788" i="2"/>
  <c r="J2788" i="2"/>
  <c r="L2787" i="2"/>
  <c r="K2787" i="2"/>
  <c r="J2787" i="2"/>
  <c r="L2786" i="2"/>
  <c r="K2786" i="2"/>
  <c r="J2786" i="2"/>
  <c r="L2785" i="2"/>
  <c r="K2785" i="2"/>
  <c r="J2785" i="2"/>
  <c r="L2784" i="2"/>
  <c r="K2784" i="2"/>
  <c r="J2784" i="2"/>
  <c r="L2783" i="2"/>
  <c r="K2783" i="2"/>
  <c r="J2783" i="2"/>
  <c r="L2782" i="2"/>
  <c r="K2782" i="2"/>
  <c r="J2782" i="2"/>
  <c r="L2781" i="2"/>
  <c r="K2781" i="2"/>
  <c r="J2781" i="2"/>
  <c r="L2780" i="2"/>
  <c r="K2780" i="2"/>
  <c r="J2780" i="2"/>
  <c r="L2779" i="2"/>
  <c r="K2779" i="2"/>
  <c r="J2779" i="2"/>
  <c r="L2778" i="2"/>
  <c r="K2778" i="2"/>
  <c r="J2778" i="2"/>
  <c r="L2777" i="2"/>
  <c r="K2777" i="2"/>
  <c r="J2777" i="2"/>
  <c r="L2776" i="2"/>
  <c r="K2776" i="2"/>
  <c r="J2776" i="2"/>
  <c r="L2775" i="2"/>
  <c r="K2775" i="2"/>
  <c r="J2775" i="2"/>
  <c r="L2774" i="2"/>
  <c r="K2774" i="2"/>
  <c r="J2774" i="2"/>
  <c r="L2773" i="2"/>
  <c r="K2773" i="2"/>
  <c r="J2773" i="2"/>
  <c r="L2772" i="2"/>
  <c r="K2772" i="2"/>
  <c r="J2772" i="2"/>
  <c r="L2771" i="2"/>
  <c r="K2771" i="2"/>
  <c r="J2771" i="2"/>
  <c r="L2770" i="2"/>
  <c r="K2770" i="2"/>
  <c r="J2770" i="2"/>
  <c r="L2769" i="2"/>
  <c r="K2769" i="2"/>
  <c r="J2769" i="2"/>
  <c r="L2768" i="2"/>
  <c r="K2768" i="2"/>
  <c r="J2768" i="2"/>
  <c r="L2767" i="2"/>
  <c r="K2767" i="2"/>
  <c r="J2767" i="2"/>
  <c r="L2766" i="2"/>
  <c r="K2766" i="2"/>
  <c r="J2766" i="2"/>
  <c r="L2765" i="2"/>
  <c r="K2765" i="2"/>
  <c r="J2765" i="2"/>
  <c r="L2764" i="2"/>
  <c r="K2764" i="2"/>
  <c r="J2764" i="2"/>
  <c r="L2763" i="2"/>
  <c r="K2763" i="2"/>
  <c r="J2763" i="2"/>
  <c r="L2762" i="2"/>
  <c r="K2762" i="2"/>
  <c r="J2762" i="2"/>
  <c r="L2761" i="2"/>
  <c r="K2761" i="2"/>
  <c r="J2761" i="2"/>
  <c r="L2760" i="2"/>
  <c r="K2760" i="2"/>
  <c r="J2760" i="2"/>
  <c r="L2759" i="2"/>
  <c r="K2759" i="2"/>
  <c r="J2759" i="2"/>
  <c r="L2758" i="2"/>
  <c r="K2758" i="2"/>
  <c r="J2758" i="2"/>
  <c r="L2757" i="2"/>
  <c r="K2757" i="2"/>
  <c r="J2757" i="2"/>
  <c r="L2756" i="2"/>
  <c r="K2756" i="2"/>
  <c r="J2756" i="2"/>
  <c r="L2755" i="2"/>
  <c r="K2755" i="2"/>
  <c r="J2755" i="2"/>
  <c r="L2754" i="2"/>
  <c r="K2754" i="2"/>
  <c r="J2754" i="2"/>
  <c r="L2753" i="2"/>
  <c r="K2753" i="2"/>
  <c r="J2753" i="2"/>
  <c r="L2752" i="2"/>
  <c r="K2752" i="2"/>
  <c r="J2752" i="2"/>
  <c r="L2751" i="2"/>
  <c r="K2751" i="2"/>
  <c r="J2751" i="2"/>
  <c r="L2750" i="2"/>
  <c r="K2750" i="2"/>
  <c r="J2750" i="2"/>
  <c r="L2749" i="2"/>
  <c r="K2749" i="2"/>
  <c r="J2749" i="2"/>
  <c r="L2748" i="2"/>
  <c r="K2748" i="2"/>
  <c r="J2748" i="2"/>
  <c r="L2747" i="2"/>
  <c r="K2747" i="2"/>
  <c r="J2747" i="2"/>
  <c r="L2746" i="2"/>
  <c r="K2746" i="2"/>
  <c r="J2746" i="2"/>
  <c r="L2745" i="2"/>
  <c r="K2745" i="2"/>
  <c r="J2745" i="2"/>
  <c r="L2744" i="2"/>
  <c r="K2744" i="2"/>
  <c r="J2744" i="2"/>
  <c r="L2743" i="2"/>
  <c r="K2743" i="2"/>
  <c r="J2743" i="2"/>
  <c r="L2742" i="2"/>
  <c r="K2742" i="2"/>
  <c r="J2742" i="2"/>
  <c r="L2741" i="2"/>
  <c r="K2741" i="2"/>
  <c r="J2741" i="2"/>
  <c r="L2740" i="2"/>
  <c r="K2740" i="2"/>
  <c r="J2740" i="2"/>
  <c r="L2739" i="2"/>
  <c r="K2739" i="2"/>
  <c r="J2739" i="2"/>
  <c r="L2738" i="2"/>
  <c r="K2738" i="2"/>
  <c r="J2738" i="2"/>
  <c r="L2737" i="2"/>
  <c r="K2737" i="2"/>
  <c r="J2737" i="2"/>
  <c r="L2736" i="2"/>
  <c r="K2736" i="2"/>
  <c r="J2736" i="2"/>
  <c r="L2735" i="2"/>
  <c r="K2735" i="2"/>
  <c r="J2735" i="2"/>
  <c r="L2734" i="2"/>
  <c r="K2734" i="2"/>
  <c r="J2734" i="2"/>
  <c r="L2733" i="2"/>
  <c r="K2733" i="2"/>
  <c r="J2733" i="2"/>
  <c r="L2732" i="2"/>
  <c r="K2732" i="2"/>
  <c r="J2732" i="2"/>
  <c r="L2731" i="2"/>
  <c r="K2731" i="2"/>
  <c r="J2731" i="2"/>
  <c r="L2730" i="2"/>
  <c r="K2730" i="2"/>
  <c r="J2730" i="2"/>
  <c r="L2729" i="2"/>
  <c r="K2729" i="2"/>
  <c r="J2729" i="2"/>
  <c r="L2728" i="2"/>
  <c r="K2728" i="2"/>
  <c r="J2728" i="2"/>
  <c r="L2727" i="2"/>
  <c r="K2727" i="2"/>
  <c r="J2727" i="2"/>
  <c r="L2726" i="2"/>
  <c r="K2726" i="2"/>
  <c r="J2726" i="2"/>
  <c r="L2725" i="2"/>
  <c r="K2725" i="2"/>
  <c r="J2725" i="2"/>
  <c r="L2724" i="2"/>
  <c r="K2724" i="2"/>
  <c r="J2724" i="2"/>
  <c r="L2723" i="2"/>
  <c r="K2723" i="2"/>
  <c r="J2723" i="2"/>
  <c r="L2722" i="2"/>
  <c r="K2722" i="2"/>
  <c r="J2722" i="2"/>
  <c r="L2721" i="2"/>
  <c r="K2721" i="2"/>
  <c r="J2721" i="2"/>
  <c r="L2720" i="2"/>
  <c r="K2720" i="2"/>
  <c r="J2720" i="2"/>
  <c r="L2719" i="2"/>
  <c r="K2719" i="2"/>
  <c r="J2719" i="2"/>
  <c r="L2718" i="2"/>
  <c r="K2718" i="2"/>
  <c r="J2718" i="2"/>
  <c r="L2717" i="2"/>
  <c r="K2717" i="2"/>
  <c r="J2717" i="2"/>
  <c r="L2716" i="2"/>
  <c r="K2716" i="2"/>
  <c r="J2716" i="2"/>
  <c r="L2715" i="2"/>
  <c r="K2715" i="2"/>
  <c r="J2715" i="2"/>
  <c r="L2714" i="2"/>
  <c r="K2714" i="2"/>
  <c r="J2714" i="2"/>
  <c r="L2713" i="2"/>
  <c r="K2713" i="2"/>
  <c r="J2713" i="2"/>
  <c r="L2712" i="2"/>
  <c r="K2712" i="2"/>
  <c r="J2712" i="2"/>
  <c r="L2711" i="2"/>
  <c r="K2711" i="2"/>
  <c r="J2711" i="2"/>
  <c r="L2710" i="2"/>
  <c r="K2710" i="2"/>
  <c r="J2710" i="2"/>
  <c r="L2709" i="2"/>
  <c r="K2709" i="2"/>
  <c r="J2709" i="2"/>
  <c r="L2708" i="2"/>
  <c r="K2708" i="2"/>
  <c r="J2708" i="2"/>
  <c r="L2707" i="2"/>
  <c r="K2707" i="2"/>
  <c r="J2707" i="2"/>
  <c r="L2706" i="2"/>
  <c r="K2706" i="2"/>
  <c r="J2706" i="2"/>
  <c r="L2705" i="2"/>
  <c r="K2705" i="2"/>
  <c r="J2705" i="2"/>
  <c r="L2704" i="2"/>
  <c r="K2704" i="2"/>
  <c r="J2704" i="2"/>
  <c r="L2703" i="2"/>
  <c r="K2703" i="2"/>
  <c r="J2703" i="2"/>
  <c r="L2702" i="2"/>
  <c r="K2702" i="2"/>
  <c r="J2702" i="2"/>
  <c r="L2701" i="2"/>
  <c r="K2701" i="2"/>
  <c r="J2701" i="2"/>
  <c r="L2700" i="2"/>
  <c r="K2700" i="2"/>
  <c r="J2700" i="2"/>
  <c r="L2699" i="2"/>
  <c r="K2699" i="2"/>
  <c r="J2699" i="2"/>
  <c r="L2698" i="2"/>
  <c r="K2698" i="2"/>
  <c r="J2698" i="2"/>
  <c r="L2697" i="2"/>
  <c r="K2697" i="2"/>
  <c r="J2697" i="2"/>
  <c r="L2696" i="2"/>
  <c r="K2696" i="2"/>
  <c r="J2696" i="2"/>
  <c r="L2695" i="2"/>
  <c r="K2695" i="2"/>
  <c r="J2695" i="2"/>
  <c r="L2694" i="2"/>
  <c r="K2694" i="2"/>
  <c r="J2694" i="2"/>
  <c r="L2693" i="2"/>
  <c r="K2693" i="2"/>
  <c r="J2693" i="2"/>
  <c r="L2692" i="2"/>
  <c r="K2692" i="2"/>
  <c r="J2692" i="2"/>
  <c r="L2691" i="2"/>
  <c r="K2691" i="2"/>
  <c r="J2691" i="2"/>
  <c r="L2690" i="2"/>
  <c r="K2690" i="2"/>
  <c r="J2690" i="2"/>
  <c r="L2689" i="2"/>
  <c r="K2689" i="2"/>
  <c r="J2689" i="2"/>
  <c r="L2688" i="2"/>
  <c r="K2688" i="2"/>
  <c r="J2688" i="2"/>
  <c r="L2687" i="2"/>
  <c r="K2687" i="2"/>
  <c r="J2687" i="2"/>
  <c r="L2686" i="2"/>
  <c r="K2686" i="2"/>
  <c r="J2686" i="2"/>
  <c r="L2685" i="2"/>
  <c r="K2685" i="2"/>
  <c r="J2685" i="2"/>
  <c r="L2684" i="2"/>
  <c r="K2684" i="2"/>
  <c r="J2684" i="2"/>
  <c r="L2683" i="2"/>
  <c r="K2683" i="2"/>
  <c r="J2683" i="2"/>
  <c r="L2682" i="2"/>
  <c r="K2682" i="2"/>
  <c r="J2682" i="2"/>
  <c r="L2681" i="2"/>
  <c r="K2681" i="2"/>
  <c r="J2681" i="2"/>
  <c r="L2680" i="2"/>
  <c r="K2680" i="2"/>
  <c r="J2680" i="2"/>
  <c r="L2679" i="2"/>
  <c r="K2679" i="2"/>
  <c r="J2679" i="2"/>
  <c r="L2678" i="2"/>
  <c r="K2678" i="2"/>
  <c r="J2678" i="2"/>
  <c r="L2677" i="2"/>
  <c r="K2677" i="2"/>
  <c r="J2677" i="2"/>
  <c r="L2676" i="2"/>
  <c r="K2676" i="2"/>
  <c r="J2676" i="2"/>
  <c r="L2675" i="2"/>
  <c r="K2675" i="2"/>
  <c r="J2675" i="2"/>
  <c r="L2674" i="2"/>
  <c r="K2674" i="2"/>
  <c r="J2674" i="2"/>
  <c r="L2673" i="2"/>
  <c r="K2673" i="2"/>
  <c r="J2673" i="2"/>
  <c r="L2672" i="2"/>
  <c r="K2672" i="2"/>
  <c r="J2672" i="2"/>
  <c r="L2671" i="2"/>
  <c r="K2671" i="2"/>
  <c r="J2671" i="2"/>
  <c r="L2670" i="2"/>
  <c r="K2670" i="2"/>
  <c r="J2670" i="2"/>
  <c r="L2669" i="2"/>
  <c r="K2669" i="2"/>
  <c r="J2669" i="2"/>
  <c r="L2668" i="2"/>
  <c r="K2668" i="2"/>
  <c r="J2668" i="2"/>
  <c r="L2667" i="2"/>
  <c r="K2667" i="2"/>
  <c r="J2667" i="2"/>
  <c r="L2666" i="2"/>
  <c r="K2666" i="2"/>
  <c r="J2666" i="2"/>
  <c r="L2665" i="2"/>
  <c r="K2665" i="2"/>
  <c r="J2665" i="2"/>
  <c r="L2664" i="2"/>
  <c r="K2664" i="2"/>
  <c r="J2664" i="2"/>
  <c r="L2663" i="2"/>
  <c r="K2663" i="2"/>
  <c r="J2663" i="2"/>
  <c r="L2662" i="2"/>
  <c r="K2662" i="2"/>
  <c r="J2662" i="2"/>
  <c r="L2661" i="2"/>
  <c r="K2661" i="2"/>
  <c r="J2661" i="2"/>
  <c r="L2660" i="2"/>
  <c r="K2660" i="2"/>
  <c r="J2660" i="2"/>
  <c r="L2659" i="2"/>
  <c r="K2659" i="2"/>
  <c r="J2659" i="2"/>
  <c r="L2658" i="2"/>
  <c r="K2658" i="2"/>
  <c r="J2658" i="2"/>
  <c r="L2657" i="2"/>
  <c r="K2657" i="2"/>
  <c r="J2657" i="2"/>
  <c r="L2656" i="2"/>
  <c r="K2656" i="2"/>
  <c r="J2656" i="2"/>
  <c r="L2655" i="2"/>
  <c r="K2655" i="2"/>
  <c r="J2655" i="2"/>
  <c r="L2654" i="2"/>
  <c r="K2654" i="2"/>
  <c r="J2654" i="2"/>
  <c r="L2653" i="2"/>
  <c r="K2653" i="2"/>
  <c r="J2653" i="2"/>
  <c r="L2652" i="2"/>
  <c r="K2652" i="2"/>
  <c r="J2652" i="2"/>
  <c r="L2651" i="2"/>
  <c r="K2651" i="2"/>
  <c r="J2651" i="2"/>
  <c r="L2650" i="2"/>
  <c r="K2650" i="2"/>
  <c r="J2650" i="2"/>
  <c r="L2649" i="2"/>
  <c r="K2649" i="2"/>
  <c r="J2649" i="2"/>
  <c r="L2648" i="2"/>
  <c r="K2648" i="2"/>
  <c r="J2648" i="2"/>
  <c r="L2647" i="2"/>
  <c r="K2647" i="2"/>
  <c r="J2647" i="2"/>
  <c r="L2646" i="2"/>
  <c r="K2646" i="2"/>
  <c r="J2646" i="2"/>
  <c r="L2645" i="2"/>
  <c r="K2645" i="2"/>
  <c r="J2645" i="2"/>
  <c r="L2644" i="2"/>
  <c r="K2644" i="2"/>
  <c r="J2644" i="2"/>
  <c r="L2643" i="2"/>
  <c r="K2643" i="2"/>
  <c r="J2643" i="2"/>
  <c r="L2642" i="2"/>
  <c r="K2642" i="2"/>
  <c r="J2642" i="2"/>
  <c r="L2641" i="2"/>
  <c r="K2641" i="2"/>
  <c r="J2641" i="2"/>
  <c r="L2640" i="2"/>
  <c r="K2640" i="2"/>
  <c r="J2640" i="2"/>
  <c r="L2639" i="2"/>
  <c r="K2639" i="2"/>
  <c r="J2639" i="2"/>
  <c r="L2638" i="2"/>
  <c r="K2638" i="2"/>
  <c r="J2638" i="2"/>
  <c r="L2637" i="2"/>
  <c r="K2637" i="2"/>
  <c r="J2637" i="2"/>
  <c r="L2636" i="2"/>
  <c r="K2636" i="2"/>
  <c r="J2636" i="2"/>
  <c r="L2635" i="2"/>
  <c r="K2635" i="2"/>
  <c r="J2635" i="2"/>
  <c r="L2634" i="2"/>
  <c r="K2634" i="2"/>
  <c r="J2634" i="2"/>
  <c r="L2633" i="2"/>
  <c r="K2633" i="2"/>
  <c r="J2633" i="2"/>
  <c r="L2632" i="2"/>
  <c r="K2632" i="2"/>
  <c r="J2632" i="2"/>
  <c r="L2631" i="2"/>
  <c r="K2631" i="2"/>
  <c r="J2631" i="2"/>
  <c r="L2630" i="2"/>
  <c r="K2630" i="2"/>
  <c r="J2630" i="2"/>
  <c r="L2629" i="2"/>
  <c r="K2629" i="2"/>
  <c r="J2629" i="2"/>
  <c r="L2628" i="2"/>
  <c r="K2628" i="2"/>
  <c r="J2628" i="2"/>
  <c r="L2627" i="2"/>
  <c r="K2627" i="2"/>
  <c r="J2627" i="2"/>
  <c r="L2626" i="2"/>
  <c r="K2626" i="2"/>
  <c r="J2626" i="2"/>
  <c r="L2625" i="2"/>
  <c r="K2625" i="2"/>
  <c r="J2625" i="2"/>
  <c r="L2624" i="2"/>
  <c r="K2624" i="2"/>
  <c r="J2624" i="2"/>
  <c r="L2623" i="2"/>
  <c r="K2623" i="2"/>
  <c r="J2623" i="2"/>
  <c r="L2622" i="2"/>
  <c r="K2622" i="2"/>
  <c r="J2622" i="2"/>
  <c r="L2621" i="2"/>
  <c r="K2621" i="2"/>
  <c r="J2621" i="2"/>
  <c r="L2620" i="2"/>
  <c r="K2620" i="2"/>
  <c r="J2620" i="2"/>
  <c r="L2619" i="2"/>
  <c r="K2619" i="2"/>
  <c r="J2619" i="2"/>
  <c r="L2618" i="2"/>
  <c r="K2618" i="2"/>
  <c r="J2618" i="2"/>
  <c r="L2617" i="2"/>
  <c r="K2617" i="2"/>
  <c r="J2617" i="2"/>
  <c r="L2616" i="2"/>
  <c r="K2616" i="2"/>
  <c r="J2616" i="2"/>
  <c r="L2615" i="2"/>
  <c r="K2615" i="2"/>
  <c r="J2615" i="2"/>
  <c r="L2614" i="2"/>
  <c r="K2614" i="2"/>
  <c r="J2614" i="2"/>
  <c r="L2613" i="2"/>
  <c r="K2613" i="2"/>
  <c r="J2613" i="2"/>
  <c r="L2612" i="2"/>
  <c r="K2612" i="2"/>
  <c r="J2612" i="2"/>
  <c r="L2611" i="2"/>
  <c r="K2611" i="2"/>
  <c r="J2611" i="2"/>
  <c r="L2610" i="2"/>
  <c r="K2610" i="2"/>
  <c r="J2610" i="2"/>
  <c r="L2609" i="2"/>
  <c r="K2609" i="2"/>
  <c r="J2609" i="2"/>
  <c r="L2608" i="2"/>
  <c r="K2608" i="2"/>
  <c r="J2608" i="2"/>
  <c r="L2607" i="2"/>
  <c r="K2607" i="2"/>
  <c r="J2607" i="2"/>
  <c r="L2606" i="2"/>
  <c r="K2606" i="2"/>
  <c r="J2606" i="2"/>
  <c r="L2605" i="2"/>
  <c r="K2605" i="2"/>
  <c r="J2605" i="2"/>
  <c r="L2604" i="2"/>
  <c r="K2604" i="2"/>
  <c r="J2604" i="2"/>
  <c r="L2603" i="2"/>
  <c r="K2603" i="2"/>
  <c r="J2603" i="2"/>
  <c r="L2602" i="2"/>
  <c r="K2602" i="2"/>
  <c r="J2602" i="2"/>
  <c r="L2601" i="2"/>
  <c r="K2601" i="2"/>
  <c r="J2601" i="2"/>
  <c r="L2600" i="2"/>
  <c r="K2600" i="2"/>
  <c r="J2600" i="2"/>
  <c r="L2599" i="2"/>
  <c r="K2599" i="2"/>
  <c r="J2599" i="2"/>
  <c r="L2598" i="2"/>
  <c r="K2598" i="2"/>
  <c r="J2598" i="2"/>
  <c r="L2597" i="2"/>
  <c r="K2597" i="2"/>
  <c r="J2597" i="2"/>
  <c r="L2596" i="2"/>
  <c r="K2596" i="2"/>
  <c r="J2596" i="2"/>
  <c r="L2595" i="2"/>
  <c r="K2595" i="2"/>
  <c r="J2595" i="2"/>
  <c r="L2594" i="2"/>
  <c r="K2594" i="2"/>
  <c r="J2594" i="2"/>
  <c r="L2593" i="2"/>
  <c r="K2593" i="2"/>
  <c r="J2593" i="2"/>
  <c r="L2592" i="2"/>
  <c r="K2592" i="2"/>
  <c r="J2592" i="2"/>
  <c r="L2591" i="2"/>
  <c r="K2591" i="2"/>
  <c r="J2591" i="2"/>
  <c r="L2590" i="2"/>
  <c r="K2590" i="2"/>
  <c r="J2590" i="2"/>
  <c r="L2589" i="2"/>
  <c r="K2589" i="2"/>
  <c r="J2589" i="2"/>
  <c r="L2588" i="2"/>
  <c r="K2588" i="2"/>
  <c r="J2588" i="2"/>
  <c r="L2587" i="2"/>
  <c r="K2587" i="2"/>
  <c r="J2587" i="2"/>
  <c r="L2586" i="2"/>
  <c r="K2586" i="2"/>
  <c r="J2586" i="2"/>
  <c r="L2585" i="2"/>
  <c r="K2585" i="2"/>
  <c r="J2585" i="2"/>
  <c r="L2584" i="2"/>
  <c r="K2584" i="2"/>
  <c r="J2584" i="2"/>
  <c r="L2583" i="2"/>
  <c r="K2583" i="2"/>
  <c r="J2583" i="2"/>
  <c r="L2582" i="2"/>
  <c r="K2582" i="2"/>
  <c r="J2582" i="2"/>
  <c r="L2581" i="2"/>
  <c r="K2581" i="2"/>
  <c r="J2581" i="2"/>
  <c r="L2580" i="2"/>
  <c r="K2580" i="2"/>
  <c r="J2580" i="2"/>
  <c r="L2579" i="2"/>
  <c r="K2579" i="2"/>
  <c r="J2579" i="2"/>
  <c r="L2578" i="2"/>
  <c r="K2578" i="2"/>
  <c r="J2578" i="2"/>
  <c r="L2577" i="2"/>
  <c r="K2577" i="2"/>
  <c r="J2577" i="2"/>
  <c r="L2576" i="2"/>
  <c r="K2576" i="2"/>
  <c r="J2576" i="2"/>
  <c r="L2575" i="2"/>
  <c r="K2575" i="2"/>
  <c r="J2575" i="2"/>
  <c r="L2574" i="2"/>
  <c r="K2574" i="2"/>
  <c r="J2574" i="2"/>
  <c r="L2573" i="2"/>
  <c r="K2573" i="2"/>
  <c r="J2573" i="2"/>
  <c r="L2572" i="2"/>
  <c r="K2572" i="2"/>
  <c r="J2572" i="2"/>
  <c r="L2571" i="2"/>
  <c r="K2571" i="2"/>
  <c r="J2571" i="2"/>
  <c r="L2570" i="2"/>
  <c r="K2570" i="2"/>
  <c r="J2570" i="2"/>
  <c r="L2569" i="2"/>
  <c r="K2569" i="2"/>
  <c r="J2569" i="2"/>
  <c r="L2568" i="2"/>
  <c r="K2568" i="2"/>
  <c r="J2568" i="2"/>
  <c r="L2567" i="2"/>
  <c r="K2567" i="2"/>
  <c r="J2567" i="2"/>
  <c r="L2566" i="2"/>
  <c r="K2566" i="2"/>
  <c r="J2566" i="2"/>
  <c r="L2565" i="2"/>
  <c r="K2565" i="2"/>
  <c r="J2565" i="2"/>
  <c r="L2564" i="2"/>
  <c r="K2564" i="2"/>
  <c r="J2564" i="2"/>
  <c r="L2563" i="2"/>
  <c r="K2563" i="2"/>
  <c r="J2563" i="2"/>
  <c r="L2562" i="2"/>
  <c r="K2562" i="2"/>
  <c r="J2562" i="2"/>
  <c r="L2561" i="2"/>
  <c r="K2561" i="2"/>
  <c r="J2561" i="2"/>
  <c r="L2560" i="2"/>
  <c r="K2560" i="2"/>
  <c r="J2560" i="2"/>
  <c r="L2559" i="2"/>
  <c r="K2559" i="2"/>
  <c r="J2559" i="2"/>
  <c r="L2558" i="2"/>
  <c r="K2558" i="2"/>
  <c r="J2558" i="2"/>
  <c r="L2557" i="2"/>
  <c r="K2557" i="2"/>
  <c r="J2557" i="2"/>
  <c r="L2556" i="2"/>
  <c r="K2556" i="2"/>
  <c r="J2556" i="2"/>
  <c r="L2555" i="2"/>
  <c r="K2555" i="2"/>
  <c r="J2555" i="2"/>
  <c r="L2554" i="2"/>
  <c r="K2554" i="2"/>
  <c r="J2554" i="2"/>
  <c r="L2553" i="2"/>
  <c r="K2553" i="2"/>
  <c r="J2553" i="2"/>
  <c r="L2552" i="2"/>
  <c r="K2552" i="2"/>
  <c r="J2552" i="2"/>
  <c r="L2551" i="2"/>
  <c r="K2551" i="2"/>
  <c r="J2551" i="2"/>
  <c r="L2550" i="2"/>
  <c r="K2550" i="2"/>
  <c r="J2550" i="2"/>
  <c r="L2549" i="2"/>
  <c r="K2549" i="2"/>
  <c r="J2549" i="2"/>
  <c r="L2548" i="2"/>
  <c r="K2548" i="2"/>
  <c r="J2548" i="2"/>
  <c r="L2547" i="2"/>
  <c r="K2547" i="2"/>
  <c r="J2547" i="2"/>
  <c r="L2546" i="2"/>
  <c r="K2546" i="2"/>
  <c r="J2546" i="2"/>
  <c r="L2545" i="2"/>
  <c r="K2545" i="2"/>
  <c r="J2545" i="2"/>
  <c r="L2544" i="2"/>
  <c r="K2544" i="2"/>
  <c r="J2544" i="2"/>
  <c r="L2543" i="2"/>
  <c r="K2543" i="2"/>
  <c r="J2543" i="2"/>
  <c r="L2542" i="2"/>
  <c r="K2542" i="2"/>
  <c r="J2542" i="2"/>
  <c r="L2541" i="2"/>
  <c r="K2541" i="2"/>
  <c r="J2541" i="2"/>
  <c r="L2540" i="2"/>
  <c r="K2540" i="2"/>
  <c r="J2540" i="2"/>
  <c r="L2539" i="2"/>
  <c r="K2539" i="2"/>
  <c r="J2539" i="2"/>
  <c r="L2538" i="2"/>
  <c r="K2538" i="2"/>
  <c r="J2538" i="2"/>
  <c r="L2537" i="2"/>
  <c r="K2537" i="2"/>
  <c r="J2537" i="2"/>
  <c r="L2536" i="2"/>
  <c r="K2536" i="2"/>
  <c r="J2536" i="2"/>
  <c r="L2535" i="2"/>
  <c r="K2535" i="2"/>
  <c r="J2535" i="2"/>
  <c r="L2534" i="2"/>
  <c r="K2534" i="2"/>
  <c r="J2534" i="2"/>
  <c r="L2533" i="2"/>
  <c r="K2533" i="2"/>
  <c r="J2533" i="2"/>
  <c r="L2532" i="2"/>
  <c r="K2532" i="2"/>
  <c r="J2532" i="2"/>
  <c r="L2531" i="2"/>
  <c r="K2531" i="2"/>
  <c r="J2531" i="2"/>
  <c r="L2530" i="2"/>
  <c r="K2530" i="2"/>
  <c r="J2530" i="2"/>
  <c r="L2529" i="2"/>
  <c r="K2529" i="2"/>
  <c r="J2529" i="2"/>
  <c r="L2528" i="2"/>
  <c r="K2528" i="2"/>
  <c r="J2528" i="2"/>
  <c r="L2527" i="2"/>
  <c r="K2527" i="2"/>
  <c r="J2527" i="2"/>
  <c r="L2526" i="2"/>
  <c r="K2526" i="2"/>
  <c r="J2526" i="2"/>
  <c r="L2525" i="2"/>
  <c r="K2525" i="2"/>
  <c r="J2525" i="2"/>
  <c r="L2524" i="2"/>
  <c r="K2524" i="2"/>
  <c r="J2524" i="2"/>
  <c r="L2523" i="2"/>
  <c r="K2523" i="2"/>
  <c r="J2523" i="2"/>
  <c r="L2522" i="2"/>
  <c r="K2522" i="2"/>
  <c r="J2522" i="2"/>
  <c r="L2521" i="2"/>
  <c r="K2521" i="2"/>
  <c r="J2521" i="2"/>
  <c r="L2520" i="2"/>
  <c r="K2520" i="2"/>
  <c r="J2520" i="2"/>
  <c r="L2519" i="2"/>
  <c r="K2519" i="2"/>
  <c r="J2519" i="2"/>
  <c r="L2518" i="2"/>
  <c r="K2518" i="2"/>
  <c r="J2518" i="2"/>
  <c r="L2517" i="2"/>
  <c r="K2517" i="2"/>
  <c r="J2517" i="2"/>
  <c r="L2516" i="2"/>
  <c r="K2516" i="2"/>
  <c r="J2516" i="2"/>
  <c r="L2515" i="2"/>
  <c r="K2515" i="2"/>
  <c r="J2515" i="2"/>
  <c r="L2514" i="2"/>
  <c r="K2514" i="2"/>
  <c r="J2514" i="2"/>
  <c r="L2513" i="2"/>
  <c r="K2513" i="2"/>
  <c r="J2513" i="2"/>
  <c r="L2512" i="2"/>
  <c r="K2512" i="2"/>
  <c r="J2512" i="2"/>
  <c r="L2511" i="2"/>
  <c r="K2511" i="2"/>
  <c r="J2511" i="2"/>
  <c r="L2510" i="2"/>
  <c r="K2510" i="2"/>
  <c r="J2510" i="2"/>
  <c r="L2509" i="2"/>
  <c r="K2509" i="2"/>
  <c r="J2509" i="2"/>
  <c r="L2508" i="2"/>
  <c r="K2508" i="2"/>
  <c r="J2508" i="2"/>
  <c r="L2507" i="2"/>
  <c r="K2507" i="2"/>
  <c r="J2507" i="2"/>
  <c r="L2506" i="2"/>
  <c r="K2506" i="2"/>
  <c r="J2506" i="2"/>
  <c r="L2505" i="2"/>
  <c r="K2505" i="2"/>
  <c r="J2505" i="2"/>
  <c r="L2504" i="2"/>
  <c r="K2504" i="2"/>
  <c r="J2504" i="2"/>
  <c r="L2503" i="2"/>
  <c r="K2503" i="2"/>
  <c r="J2503" i="2"/>
  <c r="L2502" i="2"/>
  <c r="K2502" i="2"/>
  <c r="J2502" i="2"/>
  <c r="L2501" i="2"/>
  <c r="K2501" i="2"/>
  <c r="J2501" i="2"/>
  <c r="L2500" i="2"/>
  <c r="K2500" i="2"/>
  <c r="J2500" i="2"/>
  <c r="L2499" i="2"/>
  <c r="K2499" i="2"/>
  <c r="J2499" i="2"/>
  <c r="L2498" i="2"/>
  <c r="K2498" i="2"/>
  <c r="J2498" i="2"/>
  <c r="L2497" i="2"/>
  <c r="K2497" i="2"/>
  <c r="J2497" i="2"/>
  <c r="L2496" i="2"/>
  <c r="K2496" i="2"/>
  <c r="J2496" i="2"/>
  <c r="L2495" i="2"/>
  <c r="K2495" i="2"/>
  <c r="J2495" i="2"/>
  <c r="L2494" i="2"/>
  <c r="K2494" i="2"/>
  <c r="J2494" i="2"/>
  <c r="L2493" i="2"/>
  <c r="K2493" i="2"/>
  <c r="J2493" i="2"/>
  <c r="L2492" i="2"/>
  <c r="K2492" i="2"/>
  <c r="J2492" i="2"/>
  <c r="L2491" i="2"/>
  <c r="K2491" i="2"/>
  <c r="J2491" i="2"/>
  <c r="L2490" i="2"/>
  <c r="K2490" i="2"/>
  <c r="J2490" i="2"/>
  <c r="L2489" i="2"/>
  <c r="K2489" i="2"/>
  <c r="J2489" i="2"/>
  <c r="L2488" i="2"/>
  <c r="K2488" i="2"/>
  <c r="J2488" i="2"/>
  <c r="L2487" i="2"/>
  <c r="K2487" i="2"/>
  <c r="J2487" i="2"/>
  <c r="L2486" i="2"/>
  <c r="K2486" i="2"/>
  <c r="J2486" i="2"/>
  <c r="L2485" i="2"/>
  <c r="K2485" i="2"/>
  <c r="J2485" i="2"/>
  <c r="L2484" i="2"/>
  <c r="K2484" i="2"/>
  <c r="J2484" i="2"/>
  <c r="L2483" i="2"/>
  <c r="K2483" i="2"/>
  <c r="J2483" i="2"/>
  <c r="L2482" i="2"/>
  <c r="K2482" i="2"/>
  <c r="J2482" i="2"/>
  <c r="L2481" i="2"/>
  <c r="K2481" i="2"/>
  <c r="J2481" i="2"/>
  <c r="L2480" i="2"/>
  <c r="K2480" i="2"/>
  <c r="J2480" i="2"/>
  <c r="L2479" i="2"/>
  <c r="K2479" i="2"/>
  <c r="J2479" i="2"/>
  <c r="L2478" i="2"/>
  <c r="K2478" i="2"/>
  <c r="J2478" i="2"/>
  <c r="L2477" i="2"/>
  <c r="K2477" i="2"/>
  <c r="J2477" i="2"/>
  <c r="L2476" i="2"/>
  <c r="K2476" i="2"/>
  <c r="J2476" i="2"/>
  <c r="L2475" i="2"/>
  <c r="K2475" i="2"/>
  <c r="J2475" i="2"/>
  <c r="L2474" i="2"/>
  <c r="K2474" i="2"/>
  <c r="J2474" i="2"/>
  <c r="L2473" i="2"/>
  <c r="K2473" i="2"/>
  <c r="J2473" i="2"/>
  <c r="L2472" i="2"/>
  <c r="K2472" i="2"/>
  <c r="J2472" i="2"/>
  <c r="L2471" i="2"/>
  <c r="K2471" i="2"/>
  <c r="J2471" i="2"/>
  <c r="L2470" i="2"/>
  <c r="K2470" i="2"/>
  <c r="J2470" i="2"/>
  <c r="L2469" i="2"/>
  <c r="K2469" i="2"/>
  <c r="J2469" i="2"/>
  <c r="L2468" i="2"/>
  <c r="K2468" i="2"/>
  <c r="J2468" i="2"/>
  <c r="L2467" i="2"/>
  <c r="K2467" i="2"/>
  <c r="J2467" i="2"/>
  <c r="L2466" i="2"/>
  <c r="K2466" i="2"/>
  <c r="J2466" i="2"/>
  <c r="L2465" i="2"/>
  <c r="K2465" i="2"/>
  <c r="J2465" i="2"/>
  <c r="L2464" i="2"/>
  <c r="K2464" i="2"/>
  <c r="J2464" i="2"/>
  <c r="L2463" i="2"/>
  <c r="K2463" i="2"/>
  <c r="J2463" i="2"/>
  <c r="L2462" i="2"/>
  <c r="K2462" i="2"/>
  <c r="J2462" i="2"/>
  <c r="L2461" i="2"/>
  <c r="K2461" i="2"/>
  <c r="J2461" i="2"/>
  <c r="L2460" i="2"/>
  <c r="K2460" i="2"/>
  <c r="J2460" i="2"/>
  <c r="L2459" i="2"/>
  <c r="K2459" i="2"/>
  <c r="J2459" i="2"/>
  <c r="L2458" i="2"/>
  <c r="K2458" i="2"/>
  <c r="J2458" i="2"/>
  <c r="L2457" i="2"/>
  <c r="K2457" i="2"/>
  <c r="J2457" i="2"/>
  <c r="L2456" i="2"/>
  <c r="K2456" i="2"/>
  <c r="J2456" i="2"/>
  <c r="L2455" i="2"/>
  <c r="K2455" i="2"/>
  <c r="J2455" i="2"/>
  <c r="L2454" i="2"/>
  <c r="K2454" i="2"/>
  <c r="J2454" i="2"/>
  <c r="L2453" i="2"/>
  <c r="K2453" i="2"/>
  <c r="J2453" i="2"/>
  <c r="L2452" i="2"/>
  <c r="K2452" i="2"/>
  <c r="J2452" i="2"/>
  <c r="L2451" i="2"/>
  <c r="K2451" i="2"/>
  <c r="J2451" i="2"/>
  <c r="L2450" i="2"/>
  <c r="K2450" i="2"/>
  <c r="J2450" i="2"/>
  <c r="L2449" i="2"/>
  <c r="K2449" i="2"/>
  <c r="J2449" i="2"/>
  <c r="L2448" i="2"/>
  <c r="K2448" i="2"/>
  <c r="J2448" i="2"/>
  <c r="L2447" i="2"/>
  <c r="K2447" i="2"/>
  <c r="J2447" i="2"/>
  <c r="L2446" i="2"/>
  <c r="K2446" i="2"/>
  <c r="J2446" i="2"/>
  <c r="L2445" i="2"/>
  <c r="K2445" i="2"/>
  <c r="J2445" i="2"/>
  <c r="L2444" i="2"/>
  <c r="K2444" i="2"/>
  <c r="J2444" i="2"/>
  <c r="L2443" i="2"/>
  <c r="K2443" i="2"/>
  <c r="J2443" i="2"/>
  <c r="L2442" i="2"/>
  <c r="K2442" i="2"/>
  <c r="J2442" i="2"/>
  <c r="L2441" i="2"/>
  <c r="K2441" i="2"/>
  <c r="J2441" i="2"/>
  <c r="L2440" i="2"/>
  <c r="K2440" i="2"/>
  <c r="J2440" i="2"/>
  <c r="L2439" i="2"/>
  <c r="K2439" i="2"/>
  <c r="J2439" i="2"/>
  <c r="L2438" i="2"/>
  <c r="K2438" i="2"/>
  <c r="J2438" i="2"/>
  <c r="L2437" i="2"/>
  <c r="K2437" i="2"/>
  <c r="J2437" i="2"/>
  <c r="L2436" i="2"/>
  <c r="K2436" i="2"/>
  <c r="J2436" i="2"/>
  <c r="L2435" i="2"/>
  <c r="K2435" i="2"/>
  <c r="J2435" i="2"/>
  <c r="L2434" i="2"/>
  <c r="K2434" i="2"/>
  <c r="J2434" i="2"/>
  <c r="L2433" i="2"/>
  <c r="K2433" i="2"/>
  <c r="J2433" i="2"/>
  <c r="L2432" i="2"/>
  <c r="K2432" i="2"/>
  <c r="J2432" i="2"/>
  <c r="L2431" i="2"/>
  <c r="K2431" i="2"/>
  <c r="J2431" i="2"/>
  <c r="L2430" i="2"/>
  <c r="K2430" i="2"/>
  <c r="J2430" i="2"/>
  <c r="L2429" i="2"/>
  <c r="K2429" i="2"/>
  <c r="J2429" i="2"/>
  <c r="L2428" i="2"/>
  <c r="K2428" i="2"/>
  <c r="J2428" i="2"/>
  <c r="L2427" i="2"/>
  <c r="K2427" i="2"/>
  <c r="J2427" i="2"/>
  <c r="L2426" i="2"/>
  <c r="K2426" i="2"/>
  <c r="J2426" i="2"/>
  <c r="L2425" i="2"/>
  <c r="K2425" i="2"/>
  <c r="J2425" i="2"/>
  <c r="L2424" i="2"/>
  <c r="K2424" i="2"/>
  <c r="J2424" i="2"/>
  <c r="L2423" i="2"/>
  <c r="K2423" i="2"/>
  <c r="J2423" i="2"/>
  <c r="L2422" i="2"/>
  <c r="K2422" i="2"/>
  <c r="J2422" i="2"/>
  <c r="L2421" i="2"/>
  <c r="K2421" i="2"/>
  <c r="J2421" i="2"/>
  <c r="L2420" i="2"/>
  <c r="K2420" i="2"/>
  <c r="J2420" i="2"/>
  <c r="L2419" i="2"/>
  <c r="K2419" i="2"/>
  <c r="J2419" i="2"/>
  <c r="L2418" i="2"/>
  <c r="K2418" i="2"/>
  <c r="J2418" i="2"/>
  <c r="L2417" i="2"/>
  <c r="K2417" i="2"/>
  <c r="J2417" i="2"/>
  <c r="L2416" i="2"/>
  <c r="K2416" i="2"/>
  <c r="J2416" i="2"/>
  <c r="L2415" i="2"/>
  <c r="K2415" i="2"/>
  <c r="J2415" i="2"/>
  <c r="L2414" i="2"/>
  <c r="K2414" i="2"/>
  <c r="J2414" i="2"/>
  <c r="L2413" i="2"/>
  <c r="K2413" i="2"/>
  <c r="J2413" i="2"/>
  <c r="L2412" i="2"/>
  <c r="K2412" i="2"/>
  <c r="J2412" i="2"/>
  <c r="L2411" i="2"/>
  <c r="K2411" i="2"/>
  <c r="J2411" i="2"/>
  <c r="L2410" i="2"/>
  <c r="K2410" i="2"/>
  <c r="J2410" i="2"/>
  <c r="L2409" i="2"/>
  <c r="K2409" i="2"/>
  <c r="J2409" i="2"/>
  <c r="L2408" i="2"/>
  <c r="K2408" i="2"/>
  <c r="J2408" i="2"/>
  <c r="L2407" i="2"/>
  <c r="K2407" i="2"/>
  <c r="J2407" i="2"/>
  <c r="L2406" i="2"/>
  <c r="K2406" i="2"/>
  <c r="J2406" i="2"/>
  <c r="L2405" i="2"/>
  <c r="K2405" i="2"/>
  <c r="J2405" i="2"/>
  <c r="L2404" i="2"/>
  <c r="K2404" i="2"/>
  <c r="J2404" i="2"/>
  <c r="L2403" i="2"/>
  <c r="K2403" i="2"/>
  <c r="J2403" i="2"/>
  <c r="L2402" i="2"/>
  <c r="K2402" i="2"/>
  <c r="J2402" i="2"/>
  <c r="L2401" i="2"/>
  <c r="K2401" i="2"/>
  <c r="J2401" i="2"/>
  <c r="L2400" i="2"/>
  <c r="K2400" i="2"/>
  <c r="J2400" i="2"/>
  <c r="L2399" i="2"/>
  <c r="K2399" i="2"/>
  <c r="J2399" i="2"/>
  <c r="L2398" i="2"/>
  <c r="K2398" i="2"/>
  <c r="J2398" i="2"/>
  <c r="L2397" i="2"/>
  <c r="K2397" i="2"/>
  <c r="J2397" i="2"/>
  <c r="L2396" i="2"/>
  <c r="K2396" i="2"/>
  <c r="J2396" i="2"/>
  <c r="L2395" i="2"/>
  <c r="K2395" i="2"/>
  <c r="J2395" i="2"/>
  <c r="L2394" i="2"/>
  <c r="K2394" i="2"/>
  <c r="J2394" i="2"/>
  <c r="L2393" i="2"/>
  <c r="K2393" i="2"/>
  <c r="J2393" i="2"/>
  <c r="L2392" i="2"/>
  <c r="K2392" i="2"/>
  <c r="J2392" i="2"/>
  <c r="L2391" i="2"/>
  <c r="K2391" i="2"/>
  <c r="J2391" i="2"/>
  <c r="L2390" i="2"/>
  <c r="K2390" i="2"/>
  <c r="J2390" i="2"/>
  <c r="L2389" i="2"/>
  <c r="K2389" i="2"/>
  <c r="J2389" i="2"/>
  <c r="L2388" i="2"/>
  <c r="K2388" i="2"/>
  <c r="J2388" i="2"/>
  <c r="L2387" i="2"/>
  <c r="K2387" i="2"/>
  <c r="J2387" i="2"/>
  <c r="L2386" i="2"/>
  <c r="K2386" i="2"/>
  <c r="J2386" i="2"/>
  <c r="L2385" i="2"/>
  <c r="K2385" i="2"/>
  <c r="J2385" i="2"/>
  <c r="L2384" i="2"/>
  <c r="K2384" i="2"/>
  <c r="J2384" i="2"/>
  <c r="L2383" i="2"/>
  <c r="K2383" i="2"/>
  <c r="J2383" i="2"/>
  <c r="L2382" i="2"/>
  <c r="K2382" i="2"/>
  <c r="J2382" i="2"/>
  <c r="L2381" i="2"/>
  <c r="K2381" i="2"/>
  <c r="J2381" i="2"/>
  <c r="L2380" i="2"/>
  <c r="K2380" i="2"/>
  <c r="J2380" i="2"/>
  <c r="L2379" i="2"/>
  <c r="K2379" i="2"/>
  <c r="J2379" i="2"/>
  <c r="L2378" i="2"/>
  <c r="K2378" i="2"/>
  <c r="J2378" i="2"/>
  <c r="L2377" i="2"/>
  <c r="K2377" i="2"/>
  <c r="J2377" i="2"/>
  <c r="L2376" i="2"/>
  <c r="K2376" i="2"/>
  <c r="J2376" i="2"/>
  <c r="L2375" i="2"/>
  <c r="K2375" i="2"/>
  <c r="J2375" i="2"/>
  <c r="L2374" i="2"/>
  <c r="K2374" i="2"/>
  <c r="J2374" i="2"/>
  <c r="L2373" i="2"/>
  <c r="K2373" i="2"/>
  <c r="J2373" i="2"/>
  <c r="L2372" i="2"/>
  <c r="K2372" i="2"/>
  <c r="J2372" i="2"/>
  <c r="L2371" i="2"/>
  <c r="K2371" i="2"/>
  <c r="J2371" i="2"/>
  <c r="L2370" i="2"/>
  <c r="K2370" i="2"/>
  <c r="J2370" i="2"/>
  <c r="L2369" i="2"/>
  <c r="K2369" i="2"/>
  <c r="J2369" i="2"/>
  <c r="L2368" i="2"/>
  <c r="K2368" i="2"/>
  <c r="J2368" i="2"/>
  <c r="L2367" i="2"/>
  <c r="K2367" i="2"/>
  <c r="J2367" i="2"/>
  <c r="L2366" i="2"/>
  <c r="K2366" i="2"/>
  <c r="J2366" i="2"/>
  <c r="L2365" i="2"/>
  <c r="K2365" i="2"/>
  <c r="J2365" i="2"/>
  <c r="L2364" i="2"/>
  <c r="K2364" i="2"/>
  <c r="J2364" i="2"/>
  <c r="L2363" i="2"/>
  <c r="K2363" i="2"/>
  <c r="J2363" i="2"/>
  <c r="L2362" i="2"/>
  <c r="K2362" i="2"/>
  <c r="J2362" i="2"/>
  <c r="L2361" i="2"/>
  <c r="K2361" i="2"/>
  <c r="J2361" i="2"/>
  <c r="L2360" i="2"/>
  <c r="K2360" i="2"/>
  <c r="J2360" i="2"/>
  <c r="L2359" i="2"/>
  <c r="K2359" i="2"/>
  <c r="J2359" i="2"/>
  <c r="L2358" i="2"/>
  <c r="K2358" i="2"/>
  <c r="J2358" i="2"/>
  <c r="L2357" i="2"/>
  <c r="K2357" i="2"/>
  <c r="J2357" i="2"/>
  <c r="L2356" i="2"/>
  <c r="K2356" i="2"/>
  <c r="J2356" i="2"/>
  <c r="L2355" i="2"/>
  <c r="K2355" i="2"/>
  <c r="J2355" i="2"/>
  <c r="L2354" i="2"/>
  <c r="K2354" i="2"/>
  <c r="J2354" i="2"/>
  <c r="L2353" i="2"/>
  <c r="K2353" i="2"/>
  <c r="J2353" i="2"/>
  <c r="L2352" i="2"/>
  <c r="K2352" i="2"/>
  <c r="J2352" i="2"/>
  <c r="L2351" i="2"/>
  <c r="K2351" i="2"/>
  <c r="J2351" i="2"/>
  <c r="L2350" i="2"/>
  <c r="K2350" i="2"/>
  <c r="J2350" i="2"/>
  <c r="L2349" i="2"/>
  <c r="K2349" i="2"/>
  <c r="J2349" i="2"/>
  <c r="L2348" i="2"/>
  <c r="K2348" i="2"/>
  <c r="J2348" i="2"/>
  <c r="L2347" i="2"/>
  <c r="K2347" i="2"/>
  <c r="J2347" i="2"/>
  <c r="L2346" i="2"/>
  <c r="K2346" i="2"/>
  <c r="J2346" i="2"/>
  <c r="L2345" i="2"/>
  <c r="K2345" i="2"/>
  <c r="J2345" i="2"/>
  <c r="L2344" i="2"/>
  <c r="K2344" i="2"/>
  <c r="J2344" i="2"/>
  <c r="L2343" i="2"/>
  <c r="K2343" i="2"/>
  <c r="J2343" i="2"/>
  <c r="L2342" i="2"/>
  <c r="K2342" i="2"/>
  <c r="J2342" i="2"/>
  <c r="L2341" i="2"/>
  <c r="K2341" i="2"/>
  <c r="J2341" i="2"/>
  <c r="L2340" i="2"/>
  <c r="K2340" i="2"/>
  <c r="J2340" i="2"/>
  <c r="L2339" i="2"/>
  <c r="K2339" i="2"/>
  <c r="J2339" i="2"/>
  <c r="L2338" i="2"/>
  <c r="K2338" i="2"/>
  <c r="J2338" i="2"/>
  <c r="L2337" i="2"/>
  <c r="K2337" i="2"/>
  <c r="J2337" i="2"/>
  <c r="L2336" i="2"/>
  <c r="K2336" i="2"/>
  <c r="J2336" i="2"/>
  <c r="L2335" i="2"/>
  <c r="K2335" i="2"/>
  <c r="J2335" i="2"/>
  <c r="L2334" i="2"/>
  <c r="K2334" i="2"/>
  <c r="J2334" i="2"/>
  <c r="L2333" i="2"/>
  <c r="K2333" i="2"/>
  <c r="J2333" i="2"/>
  <c r="L2332" i="2"/>
  <c r="K2332" i="2"/>
  <c r="J2332" i="2"/>
  <c r="L2331" i="2"/>
  <c r="K2331" i="2"/>
  <c r="J2331" i="2"/>
  <c r="L2330" i="2"/>
  <c r="K2330" i="2"/>
  <c r="J2330" i="2"/>
  <c r="L2329" i="2"/>
  <c r="K2329" i="2"/>
  <c r="J2329" i="2"/>
  <c r="L2328" i="2"/>
  <c r="K2328" i="2"/>
  <c r="J2328" i="2"/>
  <c r="L2327" i="2"/>
  <c r="K2327" i="2"/>
  <c r="J2327" i="2"/>
  <c r="L2326" i="2"/>
  <c r="K2326" i="2"/>
  <c r="J2326" i="2"/>
  <c r="L2325" i="2"/>
  <c r="K2325" i="2"/>
  <c r="J2325" i="2"/>
  <c r="L2324" i="2"/>
  <c r="K2324" i="2"/>
  <c r="J2324" i="2"/>
  <c r="L2323" i="2"/>
  <c r="K2323" i="2"/>
  <c r="J2323" i="2"/>
  <c r="L2322" i="2"/>
  <c r="K2322" i="2"/>
  <c r="J2322" i="2"/>
  <c r="L2321" i="2"/>
  <c r="K2321" i="2"/>
  <c r="J2321" i="2"/>
  <c r="L2320" i="2"/>
  <c r="K2320" i="2"/>
  <c r="J2320" i="2"/>
  <c r="L2319" i="2"/>
  <c r="K2319" i="2"/>
  <c r="J2319" i="2"/>
  <c r="L2318" i="2"/>
  <c r="K2318" i="2"/>
  <c r="J2318" i="2"/>
  <c r="L2317" i="2"/>
  <c r="K2317" i="2"/>
  <c r="J2317" i="2"/>
  <c r="L2316" i="2"/>
  <c r="K2316" i="2"/>
  <c r="J2316" i="2"/>
  <c r="L2315" i="2"/>
  <c r="K2315" i="2"/>
  <c r="J2315" i="2"/>
  <c r="L2314" i="2"/>
  <c r="K2314" i="2"/>
  <c r="J2314" i="2"/>
  <c r="L2313" i="2"/>
  <c r="K2313" i="2"/>
  <c r="J2313" i="2"/>
  <c r="L2312" i="2"/>
  <c r="K2312" i="2"/>
  <c r="J2312" i="2"/>
  <c r="L2311" i="2"/>
  <c r="K2311" i="2"/>
  <c r="J2311" i="2"/>
  <c r="L2310" i="2"/>
  <c r="K2310" i="2"/>
  <c r="J2310" i="2"/>
  <c r="L2309" i="2"/>
  <c r="K2309" i="2"/>
  <c r="J2309" i="2"/>
  <c r="L2308" i="2"/>
  <c r="K2308" i="2"/>
  <c r="J2308" i="2"/>
  <c r="L2307" i="2"/>
  <c r="K2307" i="2"/>
  <c r="J2307" i="2"/>
  <c r="L2306" i="2"/>
  <c r="K2306" i="2"/>
  <c r="J2306" i="2"/>
  <c r="L2305" i="2"/>
  <c r="K2305" i="2"/>
  <c r="J2305" i="2"/>
  <c r="L2304" i="2"/>
  <c r="K2304" i="2"/>
  <c r="J2304" i="2"/>
  <c r="L2303" i="2"/>
  <c r="K2303" i="2"/>
  <c r="J2303" i="2"/>
  <c r="L2302" i="2"/>
  <c r="K2302" i="2"/>
  <c r="J2302" i="2"/>
  <c r="L2301" i="2"/>
  <c r="K2301" i="2"/>
  <c r="J2301" i="2"/>
  <c r="L2300" i="2"/>
  <c r="K2300" i="2"/>
  <c r="J2300" i="2"/>
  <c r="L2299" i="2"/>
  <c r="K2299" i="2"/>
  <c r="J2299" i="2"/>
  <c r="L2298" i="2"/>
  <c r="K2298" i="2"/>
  <c r="J2298" i="2"/>
  <c r="L2297" i="2"/>
  <c r="K2297" i="2"/>
  <c r="J2297" i="2"/>
  <c r="L2296" i="2"/>
  <c r="K2296" i="2"/>
  <c r="J2296" i="2"/>
  <c r="L2295" i="2"/>
  <c r="K2295" i="2"/>
  <c r="J2295" i="2"/>
  <c r="L2294" i="2"/>
  <c r="K2294" i="2"/>
  <c r="J2294" i="2"/>
  <c r="L2293" i="2"/>
  <c r="K2293" i="2"/>
  <c r="J2293" i="2"/>
  <c r="L2292" i="2"/>
  <c r="K2292" i="2"/>
  <c r="J2292" i="2"/>
  <c r="L2291" i="2"/>
  <c r="K2291" i="2"/>
  <c r="J2291" i="2"/>
  <c r="L2290" i="2"/>
  <c r="K2290" i="2"/>
  <c r="J2290" i="2"/>
  <c r="L2289" i="2"/>
  <c r="K2289" i="2"/>
  <c r="J2289" i="2"/>
  <c r="L2288" i="2"/>
  <c r="K2288" i="2"/>
  <c r="J2288" i="2"/>
  <c r="L2287" i="2"/>
  <c r="K2287" i="2"/>
  <c r="J2287" i="2"/>
  <c r="L2286" i="2"/>
  <c r="K2286" i="2"/>
  <c r="J2286" i="2"/>
  <c r="L2285" i="2"/>
  <c r="K2285" i="2"/>
  <c r="J2285" i="2"/>
  <c r="L2284" i="2"/>
  <c r="K2284" i="2"/>
  <c r="J2284" i="2"/>
  <c r="L2283" i="2"/>
  <c r="K2283" i="2"/>
  <c r="J2283" i="2"/>
  <c r="L2282" i="2"/>
  <c r="K2282" i="2"/>
  <c r="J2282" i="2"/>
  <c r="L2281" i="2"/>
  <c r="K2281" i="2"/>
  <c r="J2281" i="2"/>
  <c r="L2280" i="2"/>
  <c r="K2280" i="2"/>
  <c r="J2280" i="2"/>
  <c r="L2279" i="2"/>
  <c r="K2279" i="2"/>
  <c r="J2279" i="2"/>
  <c r="L2278" i="2"/>
  <c r="K2278" i="2"/>
  <c r="J2278" i="2"/>
  <c r="L2277" i="2"/>
  <c r="K2277" i="2"/>
  <c r="J2277" i="2"/>
  <c r="L2276" i="2"/>
  <c r="K2276" i="2"/>
  <c r="J2276" i="2"/>
  <c r="L2275" i="2"/>
  <c r="K2275" i="2"/>
  <c r="J2275" i="2"/>
  <c r="L2274" i="2"/>
  <c r="K2274" i="2"/>
  <c r="J2274" i="2"/>
  <c r="L2273" i="2"/>
  <c r="K2273" i="2"/>
  <c r="J2273" i="2"/>
  <c r="L2272" i="2"/>
  <c r="K2272" i="2"/>
  <c r="J2272" i="2"/>
  <c r="L2271" i="2"/>
  <c r="K2271" i="2"/>
  <c r="J2271" i="2"/>
  <c r="L2270" i="2"/>
  <c r="K2270" i="2"/>
  <c r="J2270" i="2"/>
  <c r="L2269" i="2"/>
  <c r="K2269" i="2"/>
  <c r="J2269" i="2"/>
  <c r="L2268" i="2"/>
  <c r="K2268" i="2"/>
  <c r="J2268" i="2"/>
  <c r="L2267" i="2"/>
  <c r="K2267" i="2"/>
  <c r="J2267" i="2"/>
  <c r="L2266" i="2"/>
  <c r="K2266" i="2"/>
  <c r="J2266" i="2"/>
  <c r="L2265" i="2"/>
  <c r="K2265" i="2"/>
  <c r="J2265" i="2"/>
  <c r="L2264" i="2"/>
  <c r="K2264" i="2"/>
  <c r="J2264" i="2"/>
  <c r="L2263" i="2"/>
  <c r="K2263" i="2"/>
  <c r="J2263" i="2"/>
  <c r="L2262" i="2"/>
  <c r="K2262" i="2"/>
  <c r="J2262" i="2"/>
  <c r="L2261" i="2"/>
  <c r="K2261" i="2"/>
  <c r="J2261" i="2"/>
  <c r="L2260" i="2"/>
  <c r="K2260" i="2"/>
  <c r="J2260" i="2"/>
  <c r="L2259" i="2"/>
  <c r="K2259" i="2"/>
  <c r="J2259" i="2"/>
  <c r="L2258" i="2"/>
  <c r="K2258" i="2"/>
  <c r="J2258" i="2"/>
  <c r="L2257" i="2"/>
  <c r="K2257" i="2"/>
  <c r="J2257" i="2"/>
  <c r="L2256" i="2"/>
  <c r="K2256" i="2"/>
  <c r="J2256" i="2"/>
  <c r="L2255" i="2"/>
  <c r="K2255" i="2"/>
  <c r="J2255" i="2"/>
  <c r="L2254" i="2"/>
  <c r="K2254" i="2"/>
  <c r="J2254" i="2"/>
  <c r="L2253" i="2"/>
  <c r="K2253" i="2"/>
  <c r="J2253" i="2"/>
  <c r="L2252" i="2"/>
  <c r="K2252" i="2"/>
  <c r="J2252" i="2"/>
  <c r="L2251" i="2"/>
  <c r="K2251" i="2"/>
  <c r="J2251" i="2"/>
  <c r="L2250" i="2"/>
  <c r="K2250" i="2"/>
  <c r="J2250" i="2"/>
  <c r="L2249" i="2"/>
  <c r="K2249" i="2"/>
  <c r="J2249" i="2"/>
  <c r="L2248" i="2"/>
  <c r="K2248" i="2"/>
  <c r="J2248" i="2"/>
  <c r="L2247" i="2"/>
  <c r="K2247" i="2"/>
  <c r="J2247" i="2"/>
  <c r="L2246" i="2"/>
  <c r="K2246" i="2"/>
  <c r="J2246" i="2"/>
  <c r="L2245" i="2"/>
  <c r="K2245" i="2"/>
  <c r="J2245" i="2"/>
  <c r="L2244" i="2"/>
  <c r="K2244" i="2"/>
  <c r="J2244" i="2"/>
  <c r="L2243" i="2"/>
  <c r="K2243" i="2"/>
  <c r="J2243" i="2"/>
  <c r="L2242" i="2"/>
  <c r="K2242" i="2"/>
  <c r="J2242" i="2"/>
  <c r="L2241" i="2"/>
  <c r="K2241" i="2"/>
  <c r="J2241" i="2"/>
  <c r="L2240" i="2"/>
  <c r="K2240" i="2"/>
  <c r="J2240" i="2"/>
  <c r="L2239" i="2"/>
  <c r="K2239" i="2"/>
  <c r="J2239" i="2"/>
  <c r="L2238" i="2"/>
  <c r="K2238" i="2"/>
  <c r="J2238" i="2"/>
  <c r="L2237" i="2"/>
  <c r="K2237" i="2"/>
  <c r="J2237" i="2"/>
  <c r="L2236" i="2"/>
  <c r="K2236" i="2"/>
  <c r="J2236" i="2"/>
  <c r="L2235" i="2"/>
  <c r="K2235" i="2"/>
  <c r="J2235" i="2"/>
  <c r="L2234" i="2"/>
  <c r="K2234" i="2"/>
  <c r="J2234" i="2"/>
  <c r="L2233" i="2"/>
  <c r="K2233" i="2"/>
  <c r="J2233" i="2"/>
  <c r="L2232" i="2"/>
  <c r="K2232" i="2"/>
  <c r="J2232" i="2"/>
  <c r="L2231" i="2"/>
  <c r="K2231" i="2"/>
  <c r="J2231" i="2"/>
  <c r="L2230" i="2"/>
  <c r="K2230" i="2"/>
  <c r="J2230" i="2"/>
  <c r="L2229" i="2"/>
  <c r="K2229" i="2"/>
  <c r="J2229" i="2"/>
  <c r="L2228" i="2"/>
  <c r="K2228" i="2"/>
  <c r="J2228" i="2"/>
  <c r="L2227" i="2"/>
  <c r="K2227" i="2"/>
  <c r="J2227" i="2"/>
  <c r="L2226" i="2"/>
  <c r="K2226" i="2"/>
  <c r="J2226" i="2"/>
  <c r="L2225" i="2"/>
  <c r="K2225" i="2"/>
  <c r="J2225" i="2"/>
  <c r="L2224" i="2"/>
  <c r="K2224" i="2"/>
  <c r="J2224" i="2"/>
  <c r="L2223" i="2"/>
  <c r="K2223" i="2"/>
  <c r="J2223" i="2"/>
  <c r="L2222" i="2"/>
  <c r="K2222" i="2"/>
  <c r="J2222" i="2"/>
  <c r="L2221" i="2"/>
  <c r="K2221" i="2"/>
  <c r="J2221" i="2"/>
  <c r="L2220" i="2"/>
  <c r="K2220" i="2"/>
  <c r="J2220" i="2"/>
  <c r="L2219" i="2"/>
  <c r="K2219" i="2"/>
  <c r="J2219" i="2"/>
  <c r="L2218" i="2"/>
  <c r="K2218" i="2"/>
  <c r="J2218" i="2"/>
  <c r="L2217" i="2"/>
  <c r="K2217" i="2"/>
  <c r="J2217" i="2"/>
  <c r="L2216" i="2"/>
  <c r="K2216" i="2"/>
  <c r="J2216" i="2"/>
  <c r="L2215" i="2"/>
  <c r="K2215" i="2"/>
  <c r="J2215" i="2"/>
  <c r="L2214" i="2"/>
  <c r="K2214" i="2"/>
  <c r="J2214" i="2"/>
  <c r="L2213" i="2"/>
  <c r="K2213" i="2"/>
  <c r="J2213" i="2"/>
  <c r="L2212" i="2"/>
  <c r="K2212" i="2"/>
  <c r="J2212" i="2"/>
  <c r="L2211" i="2"/>
  <c r="K2211" i="2"/>
  <c r="J2211" i="2"/>
  <c r="L2210" i="2"/>
  <c r="K2210" i="2"/>
  <c r="J2210" i="2"/>
  <c r="L2209" i="2"/>
  <c r="K2209" i="2"/>
  <c r="J2209" i="2"/>
  <c r="L2208" i="2"/>
  <c r="K2208" i="2"/>
  <c r="J2208" i="2"/>
  <c r="L2207" i="2"/>
  <c r="K2207" i="2"/>
  <c r="J2207" i="2"/>
  <c r="L2206" i="2"/>
  <c r="K2206" i="2"/>
  <c r="J2206" i="2"/>
  <c r="L2205" i="2"/>
  <c r="K2205" i="2"/>
  <c r="J2205" i="2"/>
  <c r="L2204" i="2"/>
  <c r="K2204" i="2"/>
  <c r="J2204" i="2"/>
  <c r="L2203" i="2"/>
  <c r="K2203" i="2"/>
  <c r="J2203" i="2"/>
  <c r="L2202" i="2"/>
  <c r="K2202" i="2"/>
  <c r="J2202" i="2"/>
  <c r="L2201" i="2"/>
  <c r="K2201" i="2"/>
  <c r="J2201" i="2"/>
  <c r="L2200" i="2"/>
  <c r="K2200" i="2"/>
  <c r="J2200" i="2"/>
  <c r="L2199" i="2"/>
  <c r="K2199" i="2"/>
  <c r="J2199" i="2"/>
  <c r="L2198" i="2"/>
  <c r="K2198" i="2"/>
  <c r="J2198" i="2"/>
  <c r="L2197" i="2"/>
  <c r="K2197" i="2"/>
  <c r="J2197" i="2"/>
  <c r="L2196" i="2"/>
  <c r="K2196" i="2"/>
  <c r="J2196" i="2"/>
  <c r="L2195" i="2"/>
  <c r="K2195" i="2"/>
  <c r="J2195" i="2"/>
  <c r="L2194" i="2"/>
  <c r="K2194" i="2"/>
  <c r="J2194" i="2"/>
  <c r="L2193" i="2"/>
  <c r="K2193" i="2"/>
  <c r="J2193" i="2"/>
  <c r="L2192" i="2"/>
  <c r="K2192" i="2"/>
  <c r="J2192" i="2"/>
  <c r="L2191" i="2"/>
  <c r="K2191" i="2"/>
  <c r="J2191" i="2"/>
  <c r="L2190" i="2"/>
  <c r="K2190" i="2"/>
  <c r="J2190" i="2"/>
  <c r="L2189" i="2"/>
  <c r="K2189" i="2"/>
  <c r="J2189" i="2"/>
  <c r="L2188" i="2"/>
  <c r="K2188" i="2"/>
  <c r="J2188" i="2"/>
  <c r="L2187" i="2"/>
  <c r="K2187" i="2"/>
  <c r="J2187" i="2"/>
  <c r="L2186" i="2"/>
  <c r="K2186" i="2"/>
  <c r="J2186" i="2"/>
  <c r="L2185" i="2"/>
  <c r="K2185" i="2"/>
  <c r="J2185" i="2"/>
  <c r="L2184" i="2"/>
  <c r="K2184" i="2"/>
  <c r="J2184" i="2"/>
  <c r="L2183" i="2"/>
  <c r="K2183" i="2"/>
  <c r="J2183" i="2"/>
  <c r="L2182" i="2"/>
  <c r="K2182" i="2"/>
  <c r="J2182" i="2"/>
  <c r="L2181" i="2"/>
  <c r="K2181" i="2"/>
  <c r="J2181" i="2"/>
  <c r="L2180" i="2"/>
  <c r="K2180" i="2"/>
  <c r="J2180" i="2"/>
  <c r="L2179" i="2"/>
  <c r="K2179" i="2"/>
  <c r="J2179" i="2"/>
  <c r="L2178" i="2"/>
  <c r="K2178" i="2"/>
  <c r="J2178" i="2"/>
  <c r="L2177" i="2"/>
  <c r="K2177" i="2"/>
  <c r="J2177" i="2"/>
  <c r="L2176" i="2"/>
  <c r="K2176" i="2"/>
  <c r="J2176" i="2"/>
  <c r="L2175" i="2"/>
  <c r="K2175" i="2"/>
  <c r="J2175" i="2"/>
  <c r="L2174" i="2"/>
  <c r="K2174" i="2"/>
  <c r="J2174" i="2"/>
  <c r="L2173" i="2"/>
  <c r="K2173" i="2"/>
  <c r="J2173" i="2"/>
  <c r="L2172" i="2"/>
  <c r="K2172" i="2"/>
  <c r="J2172" i="2"/>
  <c r="L2171" i="2"/>
  <c r="K2171" i="2"/>
  <c r="J2171" i="2"/>
  <c r="L2170" i="2"/>
  <c r="K2170" i="2"/>
  <c r="J2170" i="2"/>
  <c r="L2169" i="2"/>
  <c r="K2169" i="2"/>
  <c r="J2169" i="2"/>
  <c r="L2168" i="2"/>
  <c r="K2168" i="2"/>
  <c r="J2168" i="2"/>
  <c r="L2167" i="2"/>
  <c r="K2167" i="2"/>
  <c r="J2167" i="2"/>
  <c r="L2166" i="2"/>
  <c r="K2166" i="2"/>
  <c r="J2166" i="2"/>
  <c r="L2165" i="2"/>
  <c r="K2165" i="2"/>
  <c r="J2165" i="2"/>
  <c r="L2164" i="2"/>
  <c r="K2164" i="2"/>
  <c r="J2164" i="2"/>
  <c r="L2163" i="2"/>
  <c r="K2163" i="2"/>
  <c r="J2163" i="2"/>
  <c r="L2162" i="2"/>
  <c r="K2162" i="2"/>
  <c r="J2162" i="2"/>
  <c r="L2161" i="2"/>
  <c r="K2161" i="2"/>
  <c r="J2161" i="2"/>
  <c r="L2160" i="2"/>
  <c r="K2160" i="2"/>
  <c r="J2160" i="2"/>
  <c r="L2159" i="2"/>
  <c r="K2159" i="2"/>
  <c r="J2159" i="2"/>
  <c r="L2158" i="2"/>
  <c r="K2158" i="2"/>
  <c r="J2158" i="2"/>
  <c r="L2157" i="2"/>
  <c r="K2157" i="2"/>
  <c r="J2157" i="2"/>
  <c r="L2156" i="2"/>
  <c r="K2156" i="2"/>
  <c r="J2156" i="2"/>
  <c r="L2155" i="2"/>
  <c r="K2155" i="2"/>
  <c r="J2155" i="2"/>
  <c r="L2154" i="2"/>
  <c r="K2154" i="2"/>
  <c r="J2154" i="2"/>
  <c r="L2153" i="2"/>
  <c r="K2153" i="2"/>
  <c r="J2153" i="2"/>
  <c r="L2152" i="2"/>
  <c r="K2152" i="2"/>
  <c r="J2152" i="2"/>
  <c r="L2151" i="2"/>
  <c r="K2151" i="2"/>
  <c r="J2151" i="2"/>
  <c r="L2150" i="2"/>
  <c r="K2150" i="2"/>
  <c r="J2150" i="2"/>
  <c r="L2149" i="2"/>
  <c r="K2149" i="2"/>
  <c r="J2149" i="2"/>
  <c r="L2148" i="2"/>
  <c r="K2148" i="2"/>
  <c r="J2148" i="2"/>
  <c r="L2147" i="2"/>
  <c r="K2147" i="2"/>
  <c r="J2147" i="2"/>
  <c r="L2146" i="2"/>
  <c r="K2146" i="2"/>
  <c r="J2146" i="2"/>
  <c r="L2145" i="2"/>
  <c r="K2145" i="2"/>
  <c r="J2145" i="2"/>
  <c r="L2144" i="2"/>
  <c r="K2144" i="2"/>
  <c r="J2144" i="2"/>
  <c r="L2143" i="2"/>
  <c r="K2143" i="2"/>
  <c r="J2143" i="2"/>
  <c r="L2142" i="2"/>
  <c r="K2142" i="2"/>
  <c r="J2142" i="2"/>
  <c r="L2141" i="2"/>
  <c r="K2141" i="2"/>
  <c r="J2141" i="2"/>
  <c r="L2140" i="2"/>
  <c r="K2140" i="2"/>
  <c r="J2140" i="2"/>
  <c r="L2139" i="2"/>
  <c r="K2139" i="2"/>
  <c r="J2139" i="2"/>
  <c r="L2138" i="2"/>
  <c r="K2138" i="2"/>
  <c r="J2138" i="2"/>
  <c r="L2137" i="2"/>
  <c r="K2137" i="2"/>
  <c r="J2137" i="2"/>
  <c r="L2136" i="2"/>
  <c r="K2136" i="2"/>
  <c r="J2136" i="2"/>
  <c r="L2135" i="2"/>
  <c r="K2135" i="2"/>
  <c r="J2135" i="2"/>
  <c r="L2134" i="2"/>
  <c r="K2134" i="2"/>
  <c r="J2134" i="2"/>
  <c r="L2133" i="2"/>
  <c r="K2133" i="2"/>
  <c r="J2133" i="2"/>
  <c r="L2132" i="2"/>
  <c r="K2132" i="2"/>
  <c r="J2132" i="2"/>
  <c r="L2131" i="2"/>
  <c r="K2131" i="2"/>
  <c r="J2131" i="2"/>
  <c r="L2130" i="2"/>
  <c r="K2130" i="2"/>
  <c r="J2130" i="2"/>
  <c r="L2129" i="2"/>
  <c r="K2129" i="2"/>
  <c r="J2129" i="2"/>
  <c r="L2128" i="2"/>
  <c r="K2128" i="2"/>
  <c r="J2128" i="2"/>
  <c r="L2127" i="2"/>
  <c r="K2127" i="2"/>
  <c r="J2127" i="2"/>
  <c r="L2126" i="2"/>
  <c r="K2126" i="2"/>
  <c r="J2126" i="2"/>
  <c r="L2125" i="2"/>
  <c r="K2125" i="2"/>
  <c r="J2125" i="2"/>
  <c r="L2124" i="2"/>
  <c r="K2124" i="2"/>
  <c r="J2124" i="2"/>
  <c r="L2123" i="2"/>
  <c r="K2123" i="2"/>
  <c r="J2123" i="2"/>
  <c r="L2122" i="2"/>
  <c r="K2122" i="2"/>
  <c r="J2122" i="2"/>
  <c r="L2121" i="2"/>
  <c r="K2121" i="2"/>
  <c r="J2121" i="2"/>
  <c r="L2120" i="2"/>
  <c r="K2120" i="2"/>
  <c r="J2120" i="2"/>
  <c r="L2119" i="2"/>
  <c r="K2119" i="2"/>
  <c r="J2119" i="2"/>
  <c r="L2118" i="2"/>
  <c r="K2118" i="2"/>
  <c r="J2118" i="2"/>
  <c r="L2117" i="2"/>
  <c r="K2117" i="2"/>
  <c r="J2117" i="2"/>
  <c r="L2116" i="2"/>
  <c r="K2116" i="2"/>
  <c r="J2116" i="2"/>
  <c r="L2115" i="2"/>
  <c r="K2115" i="2"/>
  <c r="J2115" i="2"/>
  <c r="L2114" i="2"/>
  <c r="K2114" i="2"/>
  <c r="J2114" i="2"/>
  <c r="L2113" i="2"/>
  <c r="K2113" i="2"/>
  <c r="J2113" i="2"/>
  <c r="L2112" i="2"/>
  <c r="K2112" i="2"/>
  <c r="J2112" i="2"/>
  <c r="L2111" i="2"/>
  <c r="K2111" i="2"/>
  <c r="J2111" i="2"/>
  <c r="L2110" i="2"/>
  <c r="K2110" i="2"/>
  <c r="J2110" i="2"/>
  <c r="L2109" i="2"/>
  <c r="K2109" i="2"/>
  <c r="J2109" i="2"/>
  <c r="L2108" i="2"/>
  <c r="K2108" i="2"/>
  <c r="J2108" i="2"/>
  <c r="L2107" i="2"/>
  <c r="K2107" i="2"/>
  <c r="J2107" i="2"/>
  <c r="L2106" i="2"/>
  <c r="K2106" i="2"/>
  <c r="J2106" i="2"/>
  <c r="L2105" i="2"/>
  <c r="K2105" i="2"/>
  <c r="J2105" i="2"/>
  <c r="L2104" i="2"/>
  <c r="K2104" i="2"/>
  <c r="J2104" i="2"/>
  <c r="L2103" i="2"/>
  <c r="K2103" i="2"/>
  <c r="J2103" i="2"/>
  <c r="L2102" i="2"/>
  <c r="K2102" i="2"/>
  <c r="J2102" i="2"/>
  <c r="L2101" i="2"/>
  <c r="K2101" i="2"/>
  <c r="J2101" i="2"/>
  <c r="L2100" i="2"/>
  <c r="K2100" i="2"/>
  <c r="J2100" i="2"/>
  <c r="L2099" i="2"/>
  <c r="K2099" i="2"/>
  <c r="J2099" i="2"/>
  <c r="L2098" i="2"/>
  <c r="K2098" i="2"/>
  <c r="J2098" i="2"/>
  <c r="L2097" i="2"/>
  <c r="K2097" i="2"/>
  <c r="J2097" i="2"/>
  <c r="L2096" i="2"/>
  <c r="K2096" i="2"/>
  <c r="J2096" i="2"/>
  <c r="L2095" i="2"/>
  <c r="K2095" i="2"/>
  <c r="J2095" i="2"/>
  <c r="L2094" i="2"/>
  <c r="K2094" i="2"/>
  <c r="J2094" i="2"/>
  <c r="L2093" i="2"/>
  <c r="K2093" i="2"/>
  <c r="J2093" i="2"/>
  <c r="L2092" i="2"/>
  <c r="K2092" i="2"/>
  <c r="J2092" i="2"/>
  <c r="L2091" i="2"/>
  <c r="K2091" i="2"/>
  <c r="J2091" i="2"/>
  <c r="L2090" i="2"/>
  <c r="K2090" i="2"/>
  <c r="J2090" i="2"/>
  <c r="L2089" i="2"/>
  <c r="K2089" i="2"/>
  <c r="J2089" i="2"/>
  <c r="L2088" i="2"/>
  <c r="K2088" i="2"/>
  <c r="J2088" i="2"/>
  <c r="L2087" i="2"/>
  <c r="K2087" i="2"/>
  <c r="J2087" i="2"/>
  <c r="L2086" i="2"/>
  <c r="K2086" i="2"/>
  <c r="J2086" i="2"/>
  <c r="L2085" i="2"/>
  <c r="K2085" i="2"/>
  <c r="J2085" i="2"/>
  <c r="L2084" i="2"/>
  <c r="K2084" i="2"/>
  <c r="J2084" i="2"/>
  <c r="L2083" i="2"/>
  <c r="K2083" i="2"/>
  <c r="J2083" i="2"/>
  <c r="L2082" i="2"/>
  <c r="K2082" i="2"/>
  <c r="J2082" i="2"/>
  <c r="L2081" i="2"/>
  <c r="K2081" i="2"/>
  <c r="J2081" i="2"/>
  <c r="L2080" i="2"/>
  <c r="K2080" i="2"/>
  <c r="J2080" i="2"/>
  <c r="L2079" i="2"/>
  <c r="K2079" i="2"/>
  <c r="J2079" i="2"/>
  <c r="L2078" i="2"/>
  <c r="K2078" i="2"/>
  <c r="J2078" i="2"/>
  <c r="L2077" i="2"/>
  <c r="K2077" i="2"/>
  <c r="J2077" i="2"/>
  <c r="L2076" i="2"/>
  <c r="K2076" i="2"/>
  <c r="J2076" i="2"/>
  <c r="L2075" i="2"/>
  <c r="K2075" i="2"/>
  <c r="J2075" i="2"/>
  <c r="L2074" i="2"/>
  <c r="K2074" i="2"/>
  <c r="J2074" i="2"/>
  <c r="L2073" i="2"/>
  <c r="K2073" i="2"/>
  <c r="J2073" i="2"/>
  <c r="L2072" i="2"/>
  <c r="K2072" i="2"/>
  <c r="J2072" i="2"/>
  <c r="L2071" i="2"/>
  <c r="K2071" i="2"/>
  <c r="J2071" i="2"/>
  <c r="L2070" i="2"/>
  <c r="K2070" i="2"/>
  <c r="J2070" i="2"/>
  <c r="L2069" i="2"/>
  <c r="K2069" i="2"/>
  <c r="J2069" i="2"/>
  <c r="L2068" i="2"/>
  <c r="K2068" i="2"/>
  <c r="J2068" i="2"/>
  <c r="L2067" i="2"/>
  <c r="K2067" i="2"/>
  <c r="J2067" i="2"/>
  <c r="L2066" i="2"/>
  <c r="K2066" i="2"/>
  <c r="J2066" i="2"/>
  <c r="L2065" i="2"/>
  <c r="K2065" i="2"/>
  <c r="J2065" i="2"/>
  <c r="L2064" i="2"/>
  <c r="K2064" i="2"/>
  <c r="J2064" i="2"/>
  <c r="L2063" i="2"/>
  <c r="K2063" i="2"/>
  <c r="J2063" i="2"/>
  <c r="L2062" i="2"/>
  <c r="K2062" i="2"/>
  <c r="J2062" i="2"/>
  <c r="L2061" i="2"/>
  <c r="K2061" i="2"/>
  <c r="J2061" i="2"/>
  <c r="L2060" i="2"/>
  <c r="K2060" i="2"/>
  <c r="J2060" i="2"/>
  <c r="L2059" i="2"/>
  <c r="K2059" i="2"/>
  <c r="J2059" i="2"/>
  <c r="L2058" i="2"/>
  <c r="K2058" i="2"/>
  <c r="J2058" i="2"/>
  <c r="L2057" i="2"/>
  <c r="K2057" i="2"/>
  <c r="J2057" i="2"/>
  <c r="L2056" i="2"/>
  <c r="K2056" i="2"/>
  <c r="J2056" i="2"/>
  <c r="L2055" i="2"/>
  <c r="K2055" i="2"/>
  <c r="J2055" i="2"/>
  <c r="L2054" i="2"/>
  <c r="K2054" i="2"/>
  <c r="J2054" i="2"/>
  <c r="L2053" i="2"/>
  <c r="K2053" i="2"/>
  <c r="J2053" i="2"/>
  <c r="L2052" i="2"/>
  <c r="K2052" i="2"/>
  <c r="J2052" i="2"/>
  <c r="L2051" i="2"/>
  <c r="K2051" i="2"/>
  <c r="J2051" i="2"/>
  <c r="L2050" i="2"/>
  <c r="K2050" i="2"/>
  <c r="J2050" i="2"/>
  <c r="L2049" i="2"/>
  <c r="K2049" i="2"/>
  <c r="J2049" i="2"/>
  <c r="L2048" i="2"/>
  <c r="K2048" i="2"/>
  <c r="J2048" i="2"/>
  <c r="L2047" i="2"/>
  <c r="K2047" i="2"/>
  <c r="J2047" i="2"/>
  <c r="L2046" i="2"/>
  <c r="K2046" i="2"/>
  <c r="J2046" i="2"/>
  <c r="L2045" i="2"/>
  <c r="K2045" i="2"/>
  <c r="J2045" i="2"/>
  <c r="L2044" i="2"/>
  <c r="K2044" i="2"/>
  <c r="J2044" i="2"/>
  <c r="L2043" i="2"/>
  <c r="K2043" i="2"/>
  <c r="J2043" i="2"/>
  <c r="L2042" i="2"/>
  <c r="K2042" i="2"/>
  <c r="J2042" i="2"/>
  <c r="L2041" i="2"/>
  <c r="K2041" i="2"/>
  <c r="J2041" i="2"/>
  <c r="L2040" i="2"/>
  <c r="K2040" i="2"/>
  <c r="J2040" i="2"/>
  <c r="L2039" i="2"/>
  <c r="K2039" i="2"/>
  <c r="J2039" i="2"/>
  <c r="L2038" i="2"/>
  <c r="K2038" i="2"/>
  <c r="J2038" i="2"/>
  <c r="L2037" i="2"/>
  <c r="K2037" i="2"/>
  <c r="J2037" i="2"/>
  <c r="L2036" i="2"/>
  <c r="K2036" i="2"/>
  <c r="J2036" i="2"/>
  <c r="L2035" i="2"/>
  <c r="K2035" i="2"/>
  <c r="J2035" i="2"/>
  <c r="L2034" i="2"/>
  <c r="K2034" i="2"/>
  <c r="J2034" i="2"/>
  <c r="L2033" i="2"/>
  <c r="K2033" i="2"/>
  <c r="J2033" i="2"/>
  <c r="L2032" i="2"/>
  <c r="K2032" i="2"/>
  <c r="J2032" i="2"/>
  <c r="L2031" i="2"/>
  <c r="K2031" i="2"/>
  <c r="J2031" i="2"/>
  <c r="L2030" i="2"/>
  <c r="K2030" i="2"/>
  <c r="J2030" i="2"/>
  <c r="L2029" i="2"/>
  <c r="K2029" i="2"/>
  <c r="J2029" i="2"/>
  <c r="L2028" i="2"/>
  <c r="K2028" i="2"/>
  <c r="J2028" i="2"/>
  <c r="L2027" i="2"/>
  <c r="K2027" i="2"/>
  <c r="J2027" i="2"/>
  <c r="L2026" i="2"/>
  <c r="K2026" i="2"/>
  <c r="J2026" i="2"/>
  <c r="L2025" i="2"/>
  <c r="K2025" i="2"/>
  <c r="J2025" i="2"/>
  <c r="L2024" i="2"/>
  <c r="K2024" i="2"/>
  <c r="J2024" i="2"/>
  <c r="L2023" i="2"/>
  <c r="K2023" i="2"/>
  <c r="J2023" i="2"/>
  <c r="L2022" i="2"/>
  <c r="K2022" i="2"/>
  <c r="J2022" i="2"/>
  <c r="L2021" i="2"/>
  <c r="K2021" i="2"/>
  <c r="J2021" i="2"/>
  <c r="L2020" i="2"/>
  <c r="K2020" i="2"/>
  <c r="J2020" i="2"/>
  <c r="L2019" i="2"/>
  <c r="K2019" i="2"/>
  <c r="J2019" i="2"/>
  <c r="L2018" i="2"/>
  <c r="K2018" i="2"/>
  <c r="J2018" i="2"/>
  <c r="L2017" i="2"/>
  <c r="K2017" i="2"/>
  <c r="J2017" i="2"/>
  <c r="L2016" i="2"/>
  <c r="K2016" i="2"/>
  <c r="J2016" i="2"/>
  <c r="L2015" i="2"/>
  <c r="K2015" i="2"/>
  <c r="J2015" i="2"/>
  <c r="L2014" i="2"/>
  <c r="K2014" i="2"/>
  <c r="J2014" i="2"/>
  <c r="L2013" i="2"/>
  <c r="K2013" i="2"/>
  <c r="J2013" i="2"/>
  <c r="L2012" i="2"/>
  <c r="K2012" i="2"/>
  <c r="J2012" i="2"/>
  <c r="L2011" i="2"/>
  <c r="K2011" i="2"/>
  <c r="J2011" i="2"/>
  <c r="L2010" i="2"/>
  <c r="K2010" i="2"/>
  <c r="J2010" i="2"/>
  <c r="L2009" i="2"/>
  <c r="K2009" i="2"/>
  <c r="J2009" i="2"/>
  <c r="L2008" i="2"/>
  <c r="K2008" i="2"/>
  <c r="J2008" i="2"/>
  <c r="L2007" i="2"/>
  <c r="K2007" i="2"/>
  <c r="J2007" i="2"/>
  <c r="L2006" i="2"/>
  <c r="K2006" i="2"/>
  <c r="J2006" i="2"/>
  <c r="L2005" i="2"/>
  <c r="K2005" i="2"/>
  <c r="J2005" i="2"/>
  <c r="L2004" i="2"/>
  <c r="K2004" i="2"/>
  <c r="J2004" i="2"/>
  <c r="L2003" i="2"/>
  <c r="K2003" i="2"/>
  <c r="J2003" i="2"/>
  <c r="L2002" i="2"/>
  <c r="K2002" i="2"/>
  <c r="J2002" i="2"/>
  <c r="L2001" i="2"/>
  <c r="K2001" i="2"/>
  <c r="J2001" i="2"/>
  <c r="L2000" i="2"/>
  <c r="K2000" i="2"/>
  <c r="J2000" i="2"/>
  <c r="L1999" i="2"/>
  <c r="K1999" i="2"/>
  <c r="J1999" i="2"/>
  <c r="L1998" i="2"/>
  <c r="K1998" i="2"/>
  <c r="J1998" i="2"/>
  <c r="L1997" i="2"/>
  <c r="K1997" i="2"/>
  <c r="J1997" i="2"/>
  <c r="L1996" i="2"/>
  <c r="K1996" i="2"/>
  <c r="J1996" i="2"/>
  <c r="L1995" i="2"/>
  <c r="K1995" i="2"/>
  <c r="J1995" i="2"/>
  <c r="L1994" i="2"/>
  <c r="K1994" i="2"/>
  <c r="J1994" i="2"/>
  <c r="L1993" i="2"/>
  <c r="K1993" i="2"/>
  <c r="J1993" i="2"/>
  <c r="L1992" i="2"/>
  <c r="K1992" i="2"/>
  <c r="J1992" i="2"/>
  <c r="L1991" i="2"/>
  <c r="K1991" i="2"/>
  <c r="J1991" i="2"/>
  <c r="L1990" i="2"/>
  <c r="K1990" i="2"/>
  <c r="J1990" i="2"/>
  <c r="L1989" i="2"/>
  <c r="K1989" i="2"/>
  <c r="J1989" i="2"/>
  <c r="L1988" i="2"/>
  <c r="K1988" i="2"/>
  <c r="J1988" i="2"/>
  <c r="L1987" i="2"/>
  <c r="K1987" i="2"/>
  <c r="J1987" i="2"/>
  <c r="L1986" i="2"/>
  <c r="K1986" i="2"/>
  <c r="J1986" i="2"/>
  <c r="L1985" i="2"/>
  <c r="K1985" i="2"/>
  <c r="J1985" i="2"/>
  <c r="L1984" i="2"/>
  <c r="K1984" i="2"/>
  <c r="J1984" i="2"/>
  <c r="L1983" i="2"/>
  <c r="K1983" i="2"/>
  <c r="J1983" i="2"/>
  <c r="L1982" i="2"/>
  <c r="K1982" i="2"/>
  <c r="J1982" i="2"/>
  <c r="L1981" i="2"/>
  <c r="K1981" i="2"/>
  <c r="J1981" i="2"/>
  <c r="L1980" i="2"/>
  <c r="K1980" i="2"/>
  <c r="J1980" i="2"/>
  <c r="L1979" i="2"/>
  <c r="K1979" i="2"/>
  <c r="J1979" i="2"/>
  <c r="L1978" i="2"/>
  <c r="K1978" i="2"/>
  <c r="J1978" i="2"/>
  <c r="L1977" i="2"/>
  <c r="K1977" i="2"/>
  <c r="J1977" i="2"/>
  <c r="L1976" i="2"/>
  <c r="K1976" i="2"/>
  <c r="J1976" i="2"/>
  <c r="L1975" i="2"/>
  <c r="K1975" i="2"/>
  <c r="J1975" i="2"/>
  <c r="L1974" i="2"/>
  <c r="K1974" i="2"/>
  <c r="J1974" i="2"/>
  <c r="L1973" i="2"/>
  <c r="K1973" i="2"/>
  <c r="J1973" i="2"/>
  <c r="L1972" i="2"/>
  <c r="K1972" i="2"/>
  <c r="J1972" i="2"/>
  <c r="L1971" i="2"/>
  <c r="K1971" i="2"/>
  <c r="J1971" i="2"/>
  <c r="L1970" i="2"/>
  <c r="K1970" i="2"/>
  <c r="J1970" i="2"/>
  <c r="L1969" i="2"/>
  <c r="K1969" i="2"/>
  <c r="J1969" i="2"/>
  <c r="L1968" i="2"/>
  <c r="K1968" i="2"/>
  <c r="J1968" i="2"/>
  <c r="L1967" i="2"/>
  <c r="K1967" i="2"/>
  <c r="J1967" i="2"/>
  <c r="L1966" i="2"/>
  <c r="K1966" i="2"/>
  <c r="J1966" i="2"/>
  <c r="L1965" i="2"/>
  <c r="K1965" i="2"/>
  <c r="J1965" i="2"/>
  <c r="L1964" i="2"/>
  <c r="K1964" i="2"/>
  <c r="J1964" i="2"/>
  <c r="L1963" i="2"/>
  <c r="K1963" i="2"/>
  <c r="J1963" i="2"/>
  <c r="L1962" i="2"/>
  <c r="K1962" i="2"/>
  <c r="J1962" i="2"/>
  <c r="L1961" i="2"/>
  <c r="K1961" i="2"/>
  <c r="J1961" i="2"/>
  <c r="L1960" i="2"/>
  <c r="K1960" i="2"/>
  <c r="J1960" i="2"/>
  <c r="L1959" i="2"/>
  <c r="K1959" i="2"/>
  <c r="J1959" i="2"/>
  <c r="L1958" i="2"/>
  <c r="K1958" i="2"/>
  <c r="J1958" i="2"/>
  <c r="L1957" i="2"/>
  <c r="K1957" i="2"/>
  <c r="J1957" i="2"/>
  <c r="L1956" i="2"/>
  <c r="K1956" i="2"/>
  <c r="J1956" i="2"/>
  <c r="L1955" i="2"/>
  <c r="K1955" i="2"/>
  <c r="J1955" i="2"/>
  <c r="L1954" i="2"/>
  <c r="K1954" i="2"/>
  <c r="J1954" i="2"/>
  <c r="L1953" i="2"/>
  <c r="K1953" i="2"/>
  <c r="J1953" i="2"/>
  <c r="L1952" i="2"/>
  <c r="K1952" i="2"/>
  <c r="J1952" i="2"/>
  <c r="L1951" i="2"/>
  <c r="K1951" i="2"/>
  <c r="J1951" i="2"/>
  <c r="L1950" i="2"/>
  <c r="K1950" i="2"/>
  <c r="J1950" i="2"/>
  <c r="L1949" i="2"/>
  <c r="K1949" i="2"/>
  <c r="J1949" i="2"/>
  <c r="L1948" i="2"/>
  <c r="K1948" i="2"/>
  <c r="J1948" i="2"/>
  <c r="L1947" i="2"/>
  <c r="K1947" i="2"/>
  <c r="J1947" i="2"/>
  <c r="L1946" i="2"/>
  <c r="K1946" i="2"/>
  <c r="J1946" i="2"/>
  <c r="L1945" i="2"/>
  <c r="K1945" i="2"/>
  <c r="J1945" i="2"/>
  <c r="L1944" i="2"/>
  <c r="K1944" i="2"/>
  <c r="J1944" i="2"/>
  <c r="L1943" i="2"/>
  <c r="K1943" i="2"/>
  <c r="J1943" i="2"/>
  <c r="L1942" i="2"/>
  <c r="K1942" i="2"/>
  <c r="J1942" i="2"/>
  <c r="L1941" i="2"/>
  <c r="K1941" i="2"/>
  <c r="J1941" i="2"/>
  <c r="L1940" i="2"/>
  <c r="K1940" i="2"/>
  <c r="J1940" i="2"/>
  <c r="L1939" i="2"/>
  <c r="K1939" i="2"/>
  <c r="J1939" i="2"/>
  <c r="L1938" i="2"/>
  <c r="K1938" i="2"/>
  <c r="J1938" i="2"/>
  <c r="L1937" i="2"/>
  <c r="K1937" i="2"/>
  <c r="J1937" i="2"/>
  <c r="L1936" i="2"/>
  <c r="K1936" i="2"/>
  <c r="J1936" i="2"/>
  <c r="L1935" i="2"/>
  <c r="K1935" i="2"/>
  <c r="J1935" i="2"/>
  <c r="L1934" i="2"/>
  <c r="K1934" i="2"/>
  <c r="J1934" i="2"/>
  <c r="L1933" i="2"/>
  <c r="K1933" i="2"/>
  <c r="J1933" i="2"/>
  <c r="L1932" i="2"/>
  <c r="K1932" i="2"/>
  <c r="J1932" i="2"/>
  <c r="L1931" i="2"/>
  <c r="K1931" i="2"/>
  <c r="J1931" i="2"/>
  <c r="L1930" i="2"/>
  <c r="K1930" i="2"/>
  <c r="J1930" i="2"/>
  <c r="L1929" i="2"/>
  <c r="K1929" i="2"/>
  <c r="J1929" i="2"/>
  <c r="L1928" i="2"/>
  <c r="K1928" i="2"/>
  <c r="J1928" i="2"/>
  <c r="L1927" i="2"/>
  <c r="K1927" i="2"/>
  <c r="J1927" i="2"/>
  <c r="L1926" i="2"/>
  <c r="K1926" i="2"/>
  <c r="J1926" i="2"/>
  <c r="L1925" i="2"/>
  <c r="K1925" i="2"/>
  <c r="J1925" i="2"/>
  <c r="L1924" i="2"/>
  <c r="K1924" i="2"/>
  <c r="J1924" i="2"/>
  <c r="L1923" i="2"/>
  <c r="K1923" i="2"/>
  <c r="J1923" i="2"/>
  <c r="L1922" i="2"/>
  <c r="K1922" i="2"/>
  <c r="J1922" i="2"/>
  <c r="L1921" i="2"/>
  <c r="K1921" i="2"/>
  <c r="J1921" i="2"/>
  <c r="L1920" i="2"/>
  <c r="K1920" i="2"/>
  <c r="J1920" i="2"/>
  <c r="L1919" i="2"/>
  <c r="K1919" i="2"/>
  <c r="J1919" i="2"/>
  <c r="L1918" i="2"/>
  <c r="K1918" i="2"/>
  <c r="J1918" i="2"/>
  <c r="L1917" i="2"/>
  <c r="K1917" i="2"/>
  <c r="J1917" i="2"/>
  <c r="L1916" i="2"/>
  <c r="K1916" i="2"/>
  <c r="J1916" i="2"/>
  <c r="L1915" i="2"/>
  <c r="K1915" i="2"/>
  <c r="J1915" i="2"/>
  <c r="L1914" i="2"/>
  <c r="K1914" i="2"/>
  <c r="J1914" i="2"/>
  <c r="L1913" i="2"/>
  <c r="K1913" i="2"/>
  <c r="J1913" i="2"/>
  <c r="L1912" i="2"/>
  <c r="K1912" i="2"/>
  <c r="J1912" i="2"/>
  <c r="L1911" i="2"/>
  <c r="K1911" i="2"/>
  <c r="J1911" i="2"/>
  <c r="L1910" i="2"/>
  <c r="K1910" i="2"/>
  <c r="J1910" i="2"/>
  <c r="L1909" i="2"/>
  <c r="K1909" i="2"/>
  <c r="J1909" i="2"/>
  <c r="L1908" i="2"/>
  <c r="K1908" i="2"/>
  <c r="J1908" i="2"/>
  <c r="L1907" i="2"/>
  <c r="K1907" i="2"/>
  <c r="J1907" i="2"/>
  <c r="L1906" i="2"/>
  <c r="K1906" i="2"/>
  <c r="J1906" i="2"/>
  <c r="L1905" i="2"/>
  <c r="K1905" i="2"/>
  <c r="J1905" i="2"/>
  <c r="L1904" i="2"/>
  <c r="K1904" i="2"/>
  <c r="J1904" i="2"/>
  <c r="L1903" i="2"/>
  <c r="K1903" i="2"/>
  <c r="J1903" i="2"/>
  <c r="L1902" i="2"/>
  <c r="K1902" i="2"/>
  <c r="J1902" i="2"/>
  <c r="L1901" i="2"/>
  <c r="K1901" i="2"/>
  <c r="J1901" i="2"/>
  <c r="L1900" i="2"/>
  <c r="K1900" i="2"/>
  <c r="J1900" i="2"/>
  <c r="L1899" i="2"/>
  <c r="K1899" i="2"/>
  <c r="J1899" i="2"/>
  <c r="L1898" i="2"/>
  <c r="K1898" i="2"/>
  <c r="J1898" i="2"/>
  <c r="L1897" i="2"/>
  <c r="K1897" i="2"/>
  <c r="J1897" i="2"/>
  <c r="L1896" i="2"/>
  <c r="K1896" i="2"/>
  <c r="J1896" i="2"/>
  <c r="L1895" i="2"/>
  <c r="K1895" i="2"/>
  <c r="J1895" i="2"/>
  <c r="L1894" i="2"/>
  <c r="K1894" i="2"/>
  <c r="J1894" i="2"/>
  <c r="L1893" i="2"/>
  <c r="K1893" i="2"/>
  <c r="J1893" i="2"/>
  <c r="L1892" i="2"/>
  <c r="K1892" i="2"/>
  <c r="J1892" i="2"/>
  <c r="L1891" i="2"/>
  <c r="K1891" i="2"/>
  <c r="J1891" i="2"/>
  <c r="L1890" i="2"/>
  <c r="K1890" i="2"/>
  <c r="J1890" i="2"/>
  <c r="L1889" i="2"/>
  <c r="K1889" i="2"/>
  <c r="J1889" i="2"/>
  <c r="L1888" i="2"/>
  <c r="K1888" i="2"/>
  <c r="J1888" i="2"/>
  <c r="L1887" i="2"/>
  <c r="K1887" i="2"/>
  <c r="J1887" i="2"/>
  <c r="L1886" i="2"/>
  <c r="K1886" i="2"/>
  <c r="J1886" i="2"/>
  <c r="L1885" i="2"/>
  <c r="K1885" i="2"/>
  <c r="J1885" i="2"/>
  <c r="L1884" i="2"/>
  <c r="K1884" i="2"/>
  <c r="J1884" i="2"/>
  <c r="L1883" i="2"/>
  <c r="K1883" i="2"/>
  <c r="J1883" i="2"/>
  <c r="L1882" i="2"/>
  <c r="K1882" i="2"/>
  <c r="J1882" i="2"/>
  <c r="L1881" i="2"/>
  <c r="K1881" i="2"/>
  <c r="J1881" i="2"/>
  <c r="L1880" i="2"/>
  <c r="K1880" i="2"/>
  <c r="J1880" i="2"/>
  <c r="L1879" i="2"/>
  <c r="K1879" i="2"/>
  <c r="J1879" i="2"/>
  <c r="L1878" i="2"/>
  <c r="K1878" i="2"/>
  <c r="J1878" i="2"/>
  <c r="L1877" i="2"/>
  <c r="K1877" i="2"/>
  <c r="J1877" i="2"/>
  <c r="L1876" i="2"/>
  <c r="K1876" i="2"/>
  <c r="J1876" i="2"/>
  <c r="L1875" i="2"/>
  <c r="K1875" i="2"/>
  <c r="J1875" i="2"/>
  <c r="L1874" i="2"/>
  <c r="K1874" i="2"/>
  <c r="J1874" i="2"/>
  <c r="L1873" i="2"/>
  <c r="K1873" i="2"/>
  <c r="J1873" i="2"/>
  <c r="L1872" i="2"/>
  <c r="K1872" i="2"/>
  <c r="J1872" i="2"/>
  <c r="L1871" i="2"/>
  <c r="K1871" i="2"/>
  <c r="J1871" i="2"/>
  <c r="L1870" i="2"/>
  <c r="K1870" i="2"/>
  <c r="J1870" i="2"/>
  <c r="L1869" i="2"/>
  <c r="K1869" i="2"/>
  <c r="J1869" i="2"/>
  <c r="L1868" i="2"/>
  <c r="K1868" i="2"/>
  <c r="J1868" i="2"/>
  <c r="L1867" i="2"/>
  <c r="K1867" i="2"/>
  <c r="J1867" i="2"/>
  <c r="L1866" i="2"/>
  <c r="K1866" i="2"/>
  <c r="J1866" i="2"/>
  <c r="L1865" i="2"/>
  <c r="K1865" i="2"/>
  <c r="J1865" i="2"/>
  <c r="L1864" i="2"/>
  <c r="K1864" i="2"/>
  <c r="J1864" i="2"/>
  <c r="L1863" i="2"/>
  <c r="K1863" i="2"/>
  <c r="J1863" i="2"/>
  <c r="L1862" i="2"/>
  <c r="K1862" i="2"/>
  <c r="J1862" i="2"/>
  <c r="L1861" i="2"/>
  <c r="K1861" i="2"/>
  <c r="J1861" i="2"/>
  <c r="L1860" i="2"/>
  <c r="K1860" i="2"/>
  <c r="J1860" i="2"/>
  <c r="L1859" i="2"/>
  <c r="K1859" i="2"/>
  <c r="J1859" i="2"/>
  <c r="L1858" i="2"/>
  <c r="K1858" i="2"/>
  <c r="J1858" i="2"/>
  <c r="L1857" i="2"/>
  <c r="K1857" i="2"/>
  <c r="J1857" i="2"/>
  <c r="L1856" i="2"/>
  <c r="K1856" i="2"/>
  <c r="J1856" i="2"/>
  <c r="L1855" i="2"/>
  <c r="K1855" i="2"/>
  <c r="J1855" i="2"/>
  <c r="L1854" i="2"/>
  <c r="K1854" i="2"/>
  <c r="J1854" i="2"/>
  <c r="L1853" i="2"/>
  <c r="K1853" i="2"/>
  <c r="J1853" i="2"/>
  <c r="L1852" i="2"/>
  <c r="K1852" i="2"/>
  <c r="J1852" i="2"/>
  <c r="L1851" i="2"/>
  <c r="K1851" i="2"/>
  <c r="J1851" i="2"/>
  <c r="L1850" i="2"/>
  <c r="K1850" i="2"/>
  <c r="J1850" i="2"/>
  <c r="L1849" i="2"/>
  <c r="K1849" i="2"/>
  <c r="J1849" i="2"/>
  <c r="L1848" i="2"/>
  <c r="K1848" i="2"/>
  <c r="J1848" i="2"/>
  <c r="L1847" i="2"/>
  <c r="K1847" i="2"/>
  <c r="J1847" i="2"/>
  <c r="L1846" i="2"/>
  <c r="K1846" i="2"/>
  <c r="J1846" i="2"/>
  <c r="L1845" i="2"/>
  <c r="K1845" i="2"/>
  <c r="J1845" i="2"/>
  <c r="L1844" i="2"/>
  <c r="K1844" i="2"/>
  <c r="J1844" i="2"/>
  <c r="L1843" i="2"/>
  <c r="K1843" i="2"/>
  <c r="J1843" i="2"/>
  <c r="L1842" i="2"/>
  <c r="K1842" i="2"/>
  <c r="J1842" i="2"/>
  <c r="L1841" i="2"/>
  <c r="K1841" i="2"/>
  <c r="J1841" i="2"/>
  <c r="L1840" i="2"/>
  <c r="K1840" i="2"/>
  <c r="J1840" i="2"/>
  <c r="L1839" i="2"/>
  <c r="K1839" i="2"/>
  <c r="J1839" i="2"/>
  <c r="L1838" i="2"/>
  <c r="K1838" i="2"/>
  <c r="J1838" i="2"/>
  <c r="L1837" i="2"/>
  <c r="K1837" i="2"/>
  <c r="J1837" i="2"/>
  <c r="L1836" i="2"/>
  <c r="K1836" i="2"/>
  <c r="J1836" i="2"/>
  <c r="L1835" i="2"/>
  <c r="K1835" i="2"/>
  <c r="J1835" i="2"/>
  <c r="L1834" i="2"/>
  <c r="K1834" i="2"/>
  <c r="J1834" i="2"/>
  <c r="L1833" i="2"/>
  <c r="K1833" i="2"/>
  <c r="J1833" i="2"/>
  <c r="L1832" i="2"/>
  <c r="K1832" i="2"/>
  <c r="J1832" i="2"/>
  <c r="L1831" i="2"/>
  <c r="K1831" i="2"/>
  <c r="J1831" i="2"/>
  <c r="L1830" i="2"/>
  <c r="K1830" i="2"/>
  <c r="J1830" i="2"/>
  <c r="L1829" i="2"/>
  <c r="K1829" i="2"/>
  <c r="J1829" i="2"/>
  <c r="L1828" i="2"/>
  <c r="K1828" i="2"/>
  <c r="J1828" i="2"/>
  <c r="L1827" i="2"/>
  <c r="K1827" i="2"/>
  <c r="J1827" i="2"/>
  <c r="L1826" i="2"/>
  <c r="K1826" i="2"/>
  <c r="J1826" i="2"/>
  <c r="L1825" i="2"/>
  <c r="K1825" i="2"/>
  <c r="J1825" i="2"/>
  <c r="L1824" i="2"/>
  <c r="K1824" i="2"/>
  <c r="J1824" i="2"/>
  <c r="L1823" i="2"/>
  <c r="K1823" i="2"/>
  <c r="J1823" i="2"/>
  <c r="L1822" i="2"/>
  <c r="K1822" i="2"/>
  <c r="J1822" i="2"/>
  <c r="L1821" i="2"/>
  <c r="K1821" i="2"/>
  <c r="J1821" i="2"/>
  <c r="L1820" i="2"/>
  <c r="K1820" i="2"/>
  <c r="J1820" i="2"/>
  <c r="L1819" i="2"/>
  <c r="K1819" i="2"/>
  <c r="J1819" i="2"/>
  <c r="L1818" i="2"/>
  <c r="K1818" i="2"/>
  <c r="J1818" i="2"/>
  <c r="L1817" i="2"/>
  <c r="K1817" i="2"/>
  <c r="J1817" i="2"/>
  <c r="L1816" i="2"/>
  <c r="K1816" i="2"/>
  <c r="J1816" i="2"/>
  <c r="L1815" i="2"/>
  <c r="K1815" i="2"/>
  <c r="J1815" i="2"/>
  <c r="L1814" i="2"/>
  <c r="K1814" i="2"/>
  <c r="J1814" i="2"/>
  <c r="L1813" i="2"/>
  <c r="K1813" i="2"/>
  <c r="J1813" i="2"/>
  <c r="L1812" i="2"/>
  <c r="K1812" i="2"/>
  <c r="J1812" i="2"/>
  <c r="L1811" i="2"/>
  <c r="K1811" i="2"/>
  <c r="J1811" i="2"/>
  <c r="L1810" i="2"/>
  <c r="K1810" i="2"/>
  <c r="J1810" i="2"/>
  <c r="L1809" i="2"/>
  <c r="K1809" i="2"/>
  <c r="J1809" i="2"/>
  <c r="L1808" i="2"/>
  <c r="K1808" i="2"/>
  <c r="J1808" i="2"/>
  <c r="L1807" i="2"/>
  <c r="K1807" i="2"/>
  <c r="J1807" i="2"/>
  <c r="L1806" i="2"/>
  <c r="K1806" i="2"/>
  <c r="J1806" i="2"/>
  <c r="L1805" i="2"/>
  <c r="K1805" i="2"/>
  <c r="J1805" i="2"/>
  <c r="L1804" i="2"/>
  <c r="K1804" i="2"/>
  <c r="J1804" i="2"/>
  <c r="L1803" i="2"/>
  <c r="K1803" i="2"/>
  <c r="J1803" i="2"/>
  <c r="L1802" i="2"/>
  <c r="K1802" i="2"/>
  <c r="J1802" i="2"/>
  <c r="L1801" i="2"/>
  <c r="K1801" i="2"/>
  <c r="J1801" i="2"/>
  <c r="L1800" i="2"/>
  <c r="K1800" i="2"/>
  <c r="J1800" i="2"/>
  <c r="L1799" i="2"/>
  <c r="K1799" i="2"/>
  <c r="J1799" i="2"/>
  <c r="L1798" i="2"/>
  <c r="K1798" i="2"/>
  <c r="J1798" i="2"/>
  <c r="L1797" i="2"/>
  <c r="K1797" i="2"/>
  <c r="J1797" i="2"/>
  <c r="L1796" i="2"/>
  <c r="K1796" i="2"/>
  <c r="J1796" i="2"/>
  <c r="L1795" i="2"/>
  <c r="K1795" i="2"/>
  <c r="J1795" i="2"/>
  <c r="L1794" i="2"/>
  <c r="K1794" i="2"/>
  <c r="J1794" i="2"/>
  <c r="L1793" i="2"/>
  <c r="K1793" i="2"/>
  <c r="J1793" i="2"/>
  <c r="L1792" i="2"/>
  <c r="K1792" i="2"/>
  <c r="J1792" i="2"/>
  <c r="L1791" i="2"/>
  <c r="K1791" i="2"/>
  <c r="J1791" i="2"/>
  <c r="L1790" i="2"/>
  <c r="K1790" i="2"/>
  <c r="J1790" i="2"/>
  <c r="L1789" i="2"/>
  <c r="K1789" i="2"/>
  <c r="J1789" i="2"/>
  <c r="L1788" i="2"/>
  <c r="K1788" i="2"/>
  <c r="J1788" i="2"/>
  <c r="L1787" i="2"/>
  <c r="K1787" i="2"/>
  <c r="J1787" i="2"/>
  <c r="L1786" i="2"/>
  <c r="K1786" i="2"/>
  <c r="J1786" i="2"/>
  <c r="L1785" i="2"/>
  <c r="K1785" i="2"/>
  <c r="J1785" i="2"/>
  <c r="L1784" i="2"/>
  <c r="K1784" i="2"/>
  <c r="J1784" i="2"/>
  <c r="L1783" i="2"/>
  <c r="K1783" i="2"/>
  <c r="J1783" i="2"/>
  <c r="L1782" i="2"/>
  <c r="K1782" i="2"/>
  <c r="J1782" i="2"/>
  <c r="L1781" i="2"/>
  <c r="K1781" i="2"/>
  <c r="J1781" i="2"/>
  <c r="L1780" i="2"/>
  <c r="K1780" i="2"/>
  <c r="J1780" i="2"/>
  <c r="L1779" i="2"/>
  <c r="K1779" i="2"/>
  <c r="J1779" i="2"/>
  <c r="L1778" i="2"/>
  <c r="K1778" i="2"/>
  <c r="J1778" i="2"/>
  <c r="L1777" i="2"/>
  <c r="K1777" i="2"/>
  <c r="J1777" i="2"/>
  <c r="L1776" i="2"/>
  <c r="K1776" i="2"/>
  <c r="J1776" i="2"/>
  <c r="L1775" i="2"/>
  <c r="K1775" i="2"/>
  <c r="J1775" i="2"/>
  <c r="L1774" i="2"/>
  <c r="K1774" i="2"/>
  <c r="J1774" i="2"/>
  <c r="L1773" i="2"/>
  <c r="K1773" i="2"/>
  <c r="J1773" i="2"/>
  <c r="L1772" i="2"/>
  <c r="K1772" i="2"/>
  <c r="J1772" i="2"/>
  <c r="L1771" i="2"/>
  <c r="K1771" i="2"/>
  <c r="J1771" i="2"/>
  <c r="L1770" i="2"/>
  <c r="K1770" i="2"/>
  <c r="J1770" i="2"/>
  <c r="L1769" i="2"/>
  <c r="K1769" i="2"/>
  <c r="J1769" i="2"/>
  <c r="L1768" i="2"/>
  <c r="K1768" i="2"/>
  <c r="J1768" i="2"/>
  <c r="L1767" i="2"/>
  <c r="K1767" i="2"/>
  <c r="J1767" i="2"/>
  <c r="L1766" i="2"/>
  <c r="K1766" i="2"/>
  <c r="J1766" i="2"/>
  <c r="L1765" i="2"/>
  <c r="K1765" i="2"/>
  <c r="J1765" i="2"/>
  <c r="L1764" i="2"/>
  <c r="K1764" i="2"/>
  <c r="J1764" i="2"/>
  <c r="L1763" i="2"/>
  <c r="K1763" i="2"/>
  <c r="J1763" i="2"/>
  <c r="L1762" i="2"/>
  <c r="K1762" i="2"/>
  <c r="J1762" i="2"/>
  <c r="L1761" i="2"/>
  <c r="K1761" i="2"/>
  <c r="J1761" i="2"/>
  <c r="L1760" i="2"/>
  <c r="K1760" i="2"/>
  <c r="J1760" i="2"/>
  <c r="L1759" i="2"/>
  <c r="K1759" i="2"/>
  <c r="J1759" i="2"/>
  <c r="L1758" i="2"/>
  <c r="K1758" i="2"/>
  <c r="J1758" i="2"/>
  <c r="L1757" i="2"/>
  <c r="K1757" i="2"/>
  <c r="J1757" i="2"/>
  <c r="L1756" i="2"/>
  <c r="K1756" i="2"/>
  <c r="J1756" i="2"/>
  <c r="L1755" i="2"/>
  <c r="K1755" i="2"/>
  <c r="J1755" i="2"/>
  <c r="L1754" i="2"/>
  <c r="K1754" i="2"/>
  <c r="J1754" i="2"/>
  <c r="L1753" i="2"/>
  <c r="K1753" i="2"/>
  <c r="J1753" i="2"/>
  <c r="L1752" i="2"/>
  <c r="K1752" i="2"/>
  <c r="J1752" i="2"/>
  <c r="L1751" i="2"/>
  <c r="K1751" i="2"/>
  <c r="J1751" i="2"/>
  <c r="L1750" i="2"/>
  <c r="K1750" i="2"/>
  <c r="J1750" i="2"/>
  <c r="L1749" i="2"/>
  <c r="K1749" i="2"/>
  <c r="J1749" i="2"/>
  <c r="L1748" i="2"/>
  <c r="K1748" i="2"/>
  <c r="J1748" i="2"/>
  <c r="L1747" i="2"/>
  <c r="K1747" i="2"/>
  <c r="J1747" i="2"/>
  <c r="L1746" i="2"/>
  <c r="K1746" i="2"/>
  <c r="J1746" i="2"/>
  <c r="L1745" i="2"/>
  <c r="K1745" i="2"/>
  <c r="J1745" i="2"/>
  <c r="L1744" i="2"/>
  <c r="K1744" i="2"/>
  <c r="J1744" i="2"/>
  <c r="L1743" i="2"/>
  <c r="K1743" i="2"/>
  <c r="J1743" i="2"/>
  <c r="L1742" i="2"/>
  <c r="K1742" i="2"/>
  <c r="J1742" i="2"/>
  <c r="L1741" i="2"/>
  <c r="K1741" i="2"/>
  <c r="J1741" i="2"/>
  <c r="L1740" i="2"/>
  <c r="K1740" i="2"/>
  <c r="J1740" i="2"/>
  <c r="L1739" i="2"/>
  <c r="K1739" i="2"/>
  <c r="J1739" i="2"/>
  <c r="L1738" i="2"/>
  <c r="K1738" i="2"/>
  <c r="J1738" i="2"/>
  <c r="L1737" i="2"/>
  <c r="K1737" i="2"/>
  <c r="J1737" i="2"/>
  <c r="L1736" i="2"/>
  <c r="K1736" i="2"/>
  <c r="J1736" i="2"/>
  <c r="L1735" i="2"/>
  <c r="K1735" i="2"/>
  <c r="J1735" i="2"/>
  <c r="L1734" i="2"/>
  <c r="K1734" i="2"/>
  <c r="J1734" i="2"/>
  <c r="L1733" i="2"/>
  <c r="K1733" i="2"/>
  <c r="J1733" i="2"/>
  <c r="L1732" i="2"/>
  <c r="K1732" i="2"/>
  <c r="J1732" i="2"/>
  <c r="L1731" i="2"/>
  <c r="K1731" i="2"/>
  <c r="J1731" i="2"/>
  <c r="L1730" i="2"/>
  <c r="K1730" i="2"/>
  <c r="J1730" i="2"/>
  <c r="L1729" i="2"/>
  <c r="K1729" i="2"/>
  <c r="J1729" i="2"/>
  <c r="L1728" i="2"/>
  <c r="K1728" i="2"/>
  <c r="J1728" i="2"/>
  <c r="L1727" i="2"/>
  <c r="K1727" i="2"/>
  <c r="J1727" i="2"/>
  <c r="L1726" i="2"/>
  <c r="K1726" i="2"/>
  <c r="J1726" i="2"/>
  <c r="L1725" i="2"/>
  <c r="K1725" i="2"/>
  <c r="J1725" i="2"/>
  <c r="L1724" i="2"/>
  <c r="K1724" i="2"/>
  <c r="J1724" i="2"/>
  <c r="L1723" i="2"/>
  <c r="K1723" i="2"/>
  <c r="J1723" i="2"/>
  <c r="L1722" i="2"/>
  <c r="K1722" i="2"/>
  <c r="J1722" i="2"/>
  <c r="L1721" i="2"/>
  <c r="K1721" i="2"/>
  <c r="J1721" i="2"/>
  <c r="L1720" i="2"/>
  <c r="K1720" i="2"/>
  <c r="J1720" i="2"/>
  <c r="L1719" i="2"/>
  <c r="K1719" i="2"/>
  <c r="J1719" i="2"/>
  <c r="L1718" i="2"/>
  <c r="K1718" i="2"/>
  <c r="J1718" i="2"/>
  <c r="L1717" i="2"/>
  <c r="K1717" i="2"/>
  <c r="J1717" i="2"/>
  <c r="L1716" i="2"/>
  <c r="K1716" i="2"/>
  <c r="J1716" i="2"/>
  <c r="L1715" i="2"/>
  <c r="K1715" i="2"/>
  <c r="J1715" i="2"/>
  <c r="L1714" i="2"/>
  <c r="K1714" i="2"/>
  <c r="J1714" i="2"/>
  <c r="L1713" i="2"/>
  <c r="K1713" i="2"/>
  <c r="J1713" i="2"/>
  <c r="L1712" i="2"/>
  <c r="K1712" i="2"/>
  <c r="J1712" i="2"/>
  <c r="L1711" i="2"/>
  <c r="K1711" i="2"/>
  <c r="J1711" i="2"/>
  <c r="L1710" i="2"/>
  <c r="K1710" i="2"/>
  <c r="J1710" i="2"/>
  <c r="L1709" i="2"/>
  <c r="K1709" i="2"/>
  <c r="J1709" i="2"/>
  <c r="L1708" i="2"/>
  <c r="K1708" i="2"/>
  <c r="J1708" i="2"/>
  <c r="L1707" i="2"/>
  <c r="K1707" i="2"/>
  <c r="J1707" i="2"/>
  <c r="L1706" i="2"/>
  <c r="K1706" i="2"/>
  <c r="J1706" i="2"/>
  <c r="L1705" i="2"/>
  <c r="K1705" i="2"/>
  <c r="J1705" i="2"/>
  <c r="L1704" i="2"/>
  <c r="K1704" i="2"/>
  <c r="J1704" i="2"/>
  <c r="L1703" i="2"/>
  <c r="K1703" i="2"/>
  <c r="J1703" i="2"/>
  <c r="L1702" i="2"/>
  <c r="K1702" i="2"/>
  <c r="J1702" i="2"/>
  <c r="L1701" i="2"/>
  <c r="K1701" i="2"/>
  <c r="J1701" i="2"/>
  <c r="L1700" i="2"/>
  <c r="K1700" i="2"/>
  <c r="J1700" i="2"/>
  <c r="L1699" i="2"/>
  <c r="K1699" i="2"/>
  <c r="J1699" i="2"/>
  <c r="L1698" i="2"/>
  <c r="K1698" i="2"/>
  <c r="J1698" i="2"/>
  <c r="L1697" i="2"/>
  <c r="K1697" i="2"/>
  <c r="J1697" i="2"/>
  <c r="L1696" i="2"/>
  <c r="K1696" i="2"/>
  <c r="J1696" i="2"/>
  <c r="L1695" i="2"/>
  <c r="K1695" i="2"/>
  <c r="J1695" i="2"/>
  <c r="L1694" i="2"/>
  <c r="K1694" i="2"/>
  <c r="J1694" i="2"/>
  <c r="L1693" i="2"/>
  <c r="K1693" i="2"/>
  <c r="J1693" i="2"/>
  <c r="L1692" i="2"/>
  <c r="K1692" i="2"/>
  <c r="J1692" i="2"/>
  <c r="L1691" i="2"/>
  <c r="K1691" i="2"/>
  <c r="J1691" i="2"/>
  <c r="L1690" i="2"/>
  <c r="K1690" i="2"/>
  <c r="J1690" i="2"/>
  <c r="L1689" i="2"/>
  <c r="K1689" i="2"/>
  <c r="J1689" i="2"/>
  <c r="L1688" i="2"/>
  <c r="K1688" i="2"/>
  <c r="J1688" i="2"/>
  <c r="L1687" i="2"/>
  <c r="K1687" i="2"/>
  <c r="J1687" i="2"/>
  <c r="L1686" i="2"/>
  <c r="K1686" i="2"/>
  <c r="J1686" i="2"/>
  <c r="L1685" i="2"/>
  <c r="K1685" i="2"/>
  <c r="J1685" i="2"/>
  <c r="L1684" i="2"/>
  <c r="K1684" i="2"/>
  <c r="J1684" i="2"/>
  <c r="L1683" i="2"/>
  <c r="K1683" i="2"/>
  <c r="J1683" i="2"/>
  <c r="L1682" i="2"/>
  <c r="K1682" i="2"/>
  <c r="J1682" i="2"/>
  <c r="L1681" i="2"/>
  <c r="K1681" i="2"/>
  <c r="J1681" i="2"/>
  <c r="L1680" i="2"/>
  <c r="K1680" i="2"/>
  <c r="J1680" i="2"/>
  <c r="L1679" i="2"/>
  <c r="K1679" i="2"/>
  <c r="J1679" i="2"/>
  <c r="L1678" i="2"/>
  <c r="K1678" i="2"/>
  <c r="J1678" i="2"/>
  <c r="L1677" i="2"/>
  <c r="K1677" i="2"/>
  <c r="J1677" i="2"/>
  <c r="L1676" i="2"/>
  <c r="K1676" i="2"/>
  <c r="J1676" i="2"/>
  <c r="L1675" i="2"/>
  <c r="K1675" i="2"/>
  <c r="J1675" i="2"/>
  <c r="L1674" i="2"/>
  <c r="K1674" i="2"/>
  <c r="J1674" i="2"/>
  <c r="L1673" i="2"/>
  <c r="K1673" i="2"/>
  <c r="J1673" i="2"/>
  <c r="L1672" i="2"/>
  <c r="K1672" i="2"/>
  <c r="J1672" i="2"/>
  <c r="L1671" i="2"/>
  <c r="K1671" i="2"/>
  <c r="J1671" i="2"/>
  <c r="L1670" i="2"/>
  <c r="K1670" i="2"/>
  <c r="J1670" i="2"/>
  <c r="L1669" i="2"/>
  <c r="K1669" i="2"/>
  <c r="J1669" i="2"/>
  <c r="L1668" i="2"/>
  <c r="K1668" i="2"/>
  <c r="J1668" i="2"/>
  <c r="L1667" i="2"/>
  <c r="K1667" i="2"/>
  <c r="J1667" i="2"/>
  <c r="L1666" i="2"/>
  <c r="K1666" i="2"/>
  <c r="J1666" i="2"/>
  <c r="L1665" i="2"/>
  <c r="K1665" i="2"/>
  <c r="J1665" i="2"/>
  <c r="L1664" i="2"/>
  <c r="K1664" i="2"/>
  <c r="J1664" i="2"/>
  <c r="L1663" i="2"/>
  <c r="K1663" i="2"/>
  <c r="J1663" i="2"/>
  <c r="L1662" i="2"/>
  <c r="K1662" i="2"/>
  <c r="J1662" i="2"/>
  <c r="L1661" i="2"/>
  <c r="K1661" i="2"/>
  <c r="J1661" i="2"/>
  <c r="L1660" i="2"/>
  <c r="K1660" i="2"/>
  <c r="J1660" i="2"/>
  <c r="L1659" i="2"/>
  <c r="K1659" i="2"/>
  <c r="J1659" i="2"/>
  <c r="L1658" i="2"/>
  <c r="K1658" i="2"/>
  <c r="J1658" i="2"/>
  <c r="L1657" i="2"/>
  <c r="K1657" i="2"/>
  <c r="J1657" i="2"/>
  <c r="L1656" i="2"/>
  <c r="K1656" i="2"/>
  <c r="J1656" i="2"/>
  <c r="L1655" i="2"/>
  <c r="K1655" i="2"/>
  <c r="J1655" i="2"/>
  <c r="L1654" i="2"/>
  <c r="K1654" i="2"/>
  <c r="J1654" i="2"/>
  <c r="L1653" i="2"/>
  <c r="K1653" i="2"/>
  <c r="J1653" i="2"/>
  <c r="L1652" i="2"/>
  <c r="K1652" i="2"/>
  <c r="J1652" i="2"/>
  <c r="L1651" i="2"/>
  <c r="K1651" i="2"/>
  <c r="J1651" i="2"/>
  <c r="L1650" i="2"/>
  <c r="K1650" i="2"/>
  <c r="J1650" i="2"/>
  <c r="L1649" i="2"/>
  <c r="K1649" i="2"/>
  <c r="J1649" i="2"/>
  <c r="L1648" i="2"/>
  <c r="K1648" i="2"/>
  <c r="J1648" i="2"/>
  <c r="L1647" i="2"/>
  <c r="K1647" i="2"/>
  <c r="J1647" i="2"/>
  <c r="L1646" i="2"/>
  <c r="K1646" i="2"/>
  <c r="J1646" i="2"/>
  <c r="L1645" i="2"/>
  <c r="K1645" i="2"/>
  <c r="J1645" i="2"/>
  <c r="L1644" i="2"/>
  <c r="K1644" i="2"/>
  <c r="J1644" i="2"/>
  <c r="L1643" i="2"/>
  <c r="K1643" i="2"/>
  <c r="J1643" i="2"/>
  <c r="L1642" i="2"/>
  <c r="K1642" i="2"/>
  <c r="J1642" i="2"/>
  <c r="L1641" i="2"/>
  <c r="K1641" i="2"/>
  <c r="J1641" i="2"/>
  <c r="L1640" i="2"/>
  <c r="K1640" i="2"/>
  <c r="J1640" i="2"/>
  <c r="L1639" i="2"/>
  <c r="K1639" i="2"/>
  <c r="J1639" i="2"/>
  <c r="L1638" i="2"/>
  <c r="K1638" i="2"/>
  <c r="J1638" i="2"/>
  <c r="L1637" i="2"/>
  <c r="K1637" i="2"/>
  <c r="J1637" i="2"/>
  <c r="L1636" i="2"/>
  <c r="K1636" i="2"/>
  <c r="J1636" i="2"/>
  <c r="L1635" i="2"/>
  <c r="K1635" i="2"/>
  <c r="J1635" i="2"/>
  <c r="L1634" i="2"/>
  <c r="K1634" i="2"/>
  <c r="J1634" i="2"/>
  <c r="L1633" i="2"/>
  <c r="K1633" i="2"/>
  <c r="J1633" i="2"/>
  <c r="L1632" i="2"/>
  <c r="K1632" i="2"/>
  <c r="J1632" i="2"/>
  <c r="L1631" i="2"/>
  <c r="K1631" i="2"/>
  <c r="J1631" i="2"/>
  <c r="L1630" i="2"/>
  <c r="K1630" i="2"/>
  <c r="J1630" i="2"/>
  <c r="L1629" i="2"/>
  <c r="K1629" i="2"/>
  <c r="J1629" i="2"/>
  <c r="L1628" i="2"/>
  <c r="K1628" i="2"/>
  <c r="J1628" i="2"/>
  <c r="L1627" i="2"/>
  <c r="K1627" i="2"/>
  <c r="J1627" i="2"/>
  <c r="L1626" i="2"/>
  <c r="K1626" i="2"/>
  <c r="J1626" i="2"/>
  <c r="L1625" i="2"/>
  <c r="K1625" i="2"/>
  <c r="J1625" i="2"/>
  <c r="L1624" i="2"/>
  <c r="K1624" i="2"/>
  <c r="J1624" i="2"/>
  <c r="L1623" i="2"/>
  <c r="K1623" i="2"/>
  <c r="J1623" i="2"/>
  <c r="L1622" i="2"/>
  <c r="K1622" i="2"/>
  <c r="J1622" i="2"/>
  <c r="L1621" i="2"/>
  <c r="K1621" i="2"/>
  <c r="J1621" i="2"/>
  <c r="L1620" i="2"/>
  <c r="K1620" i="2"/>
  <c r="J1620" i="2"/>
  <c r="L1619" i="2"/>
  <c r="K1619" i="2"/>
  <c r="J1619" i="2"/>
  <c r="L1618" i="2"/>
  <c r="K1618" i="2"/>
  <c r="J1618" i="2"/>
  <c r="L1617" i="2"/>
  <c r="K1617" i="2"/>
  <c r="J1617" i="2"/>
  <c r="L1616" i="2"/>
  <c r="K1616" i="2"/>
  <c r="J1616" i="2"/>
  <c r="L1615" i="2"/>
  <c r="K1615" i="2"/>
  <c r="J1615" i="2"/>
  <c r="L1614" i="2"/>
  <c r="K1614" i="2"/>
  <c r="J1614" i="2"/>
  <c r="L1613" i="2"/>
  <c r="K1613" i="2"/>
  <c r="J1613" i="2"/>
  <c r="L1612" i="2"/>
  <c r="K1612" i="2"/>
  <c r="J1612" i="2"/>
  <c r="L1611" i="2"/>
  <c r="K1611" i="2"/>
  <c r="J1611" i="2"/>
  <c r="L1610" i="2"/>
  <c r="K1610" i="2"/>
  <c r="J1610" i="2"/>
  <c r="L1609" i="2"/>
  <c r="K1609" i="2"/>
  <c r="J1609" i="2"/>
  <c r="L1608" i="2"/>
  <c r="K1608" i="2"/>
  <c r="J1608" i="2"/>
  <c r="L1607" i="2"/>
  <c r="K1607" i="2"/>
  <c r="J1607" i="2"/>
  <c r="L1606" i="2"/>
  <c r="K1606" i="2"/>
  <c r="J1606" i="2"/>
  <c r="L1605" i="2"/>
  <c r="K1605" i="2"/>
  <c r="J1605" i="2"/>
  <c r="L1604" i="2"/>
  <c r="K1604" i="2"/>
  <c r="J1604" i="2"/>
  <c r="L1603" i="2"/>
  <c r="K1603" i="2"/>
  <c r="J1603" i="2"/>
  <c r="L1602" i="2"/>
  <c r="K1602" i="2"/>
  <c r="J1602" i="2"/>
  <c r="L1601" i="2"/>
  <c r="K1601" i="2"/>
  <c r="J1601" i="2"/>
  <c r="L1600" i="2"/>
  <c r="K1600" i="2"/>
  <c r="J1600" i="2"/>
  <c r="L1599" i="2"/>
  <c r="K1599" i="2"/>
  <c r="J1599" i="2"/>
  <c r="L1598" i="2"/>
  <c r="K1598" i="2"/>
  <c r="J1598" i="2"/>
  <c r="L1597" i="2"/>
  <c r="K1597" i="2"/>
  <c r="J1597" i="2"/>
  <c r="L1596" i="2"/>
  <c r="K1596" i="2"/>
  <c r="J1596" i="2"/>
  <c r="L1595" i="2"/>
  <c r="K1595" i="2"/>
  <c r="J1595" i="2"/>
  <c r="L1594" i="2"/>
  <c r="K1594" i="2"/>
  <c r="J1594" i="2"/>
  <c r="L1593" i="2"/>
  <c r="K1593" i="2"/>
  <c r="J1593" i="2"/>
  <c r="L1592" i="2"/>
  <c r="K1592" i="2"/>
  <c r="J1592" i="2"/>
  <c r="L1591" i="2"/>
  <c r="K1591" i="2"/>
  <c r="J1591" i="2"/>
  <c r="L1590" i="2"/>
  <c r="K1590" i="2"/>
  <c r="J1590" i="2"/>
  <c r="L1589" i="2"/>
  <c r="K1589" i="2"/>
  <c r="J1589" i="2"/>
  <c r="L1588" i="2"/>
  <c r="K1588" i="2"/>
  <c r="J1588" i="2"/>
  <c r="L1587" i="2"/>
  <c r="K1587" i="2"/>
  <c r="J1587" i="2"/>
  <c r="L1586" i="2"/>
  <c r="K1586" i="2"/>
  <c r="J1586" i="2"/>
  <c r="L1585" i="2"/>
  <c r="K1585" i="2"/>
  <c r="J1585" i="2"/>
  <c r="L1584" i="2"/>
  <c r="K1584" i="2"/>
  <c r="J1584" i="2"/>
  <c r="L1583" i="2"/>
  <c r="K1583" i="2"/>
  <c r="J1583" i="2"/>
  <c r="L1582" i="2"/>
  <c r="K1582" i="2"/>
  <c r="J1582" i="2"/>
  <c r="L1581" i="2"/>
  <c r="K1581" i="2"/>
  <c r="J1581" i="2"/>
  <c r="L1580" i="2"/>
  <c r="K1580" i="2"/>
  <c r="J1580" i="2"/>
  <c r="L1579" i="2"/>
  <c r="K1579" i="2"/>
  <c r="J1579" i="2"/>
  <c r="L1578" i="2"/>
  <c r="K1578" i="2"/>
  <c r="J1578" i="2"/>
  <c r="L1577" i="2"/>
  <c r="K1577" i="2"/>
  <c r="J1577" i="2"/>
  <c r="L1576" i="2"/>
  <c r="K1576" i="2"/>
  <c r="J1576" i="2"/>
  <c r="L1575" i="2"/>
  <c r="K1575" i="2"/>
  <c r="J1575" i="2"/>
  <c r="L1574" i="2"/>
  <c r="K1574" i="2"/>
  <c r="J1574" i="2"/>
  <c r="L1573" i="2"/>
  <c r="K1573" i="2"/>
  <c r="J1573" i="2"/>
  <c r="L1572" i="2"/>
  <c r="K1572" i="2"/>
  <c r="J1572" i="2"/>
  <c r="L1571" i="2"/>
  <c r="K1571" i="2"/>
  <c r="J1571" i="2"/>
  <c r="L1570" i="2"/>
  <c r="K1570" i="2"/>
  <c r="J1570" i="2"/>
  <c r="L1569" i="2"/>
  <c r="K1569" i="2"/>
  <c r="J1569" i="2"/>
  <c r="L1568" i="2"/>
  <c r="K1568" i="2"/>
  <c r="J1568" i="2"/>
  <c r="L1567" i="2"/>
  <c r="K1567" i="2"/>
  <c r="J1567" i="2"/>
  <c r="L1566" i="2"/>
  <c r="K1566" i="2"/>
  <c r="J1566" i="2"/>
  <c r="L1565" i="2"/>
  <c r="K1565" i="2"/>
  <c r="J1565" i="2"/>
  <c r="L1564" i="2"/>
  <c r="K1564" i="2"/>
  <c r="J1564" i="2"/>
  <c r="L1563" i="2"/>
  <c r="K1563" i="2"/>
  <c r="J1563" i="2"/>
  <c r="L1562" i="2"/>
  <c r="K1562" i="2"/>
  <c r="J1562" i="2"/>
  <c r="L1561" i="2"/>
  <c r="K1561" i="2"/>
  <c r="J1561" i="2"/>
  <c r="L1560" i="2"/>
  <c r="K1560" i="2"/>
  <c r="J1560" i="2"/>
  <c r="L1559" i="2"/>
  <c r="K1559" i="2"/>
  <c r="J1559" i="2"/>
  <c r="L1558" i="2"/>
  <c r="K1558" i="2"/>
  <c r="J1558" i="2"/>
  <c r="L1557" i="2"/>
  <c r="K1557" i="2"/>
  <c r="J1557" i="2"/>
  <c r="L1556" i="2"/>
  <c r="K1556" i="2"/>
  <c r="J1556" i="2"/>
  <c r="L1555" i="2"/>
  <c r="K1555" i="2"/>
  <c r="J1555" i="2"/>
  <c r="L1554" i="2"/>
  <c r="K1554" i="2"/>
  <c r="J1554" i="2"/>
  <c r="L1553" i="2"/>
  <c r="K1553" i="2"/>
  <c r="J1553" i="2"/>
  <c r="L1552" i="2"/>
  <c r="K1552" i="2"/>
  <c r="J1552" i="2"/>
  <c r="L1551" i="2"/>
  <c r="K1551" i="2"/>
  <c r="J1551" i="2"/>
  <c r="L1550" i="2"/>
  <c r="K1550" i="2"/>
  <c r="J1550" i="2"/>
  <c r="L1549" i="2"/>
  <c r="K1549" i="2"/>
  <c r="J1549" i="2"/>
  <c r="L1548" i="2"/>
  <c r="K1548" i="2"/>
  <c r="J1548" i="2"/>
  <c r="L1547" i="2"/>
  <c r="K1547" i="2"/>
  <c r="J1547" i="2"/>
  <c r="L1546" i="2"/>
  <c r="K1546" i="2"/>
  <c r="J1546" i="2"/>
  <c r="L1545" i="2"/>
  <c r="K1545" i="2"/>
  <c r="J1545" i="2"/>
  <c r="L1544" i="2"/>
  <c r="K1544" i="2"/>
  <c r="J1544" i="2"/>
  <c r="L1543" i="2"/>
  <c r="K1543" i="2"/>
  <c r="J1543" i="2"/>
  <c r="L1542" i="2"/>
  <c r="K1542" i="2"/>
  <c r="J1542" i="2"/>
  <c r="L1541" i="2"/>
  <c r="K1541" i="2"/>
  <c r="J1541" i="2"/>
  <c r="L1540" i="2"/>
  <c r="K1540" i="2"/>
  <c r="J1540" i="2"/>
  <c r="L1539" i="2"/>
  <c r="K1539" i="2"/>
  <c r="J1539" i="2"/>
  <c r="L1538" i="2"/>
  <c r="K1538" i="2"/>
  <c r="J1538" i="2"/>
  <c r="L1537" i="2"/>
  <c r="K1537" i="2"/>
  <c r="J1537" i="2"/>
  <c r="L1536" i="2"/>
  <c r="K1536" i="2"/>
  <c r="J1536" i="2"/>
  <c r="L1535" i="2"/>
  <c r="K1535" i="2"/>
  <c r="J1535" i="2"/>
  <c r="L1534" i="2"/>
  <c r="K1534" i="2"/>
  <c r="J1534" i="2"/>
  <c r="L1533" i="2"/>
  <c r="K1533" i="2"/>
  <c r="J1533" i="2"/>
  <c r="L1532" i="2"/>
  <c r="K1532" i="2"/>
  <c r="J1532" i="2"/>
  <c r="L1531" i="2"/>
  <c r="K1531" i="2"/>
  <c r="J1531" i="2"/>
  <c r="L1530" i="2"/>
  <c r="K1530" i="2"/>
  <c r="J1530" i="2"/>
  <c r="L1529" i="2"/>
  <c r="K1529" i="2"/>
  <c r="J1529" i="2"/>
  <c r="L1528" i="2"/>
  <c r="K1528" i="2"/>
  <c r="J1528" i="2"/>
  <c r="L1527" i="2"/>
  <c r="K1527" i="2"/>
  <c r="J1527" i="2"/>
  <c r="L1526" i="2"/>
  <c r="K1526" i="2"/>
  <c r="J1526" i="2"/>
  <c r="L1525" i="2"/>
  <c r="K1525" i="2"/>
  <c r="J1525" i="2"/>
  <c r="L1524" i="2"/>
  <c r="K1524" i="2"/>
  <c r="J1524" i="2"/>
  <c r="L1523" i="2"/>
  <c r="K1523" i="2"/>
  <c r="J1523" i="2"/>
  <c r="L1522" i="2"/>
  <c r="K1522" i="2"/>
  <c r="J1522" i="2"/>
  <c r="L1521" i="2"/>
  <c r="K1521" i="2"/>
  <c r="J1521" i="2"/>
  <c r="L1520" i="2"/>
  <c r="K1520" i="2"/>
  <c r="J1520" i="2"/>
  <c r="L1519" i="2"/>
  <c r="K1519" i="2"/>
  <c r="J1519" i="2"/>
  <c r="L1518" i="2"/>
  <c r="K1518" i="2"/>
  <c r="J1518" i="2"/>
  <c r="L1517" i="2"/>
  <c r="K1517" i="2"/>
  <c r="J1517" i="2"/>
  <c r="L1516" i="2"/>
  <c r="K1516" i="2"/>
  <c r="J1516" i="2"/>
  <c r="L1515" i="2"/>
  <c r="K1515" i="2"/>
  <c r="J1515" i="2"/>
  <c r="L1514" i="2"/>
  <c r="K1514" i="2"/>
  <c r="J1514" i="2"/>
  <c r="L1513" i="2"/>
  <c r="K1513" i="2"/>
  <c r="J1513" i="2"/>
  <c r="L1512" i="2"/>
  <c r="K1512" i="2"/>
  <c r="J1512" i="2"/>
  <c r="L1511" i="2"/>
  <c r="K1511" i="2"/>
  <c r="J1511" i="2"/>
  <c r="L1510" i="2"/>
  <c r="K1510" i="2"/>
  <c r="J1510" i="2"/>
  <c r="L1509" i="2"/>
  <c r="K1509" i="2"/>
  <c r="J1509" i="2"/>
  <c r="L1508" i="2"/>
  <c r="K1508" i="2"/>
  <c r="J1508" i="2"/>
  <c r="L1507" i="2"/>
  <c r="K1507" i="2"/>
  <c r="J1507" i="2"/>
  <c r="L1506" i="2"/>
  <c r="K1506" i="2"/>
  <c r="J1506" i="2"/>
  <c r="L1505" i="2"/>
  <c r="K1505" i="2"/>
  <c r="J1505" i="2"/>
  <c r="L1504" i="2"/>
  <c r="K1504" i="2"/>
  <c r="J1504" i="2"/>
  <c r="L1503" i="2"/>
  <c r="K1503" i="2"/>
  <c r="J1503" i="2"/>
  <c r="L1502" i="2"/>
  <c r="K1502" i="2"/>
  <c r="J1502" i="2"/>
  <c r="L1501" i="2"/>
  <c r="K1501" i="2"/>
  <c r="J1501" i="2"/>
  <c r="L1500" i="2"/>
  <c r="K1500" i="2"/>
  <c r="J1500" i="2"/>
  <c r="L1499" i="2"/>
  <c r="K1499" i="2"/>
  <c r="J1499" i="2"/>
  <c r="L1498" i="2"/>
  <c r="K1498" i="2"/>
  <c r="J1498" i="2"/>
  <c r="L1497" i="2"/>
  <c r="K1497" i="2"/>
  <c r="J1497" i="2"/>
  <c r="L1496" i="2"/>
  <c r="K1496" i="2"/>
  <c r="J1496" i="2"/>
  <c r="L1495" i="2"/>
  <c r="K1495" i="2"/>
  <c r="J1495" i="2"/>
  <c r="L1494" i="2"/>
  <c r="K1494" i="2"/>
  <c r="J1494" i="2"/>
  <c r="L1493" i="2"/>
  <c r="K1493" i="2"/>
  <c r="J1493" i="2"/>
  <c r="L1492" i="2"/>
  <c r="K1492" i="2"/>
  <c r="J1492" i="2"/>
  <c r="L1491" i="2"/>
  <c r="K1491" i="2"/>
  <c r="J1491" i="2"/>
  <c r="L1490" i="2"/>
  <c r="K1490" i="2"/>
  <c r="J1490" i="2"/>
  <c r="L1489" i="2"/>
  <c r="K1489" i="2"/>
  <c r="J1489" i="2"/>
  <c r="L1488" i="2"/>
  <c r="K1488" i="2"/>
  <c r="J1488" i="2"/>
  <c r="L1487" i="2"/>
  <c r="K1487" i="2"/>
  <c r="J1487" i="2"/>
  <c r="L1486" i="2"/>
  <c r="K1486" i="2"/>
  <c r="J1486" i="2"/>
  <c r="L1485" i="2"/>
  <c r="K1485" i="2"/>
  <c r="J1485" i="2"/>
  <c r="L1484" i="2"/>
  <c r="K1484" i="2"/>
  <c r="J1484" i="2"/>
  <c r="L1483" i="2"/>
  <c r="K1483" i="2"/>
  <c r="J1483" i="2"/>
  <c r="L1482" i="2"/>
  <c r="K1482" i="2"/>
  <c r="J1482" i="2"/>
  <c r="L1481" i="2"/>
  <c r="K1481" i="2"/>
  <c r="J1481" i="2"/>
  <c r="L1480" i="2"/>
  <c r="K1480" i="2"/>
  <c r="J1480" i="2"/>
  <c r="L1479" i="2"/>
  <c r="K1479" i="2"/>
  <c r="J1479" i="2"/>
  <c r="L1478" i="2"/>
  <c r="K1478" i="2"/>
  <c r="J1478" i="2"/>
  <c r="L1477" i="2"/>
  <c r="K1477" i="2"/>
  <c r="J1477" i="2"/>
  <c r="L1476" i="2"/>
  <c r="K1476" i="2"/>
  <c r="J1476" i="2"/>
  <c r="L1475" i="2"/>
  <c r="K1475" i="2"/>
  <c r="J1475" i="2"/>
  <c r="L1474" i="2"/>
  <c r="K1474" i="2"/>
  <c r="J1474" i="2"/>
  <c r="L1473" i="2"/>
  <c r="K1473" i="2"/>
  <c r="J1473" i="2"/>
  <c r="L1472" i="2"/>
  <c r="K1472" i="2"/>
  <c r="J1472" i="2"/>
  <c r="L1471" i="2"/>
  <c r="K1471" i="2"/>
  <c r="J1471" i="2"/>
  <c r="L1470" i="2"/>
  <c r="K1470" i="2"/>
  <c r="J1470" i="2"/>
  <c r="L1469" i="2"/>
  <c r="K1469" i="2"/>
  <c r="J1469" i="2"/>
  <c r="L1468" i="2"/>
  <c r="K1468" i="2"/>
  <c r="J1468" i="2"/>
  <c r="L1467" i="2"/>
  <c r="K1467" i="2"/>
  <c r="J1467" i="2"/>
  <c r="L1466" i="2"/>
  <c r="K1466" i="2"/>
  <c r="J1466" i="2"/>
  <c r="L1465" i="2"/>
  <c r="K1465" i="2"/>
  <c r="J1465" i="2"/>
  <c r="L1464" i="2"/>
  <c r="K1464" i="2"/>
  <c r="J1464" i="2"/>
  <c r="L1463" i="2"/>
  <c r="K1463" i="2"/>
  <c r="J1463" i="2"/>
  <c r="L1462" i="2"/>
  <c r="K1462" i="2"/>
  <c r="J1462" i="2"/>
  <c r="L1461" i="2"/>
  <c r="K1461" i="2"/>
  <c r="J1461" i="2"/>
  <c r="L1460" i="2"/>
  <c r="K1460" i="2"/>
  <c r="J1460" i="2"/>
  <c r="L1459" i="2"/>
  <c r="K1459" i="2"/>
  <c r="J1459" i="2"/>
  <c r="L1458" i="2"/>
  <c r="K1458" i="2"/>
  <c r="J1458" i="2"/>
  <c r="L1457" i="2"/>
  <c r="K1457" i="2"/>
  <c r="J1457" i="2"/>
  <c r="L1456" i="2"/>
  <c r="K1456" i="2"/>
  <c r="J1456" i="2"/>
  <c r="L1455" i="2"/>
  <c r="K1455" i="2"/>
  <c r="J1455" i="2"/>
  <c r="L1454" i="2"/>
  <c r="K1454" i="2"/>
  <c r="J1454" i="2"/>
  <c r="L1453" i="2"/>
  <c r="K1453" i="2"/>
  <c r="J1453" i="2"/>
  <c r="L1452" i="2"/>
  <c r="K1452" i="2"/>
  <c r="J1452" i="2"/>
  <c r="L1451" i="2"/>
  <c r="K1451" i="2"/>
  <c r="J1451" i="2"/>
  <c r="L1450" i="2"/>
  <c r="K1450" i="2"/>
  <c r="J1450" i="2"/>
  <c r="L1449" i="2"/>
  <c r="K1449" i="2"/>
  <c r="J1449" i="2"/>
  <c r="L1448" i="2"/>
  <c r="K1448" i="2"/>
  <c r="J1448" i="2"/>
  <c r="L1447" i="2"/>
  <c r="K1447" i="2"/>
  <c r="J1447" i="2"/>
  <c r="L1446" i="2"/>
  <c r="K1446" i="2"/>
  <c r="J1446" i="2"/>
  <c r="L1445" i="2"/>
  <c r="K1445" i="2"/>
  <c r="J1445" i="2"/>
  <c r="L1444" i="2"/>
  <c r="K1444" i="2"/>
  <c r="J1444" i="2"/>
  <c r="L1443" i="2"/>
  <c r="K1443" i="2"/>
  <c r="J1443" i="2"/>
  <c r="L1442" i="2"/>
  <c r="K1442" i="2"/>
  <c r="J1442" i="2"/>
  <c r="L1441" i="2"/>
  <c r="K1441" i="2"/>
  <c r="J1441" i="2"/>
  <c r="L1440" i="2"/>
  <c r="K1440" i="2"/>
  <c r="J1440" i="2"/>
  <c r="L1439" i="2"/>
  <c r="K1439" i="2"/>
  <c r="J1439" i="2"/>
  <c r="L1438" i="2"/>
  <c r="K1438" i="2"/>
  <c r="J1438" i="2"/>
  <c r="L1437" i="2"/>
  <c r="K1437" i="2"/>
  <c r="J1437" i="2"/>
  <c r="L1436" i="2"/>
  <c r="K1436" i="2"/>
  <c r="J1436" i="2"/>
  <c r="L1435" i="2"/>
  <c r="K1435" i="2"/>
  <c r="J1435" i="2"/>
  <c r="L1434" i="2"/>
  <c r="K1434" i="2"/>
  <c r="J1434" i="2"/>
  <c r="L1433" i="2"/>
  <c r="K1433" i="2"/>
  <c r="J1433" i="2"/>
  <c r="L1432" i="2"/>
  <c r="K1432" i="2"/>
  <c r="J1432" i="2"/>
  <c r="L1431" i="2"/>
  <c r="K1431" i="2"/>
  <c r="J1431" i="2"/>
  <c r="L1430" i="2"/>
  <c r="K1430" i="2"/>
  <c r="J1430" i="2"/>
  <c r="L1429" i="2"/>
  <c r="K1429" i="2"/>
  <c r="J1429" i="2"/>
  <c r="L1428" i="2"/>
  <c r="K1428" i="2"/>
  <c r="J1428" i="2"/>
  <c r="L1427" i="2"/>
  <c r="K1427" i="2"/>
  <c r="J1427" i="2"/>
  <c r="L1426" i="2"/>
  <c r="K1426" i="2"/>
  <c r="J1426" i="2"/>
  <c r="L1425" i="2"/>
  <c r="K1425" i="2"/>
  <c r="J1425" i="2"/>
  <c r="L1424" i="2"/>
  <c r="K1424" i="2"/>
  <c r="J1424" i="2"/>
  <c r="L1423" i="2"/>
  <c r="K1423" i="2"/>
  <c r="J1423" i="2"/>
  <c r="L1422" i="2"/>
  <c r="K1422" i="2"/>
  <c r="J1422" i="2"/>
  <c r="L1421" i="2"/>
  <c r="K1421" i="2"/>
  <c r="J1421" i="2"/>
  <c r="L1420" i="2"/>
  <c r="K1420" i="2"/>
  <c r="J1420" i="2"/>
  <c r="L1419" i="2"/>
  <c r="K1419" i="2"/>
  <c r="J1419" i="2"/>
  <c r="L1418" i="2"/>
  <c r="K1418" i="2"/>
  <c r="J1418" i="2"/>
  <c r="L1417" i="2"/>
  <c r="K1417" i="2"/>
  <c r="J1417" i="2"/>
  <c r="L1416" i="2"/>
  <c r="K1416" i="2"/>
  <c r="J1416" i="2"/>
  <c r="L1415" i="2"/>
  <c r="K1415" i="2"/>
  <c r="J1415" i="2"/>
  <c r="L1414" i="2"/>
  <c r="K1414" i="2"/>
  <c r="J1414" i="2"/>
  <c r="L1413" i="2"/>
  <c r="K1413" i="2"/>
  <c r="J1413" i="2"/>
  <c r="L1412" i="2"/>
  <c r="K1412" i="2"/>
  <c r="J1412" i="2"/>
  <c r="L1411" i="2"/>
  <c r="K1411" i="2"/>
  <c r="J1411" i="2"/>
  <c r="L1410" i="2"/>
  <c r="K1410" i="2"/>
  <c r="J1410" i="2"/>
  <c r="L1409" i="2"/>
  <c r="K1409" i="2"/>
  <c r="J1409" i="2"/>
  <c r="L1408" i="2"/>
  <c r="K1408" i="2"/>
  <c r="J1408" i="2"/>
  <c r="L1407" i="2"/>
  <c r="K1407" i="2"/>
  <c r="J1407" i="2"/>
  <c r="L1406" i="2"/>
  <c r="K1406" i="2"/>
  <c r="J1406" i="2"/>
  <c r="L1405" i="2"/>
  <c r="K1405" i="2"/>
  <c r="J1405" i="2"/>
  <c r="L1404" i="2"/>
  <c r="K1404" i="2"/>
  <c r="J1404" i="2"/>
  <c r="L1403" i="2"/>
  <c r="K1403" i="2"/>
  <c r="J1403" i="2"/>
  <c r="L1402" i="2"/>
  <c r="K1402" i="2"/>
  <c r="J1402" i="2"/>
  <c r="L1401" i="2"/>
  <c r="K1401" i="2"/>
  <c r="J1401" i="2"/>
  <c r="L1400" i="2"/>
  <c r="K1400" i="2"/>
  <c r="J1400" i="2"/>
  <c r="L1399" i="2"/>
  <c r="K1399" i="2"/>
  <c r="J1399" i="2"/>
  <c r="L1398" i="2"/>
  <c r="K1398" i="2"/>
  <c r="J1398" i="2"/>
  <c r="L1397" i="2"/>
  <c r="K1397" i="2"/>
  <c r="J1397" i="2"/>
  <c r="L1396" i="2"/>
  <c r="K1396" i="2"/>
  <c r="J1396" i="2"/>
  <c r="L1395" i="2"/>
  <c r="K1395" i="2"/>
  <c r="J1395" i="2"/>
  <c r="L1394" i="2"/>
  <c r="K1394" i="2"/>
  <c r="J1394" i="2"/>
  <c r="L1393" i="2"/>
  <c r="K1393" i="2"/>
  <c r="J1393" i="2"/>
  <c r="L1392" i="2"/>
  <c r="K1392" i="2"/>
  <c r="J1392" i="2"/>
  <c r="L1391" i="2"/>
  <c r="K1391" i="2"/>
  <c r="J1391" i="2"/>
  <c r="L1390" i="2"/>
  <c r="K1390" i="2"/>
  <c r="J1390" i="2"/>
  <c r="L1389" i="2"/>
  <c r="K1389" i="2"/>
  <c r="J1389" i="2"/>
  <c r="L1388" i="2"/>
  <c r="K1388" i="2"/>
  <c r="J1388" i="2"/>
  <c r="L1387" i="2"/>
  <c r="K1387" i="2"/>
  <c r="J1387" i="2"/>
  <c r="L1386" i="2"/>
  <c r="K1386" i="2"/>
  <c r="J1386" i="2"/>
  <c r="L1385" i="2"/>
  <c r="K1385" i="2"/>
  <c r="J1385" i="2"/>
  <c r="L1384" i="2"/>
  <c r="K1384" i="2"/>
  <c r="J1384" i="2"/>
  <c r="L1383" i="2"/>
  <c r="K1383" i="2"/>
  <c r="J1383" i="2"/>
  <c r="L1382" i="2"/>
  <c r="K1382" i="2"/>
  <c r="J1382" i="2"/>
  <c r="L1381" i="2"/>
  <c r="K1381" i="2"/>
  <c r="J1381" i="2"/>
  <c r="L1380" i="2"/>
  <c r="K1380" i="2"/>
  <c r="J1380" i="2"/>
  <c r="L1379" i="2"/>
  <c r="K1379" i="2"/>
  <c r="J1379" i="2"/>
  <c r="L1378" i="2"/>
  <c r="K1378" i="2"/>
  <c r="J1378" i="2"/>
  <c r="L1377" i="2"/>
  <c r="K1377" i="2"/>
  <c r="J1377" i="2"/>
  <c r="L1376" i="2"/>
  <c r="K1376" i="2"/>
  <c r="J1376" i="2"/>
  <c r="L1375" i="2"/>
  <c r="K1375" i="2"/>
  <c r="J1375" i="2"/>
  <c r="L1374" i="2"/>
  <c r="K1374" i="2"/>
  <c r="J1374" i="2"/>
  <c r="L1373" i="2"/>
  <c r="K1373" i="2"/>
  <c r="J1373" i="2"/>
  <c r="L1372" i="2"/>
  <c r="K1372" i="2"/>
  <c r="J1372" i="2"/>
  <c r="L1371" i="2"/>
  <c r="K1371" i="2"/>
  <c r="J1371" i="2"/>
  <c r="L1370" i="2"/>
  <c r="K1370" i="2"/>
  <c r="J1370" i="2"/>
  <c r="L1369" i="2"/>
  <c r="K1369" i="2"/>
  <c r="J1369" i="2"/>
  <c r="L1368" i="2"/>
  <c r="K1368" i="2"/>
  <c r="J1368" i="2"/>
  <c r="L1367" i="2"/>
  <c r="K1367" i="2"/>
  <c r="J1367" i="2"/>
  <c r="L1366" i="2"/>
  <c r="K1366" i="2"/>
  <c r="J1366" i="2"/>
  <c r="L1365" i="2"/>
  <c r="K1365" i="2"/>
  <c r="J1365" i="2"/>
  <c r="L1364" i="2"/>
  <c r="K1364" i="2"/>
  <c r="J1364" i="2"/>
  <c r="L1363" i="2"/>
  <c r="K1363" i="2"/>
  <c r="J1363" i="2"/>
  <c r="L1362" i="2"/>
  <c r="K1362" i="2"/>
  <c r="J1362" i="2"/>
  <c r="L1361" i="2"/>
  <c r="K1361" i="2"/>
  <c r="J1361" i="2"/>
  <c r="L1360" i="2"/>
  <c r="K1360" i="2"/>
  <c r="J1360" i="2"/>
  <c r="L1359" i="2"/>
  <c r="K1359" i="2"/>
  <c r="J1359" i="2"/>
  <c r="L1358" i="2"/>
  <c r="K1358" i="2"/>
  <c r="J1358" i="2"/>
  <c r="L1357" i="2"/>
  <c r="K1357" i="2"/>
  <c r="J1357" i="2"/>
  <c r="L1356" i="2"/>
  <c r="K1356" i="2"/>
  <c r="J1356" i="2"/>
  <c r="L1355" i="2"/>
  <c r="K1355" i="2"/>
  <c r="J1355" i="2"/>
  <c r="L1354" i="2"/>
  <c r="K1354" i="2"/>
  <c r="J1354" i="2"/>
  <c r="L1353" i="2"/>
  <c r="K1353" i="2"/>
  <c r="J1353" i="2"/>
  <c r="L1352" i="2"/>
  <c r="K1352" i="2"/>
  <c r="J1352" i="2"/>
  <c r="L1351" i="2"/>
  <c r="K1351" i="2"/>
  <c r="J1351" i="2"/>
  <c r="L1350" i="2"/>
  <c r="K1350" i="2"/>
  <c r="J1350" i="2"/>
  <c r="L1349" i="2"/>
  <c r="K1349" i="2"/>
  <c r="J1349" i="2"/>
  <c r="L1348" i="2"/>
  <c r="K1348" i="2"/>
  <c r="J1348" i="2"/>
  <c r="L1347" i="2"/>
  <c r="K1347" i="2"/>
  <c r="J1347" i="2"/>
  <c r="L1346" i="2"/>
  <c r="K1346" i="2"/>
  <c r="J1346" i="2"/>
  <c r="L1345" i="2"/>
  <c r="K1345" i="2"/>
  <c r="J1345" i="2"/>
  <c r="L1344" i="2"/>
  <c r="K1344" i="2"/>
  <c r="J1344" i="2"/>
  <c r="L1343" i="2"/>
  <c r="K1343" i="2"/>
  <c r="J1343" i="2"/>
  <c r="L1342" i="2"/>
  <c r="K1342" i="2"/>
  <c r="J1342" i="2"/>
  <c r="L1341" i="2"/>
  <c r="K1341" i="2"/>
  <c r="J1341" i="2"/>
  <c r="L1340" i="2"/>
  <c r="K1340" i="2"/>
  <c r="J1340" i="2"/>
  <c r="L1339" i="2"/>
  <c r="K1339" i="2"/>
  <c r="J1339" i="2"/>
  <c r="L1338" i="2"/>
  <c r="K1338" i="2"/>
  <c r="J1338" i="2"/>
  <c r="L1337" i="2"/>
  <c r="K1337" i="2"/>
  <c r="J1337" i="2"/>
  <c r="L1336" i="2"/>
  <c r="K1336" i="2"/>
  <c r="J1336" i="2"/>
  <c r="L1335" i="2"/>
  <c r="K1335" i="2"/>
  <c r="J1335" i="2"/>
  <c r="L1334" i="2"/>
  <c r="K1334" i="2"/>
  <c r="J1334" i="2"/>
  <c r="L1333" i="2"/>
  <c r="K1333" i="2"/>
  <c r="J1333" i="2"/>
  <c r="L1332" i="2"/>
  <c r="K1332" i="2"/>
  <c r="J1332" i="2"/>
  <c r="L1331" i="2"/>
  <c r="K1331" i="2"/>
  <c r="J1331" i="2"/>
  <c r="L1330" i="2"/>
  <c r="K1330" i="2"/>
  <c r="J1330" i="2"/>
  <c r="L1329" i="2"/>
  <c r="K1329" i="2"/>
  <c r="J1329" i="2"/>
  <c r="L1328" i="2"/>
  <c r="K1328" i="2"/>
  <c r="J1328" i="2"/>
  <c r="L1327" i="2"/>
  <c r="K1327" i="2"/>
  <c r="J1327" i="2"/>
  <c r="L1326" i="2"/>
  <c r="K1326" i="2"/>
  <c r="J1326" i="2"/>
  <c r="L1325" i="2"/>
  <c r="K1325" i="2"/>
  <c r="J1325" i="2"/>
  <c r="L1324" i="2"/>
  <c r="K1324" i="2"/>
  <c r="J1324" i="2"/>
  <c r="L1323" i="2"/>
  <c r="K1323" i="2"/>
  <c r="J1323" i="2"/>
  <c r="L1322" i="2"/>
  <c r="K1322" i="2"/>
  <c r="J1322" i="2"/>
  <c r="L1321" i="2"/>
  <c r="K1321" i="2"/>
  <c r="J1321" i="2"/>
  <c r="L1320" i="2"/>
  <c r="K1320" i="2"/>
  <c r="J1320" i="2"/>
  <c r="L1319" i="2"/>
  <c r="K1319" i="2"/>
  <c r="J1319" i="2"/>
  <c r="L1318" i="2"/>
  <c r="K1318" i="2"/>
  <c r="J1318" i="2"/>
  <c r="L1317" i="2"/>
  <c r="K1317" i="2"/>
  <c r="J1317" i="2"/>
  <c r="L1316" i="2"/>
  <c r="K1316" i="2"/>
  <c r="J1316" i="2"/>
  <c r="L1315" i="2"/>
  <c r="K1315" i="2"/>
  <c r="J1315" i="2"/>
  <c r="L1314" i="2"/>
  <c r="K1314" i="2"/>
  <c r="J1314" i="2"/>
  <c r="L1313" i="2"/>
  <c r="K1313" i="2"/>
  <c r="J1313" i="2"/>
  <c r="L1312" i="2"/>
  <c r="K1312" i="2"/>
  <c r="J1312" i="2"/>
  <c r="L1311" i="2"/>
  <c r="K1311" i="2"/>
  <c r="J1311" i="2"/>
  <c r="L1310" i="2"/>
  <c r="K1310" i="2"/>
  <c r="J1310" i="2"/>
  <c r="L1309" i="2"/>
  <c r="K1309" i="2"/>
  <c r="J1309" i="2"/>
  <c r="L1308" i="2"/>
  <c r="K1308" i="2"/>
  <c r="J1308" i="2"/>
  <c r="L1307" i="2"/>
  <c r="K1307" i="2"/>
  <c r="J1307" i="2"/>
  <c r="L1306" i="2"/>
  <c r="K1306" i="2"/>
  <c r="J1306" i="2"/>
  <c r="L1305" i="2"/>
  <c r="K1305" i="2"/>
  <c r="J1305" i="2"/>
  <c r="L1304" i="2"/>
  <c r="K1304" i="2"/>
  <c r="J1304" i="2"/>
  <c r="L1303" i="2"/>
  <c r="K1303" i="2"/>
  <c r="J1303" i="2"/>
  <c r="L1302" i="2"/>
  <c r="K1302" i="2"/>
  <c r="J1302" i="2"/>
  <c r="L1301" i="2"/>
  <c r="K1301" i="2"/>
  <c r="J1301" i="2"/>
  <c r="L1300" i="2"/>
  <c r="K1300" i="2"/>
  <c r="J1300" i="2"/>
  <c r="L1299" i="2"/>
  <c r="K1299" i="2"/>
  <c r="J1299" i="2"/>
  <c r="L1298" i="2"/>
  <c r="K1298" i="2"/>
  <c r="J1298" i="2"/>
  <c r="L1297" i="2"/>
  <c r="K1297" i="2"/>
  <c r="J1297" i="2"/>
  <c r="L1296" i="2"/>
  <c r="K1296" i="2"/>
  <c r="J1296" i="2"/>
  <c r="L1295" i="2"/>
  <c r="K1295" i="2"/>
  <c r="J1295" i="2"/>
  <c r="L1294" i="2"/>
  <c r="K1294" i="2"/>
  <c r="J1294" i="2"/>
  <c r="L1293" i="2"/>
  <c r="K1293" i="2"/>
  <c r="J1293" i="2"/>
  <c r="L1292" i="2"/>
  <c r="K1292" i="2"/>
  <c r="J1292" i="2"/>
  <c r="L1291" i="2"/>
  <c r="K1291" i="2"/>
  <c r="J1291" i="2"/>
  <c r="L1290" i="2"/>
  <c r="K1290" i="2"/>
  <c r="J1290" i="2"/>
  <c r="L1289" i="2"/>
  <c r="K1289" i="2"/>
  <c r="J1289" i="2"/>
  <c r="L1288" i="2"/>
  <c r="K1288" i="2"/>
  <c r="J1288" i="2"/>
  <c r="L1287" i="2"/>
  <c r="K1287" i="2"/>
  <c r="J1287" i="2"/>
  <c r="L1286" i="2"/>
  <c r="K1286" i="2"/>
  <c r="J1286" i="2"/>
  <c r="L1285" i="2"/>
  <c r="K1285" i="2"/>
  <c r="J1285" i="2"/>
  <c r="L1284" i="2"/>
  <c r="K1284" i="2"/>
  <c r="J1284" i="2"/>
  <c r="L1283" i="2"/>
  <c r="K1283" i="2"/>
  <c r="J1283" i="2"/>
  <c r="L1282" i="2"/>
  <c r="K1282" i="2"/>
  <c r="J1282" i="2"/>
  <c r="L1281" i="2"/>
  <c r="K1281" i="2"/>
  <c r="J1281" i="2"/>
  <c r="L1280" i="2"/>
  <c r="K1280" i="2"/>
  <c r="J1280" i="2"/>
  <c r="L1279" i="2"/>
  <c r="K1279" i="2"/>
  <c r="J1279" i="2"/>
  <c r="L1278" i="2"/>
  <c r="K1278" i="2"/>
  <c r="J1278" i="2"/>
  <c r="L1277" i="2"/>
  <c r="K1277" i="2"/>
  <c r="J1277" i="2"/>
  <c r="L1276" i="2"/>
  <c r="K1276" i="2"/>
  <c r="J1276" i="2"/>
  <c r="L1275" i="2"/>
  <c r="K1275" i="2"/>
  <c r="J1275" i="2"/>
  <c r="L1274" i="2"/>
  <c r="K1274" i="2"/>
  <c r="J1274" i="2"/>
  <c r="L1273" i="2"/>
  <c r="K1273" i="2"/>
  <c r="J1273" i="2"/>
  <c r="L1272" i="2"/>
  <c r="K1272" i="2"/>
  <c r="J1272" i="2"/>
  <c r="L1271" i="2"/>
  <c r="K1271" i="2"/>
  <c r="J1271" i="2"/>
  <c r="L1270" i="2"/>
  <c r="K1270" i="2"/>
  <c r="J1270" i="2"/>
  <c r="L1269" i="2"/>
  <c r="K1269" i="2"/>
  <c r="J1269" i="2"/>
  <c r="L1268" i="2"/>
  <c r="K1268" i="2"/>
  <c r="J1268" i="2"/>
  <c r="L1267" i="2"/>
  <c r="K1267" i="2"/>
  <c r="J1267" i="2"/>
  <c r="L1266" i="2"/>
  <c r="K1266" i="2"/>
  <c r="J1266" i="2"/>
  <c r="L1265" i="2"/>
  <c r="K1265" i="2"/>
  <c r="J1265" i="2"/>
  <c r="L1264" i="2"/>
  <c r="K1264" i="2"/>
  <c r="J1264" i="2"/>
  <c r="L1263" i="2"/>
  <c r="K1263" i="2"/>
  <c r="J1263" i="2"/>
  <c r="L1262" i="2"/>
  <c r="K1262" i="2"/>
  <c r="J1262" i="2"/>
  <c r="L1261" i="2"/>
  <c r="K1261" i="2"/>
  <c r="J1261" i="2"/>
  <c r="L1260" i="2"/>
  <c r="K1260" i="2"/>
  <c r="J1260" i="2"/>
  <c r="L1259" i="2"/>
  <c r="K1259" i="2"/>
  <c r="J1259" i="2"/>
  <c r="L1258" i="2"/>
  <c r="K1258" i="2"/>
  <c r="J1258" i="2"/>
  <c r="L1257" i="2"/>
  <c r="K1257" i="2"/>
  <c r="J1257" i="2"/>
  <c r="L1256" i="2"/>
  <c r="K1256" i="2"/>
  <c r="J1256" i="2"/>
  <c r="L1255" i="2"/>
  <c r="K1255" i="2"/>
  <c r="J1255" i="2"/>
  <c r="L1254" i="2"/>
  <c r="K1254" i="2"/>
  <c r="J1254" i="2"/>
  <c r="L1253" i="2"/>
  <c r="K1253" i="2"/>
  <c r="J1253" i="2"/>
  <c r="L1252" i="2"/>
  <c r="K1252" i="2"/>
  <c r="J1252" i="2"/>
  <c r="L1251" i="2"/>
  <c r="K1251" i="2"/>
  <c r="J1251" i="2"/>
  <c r="L1250" i="2"/>
  <c r="K1250" i="2"/>
  <c r="J1250" i="2"/>
  <c r="L1249" i="2"/>
  <c r="K1249" i="2"/>
  <c r="J1249" i="2"/>
  <c r="L1248" i="2"/>
  <c r="K1248" i="2"/>
  <c r="J1248" i="2"/>
  <c r="L1247" i="2"/>
  <c r="K1247" i="2"/>
  <c r="J1247" i="2"/>
  <c r="L1246" i="2"/>
  <c r="K1246" i="2"/>
  <c r="J1246" i="2"/>
  <c r="L1245" i="2"/>
  <c r="K1245" i="2"/>
  <c r="J1245" i="2"/>
  <c r="L1244" i="2"/>
  <c r="K1244" i="2"/>
  <c r="J1244" i="2"/>
  <c r="L1243" i="2"/>
  <c r="K1243" i="2"/>
  <c r="J1243" i="2"/>
  <c r="L1242" i="2"/>
  <c r="K1242" i="2"/>
  <c r="J1242" i="2"/>
  <c r="L1241" i="2"/>
  <c r="K1241" i="2"/>
  <c r="J1241" i="2"/>
  <c r="L1240" i="2"/>
  <c r="K1240" i="2"/>
  <c r="J1240" i="2"/>
  <c r="L1239" i="2"/>
  <c r="K1239" i="2"/>
  <c r="J1239" i="2"/>
  <c r="L1238" i="2"/>
  <c r="K1238" i="2"/>
  <c r="J1238" i="2"/>
  <c r="L1237" i="2"/>
  <c r="K1237" i="2"/>
  <c r="J1237" i="2"/>
  <c r="L1236" i="2"/>
  <c r="K1236" i="2"/>
  <c r="J1236" i="2"/>
  <c r="L1235" i="2"/>
  <c r="K1235" i="2"/>
  <c r="J1235" i="2"/>
  <c r="L1234" i="2"/>
  <c r="K1234" i="2"/>
  <c r="J1234" i="2"/>
  <c r="L1233" i="2"/>
  <c r="K1233" i="2"/>
  <c r="J1233" i="2"/>
  <c r="L1232" i="2"/>
  <c r="K1232" i="2"/>
  <c r="J1232" i="2"/>
  <c r="L1231" i="2"/>
  <c r="K1231" i="2"/>
  <c r="J1231" i="2"/>
  <c r="L1230" i="2"/>
  <c r="K1230" i="2"/>
  <c r="J1230" i="2"/>
  <c r="L1229" i="2"/>
  <c r="K1229" i="2"/>
  <c r="J1229" i="2"/>
  <c r="L1228" i="2"/>
  <c r="K1228" i="2"/>
  <c r="J1228" i="2"/>
  <c r="L1227" i="2"/>
  <c r="K1227" i="2"/>
  <c r="J1227" i="2"/>
  <c r="L1226" i="2"/>
  <c r="K1226" i="2"/>
  <c r="J1226" i="2"/>
  <c r="L1225" i="2"/>
  <c r="K1225" i="2"/>
  <c r="J1225" i="2"/>
  <c r="L1224" i="2"/>
  <c r="K1224" i="2"/>
  <c r="J1224" i="2"/>
  <c r="L1223" i="2"/>
  <c r="K1223" i="2"/>
  <c r="J1223" i="2"/>
  <c r="L1222" i="2"/>
  <c r="K1222" i="2"/>
  <c r="J1222" i="2"/>
  <c r="L1221" i="2"/>
  <c r="K1221" i="2"/>
  <c r="J1221" i="2"/>
  <c r="L1220" i="2"/>
  <c r="K1220" i="2"/>
  <c r="J1220" i="2"/>
  <c r="L1219" i="2"/>
  <c r="K1219" i="2"/>
  <c r="J1219" i="2"/>
  <c r="L1218" i="2"/>
  <c r="K1218" i="2"/>
  <c r="J1218" i="2"/>
  <c r="L1217" i="2"/>
  <c r="K1217" i="2"/>
  <c r="J1217" i="2"/>
  <c r="L1216" i="2"/>
  <c r="K1216" i="2"/>
  <c r="J1216" i="2"/>
  <c r="L1215" i="2"/>
  <c r="K1215" i="2"/>
  <c r="J1215" i="2"/>
  <c r="L1214" i="2"/>
  <c r="K1214" i="2"/>
  <c r="J1214" i="2"/>
  <c r="L1213" i="2"/>
  <c r="K1213" i="2"/>
  <c r="J1213" i="2"/>
  <c r="L1212" i="2"/>
  <c r="K1212" i="2"/>
  <c r="J1212" i="2"/>
  <c r="L1211" i="2"/>
  <c r="K1211" i="2"/>
  <c r="J1211" i="2"/>
  <c r="L1210" i="2"/>
  <c r="K1210" i="2"/>
  <c r="J1210" i="2"/>
  <c r="L1209" i="2"/>
  <c r="K1209" i="2"/>
  <c r="J1209" i="2"/>
  <c r="L1208" i="2"/>
  <c r="K1208" i="2"/>
  <c r="J1208" i="2"/>
  <c r="L1207" i="2"/>
  <c r="K1207" i="2"/>
  <c r="J1207" i="2"/>
  <c r="L1206" i="2"/>
  <c r="K1206" i="2"/>
  <c r="J1206" i="2"/>
  <c r="L1205" i="2"/>
  <c r="K1205" i="2"/>
  <c r="J1205" i="2"/>
  <c r="L1204" i="2"/>
  <c r="K1204" i="2"/>
  <c r="J1204" i="2"/>
  <c r="L1203" i="2"/>
  <c r="K1203" i="2"/>
  <c r="J1203" i="2"/>
  <c r="L1202" i="2"/>
  <c r="K1202" i="2"/>
  <c r="J1202" i="2"/>
  <c r="L1201" i="2"/>
  <c r="K1201" i="2"/>
  <c r="J1201" i="2"/>
  <c r="L1200" i="2"/>
  <c r="K1200" i="2"/>
  <c r="J1200" i="2"/>
  <c r="L1199" i="2"/>
  <c r="K1199" i="2"/>
  <c r="J1199" i="2"/>
  <c r="L1198" i="2"/>
  <c r="K1198" i="2"/>
  <c r="J1198" i="2"/>
  <c r="L1197" i="2"/>
  <c r="K1197" i="2"/>
  <c r="J1197" i="2"/>
  <c r="L1196" i="2"/>
  <c r="K1196" i="2"/>
  <c r="J1196" i="2"/>
  <c r="L1195" i="2"/>
  <c r="K1195" i="2"/>
  <c r="J1195" i="2"/>
  <c r="L1194" i="2"/>
  <c r="K1194" i="2"/>
  <c r="J1194" i="2"/>
  <c r="L1193" i="2"/>
  <c r="K1193" i="2"/>
  <c r="J1193" i="2"/>
  <c r="L1192" i="2"/>
  <c r="K1192" i="2"/>
  <c r="J1192" i="2"/>
  <c r="L1191" i="2"/>
  <c r="K1191" i="2"/>
  <c r="J1191" i="2"/>
  <c r="L1190" i="2"/>
  <c r="K1190" i="2"/>
  <c r="J1190" i="2"/>
  <c r="L1189" i="2"/>
  <c r="K1189" i="2"/>
  <c r="J1189" i="2"/>
  <c r="L1188" i="2"/>
  <c r="K1188" i="2"/>
  <c r="J1188" i="2"/>
  <c r="L1187" i="2"/>
  <c r="K1187" i="2"/>
  <c r="J1187" i="2"/>
  <c r="L1186" i="2"/>
  <c r="K1186" i="2"/>
  <c r="J1186" i="2"/>
  <c r="L1185" i="2"/>
  <c r="K1185" i="2"/>
  <c r="J1185" i="2"/>
  <c r="L1184" i="2"/>
  <c r="K1184" i="2"/>
  <c r="J1184" i="2"/>
  <c r="L1183" i="2"/>
  <c r="K1183" i="2"/>
  <c r="J1183" i="2"/>
  <c r="L1182" i="2"/>
  <c r="K1182" i="2"/>
  <c r="J1182" i="2"/>
  <c r="L1181" i="2"/>
  <c r="K1181" i="2"/>
  <c r="J1181" i="2"/>
  <c r="L1180" i="2"/>
  <c r="K1180" i="2"/>
  <c r="J1180" i="2"/>
  <c r="L1179" i="2"/>
  <c r="K1179" i="2"/>
  <c r="J1179" i="2"/>
  <c r="L1178" i="2"/>
  <c r="K1178" i="2"/>
  <c r="J1178" i="2"/>
  <c r="L1177" i="2"/>
  <c r="K1177" i="2"/>
  <c r="J1177" i="2"/>
  <c r="L1176" i="2"/>
  <c r="K1176" i="2"/>
  <c r="J1176" i="2"/>
  <c r="L1175" i="2"/>
  <c r="K1175" i="2"/>
  <c r="J1175" i="2"/>
  <c r="L1174" i="2"/>
  <c r="K1174" i="2"/>
  <c r="J1174" i="2"/>
  <c r="L1173" i="2"/>
  <c r="K1173" i="2"/>
  <c r="J1173" i="2"/>
  <c r="L1172" i="2"/>
  <c r="K1172" i="2"/>
  <c r="J1172" i="2"/>
  <c r="L1171" i="2"/>
  <c r="K1171" i="2"/>
  <c r="J1171" i="2"/>
  <c r="L1170" i="2"/>
  <c r="K1170" i="2"/>
  <c r="J1170" i="2"/>
  <c r="L1169" i="2"/>
  <c r="K1169" i="2"/>
  <c r="J1169" i="2"/>
  <c r="L1168" i="2"/>
  <c r="K1168" i="2"/>
  <c r="J1168" i="2"/>
  <c r="L1167" i="2"/>
  <c r="K1167" i="2"/>
  <c r="J1167" i="2"/>
  <c r="L1166" i="2"/>
  <c r="K1166" i="2"/>
  <c r="J1166" i="2"/>
  <c r="L1165" i="2"/>
  <c r="K1165" i="2"/>
  <c r="J1165" i="2"/>
  <c r="L1164" i="2"/>
  <c r="K1164" i="2"/>
  <c r="J1164" i="2"/>
  <c r="L1163" i="2"/>
  <c r="K1163" i="2"/>
  <c r="J1163" i="2"/>
  <c r="L1162" i="2"/>
  <c r="K1162" i="2"/>
  <c r="J1162" i="2"/>
  <c r="L1161" i="2"/>
  <c r="K1161" i="2"/>
  <c r="J1161" i="2"/>
  <c r="L1160" i="2"/>
  <c r="K1160" i="2"/>
  <c r="J1160" i="2"/>
  <c r="L1159" i="2"/>
  <c r="K1159" i="2"/>
  <c r="J1159" i="2"/>
  <c r="L1158" i="2"/>
  <c r="K1158" i="2"/>
  <c r="J1158" i="2"/>
  <c r="L1157" i="2"/>
  <c r="K1157" i="2"/>
  <c r="J1157" i="2"/>
  <c r="L1156" i="2"/>
  <c r="K1156" i="2"/>
  <c r="J1156" i="2"/>
  <c r="L1155" i="2"/>
  <c r="K1155" i="2"/>
  <c r="J1155" i="2"/>
  <c r="L1154" i="2"/>
  <c r="K1154" i="2"/>
  <c r="J1154" i="2"/>
  <c r="L1153" i="2"/>
  <c r="K1153" i="2"/>
  <c r="J1153" i="2"/>
  <c r="L1152" i="2"/>
  <c r="K1152" i="2"/>
  <c r="J1152" i="2"/>
  <c r="L1151" i="2"/>
  <c r="K1151" i="2"/>
  <c r="J1151" i="2"/>
  <c r="L1150" i="2"/>
  <c r="K1150" i="2"/>
  <c r="J1150" i="2"/>
  <c r="L1149" i="2"/>
  <c r="K1149" i="2"/>
  <c r="J1149" i="2"/>
  <c r="L1148" i="2"/>
  <c r="K1148" i="2"/>
  <c r="J1148" i="2"/>
  <c r="L1147" i="2"/>
  <c r="K1147" i="2"/>
  <c r="J1147" i="2"/>
  <c r="L1146" i="2"/>
  <c r="K1146" i="2"/>
  <c r="J1146" i="2"/>
  <c r="L1145" i="2"/>
  <c r="K1145" i="2"/>
  <c r="J1145" i="2"/>
  <c r="L1144" i="2"/>
  <c r="K1144" i="2"/>
  <c r="J1144" i="2"/>
  <c r="L1143" i="2"/>
  <c r="K1143" i="2"/>
  <c r="J1143" i="2"/>
  <c r="L1142" i="2"/>
  <c r="K1142" i="2"/>
  <c r="J1142" i="2"/>
  <c r="L1141" i="2"/>
  <c r="K1141" i="2"/>
  <c r="J1141" i="2"/>
  <c r="L1140" i="2"/>
  <c r="K1140" i="2"/>
  <c r="J1140" i="2"/>
  <c r="L1139" i="2"/>
  <c r="K1139" i="2"/>
  <c r="J1139" i="2"/>
  <c r="L1138" i="2"/>
  <c r="K1138" i="2"/>
  <c r="J1138" i="2"/>
  <c r="L1137" i="2"/>
  <c r="K1137" i="2"/>
  <c r="J1137" i="2"/>
  <c r="L1136" i="2"/>
  <c r="K1136" i="2"/>
  <c r="J1136" i="2"/>
  <c r="L1135" i="2"/>
  <c r="K1135" i="2"/>
  <c r="J1135" i="2"/>
  <c r="L1134" i="2"/>
  <c r="K1134" i="2"/>
  <c r="J1134" i="2"/>
  <c r="L1133" i="2"/>
  <c r="K1133" i="2"/>
  <c r="J1133" i="2"/>
  <c r="L1132" i="2"/>
  <c r="K1132" i="2"/>
  <c r="J1132" i="2"/>
  <c r="L1131" i="2"/>
  <c r="K1131" i="2"/>
  <c r="J1131" i="2"/>
  <c r="L1130" i="2"/>
  <c r="K1130" i="2"/>
  <c r="J1130" i="2"/>
  <c r="L1129" i="2"/>
  <c r="K1129" i="2"/>
  <c r="J1129" i="2"/>
  <c r="L1128" i="2"/>
  <c r="K1128" i="2"/>
  <c r="J1128" i="2"/>
  <c r="L1127" i="2"/>
  <c r="K1127" i="2"/>
  <c r="J1127" i="2"/>
  <c r="L1126" i="2"/>
  <c r="K1126" i="2"/>
  <c r="J1126" i="2"/>
  <c r="L1125" i="2"/>
  <c r="K1125" i="2"/>
  <c r="J1125" i="2"/>
  <c r="L1124" i="2"/>
  <c r="K1124" i="2"/>
  <c r="J1124" i="2"/>
  <c r="L1123" i="2"/>
  <c r="K1123" i="2"/>
  <c r="J1123" i="2"/>
  <c r="L1122" i="2"/>
  <c r="K1122" i="2"/>
  <c r="J1122" i="2"/>
  <c r="L1121" i="2"/>
  <c r="K1121" i="2"/>
  <c r="J1121" i="2"/>
  <c r="L1120" i="2"/>
  <c r="K1120" i="2"/>
  <c r="J1120" i="2"/>
  <c r="L1119" i="2"/>
  <c r="K1119" i="2"/>
  <c r="J1119" i="2"/>
  <c r="L1118" i="2"/>
  <c r="K1118" i="2"/>
  <c r="J1118" i="2"/>
  <c r="L1117" i="2"/>
  <c r="K1117" i="2"/>
  <c r="J1117" i="2"/>
  <c r="L1116" i="2"/>
  <c r="K1116" i="2"/>
  <c r="J1116" i="2"/>
  <c r="L1115" i="2"/>
  <c r="K1115" i="2"/>
  <c r="J1115" i="2"/>
  <c r="L1114" i="2"/>
  <c r="K1114" i="2"/>
  <c r="J1114" i="2"/>
  <c r="L1113" i="2"/>
  <c r="K1113" i="2"/>
  <c r="J1113" i="2"/>
  <c r="L1112" i="2"/>
  <c r="K1112" i="2"/>
  <c r="J1112" i="2"/>
  <c r="L1111" i="2"/>
  <c r="K1111" i="2"/>
  <c r="J1111" i="2"/>
  <c r="L1110" i="2"/>
  <c r="K1110" i="2"/>
  <c r="J1110" i="2"/>
  <c r="L1109" i="2"/>
  <c r="K1109" i="2"/>
  <c r="J1109" i="2"/>
  <c r="L1108" i="2"/>
  <c r="K1108" i="2"/>
  <c r="J1108" i="2"/>
  <c r="L1107" i="2"/>
  <c r="K1107" i="2"/>
  <c r="J1107" i="2"/>
  <c r="L1106" i="2"/>
  <c r="K1106" i="2"/>
  <c r="J1106" i="2"/>
  <c r="L1105" i="2"/>
  <c r="K1105" i="2"/>
  <c r="J1105" i="2"/>
  <c r="L1104" i="2"/>
  <c r="K1104" i="2"/>
  <c r="J1104" i="2"/>
  <c r="L1103" i="2"/>
  <c r="K1103" i="2"/>
  <c r="J1103" i="2"/>
  <c r="L1102" i="2"/>
  <c r="K1102" i="2"/>
  <c r="J1102" i="2"/>
  <c r="L1101" i="2"/>
  <c r="K1101" i="2"/>
  <c r="J1101" i="2"/>
  <c r="L1100" i="2"/>
  <c r="K1100" i="2"/>
  <c r="J1100" i="2"/>
  <c r="L1099" i="2"/>
  <c r="K1099" i="2"/>
  <c r="J1099" i="2"/>
  <c r="L1098" i="2"/>
  <c r="K1098" i="2"/>
  <c r="J1098" i="2"/>
  <c r="L1097" i="2"/>
  <c r="K1097" i="2"/>
  <c r="J1097" i="2"/>
  <c r="L1096" i="2"/>
  <c r="K1096" i="2"/>
  <c r="J1096" i="2"/>
  <c r="L1095" i="2"/>
  <c r="K1095" i="2"/>
  <c r="J1095" i="2"/>
  <c r="L1094" i="2"/>
  <c r="K1094" i="2"/>
  <c r="J1094" i="2"/>
  <c r="L1093" i="2"/>
  <c r="K1093" i="2"/>
  <c r="J1093" i="2"/>
  <c r="L1092" i="2"/>
  <c r="K1092" i="2"/>
  <c r="J1092" i="2"/>
  <c r="L1091" i="2"/>
  <c r="K1091" i="2"/>
  <c r="J1091" i="2"/>
  <c r="L1090" i="2"/>
  <c r="K1090" i="2"/>
  <c r="J1090" i="2"/>
  <c r="L1089" i="2"/>
  <c r="K1089" i="2"/>
  <c r="J1089" i="2"/>
  <c r="L1088" i="2"/>
  <c r="K1088" i="2"/>
  <c r="J1088" i="2"/>
  <c r="L1087" i="2"/>
  <c r="K1087" i="2"/>
  <c r="J1087" i="2"/>
  <c r="L1086" i="2"/>
  <c r="K1086" i="2"/>
  <c r="J1086" i="2"/>
  <c r="L1085" i="2"/>
  <c r="K1085" i="2"/>
  <c r="J1085" i="2"/>
  <c r="L1084" i="2"/>
  <c r="K1084" i="2"/>
  <c r="J1084" i="2"/>
  <c r="L1083" i="2"/>
  <c r="K1083" i="2"/>
  <c r="J1083" i="2"/>
  <c r="L1082" i="2"/>
  <c r="K1082" i="2"/>
  <c r="J1082" i="2"/>
  <c r="L1081" i="2"/>
  <c r="K1081" i="2"/>
  <c r="J1081" i="2"/>
  <c r="L1080" i="2"/>
  <c r="K1080" i="2"/>
  <c r="J1080" i="2"/>
  <c r="L1079" i="2"/>
  <c r="K1079" i="2"/>
  <c r="J1079" i="2"/>
  <c r="L1078" i="2"/>
  <c r="K1078" i="2"/>
  <c r="J1078" i="2"/>
  <c r="L1077" i="2"/>
  <c r="K1077" i="2"/>
  <c r="J1077" i="2"/>
  <c r="L1076" i="2"/>
  <c r="K1076" i="2"/>
  <c r="J1076" i="2"/>
  <c r="L1075" i="2"/>
  <c r="K1075" i="2"/>
  <c r="J1075" i="2"/>
  <c r="L1074" i="2"/>
  <c r="K1074" i="2"/>
  <c r="J1074" i="2"/>
  <c r="L1073" i="2"/>
  <c r="K1073" i="2"/>
  <c r="J1073" i="2"/>
  <c r="L1072" i="2"/>
  <c r="K1072" i="2"/>
  <c r="J1072" i="2"/>
  <c r="L1071" i="2"/>
  <c r="K1071" i="2"/>
  <c r="J1071" i="2"/>
  <c r="L1070" i="2"/>
  <c r="K1070" i="2"/>
  <c r="J1070" i="2"/>
  <c r="L1069" i="2"/>
  <c r="K1069" i="2"/>
  <c r="J1069" i="2"/>
  <c r="L1068" i="2"/>
  <c r="K1068" i="2"/>
  <c r="J1068" i="2"/>
  <c r="L1067" i="2"/>
  <c r="K1067" i="2"/>
  <c r="J1067" i="2"/>
  <c r="L1066" i="2"/>
  <c r="K1066" i="2"/>
  <c r="J1066" i="2"/>
  <c r="L1065" i="2"/>
  <c r="K1065" i="2"/>
  <c r="J1065" i="2"/>
  <c r="L1064" i="2"/>
  <c r="K1064" i="2"/>
  <c r="J1064" i="2"/>
  <c r="L1063" i="2"/>
  <c r="K1063" i="2"/>
  <c r="J1063" i="2"/>
  <c r="L1062" i="2"/>
  <c r="K1062" i="2"/>
  <c r="J1062" i="2"/>
  <c r="L1061" i="2"/>
  <c r="K1061" i="2"/>
  <c r="J1061" i="2"/>
  <c r="L1060" i="2"/>
  <c r="K1060" i="2"/>
  <c r="J1060" i="2"/>
  <c r="L1059" i="2"/>
  <c r="K1059" i="2"/>
  <c r="J1059" i="2"/>
  <c r="L1058" i="2"/>
  <c r="K1058" i="2"/>
  <c r="J1058" i="2"/>
  <c r="L1057" i="2"/>
  <c r="K1057" i="2"/>
  <c r="J1057" i="2"/>
  <c r="L1056" i="2"/>
  <c r="K1056" i="2"/>
  <c r="J1056" i="2"/>
  <c r="L1055" i="2"/>
  <c r="K1055" i="2"/>
  <c r="J1055" i="2"/>
  <c r="L1054" i="2"/>
  <c r="K1054" i="2"/>
  <c r="J1054" i="2"/>
  <c r="L1053" i="2"/>
  <c r="K1053" i="2"/>
  <c r="J1053" i="2"/>
  <c r="L1052" i="2"/>
  <c r="K1052" i="2"/>
  <c r="J1052" i="2"/>
  <c r="L1051" i="2"/>
  <c r="K1051" i="2"/>
  <c r="J1051" i="2"/>
  <c r="L1050" i="2"/>
  <c r="K1050" i="2"/>
  <c r="J1050" i="2"/>
  <c r="L1049" i="2"/>
  <c r="K1049" i="2"/>
  <c r="J1049" i="2"/>
  <c r="L1048" i="2"/>
  <c r="K1048" i="2"/>
  <c r="J1048" i="2"/>
  <c r="L1047" i="2"/>
  <c r="K1047" i="2"/>
  <c r="J1047" i="2"/>
  <c r="L1046" i="2"/>
  <c r="K1046" i="2"/>
  <c r="J1046" i="2"/>
  <c r="L1045" i="2"/>
  <c r="K1045" i="2"/>
  <c r="J1045" i="2"/>
  <c r="L1044" i="2"/>
  <c r="K1044" i="2"/>
  <c r="J1044" i="2"/>
  <c r="L1043" i="2"/>
  <c r="K1043" i="2"/>
  <c r="J1043" i="2"/>
  <c r="L1042" i="2"/>
  <c r="K1042" i="2"/>
  <c r="J1042" i="2"/>
  <c r="L1041" i="2"/>
  <c r="K1041" i="2"/>
  <c r="J1041" i="2"/>
  <c r="L1040" i="2"/>
  <c r="K1040" i="2"/>
  <c r="J1040" i="2"/>
  <c r="L1039" i="2"/>
  <c r="K1039" i="2"/>
  <c r="J1039" i="2"/>
  <c r="L1038" i="2"/>
  <c r="K1038" i="2"/>
  <c r="J1038" i="2"/>
  <c r="L1037" i="2"/>
  <c r="K1037" i="2"/>
  <c r="J1037" i="2"/>
  <c r="L1036" i="2"/>
  <c r="K1036" i="2"/>
  <c r="J1036" i="2"/>
  <c r="L1035" i="2"/>
  <c r="K1035" i="2"/>
  <c r="J1035" i="2"/>
  <c r="L1034" i="2"/>
  <c r="K1034" i="2"/>
  <c r="J1034" i="2"/>
  <c r="L1033" i="2"/>
  <c r="K1033" i="2"/>
  <c r="J1033" i="2"/>
  <c r="L1032" i="2"/>
  <c r="K1032" i="2"/>
  <c r="J1032" i="2"/>
  <c r="L1031" i="2"/>
  <c r="K1031" i="2"/>
  <c r="J1031" i="2"/>
  <c r="L1030" i="2"/>
  <c r="K1030" i="2"/>
  <c r="J1030" i="2"/>
  <c r="L1029" i="2"/>
  <c r="K1029" i="2"/>
  <c r="J1029" i="2"/>
  <c r="L1028" i="2"/>
  <c r="K1028" i="2"/>
  <c r="J1028" i="2"/>
  <c r="L1027" i="2"/>
  <c r="K1027" i="2"/>
  <c r="J1027" i="2"/>
  <c r="L1026" i="2"/>
  <c r="K1026" i="2"/>
  <c r="J1026" i="2"/>
  <c r="L1025" i="2"/>
  <c r="K1025" i="2"/>
  <c r="J1025" i="2"/>
  <c r="L1024" i="2"/>
  <c r="K1024" i="2"/>
  <c r="J1024" i="2"/>
  <c r="L1023" i="2"/>
  <c r="K1023" i="2"/>
  <c r="J1023" i="2"/>
  <c r="L1022" i="2"/>
  <c r="K1022" i="2"/>
  <c r="J1022" i="2"/>
  <c r="L1021" i="2"/>
  <c r="K1021" i="2"/>
  <c r="J1021" i="2"/>
  <c r="L1020" i="2"/>
  <c r="K1020" i="2"/>
  <c r="J1020" i="2"/>
  <c r="L1019" i="2"/>
  <c r="K1019" i="2"/>
  <c r="J1019" i="2"/>
  <c r="L1018" i="2"/>
  <c r="K1018" i="2"/>
  <c r="J1018" i="2"/>
  <c r="L1017" i="2"/>
  <c r="K1017" i="2"/>
  <c r="J1017" i="2"/>
  <c r="L1016" i="2"/>
  <c r="K1016" i="2"/>
  <c r="J1016" i="2"/>
  <c r="L1015" i="2"/>
  <c r="K1015" i="2"/>
  <c r="J1015" i="2"/>
  <c r="L1014" i="2"/>
  <c r="K1014" i="2"/>
  <c r="J1014" i="2"/>
  <c r="L1013" i="2"/>
  <c r="K1013" i="2"/>
  <c r="J1013" i="2"/>
  <c r="L1012" i="2"/>
  <c r="K1012" i="2"/>
  <c r="J1012" i="2"/>
  <c r="L1011" i="2"/>
  <c r="K1011" i="2"/>
  <c r="J1011" i="2"/>
  <c r="L1010" i="2"/>
  <c r="K1010" i="2"/>
  <c r="J1010" i="2"/>
  <c r="L1009" i="2"/>
  <c r="K1009" i="2"/>
  <c r="J1009" i="2"/>
  <c r="L1008" i="2"/>
  <c r="K1008" i="2"/>
  <c r="J1008" i="2"/>
  <c r="L1007" i="2"/>
  <c r="K1007" i="2"/>
  <c r="J1007" i="2"/>
  <c r="L1006" i="2"/>
  <c r="K1006" i="2"/>
  <c r="J1006" i="2"/>
  <c r="L1005" i="2"/>
  <c r="K1005" i="2"/>
  <c r="J1005" i="2"/>
  <c r="L1004" i="2"/>
  <c r="K1004" i="2"/>
  <c r="J1004" i="2"/>
  <c r="L1003" i="2"/>
  <c r="K1003" i="2"/>
  <c r="J1003" i="2"/>
  <c r="L1002" i="2"/>
  <c r="K1002" i="2"/>
  <c r="J1002" i="2"/>
  <c r="L1001" i="2"/>
  <c r="K1001" i="2"/>
  <c r="J1001" i="2"/>
  <c r="L1000" i="2"/>
  <c r="K1000" i="2"/>
  <c r="J1000" i="2"/>
  <c r="L999" i="2"/>
  <c r="K999" i="2"/>
  <c r="J999" i="2"/>
  <c r="L998" i="2"/>
  <c r="K998" i="2"/>
  <c r="J998" i="2"/>
  <c r="L997" i="2"/>
  <c r="K997" i="2"/>
  <c r="J997" i="2"/>
  <c r="L996" i="2"/>
  <c r="K996" i="2"/>
  <c r="J996" i="2"/>
  <c r="L995" i="2"/>
  <c r="K995" i="2"/>
  <c r="J995" i="2"/>
  <c r="L994" i="2"/>
  <c r="K994" i="2"/>
  <c r="J994" i="2"/>
  <c r="L993" i="2"/>
  <c r="K993" i="2"/>
  <c r="J993" i="2"/>
  <c r="L992" i="2"/>
  <c r="K992" i="2"/>
  <c r="J992" i="2"/>
  <c r="L991" i="2"/>
  <c r="K991" i="2"/>
  <c r="J991" i="2"/>
  <c r="L990" i="2"/>
  <c r="K990" i="2"/>
  <c r="J990" i="2"/>
  <c r="L989" i="2"/>
  <c r="K989" i="2"/>
  <c r="J989" i="2"/>
  <c r="L988" i="2"/>
  <c r="K988" i="2"/>
  <c r="J988" i="2"/>
  <c r="L987" i="2"/>
  <c r="K987" i="2"/>
  <c r="J987" i="2"/>
  <c r="L986" i="2"/>
  <c r="K986" i="2"/>
  <c r="J986" i="2"/>
  <c r="L985" i="2"/>
  <c r="K985" i="2"/>
  <c r="J985" i="2"/>
  <c r="L984" i="2"/>
  <c r="K984" i="2"/>
  <c r="J984" i="2"/>
  <c r="L983" i="2"/>
  <c r="K983" i="2"/>
  <c r="J983" i="2"/>
  <c r="L982" i="2"/>
  <c r="K982" i="2"/>
  <c r="J982" i="2"/>
  <c r="L981" i="2"/>
  <c r="K981" i="2"/>
  <c r="J981" i="2"/>
  <c r="L980" i="2"/>
  <c r="K980" i="2"/>
  <c r="J980" i="2"/>
  <c r="L979" i="2"/>
  <c r="K979" i="2"/>
  <c r="J979" i="2"/>
  <c r="L978" i="2"/>
  <c r="K978" i="2"/>
  <c r="J978" i="2"/>
  <c r="L977" i="2"/>
  <c r="K977" i="2"/>
  <c r="J977" i="2"/>
  <c r="L976" i="2"/>
  <c r="K976" i="2"/>
  <c r="J976" i="2"/>
  <c r="L975" i="2"/>
  <c r="K975" i="2"/>
  <c r="J975" i="2"/>
  <c r="L974" i="2"/>
  <c r="K974" i="2"/>
  <c r="J974" i="2"/>
  <c r="L973" i="2"/>
  <c r="K973" i="2"/>
  <c r="J973" i="2"/>
  <c r="L972" i="2"/>
  <c r="K972" i="2"/>
  <c r="J972" i="2"/>
  <c r="L971" i="2"/>
  <c r="K971" i="2"/>
  <c r="J971" i="2"/>
  <c r="L970" i="2"/>
  <c r="K970" i="2"/>
  <c r="J970" i="2"/>
  <c r="L969" i="2"/>
  <c r="K969" i="2"/>
  <c r="J969" i="2"/>
  <c r="L968" i="2"/>
  <c r="K968" i="2"/>
  <c r="J968" i="2"/>
  <c r="L967" i="2"/>
  <c r="K967" i="2"/>
  <c r="J967" i="2"/>
  <c r="L966" i="2"/>
  <c r="K966" i="2"/>
  <c r="J966" i="2"/>
  <c r="L965" i="2"/>
  <c r="K965" i="2"/>
  <c r="J965" i="2"/>
  <c r="L964" i="2"/>
  <c r="K964" i="2"/>
  <c r="J964" i="2"/>
  <c r="L963" i="2"/>
  <c r="K963" i="2"/>
  <c r="J963" i="2"/>
  <c r="L962" i="2"/>
  <c r="K962" i="2"/>
  <c r="J962" i="2"/>
  <c r="L961" i="2"/>
  <c r="K961" i="2"/>
  <c r="J961" i="2"/>
  <c r="L960" i="2"/>
  <c r="K960" i="2"/>
  <c r="J960" i="2"/>
  <c r="L959" i="2"/>
  <c r="K959" i="2"/>
  <c r="J959" i="2"/>
  <c r="L958" i="2"/>
  <c r="K958" i="2"/>
  <c r="J958" i="2"/>
  <c r="L957" i="2"/>
  <c r="K957" i="2"/>
  <c r="J957" i="2"/>
  <c r="L956" i="2"/>
  <c r="K956" i="2"/>
  <c r="J956" i="2"/>
  <c r="L955" i="2"/>
  <c r="K955" i="2"/>
  <c r="J955" i="2"/>
  <c r="L954" i="2"/>
  <c r="K954" i="2"/>
  <c r="J954" i="2"/>
  <c r="L953" i="2"/>
  <c r="K953" i="2"/>
  <c r="J953" i="2"/>
  <c r="L952" i="2"/>
  <c r="K952" i="2"/>
  <c r="J952" i="2"/>
  <c r="L951" i="2"/>
  <c r="K951" i="2"/>
  <c r="J951" i="2"/>
  <c r="L950" i="2"/>
  <c r="K950" i="2"/>
  <c r="J950" i="2"/>
  <c r="L949" i="2"/>
  <c r="K949" i="2"/>
  <c r="J949" i="2"/>
  <c r="L948" i="2"/>
  <c r="K948" i="2"/>
  <c r="J948" i="2"/>
  <c r="L947" i="2"/>
  <c r="K947" i="2"/>
  <c r="J947" i="2"/>
  <c r="L946" i="2"/>
  <c r="K946" i="2"/>
  <c r="J946" i="2"/>
  <c r="L945" i="2"/>
  <c r="K945" i="2"/>
  <c r="J945" i="2"/>
  <c r="L944" i="2"/>
  <c r="K944" i="2"/>
  <c r="J944" i="2"/>
  <c r="L943" i="2"/>
  <c r="K943" i="2"/>
  <c r="J943" i="2"/>
  <c r="L942" i="2"/>
  <c r="K942" i="2"/>
  <c r="J942" i="2"/>
  <c r="L941" i="2"/>
  <c r="K941" i="2"/>
  <c r="J941" i="2"/>
  <c r="L940" i="2"/>
  <c r="K940" i="2"/>
  <c r="J940" i="2"/>
  <c r="L939" i="2"/>
  <c r="K939" i="2"/>
  <c r="J939" i="2"/>
  <c r="L938" i="2"/>
  <c r="K938" i="2"/>
  <c r="J938" i="2"/>
  <c r="L937" i="2"/>
  <c r="K937" i="2"/>
  <c r="J937" i="2"/>
  <c r="L936" i="2"/>
  <c r="K936" i="2"/>
  <c r="J936" i="2"/>
  <c r="L935" i="2"/>
  <c r="K935" i="2"/>
  <c r="J935" i="2"/>
  <c r="L934" i="2"/>
  <c r="K934" i="2"/>
  <c r="J934" i="2"/>
  <c r="L933" i="2"/>
  <c r="K933" i="2"/>
  <c r="J933" i="2"/>
  <c r="L932" i="2"/>
  <c r="K932" i="2"/>
  <c r="J932" i="2"/>
  <c r="L931" i="2"/>
  <c r="K931" i="2"/>
  <c r="J931" i="2"/>
  <c r="L930" i="2"/>
  <c r="K930" i="2"/>
  <c r="J930" i="2"/>
  <c r="L929" i="2"/>
  <c r="K929" i="2"/>
  <c r="J929" i="2"/>
  <c r="L928" i="2"/>
  <c r="K928" i="2"/>
  <c r="J928" i="2"/>
  <c r="L927" i="2"/>
  <c r="K927" i="2"/>
  <c r="J927" i="2"/>
  <c r="L926" i="2"/>
  <c r="K926" i="2"/>
  <c r="J926" i="2"/>
  <c r="L925" i="2"/>
  <c r="K925" i="2"/>
  <c r="J925" i="2"/>
  <c r="L924" i="2"/>
  <c r="K924" i="2"/>
  <c r="J924" i="2"/>
  <c r="L923" i="2"/>
  <c r="K923" i="2"/>
  <c r="J923" i="2"/>
  <c r="L922" i="2"/>
  <c r="K922" i="2"/>
  <c r="J922" i="2"/>
  <c r="L921" i="2"/>
  <c r="K921" i="2"/>
  <c r="J921" i="2"/>
  <c r="L920" i="2"/>
  <c r="K920" i="2"/>
  <c r="J920" i="2"/>
  <c r="L919" i="2"/>
  <c r="K919" i="2"/>
  <c r="J919" i="2"/>
  <c r="L918" i="2"/>
  <c r="K918" i="2"/>
  <c r="J918" i="2"/>
  <c r="L917" i="2"/>
  <c r="K917" i="2"/>
  <c r="J917" i="2"/>
  <c r="L916" i="2"/>
  <c r="K916" i="2"/>
  <c r="J916" i="2"/>
  <c r="L915" i="2"/>
  <c r="K915" i="2"/>
  <c r="J915" i="2"/>
  <c r="L914" i="2"/>
  <c r="K914" i="2"/>
  <c r="J914" i="2"/>
  <c r="L913" i="2"/>
  <c r="K913" i="2"/>
  <c r="J913" i="2"/>
  <c r="L912" i="2"/>
  <c r="K912" i="2"/>
  <c r="J912" i="2"/>
  <c r="L911" i="2"/>
  <c r="K911" i="2"/>
  <c r="J911" i="2"/>
  <c r="L910" i="2"/>
  <c r="K910" i="2"/>
  <c r="J910" i="2"/>
  <c r="L909" i="2"/>
  <c r="K909" i="2"/>
  <c r="J909" i="2"/>
  <c r="L908" i="2"/>
  <c r="K908" i="2"/>
  <c r="J908" i="2"/>
  <c r="L907" i="2"/>
  <c r="K907" i="2"/>
  <c r="J907" i="2"/>
  <c r="L906" i="2"/>
  <c r="K906" i="2"/>
  <c r="J906" i="2"/>
  <c r="L905" i="2"/>
  <c r="K905" i="2"/>
  <c r="J905" i="2"/>
  <c r="L904" i="2"/>
  <c r="K904" i="2"/>
  <c r="J904" i="2"/>
  <c r="L903" i="2"/>
  <c r="K903" i="2"/>
  <c r="J903" i="2"/>
  <c r="L902" i="2"/>
  <c r="K902" i="2"/>
  <c r="J902" i="2"/>
  <c r="L901" i="2"/>
  <c r="K901" i="2"/>
  <c r="J901" i="2"/>
  <c r="L900" i="2"/>
  <c r="K900" i="2"/>
  <c r="J900" i="2"/>
  <c r="L899" i="2"/>
  <c r="K899" i="2"/>
  <c r="J899" i="2"/>
  <c r="L898" i="2"/>
  <c r="K898" i="2"/>
  <c r="J898" i="2"/>
  <c r="L897" i="2"/>
  <c r="K897" i="2"/>
  <c r="J897" i="2"/>
  <c r="L896" i="2"/>
  <c r="K896" i="2"/>
  <c r="J896" i="2"/>
  <c r="L895" i="2"/>
  <c r="K895" i="2"/>
  <c r="J895" i="2"/>
  <c r="L894" i="2"/>
  <c r="K894" i="2"/>
  <c r="J894" i="2"/>
  <c r="L893" i="2"/>
  <c r="K893" i="2"/>
  <c r="J893" i="2"/>
  <c r="L892" i="2"/>
  <c r="K892" i="2"/>
  <c r="J892" i="2"/>
  <c r="L891" i="2"/>
  <c r="K891" i="2"/>
  <c r="J891" i="2"/>
  <c r="L890" i="2"/>
  <c r="K890" i="2"/>
  <c r="J890" i="2"/>
  <c r="L889" i="2"/>
  <c r="K889" i="2"/>
  <c r="J889" i="2"/>
  <c r="L888" i="2"/>
  <c r="K888" i="2"/>
  <c r="J888" i="2"/>
  <c r="L887" i="2"/>
  <c r="K887" i="2"/>
  <c r="J887" i="2"/>
  <c r="L886" i="2"/>
  <c r="K886" i="2"/>
  <c r="J886" i="2"/>
  <c r="L885" i="2"/>
  <c r="K885" i="2"/>
  <c r="J885" i="2"/>
  <c r="L884" i="2"/>
  <c r="K884" i="2"/>
  <c r="J884" i="2"/>
  <c r="L883" i="2"/>
  <c r="K883" i="2"/>
  <c r="J883" i="2"/>
  <c r="L882" i="2"/>
  <c r="K882" i="2"/>
  <c r="J882" i="2"/>
  <c r="L881" i="2"/>
  <c r="K881" i="2"/>
  <c r="J881" i="2"/>
  <c r="L880" i="2"/>
  <c r="K880" i="2"/>
  <c r="J880" i="2"/>
  <c r="L879" i="2"/>
  <c r="K879" i="2"/>
  <c r="J879" i="2"/>
  <c r="L878" i="2"/>
  <c r="K878" i="2"/>
  <c r="J878" i="2"/>
  <c r="L877" i="2"/>
  <c r="K877" i="2"/>
  <c r="J877" i="2"/>
  <c r="L876" i="2"/>
  <c r="K876" i="2"/>
  <c r="J876" i="2"/>
  <c r="L875" i="2"/>
  <c r="K875" i="2"/>
  <c r="J875" i="2"/>
  <c r="L874" i="2"/>
  <c r="K874" i="2"/>
  <c r="J874" i="2"/>
  <c r="L873" i="2"/>
  <c r="K873" i="2"/>
  <c r="J873" i="2"/>
  <c r="L872" i="2"/>
  <c r="K872" i="2"/>
  <c r="J872" i="2"/>
  <c r="L871" i="2"/>
  <c r="K871" i="2"/>
  <c r="J871" i="2"/>
  <c r="L870" i="2"/>
  <c r="K870" i="2"/>
  <c r="J870" i="2"/>
  <c r="L869" i="2"/>
  <c r="K869" i="2"/>
  <c r="J869" i="2"/>
  <c r="L868" i="2"/>
  <c r="K868" i="2"/>
  <c r="J868" i="2"/>
  <c r="L867" i="2"/>
  <c r="K867" i="2"/>
  <c r="J867" i="2"/>
  <c r="L866" i="2"/>
  <c r="K866" i="2"/>
  <c r="J866" i="2"/>
  <c r="L865" i="2"/>
  <c r="K865" i="2"/>
  <c r="J865" i="2"/>
  <c r="L864" i="2"/>
  <c r="K864" i="2"/>
  <c r="J864" i="2"/>
  <c r="L863" i="2"/>
  <c r="K863" i="2"/>
  <c r="J863" i="2"/>
  <c r="L862" i="2"/>
  <c r="K862" i="2"/>
  <c r="J862" i="2"/>
  <c r="L861" i="2"/>
  <c r="K861" i="2"/>
  <c r="J861" i="2"/>
  <c r="L860" i="2"/>
  <c r="K860" i="2"/>
  <c r="J860" i="2"/>
  <c r="L859" i="2"/>
  <c r="K859" i="2"/>
  <c r="J859" i="2"/>
  <c r="L858" i="2"/>
  <c r="K858" i="2"/>
  <c r="J858" i="2"/>
  <c r="L857" i="2"/>
  <c r="K857" i="2"/>
  <c r="J857" i="2"/>
  <c r="L856" i="2"/>
  <c r="K856" i="2"/>
  <c r="J856" i="2"/>
  <c r="L855" i="2"/>
  <c r="K855" i="2"/>
  <c r="J855" i="2"/>
  <c r="L854" i="2"/>
  <c r="K854" i="2"/>
  <c r="J854" i="2"/>
  <c r="L853" i="2"/>
  <c r="K853" i="2"/>
  <c r="J853" i="2"/>
  <c r="L852" i="2"/>
  <c r="K852" i="2"/>
  <c r="J852" i="2"/>
  <c r="L851" i="2"/>
  <c r="K851" i="2"/>
  <c r="J851" i="2"/>
  <c r="L850" i="2"/>
  <c r="K850" i="2"/>
  <c r="J850" i="2"/>
  <c r="L849" i="2"/>
  <c r="K849" i="2"/>
  <c r="J849" i="2"/>
  <c r="L848" i="2"/>
  <c r="K848" i="2"/>
  <c r="J848" i="2"/>
  <c r="L847" i="2"/>
  <c r="K847" i="2"/>
  <c r="J847" i="2"/>
  <c r="L846" i="2"/>
  <c r="K846" i="2"/>
  <c r="J846" i="2"/>
  <c r="L845" i="2"/>
  <c r="K845" i="2"/>
  <c r="J845" i="2"/>
  <c r="L844" i="2"/>
  <c r="K844" i="2"/>
  <c r="J844" i="2"/>
  <c r="L843" i="2"/>
  <c r="K843" i="2"/>
  <c r="J843" i="2"/>
  <c r="L842" i="2"/>
  <c r="K842" i="2"/>
  <c r="J842" i="2"/>
  <c r="L841" i="2"/>
  <c r="K841" i="2"/>
  <c r="J841" i="2"/>
  <c r="L840" i="2"/>
  <c r="K840" i="2"/>
  <c r="J840" i="2"/>
  <c r="L839" i="2"/>
  <c r="K839" i="2"/>
  <c r="J839" i="2"/>
  <c r="L838" i="2"/>
  <c r="K838" i="2"/>
  <c r="J838" i="2"/>
  <c r="L837" i="2"/>
  <c r="K837" i="2"/>
  <c r="J837" i="2"/>
  <c r="L836" i="2"/>
  <c r="K836" i="2"/>
  <c r="J836" i="2"/>
  <c r="L835" i="2"/>
  <c r="K835" i="2"/>
  <c r="J835" i="2"/>
  <c r="L834" i="2"/>
  <c r="K834" i="2"/>
  <c r="J834" i="2"/>
  <c r="L833" i="2"/>
  <c r="K833" i="2"/>
  <c r="J833" i="2"/>
  <c r="L832" i="2"/>
  <c r="K832" i="2"/>
  <c r="J832" i="2"/>
  <c r="L831" i="2"/>
  <c r="K831" i="2"/>
  <c r="J831" i="2"/>
  <c r="L830" i="2"/>
  <c r="K830" i="2"/>
  <c r="J830" i="2"/>
  <c r="L829" i="2"/>
  <c r="K829" i="2"/>
  <c r="J829" i="2"/>
  <c r="L828" i="2"/>
  <c r="K828" i="2"/>
  <c r="J828" i="2"/>
  <c r="L827" i="2"/>
  <c r="K827" i="2"/>
  <c r="J827" i="2"/>
  <c r="L826" i="2"/>
  <c r="K826" i="2"/>
  <c r="J826" i="2"/>
  <c r="L825" i="2"/>
  <c r="K825" i="2"/>
  <c r="J825" i="2"/>
  <c r="L824" i="2"/>
  <c r="K824" i="2"/>
  <c r="J824" i="2"/>
  <c r="L823" i="2"/>
  <c r="K823" i="2"/>
  <c r="J823" i="2"/>
  <c r="L822" i="2"/>
  <c r="K822" i="2"/>
  <c r="J822" i="2"/>
  <c r="L821" i="2"/>
  <c r="K821" i="2"/>
  <c r="J821" i="2"/>
  <c r="L820" i="2"/>
  <c r="K820" i="2"/>
  <c r="J820" i="2"/>
  <c r="L819" i="2"/>
  <c r="K819" i="2"/>
  <c r="J819" i="2"/>
  <c r="L818" i="2"/>
  <c r="K818" i="2"/>
  <c r="J818" i="2"/>
  <c r="L817" i="2"/>
  <c r="K817" i="2"/>
  <c r="J817" i="2"/>
  <c r="L816" i="2"/>
  <c r="K816" i="2"/>
  <c r="J816" i="2"/>
  <c r="L815" i="2"/>
  <c r="K815" i="2"/>
  <c r="J815" i="2"/>
  <c r="L814" i="2"/>
  <c r="K814" i="2"/>
  <c r="J814" i="2"/>
  <c r="L813" i="2"/>
  <c r="K813" i="2"/>
  <c r="J813" i="2"/>
  <c r="L812" i="2"/>
  <c r="K812" i="2"/>
  <c r="J812" i="2"/>
  <c r="L811" i="2"/>
  <c r="K811" i="2"/>
  <c r="J811" i="2"/>
  <c r="L810" i="2"/>
  <c r="K810" i="2"/>
  <c r="J810" i="2"/>
  <c r="L809" i="2"/>
  <c r="K809" i="2"/>
  <c r="J809" i="2"/>
  <c r="L808" i="2"/>
  <c r="K808" i="2"/>
  <c r="J808" i="2"/>
  <c r="L807" i="2"/>
  <c r="K807" i="2"/>
  <c r="J807" i="2"/>
  <c r="L806" i="2"/>
  <c r="K806" i="2"/>
  <c r="J806" i="2"/>
  <c r="L805" i="2"/>
  <c r="K805" i="2"/>
  <c r="J805" i="2"/>
  <c r="L804" i="2"/>
  <c r="K804" i="2"/>
  <c r="J804" i="2"/>
  <c r="L803" i="2"/>
  <c r="K803" i="2"/>
  <c r="J803" i="2"/>
  <c r="L802" i="2"/>
  <c r="K802" i="2"/>
  <c r="J802" i="2"/>
  <c r="L801" i="2"/>
  <c r="K801" i="2"/>
  <c r="J801" i="2"/>
  <c r="L800" i="2"/>
  <c r="K800" i="2"/>
  <c r="J800" i="2"/>
  <c r="L799" i="2"/>
  <c r="K799" i="2"/>
  <c r="J799" i="2"/>
  <c r="L798" i="2"/>
  <c r="K798" i="2"/>
  <c r="J798" i="2"/>
  <c r="L797" i="2"/>
  <c r="K797" i="2"/>
  <c r="J797" i="2"/>
  <c r="L796" i="2"/>
  <c r="K796" i="2"/>
  <c r="J796" i="2"/>
  <c r="L795" i="2"/>
  <c r="K795" i="2"/>
  <c r="J795" i="2"/>
  <c r="L794" i="2"/>
  <c r="K794" i="2"/>
  <c r="J794" i="2"/>
  <c r="L793" i="2"/>
  <c r="K793" i="2"/>
  <c r="J793" i="2"/>
  <c r="L792" i="2"/>
  <c r="K792" i="2"/>
  <c r="J792" i="2"/>
  <c r="L791" i="2"/>
  <c r="K791" i="2"/>
  <c r="J791" i="2"/>
  <c r="L790" i="2"/>
  <c r="K790" i="2"/>
  <c r="J790" i="2"/>
  <c r="L789" i="2"/>
  <c r="K789" i="2"/>
  <c r="J789" i="2"/>
  <c r="L788" i="2"/>
  <c r="K788" i="2"/>
  <c r="J788" i="2"/>
  <c r="L787" i="2"/>
  <c r="K787" i="2"/>
  <c r="J787" i="2"/>
  <c r="L786" i="2"/>
  <c r="K786" i="2"/>
  <c r="J786" i="2"/>
  <c r="L785" i="2"/>
  <c r="K785" i="2"/>
  <c r="J785" i="2"/>
  <c r="L784" i="2"/>
  <c r="K784" i="2"/>
  <c r="J784" i="2"/>
  <c r="L783" i="2"/>
  <c r="K783" i="2"/>
  <c r="J783" i="2"/>
  <c r="L782" i="2"/>
  <c r="K782" i="2"/>
  <c r="J782" i="2"/>
  <c r="L781" i="2"/>
  <c r="K781" i="2"/>
  <c r="J781" i="2"/>
  <c r="L780" i="2"/>
  <c r="K780" i="2"/>
  <c r="J780" i="2"/>
  <c r="L779" i="2"/>
  <c r="K779" i="2"/>
  <c r="J779" i="2"/>
  <c r="L778" i="2"/>
  <c r="K778" i="2"/>
  <c r="J778" i="2"/>
  <c r="L777" i="2"/>
  <c r="K777" i="2"/>
  <c r="J777" i="2"/>
  <c r="L776" i="2"/>
  <c r="K776" i="2"/>
  <c r="J776" i="2"/>
  <c r="L775" i="2"/>
  <c r="K775" i="2"/>
  <c r="J775" i="2"/>
  <c r="L774" i="2"/>
  <c r="K774" i="2"/>
  <c r="J774" i="2"/>
  <c r="L773" i="2"/>
  <c r="K773" i="2"/>
  <c r="J773" i="2"/>
  <c r="L772" i="2"/>
  <c r="K772" i="2"/>
  <c r="J772" i="2"/>
  <c r="L771" i="2"/>
  <c r="K771" i="2"/>
  <c r="J771" i="2"/>
  <c r="L770" i="2"/>
  <c r="K770" i="2"/>
  <c r="J770" i="2"/>
  <c r="L769" i="2"/>
  <c r="K769" i="2"/>
  <c r="J769" i="2"/>
  <c r="L768" i="2"/>
  <c r="K768" i="2"/>
  <c r="J768" i="2"/>
  <c r="L767" i="2"/>
  <c r="K767" i="2"/>
  <c r="J767" i="2"/>
  <c r="L766" i="2"/>
  <c r="K766" i="2"/>
  <c r="J766" i="2"/>
  <c r="L765" i="2"/>
  <c r="K765" i="2"/>
  <c r="J765" i="2"/>
  <c r="L764" i="2"/>
  <c r="K764" i="2"/>
  <c r="J764" i="2"/>
  <c r="L763" i="2"/>
  <c r="K763" i="2"/>
  <c r="J763" i="2"/>
  <c r="L762" i="2"/>
  <c r="K762" i="2"/>
  <c r="J762" i="2"/>
  <c r="L761" i="2"/>
  <c r="K761" i="2"/>
  <c r="J761" i="2"/>
  <c r="L760" i="2"/>
  <c r="K760" i="2"/>
  <c r="J760" i="2"/>
  <c r="L759" i="2"/>
  <c r="K759" i="2"/>
  <c r="J759" i="2"/>
  <c r="L758" i="2"/>
  <c r="K758" i="2"/>
  <c r="J758" i="2"/>
  <c r="L757" i="2"/>
  <c r="K757" i="2"/>
  <c r="J757" i="2"/>
  <c r="L756" i="2"/>
  <c r="K756" i="2"/>
  <c r="J756" i="2"/>
  <c r="L755" i="2"/>
  <c r="K755" i="2"/>
  <c r="J755" i="2"/>
  <c r="L754" i="2"/>
  <c r="K754" i="2"/>
  <c r="J754" i="2"/>
  <c r="L753" i="2"/>
  <c r="K753" i="2"/>
  <c r="J753" i="2"/>
  <c r="L752" i="2"/>
  <c r="K752" i="2"/>
  <c r="J752" i="2"/>
  <c r="L751" i="2"/>
  <c r="K751" i="2"/>
  <c r="J751" i="2"/>
  <c r="L750" i="2"/>
  <c r="K750" i="2"/>
  <c r="J750" i="2"/>
  <c r="L749" i="2"/>
  <c r="K749" i="2"/>
  <c r="J749" i="2"/>
  <c r="L748" i="2"/>
  <c r="K748" i="2"/>
  <c r="J748" i="2"/>
  <c r="L747" i="2"/>
  <c r="K747" i="2"/>
  <c r="J747" i="2"/>
  <c r="L746" i="2"/>
  <c r="K746" i="2"/>
  <c r="J746" i="2"/>
  <c r="L745" i="2"/>
  <c r="K745" i="2"/>
  <c r="J745" i="2"/>
  <c r="L744" i="2"/>
  <c r="K744" i="2"/>
  <c r="J744" i="2"/>
  <c r="L743" i="2"/>
  <c r="K743" i="2"/>
  <c r="J743" i="2"/>
  <c r="L742" i="2"/>
  <c r="K742" i="2"/>
  <c r="J742" i="2"/>
  <c r="L741" i="2"/>
  <c r="K741" i="2"/>
  <c r="J741" i="2"/>
  <c r="L740" i="2"/>
  <c r="K740" i="2"/>
  <c r="J740" i="2"/>
  <c r="L739" i="2"/>
  <c r="K739" i="2"/>
  <c r="J739" i="2"/>
  <c r="L738" i="2"/>
  <c r="K738" i="2"/>
  <c r="J738" i="2"/>
  <c r="L737" i="2"/>
  <c r="K737" i="2"/>
  <c r="J737" i="2"/>
  <c r="L736" i="2"/>
  <c r="K736" i="2"/>
  <c r="J736" i="2"/>
  <c r="L735" i="2"/>
  <c r="K735" i="2"/>
  <c r="J735" i="2"/>
  <c r="L734" i="2"/>
  <c r="K734" i="2"/>
  <c r="J734" i="2"/>
  <c r="L733" i="2"/>
  <c r="K733" i="2"/>
  <c r="J733" i="2"/>
  <c r="L732" i="2"/>
  <c r="K732" i="2"/>
  <c r="J732" i="2"/>
  <c r="L731" i="2"/>
  <c r="K731" i="2"/>
  <c r="J731" i="2"/>
  <c r="L730" i="2"/>
  <c r="K730" i="2"/>
  <c r="J730" i="2"/>
  <c r="L729" i="2"/>
  <c r="K729" i="2"/>
  <c r="J729" i="2"/>
  <c r="L728" i="2"/>
  <c r="K728" i="2"/>
  <c r="J728" i="2"/>
  <c r="L727" i="2"/>
  <c r="K727" i="2"/>
  <c r="J727" i="2"/>
  <c r="L726" i="2"/>
  <c r="K726" i="2"/>
  <c r="J726" i="2"/>
  <c r="L725" i="2"/>
  <c r="K725" i="2"/>
  <c r="J725" i="2"/>
  <c r="L724" i="2"/>
  <c r="K724" i="2"/>
  <c r="J724" i="2"/>
  <c r="L723" i="2"/>
  <c r="K723" i="2"/>
  <c r="J723" i="2"/>
  <c r="L722" i="2"/>
  <c r="K722" i="2"/>
  <c r="J722" i="2"/>
  <c r="L721" i="2"/>
  <c r="K721" i="2"/>
  <c r="J721" i="2"/>
  <c r="L720" i="2"/>
  <c r="K720" i="2"/>
  <c r="J720" i="2"/>
  <c r="L719" i="2"/>
  <c r="K719" i="2"/>
  <c r="J719" i="2"/>
  <c r="L718" i="2"/>
  <c r="K718" i="2"/>
  <c r="J718" i="2"/>
  <c r="L717" i="2"/>
  <c r="K717" i="2"/>
  <c r="J717" i="2"/>
  <c r="L716" i="2"/>
  <c r="K716" i="2"/>
  <c r="J716" i="2"/>
  <c r="L715" i="2"/>
  <c r="K715" i="2"/>
  <c r="J715" i="2"/>
  <c r="L714" i="2"/>
  <c r="K714" i="2"/>
  <c r="J714" i="2"/>
  <c r="L713" i="2"/>
  <c r="K713" i="2"/>
  <c r="J713" i="2"/>
  <c r="L712" i="2"/>
  <c r="K712" i="2"/>
  <c r="J712" i="2"/>
  <c r="L711" i="2"/>
  <c r="K711" i="2"/>
  <c r="J711" i="2"/>
  <c r="L710" i="2"/>
  <c r="K710" i="2"/>
  <c r="J710" i="2"/>
  <c r="L709" i="2"/>
  <c r="K709" i="2"/>
  <c r="J709" i="2"/>
  <c r="L708" i="2"/>
  <c r="K708" i="2"/>
  <c r="J708" i="2"/>
  <c r="L707" i="2"/>
  <c r="K707" i="2"/>
  <c r="J707" i="2"/>
  <c r="L706" i="2"/>
  <c r="K706" i="2"/>
  <c r="J706" i="2"/>
  <c r="L705" i="2"/>
  <c r="K705" i="2"/>
  <c r="J705" i="2"/>
  <c r="L704" i="2"/>
  <c r="K704" i="2"/>
  <c r="J704" i="2"/>
  <c r="L703" i="2"/>
  <c r="K703" i="2"/>
  <c r="J703" i="2"/>
  <c r="L702" i="2"/>
  <c r="K702" i="2"/>
  <c r="J702" i="2"/>
  <c r="L701" i="2"/>
  <c r="K701" i="2"/>
  <c r="J701" i="2"/>
  <c r="L700" i="2"/>
  <c r="K700" i="2"/>
  <c r="J700" i="2"/>
  <c r="L699" i="2"/>
  <c r="K699" i="2"/>
  <c r="J699" i="2"/>
  <c r="L698" i="2"/>
  <c r="K698" i="2"/>
  <c r="J698" i="2"/>
  <c r="L697" i="2"/>
  <c r="K697" i="2"/>
  <c r="J697" i="2"/>
  <c r="L696" i="2"/>
  <c r="K696" i="2"/>
  <c r="J696" i="2"/>
  <c r="L695" i="2"/>
  <c r="K695" i="2"/>
  <c r="J695" i="2"/>
  <c r="L694" i="2"/>
  <c r="K694" i="2"/>
  <c r="J694" i="2"/>
  <c r="L693" i="2"/>
  <c r="K693" i="2"/>
  <c r="J693" i="2"/>
  <c r="L692" i="2"/>
  <c r="K692" i="2"/>
  <c r="J692" i="2"/>
  <c r="L691" i="2"/>
  <c r="K691" i="2"/>
  <c r="J691" i="2"/>
  <c r="L690" i="2"/>
  <c r="K690" i="2"/>
  <c r="J690" i="2"/>
  <c r="L689" i="2"/>
  <c r="K689" i="2"/>
  <c r="J689" i="2"/>
  <c r="L688" i="2"/>
  <c r="K688" i="2"/>
  <c r="J688" i="2"/>
  <c r="L687" i="2"/>
  <c r="K687" i="2"/>
  <c r="J687" i="2"/>
  <c r="L686" i="2"/>
  <c r="K686" i="2"/>
  <c r="J686" i="2"/>
  <c r="L685" i="2"/>
  <c r="K685" i="2"/>
  <c r="J685" i="2"/>
  <c r="L684" i="2"/>
  <c r="K684" i="2"/>
  <c r="J684" i="2"/>
  <c r="L683" i="2"/>
  <c r="K683" i="2"/>
  <c r="J683" i="2"/>
  <c r="L682" i="2"/>
  <c r="K682" i="2"/>
  <c r="J682" i="2"/>
  <c r="L681" i="2"/>
  <c r="K681" i="2"/>
  <c r="J681" i="2"/>
  <c r="L680" i="2"/>
  <c r="K680" i="2"/>
  <c r="J680" i="2"/>
  <c r="L679" i="2"/>
  <c r="K679" i="2"/>
  <c r="J679" i="2"/>
  <c r="L678" i="2"/>
  <c r="K678" i="2"/>
  <c r="J678" i="2"/>
  <c r="L677" i="2"/>
  <c r="K677" i="2"/>
  <c r="J677" i="2"/>
  <c r="L676" i="2"/>
  <c r="K676" i="2"/>
  <c r="J676" i="2"/>
  <c r="L675" i="2"/>
  <c r="K675" i="2"/>
  <c r="J675" i="2"/>
  <c r="L674" i="2"/>
  <c r="K674" i="2"/>
  <c r="J674" i="2"/>
  <c r="L673" i="2"/>
  <c r="K673" i="2"/>
  <c r="J673" i="2"/>
  <c r="L672" i="2"/>
  <c r="K672" i="2"/>
  <c r="J672" i="2"/>
  <c r="L671" i="2"/>
  <c r="K671" i="2"/>
  <c r="J671" i="2"/>
  <c r="L670" i="2"/>
  <c r="K670" i="2"/>
  <c r="J670" i="2"/>
  <c r="L669" i="2"/>
  <c r="K669" i="2"/>
  <c r="J669" i="2"/>
  <c r="L668" i="2"/>
  <c r="K668" i="2"/>
  <c r="J668" i="2"/>
  <c r="L667" i="2"/>
  <c r="K667" i="2"/>
  <c r="J667" i="2"/>
  <c r="L666" i="2"/>
  <c r="K666" i="2"/>
  <c r="J666" i="2"/>
  <c r="L665" i="2"/>
  <c r="K665" i="2"/>
  <c r="J665" i="2"/>
  <c r="L664" i="2"/>
  <c r="K664" i="2"/>
  <c r="J664" i="2"/>
  <c r="L663" i="2"/>
  <c r="K663" i="2"/>
  <c r="J663" i="2"/>
  <c r="L662" i="2"/>
  <c r="K662" i="2"/>
  <c r="J662" i="2"/>
  <c r="L661" i="2"/>
  <c r="K661" i="2"/>
  <c r="J661" i="2"/>
  <c r="L660" i="2"/>
  <c r="K660" i="2"/>
  <c r="J660" i="2"/>
  <c r="L659" i="2"/>
  <c r="K659" i="2"/>
  <c r="J659" i="2"/>
  <c r="L658" i="2"/>
  <c r="K658" i="2"/>
  <c r="J658" i="2"/>
  <c r="L657" i="2"/>
  <c r="K657" i="2"/>
  <c r="J657" i="2"/>
  <c r="L656" i="2"/>
  <c r="K656" i="2"/>
  <c r="J656" i="2"/>
  <c r="L655" i="2"/>
  <c r="K655" i="2"/>
  <c r="J655" i="2"/>
  <c r="L654" i="2"/>
  <c r="K654" i="2"/>
  <c r="J654" i="2"/>
  <c r="L653" i="2"/>
  <c r="K653" i="2"/>
  <c r="J653" i="2"/>
  <c r="L652" i="2"/>
  <c r="K652" i="2"/>
  <c r="J652" i="2"/>
  <c r="L651" i="2"/>
  <c r="K651" i="2"/>
  <c r="J651" i="2"/>
  <c r="L650" i="2"/>
  <c r="K650" i="2"/>
  <c r="J650" i="2"/>
  <c r="L649" i="2"/>
  <c r="K649" i="2"/>
  <c r="J649" i="2"/>
  <c r="L648" i="2"/>
  <c r="K648" i="2"/>
  <c r="J648" i="2"/>
  <c r="L647" i="2"/>
  <c r="K647" i="2"/>
  <c r="J647" i="2"/>
  <c r="L646" i="2"/>
  <c r="K646" i="2"/>
  <c r="J646" i="2"/>
  <c r="L645" i="2"/>
  <c r="K645" i="2"/>
  <c r="J645" i="2"/>
  <c r="L644" i="2"/>
  <c r="K644" i="2"/>
  <c r="J644" i="2"/>
  <c r="L643" i="2"/>
  <c r="K643" i="2"/>
  <c r="J643" i="2"/>
  <c r="L642" i="2"/>
  <c r="K642" i="2"/>
  <c r="J642" i="2"/>
  <c r="L641" i="2"/>
  <c r="K641" i="2"/>
  <c r="J641" i="2"/>
  <c r="L640" i="2"/>
  <c r="K640" i="2"/>
  <c r="J640" i="2"/>
  <c r="L639" i="2"/>
  <c r="K639" i="2"/>
  <c r="J639" i="2"/>
  <c r="L638" i="2"/>
  <c r="K638" i="2"/>
  <c r="J638" i="2"/>
  <c r="L637" i="2"/>
  <c r="K637" i="2"/>
  <c r="J637" i="2"/>
  <c r="L636" i="2"/>
  <c r="K636" i="2"/>
  <c r="J636" i="2"/>
  <c r="L635" i="2"/>
  <c r="K635" i="2"/>
  <c r="J635" i="2"/>
  <c r="L634" i="2"/>
  <c r="K634" i="2"/>
  <c r="J634" i="2"/>
  <c r="L633" i="2"/>
  <c r="K633" i="2"/>
  <c r="J633" i="2"/>
  <c r="L632" i="2"/>
  <c r="K632" i="2"/>
  <c r="J632" i="2"/>
  <c r="L631" i="2"/>
  <c r="K631" i="2"/>
  <c r="J631" i="2"/>
  <c r="L630" i="2"/>
  <c r="K630" i="2"/>
  <c r="J630" i="2"/>
  <c r="L629" i="2"/>
  <c r="K629" i="2"/>
  <c r="J629" i="2"/>
  <c r="L628" i="2"/>
  <c r="K628" i="2"/>
  <c r="J628" i="2"/>
  <c r="L627" i="2"/>
  <c r="K627" i="2"/>
  <c r="J627" i="2"/>
  <c r="L626" i="2"/>
  <c r="K626" i="2"/>
  <c r="J626" i="2"/>
  <c r="L625" i="2"/>
  <c r="K625" i="2"/>
  <c r="J625" i="2"/>
  <c r="L624" i="2"/>
  <c r="K624" i="2"/>
  <c r="J624" i="2"/>
  <c r="L623" i="2"/>
  <c r="K623" i="2"/>
  <c r="J623" i="2"/>
  <c r="L622" i="2"/>
  <c r="K622" i="2"/>
  <c r="J622" i="2"/>
  <c r="L621" i="2"/>
  <c r="K621" i="2"/>
  <c r="J621" i="2"/>
  <c r="L620" i="2"/>
  <c r="K620" i="2"/>
  <c r="J620" i="2"/>
  <c r="L619" i="2"/>
  <c r="K619" i="2"/>
  <c r="J619" i="2"/>
  <c r="L618" i="2"/>
  <c r="K618" i="2"/>
  <c r="J618" i="2"/>
  <c r="L617" i="2"/>
  <c r="K617" i="2"/>
  <c r="J617" i="2"/>
  <c r="L616" i="2"/>
  <c r="K616" i="2"/>
  <c r="J616" i="2"/>
  <c r="L615" i="2"/>
  <c r="K615" i="2"/>
  <c r="J615" i="2"/>
  <c r="L614" i="2"/>
  <c r="K614" i="2"/>
  <c r="J614" i="2"/>
  <c r="L613" i="2"/>
  <c r="K613" i="2"/>
  <c r="J613" i="2"/>
  <c r="L612" i="2"/>
  <c r="K612" i="2"/>
  <c r="J612" i="2"/>
  <c r="L611" i="2"/>
  <c r="K611" i="2"/>
  <c r="J611" i="2"/>
  <c r="L610" i="2"/>
  <c r="K610" i="2"/>
  <c r="J610" i="2"/>
  <c r="L609" i="2"/>
  <c r="K609" i="2"/>
  <c r="J609" i="2"/>
  <c r="L608" i="2"/>
  <c r="K608" i="2"/>
  <c r="J608" i="2"/>
  <c r="L607" i="2"/>
  <c r="K607" i="2"/>
  <c r="J607" i="2"/>
  <c r="L606" i="2"/>
  <c r="K606" i="2"/>
  <c r="J606" i="2"/>
  <c r="L605" i="2"/>
  <c r="K605" i="2"/>
  <c r="J605" i="2"/>
  <c r="L604" i="2"/>
  <c r="K604" i="2"/>
  <c r="J604" i="2"/>
  <c r="L603" i="2"/>
  <c r="K603" i="2"/>
  <c r="J603" i="2"/>
  <c r="L602" i="2"/>
  <c r="K602" i="2"/>
  <c r="J602" i="2"/>
  <c r="L601" i="2"/>
  <c r="K601" i="2"/>
  <c r="J601" i="2"/>
  <c r="L600" i="2"/>
  <c r="K600" i="2"/>
  <c r="J600" i="2"/>
  <c r="L599" i="2"/>
  <c r="K599" i="2"/>
  <c r="J599" i="2"/>
  <c r="L598" i="2"/>
  <c r="K598" i="2"/>
  <c r="J598" i="2"/>
  <c r="L597" i="2"/>
  <c r="K597" i="2"/>
  <c r="J597" i="2"/>
  <c r="L596" i="2"/>
  <c r="K596" i="2"/>
  <c r="J596" i="2"/>
  <c r="L595" i="2"/>
  <c r="K595" i="2"/>
  <c r="J595" i="2"/>
  <c r="L594" i="2"/>
  <c r="K594" i="2"/>
  <c r="J594" i="2"/>
  <c r="L593" i="2"/>
  <c r="K593" i="2"/>
  <c r="J593" i="2"/>
  <c r="L592" i="2"/>
  <c r="K592" i="2"/>
  <c r="J592" i="2"/>
  <c r="L591" i="2"/>
  <c r="K591" i="2"/>
  <c r="J591" i="2"/>
  <c r="L590" i="2"/>
  <c r="K590" i="2"/>
  <c r="J590" i="2"/>
  <c r="L589" i="2"/>
  <c r="K589" i="2"/>
  <c r="J589" i="2"/>
  <c r="L588" i="2"/>
  <c r="K588" i="2"/>
  <c r="J588" i="2"/>
  <c r="L587" i="2"/>
  <c r="K587" i="2"/>
  <c r="J587" i="2"/>
  <c r="L586" i="2"/>
  <c r="K586" i="2"/>
  <c r="J586" i="2"/>
  <c r="L585" i="2"/>
  <c r="K585" i="2"/>
  <c r="J585" i="2"/>
  <c r="L584" i="2"/>
  <c r="K584" i="2"/>
  <c r="J584" i="2"/>
  <c r="L583" i="2"/>
  <c r="K583" i="2"/>
  <c r="J583" i="2"/>
  <c r="L582" i="2"/>
  <c r="K582" i="2"/>
  <c r="J582" i="2"/>
  <c r="L581" i="2"/>
  <c r="K581" i="2"/>
  <c r="J581" i="2"/>
  <c r="L580" i="2"/>
  <c r="K580" i="2"/>
  <c r="J580" i="2"/>
  <c r="L579" i="2"/>
  <c r="K579" i="2"/>
  <c r="J579" i="2"/>
  <c r="L578" i="2"/>
  <c r="K578" i="2"/>
  <c r="J578" i="2"/>
  <c r="L577" i="2"/>
  <c r="K577" i="2"/>
  <c r="J577" i="2"/>
  <c r="L576" i="2"/>
  <c r="K576" i="2"/>
  <c r="J576" i="2"/>
  <c r="L575" i="2"/>
  <c r="K575" i="2"/>
  <c r="J575" i="2"/>
  <c r="L574" i="2"/>
  <c r="K574" i="2"/>
  <c r="J574" i="2"/>
  <c r="L573" i="2"/>
  <c r="K573" i="2"/>
  <c r="J573" i="2"/>
  <c r="L572" i="2"/>
  <c r="K572" i="2"/>
  <c r="J572" i="2"/>
  <c r="L571" i="2"/>
  <c r="K571" i="2"/>
  <c r="J571" i="2"/>
  <c r="L570" i="2"/>
  <c r="K570" i="2"/>
  <c r="J570" i="2"/>
  <c r="L569" i="2"/>
  <c r="K569" i="2"/>
  <c r="J569" i="2"/>
  <c r="L568" i="2"/>
  <c r="K568" i="2"/>
  <c r="J568" i="2"/>
  <c r="L567" i="2"/>
  <c r="K567" i="2"/>
  <c r="J567" i="2"/>
  <c r="L566" i="2"/>
  <c r="K566" i="2"/>
  <c r="J566" i="2"/>
  <c r="L565" i="2"/>
  <c r="K565" i="2"/>
  <c r="J565" i="2"/>
  <c r="L564" i="2"/>
  <c r="K564" i="2"/>
  <c r="J564" i="2"/>
  <c r="L563" i="2"/>
  <c r="K563" i="2"/>
  <c r="J563" i="2"/>
  <c r="L562" i="2"/>
  <c r="K562" i="2"/>
  <c r="J562" i="2"/>
  <c r="L561" i="2"/>
  <c r="K561" i="2"/>
  <c r="J561" i="2"/>
  <c r="L560" i="2"/>
  <c r="K560" i="2"/>
  <c r="J560" i="2"/>
  <c r="L559" i="2"/>
  <c r="K559" i="2"/>
  <c r="J559" i="2"/>
  <c r="L558" i="2"/>
  <c r="K558" i="2"/>
  <c r="J558" i="2"/>
  <c r="L557" i="2"/>
  <c r="K557" i="2"/>
  <c r="J557" i="2"/>
  <c r="L556" i="2"/>
  <c r="K556" i="2"/>
  <c r="J556" i="2"/>
  <c r="L555" i="2"/>
  <c r="K555" i="2"/>
  <c r="J555" i="2"/>
  <c r="L554" i="2"/>
  <c r="K554" i="2"/>
  <c r="J554" i="2"/>
  <c r="L553" i="2"/>
  <c r="K553" i="2"/>
  <c r="J553" i="2"/>
  <c r="L552" i="2"/>
  <c r="K552" i="2"/>
  <c r="J552" i="2"/>
  <c r="L551" i="2"/>
  <c r="K551" i="2"/>
  <c r="J551" i="2"/>
  <c r="L550" i="2"/>
  <c r="K550" i="2"/>
  <c r="J550" i="2"/>
  <c r="L549" i="2"/>
  <c r="K549" i="2"/>
  <c r="J549" i="2"/>
  <c r="L548" i="2"/>
  <c r="K548" i="2"/>
  <c r="J548" i="2"/>
  <c r="L547" i="2"/>
  <c r="K547" i="2"/>
  <c r="J547" i="2"/>
  <c r="L546" i="2"/>
  <c r="K546" i="2"/>
  <c r="J546" i="2"/>
  <c r="L545" i="2"/>
  <c r="K545" i="2"/>
  <c r="J545" i="2"/>
  <c r="L544" i="2"/>
  <c r="K544" i="2"/>
  <c r="J544" i="2"/>
  <c r="L543" i="2"/>
  <c r="K543" i="2"/>
  <c r="J543" i="2"/>
  <c r="L542" i="2"/>
  <c r="K542" i="2"/>
  <c r="J542" i="2"/>
  <c r="L541" i="2"/>
  <c r="K541" i="2"/>
  <c r="J541" i="2"/>
  <c r="L540" i="2"/>
  <c r="K540" i="2"/>
  <c r="J540" i="2"/>
  <c r="L539" i="2"/>
  <c r="K539" i="2"/>
  <c r="J539" i="2"/>
  <c r="L538" i="2"/>
  <c r="K538" i="2"/>
  <c r="J538" i="2"/>
  <c r="L537" i="2"/>
  <c r="K537" i="2"/>
  <c r="J537" i="2"/>
  <c r="L536" i="2"/>
  <c r="K536" i="2"/>
  <c r="J536" i="2"/>
  <c r="L535" i="2"/>
  <c r="K535" i="2"/>
  <c r="J535" i="2"/>
  <c r="L534" i="2"/>
  <c r="K534" i="2"/>
  <c r="J534" i="2"/>
  <c r="L533" i="2"/>
  <c r="K533" i="2"/>
  <c r="J533" i="2"/>
  <c r="L532" i="2"/>
  <c r="K532" i="2"/>
  <c r="J532" i="2"/>
  <c r="L531" i="2"/>
  <c r="K531" i="2"/>
  <c r="J531" i="2"/>
  <c r="L530" i="2"/>
  <c r="K530" i="2"/>
  <c r="J530" i="2"/>
  <c r="L529" i="2"/>
  <c r="K529" i="2"/>
  <c r="J529" i="2"/>
  <c r="L528" i="2"/>
  <c r="K528" i="2"/>
  <c r="J528" i="2"/>
  <c r="L527" i="2"/>
  <c r="K527" i="2"/>
  <c r="J527" i="2"/>
  <c r="L526" i="2"/>
  <c r="K526" i="2"/>
  <c r="J526" i="2"/>
  <c r="L525" i="2"/>
  <c r="K525" i="2"/>
  <c r="J525" i="2"/>
  <c r="L524" i="2"/>
  <c r="K524" i="2"/>
  <c r="J524" i="2"/>
  <c r="L523" i="2"/>
  <c r="K523" i="2"/>
  <c r="J523" i="2"/>
  <c r="L522" i="2"/>
  <c r="K522" i="2"/>
  <c r="J522" i="2"/>
  <c r="L521" i="2"/>
  <c r="K521" i="2"/>
  <c r="J521" i="2"/>
  <c r="L520" i="2"/>
  <c r="K520" i="2"/>
  <c r="J520" i="2"/>
  <c r="L519" i="2"/>
  <c r="K519" i="2"/>
  <c r="J519" i="2"/>
  <c r="L518" i="2"/>
  <c r="K518" i="2"/>
  <c r="J518" i="2"/>
  <c r="L517" i="2"/>
  <c r="K517" i="2"/>
  <c r="J517" i="2"/>
  <c r="L516" i="2"/>
  <c r="K516" i="2"/>
  <c r="J516" i="2"/>
  <c r="L515" i="2"/>
  <c r="K515" i="2"/>
  <c r="J515" i="2"/>
  <c r="L514" i="2"/>
  <c r="K514" i="2"/>
  <c r="J514" i="2"/>
  <c r="L513" i="2"/>
  <c r="K513" i="2"/>
  <c r="J513" i="2"/>
  <c r="L512" i="2"/>
  <c r="K512" i="2"/>
  <c r="J512" i="2"/>
  <c r="L511" i="2"/>
  <c r="K511" i="2"/>
  <c r="J511" i="2"/>
  <c r="L510" i="2"/>
  <c r="K510" i="2"/>
  <c r="J510" i="2"/>
  <c r="L509" i="2"/>
  <c r="K509" i="2"/>
  <c r="J509" i="2"/>
  <c r="L508" i="2"/>
  <c r="K508" i="2"/>
  <c r="J508" i="2"/>
  <c r="L507" i="2"/>
  <c r="K507" i="2"/>
  <c r="J507" i="2"/>
  <c r="L506" i="2"/>
  <c r="K506" i="2"/>
  <c r="J506" i="2"/>
  <c r="L505" i="2"/>
  <c r="K505" i="2"/>
  <c r="J505" i="2"/>
  <c r="L504" i="2"/>
  <c r="K504" i="2"/>
  <c r="J504" i="2"/>
  <c r="L503" i="2"/>
  <c r="K503" i="2"/>
  <c r="J503" i="2"/>
  <c r="L502" i="2"/>
  <c r="K502" i="2"/>
  <c r="J502" i="2"/>
  <c r="L501" i="2"/>
  <c r="K501" i="2"/>
  <c r="J501" i="2"/>
  <c r="L500" i="2"/>
  <c r="K500" i="2"/>
  <c r="J500" i="2"/>
  <c r="L499" i="2"/>
  <c r="K499" i="2"/>
  <c r="J499" i="2"/>
  <c r="L498" i="2"/>
  <c r="K498" i="2"/>
  <c r="J498" i="2"/>
  <c r="L497" i="2"/>
  <c r="K497" i="2"/>
  <c r="J497" i="2"/>
  <c r="L496" i="2"/>
  <c r="K496" i="2"/>
  <c r="J496" i="2"/>
  <c r="L495" i="2"/>
  <c r="K495" i="2"/>
  <c r="J495" i="2"/>
  <c r="L494" i="2"/>
  <c r="K494" i="2"/>
  <c r="J494" i="2"/>
  <c r="L493" i="2"/>
  <c r="K493" i="2"/>
  <c r="J493" i="2"/>
  <c r="L492" i="2"/>
  <c r="K492" i="2"/>
  <c r="J492" i="2"/>
  <c r="L491" i="2"/>
  <c r="K491" i="2"/>
  <c r="J491" i="2"/>
  <c r="L490" i="2"/>
  <c r="K490" i="2"/>
  <c r="J490" i="2"/>
  <c r="L489" i="2"/>
  <c r="K489" i="2"/>
  <c r="J489" i="2"/>
  <c r="L488" i="2"/>
  <c r="K488" i="2"/>
  <c r="J488" i="2"/>
  <c r="L487" i="2"/>
  <c r="K487" i="2"/>
  <c r="J487" i="2"/>
  <c r="L486" i="2"/>
  <c r="K486" i="2"/>
  <c r="J486" i="2"/>
  <c r="L485" i="2"/>
  <c r="K485" i="2"/>
  <c r="J485" i="2"/>
  <c r="L484" i="2"/>
  <c r="K484" i="2"/>
  <c r="J484" i="2"/>
  <c r="L483" i="2"/>
  <c r="K483" i="2"/>
  <c r="J483" i="2"/>
  <c r="L482" i="2"/>
  <c r="K482" i="2"/>
  <c r="J482" i="2"/>
  <c r="L481" i="2"/>
  <c r="K481" i="2"/>
  <c r="J481" i="2"/>
  <c r="L480" i="2"/>
  <c r="K480" i="2"/>
  <c r="J480" i="2"/>
  <c r="L479" i="2"/>
  <c r="K479" i="2"/>
  <c r="J479" i="2"/>
  <c r="L478" i="2"/>
  <c r="K478" i="2"/>
  <c r="J478" i="2"/>
  <c r="L477" i="2"/>
  <c r="K477" i="2"/>
  <c r="J477" i="2"/>
  <c r="L476" i="2"/>
  <c r="K476" i="2"/>
  <c r="J476" i="2"/>
  <c r="L475" i="2"/>
  <c r="K475" i="2"/>
  <c r="J475" i="2"/>
  <c r="L474" i="2"/>
  <c r="K474" i="2"/>
  <c r="J474" i="2"/>
  <c r="L473" i="2"/>
  <c r="K473" i="2"/>
  <c r="J473" i="2"/>
  <c r="L472" i="2"/>
  <c r="K472" i="2"/>
  <c r="J472" i="2"/>
  <c r="L471" i="2"/>
  <c r="K471" i="2"/>
  <c r="J471" i="2"/>
  <c r="L470" i="2"/>
  <c r="K470" i="2"/>
  <c r="J470" i="2"/>
  <c r="L469" i="2"/>
  <c r="K469" i="2"/>
  <c r="J469" i="2"/>
  <c r="L468" i="2"/>
  <c r="K468" i="2"/>
  <c r="J468" i="2"/>
  <c r="L467" i="2"/>
  <c r="K467" i="2"/>
  <c r="J467" i="2"/>
  <c r="L466" i="2"/>
  <c r="K466" i="2"/>
  <c r="J466" i="2"/>
  <c r="L465" i="2"/>
  <c r="K465" i="2"/>
  <c r="J465" i="2"/>
  <c r="L464" i="2"/>
  <c r="K464" i="2"/>
  <c r="J464" i="2"/>
  <c r="L463" i="2"/>
  <c r="K463" i="2"/>
  <c r="J463" i="2"/>
  <c r="L462" i="2"/>
  <c r="K462" i="2"/>
  <c r="J462" i="2"/>
  <c r="L461" i="2"/>
  <c r="K461" i="2"/>
  <c r="J461" i="2"/>
  <c r="L460" i="2"/>
  <c r="K460" i="2"/>
  <c r="J460" i="2"/>
  <c r="L459" i="2"/>
  <c r="K459" i="2"/>
  <c r="J459" i="2"/>
  <c r="L458" i="2"/>
  <c r="K458" i="2"/>
  <c r="J458" i="2"/>
  <c r="L457" i="2"/>
  <c r="K457" i="2"/>
  <c r="J457" i="2"/>
  <c r="L456" i="2"/>
  <c r="K456" i="2"/>
  <c r="J456" i="2"/>
  <c r="L455" i="2"/>
  <c r="K455" i="2"/>
  <c r="J455" i="2"/>
  <c r="L454" i="2"/>
  <c r="K454" i="2"/>
  <c r="J454" i="2"/>
  <c r="L453" i="2"/>
  <c r="K453" i="2"/>
  <c r="J453" i="2"/>
  <c r="L452" i="2"/>
  <c r="K452" i="2"/>
  <c r="J452" i="2"/>
  <c r="L451" i="2"/>
  <c r="K451" i="2"/>
  <c r="J451" i="2"/>
  <c r="L450" i="2"/>
  <c r="K450" i="2"/>
  <c r="J450" i="2"/>
  <c r="L449" i="2"/>
  <c r="K449" i="2"/>
  <c r="J449" i="2"/>
  <c r="L448" i="2"/>
  <c r="K448" i="2"/>
  <c r="J448" i="2"/>
  <c r="L447" i="2"/>
  <c r="K447" i="2"/>
  <c r="J447" i="2"/>
  <c r="L446" i="2"/>
  <c r="K446" i="2"/>
  <c r="J446" i="2"/>
  <c r="L445" i="2"/>
  <c r="K445" i="2"/>
  <c r="J445" i="2"/>
  <c r="L444" i="2"/>
  <c r="K444" i="2"/>
  <c r="J444" i="2"/>
  <c r="L443" i="2"/>
  <c r="K443" i="2"/>
  <c r="J443" i="2"/>
  <c r="L442" i="2"/>
  <c r="K442" i="2"/>
  <c r="J442" i="2"/>
  <c r="L441" i="2"/>
  <c r="K441" i="2"/>
  <c r="J441" i="2"/>
  <c r="L440" i="2"/>
  <c r="K440" i="2"/>
  <c r="J440" i="2"/>
  <c r="L439" i="2"/>
  <c r="K439" i="2"/>
  <c r="J439" i="2"/>
  <c r="L438" i="2"/>
  <c r="K438" i="2"/>
  <c r="J438" i="2"/>
  <c r="L437" i="2"/>
  <c r="K437" i="2"/>
  <c r="J437" i="2"/>
  <c r="L436" i="2"/>
  <c r="K436" i="2"/>
  <c r="J436" i="2"/>
  <c r="L435" i="2"/>
  <c r="K435" i="2"/>
  <c r="J435" i="2"/>
  <c r="L434" i="2"/>
  <c r="K434" i="2"/>
  <c r="J434" i="2"/>
  <c r="L433" i="2"/>
  <c r="K433" i="2"/>
  <c r="J433" i="2"/>
  <c r="L432" i="2"/>
  <c r="K432" i="2"/>
  <c r="J432" i="2"/>
  <c r="L431" i="2"/>
  <c r="K431" i="2"/>
  <c r="J431" i="2"/>
  <c r="L430" i="2"/>
  <c r="K430" i="2"/>
  <c r="J430" i="2"/>
  <c r="L429" i="2"/>
  <c r="K429" i="2"/>
  <c r="J429" i="2"/>
  <c r="L428" i="2"/>
  <c r="K428" i="2"/>
  <c r="J428" i="2"/>
  <c r="L427" i="2"/>
  <c r="K427" i="2"/>
  <c r="J427" i="2"/>
  <c r="L426" i="2"/>
  <c r="K426" i="2"/>
  <c r="J426" i="2"/>
  <c r="L425" i="2"/>
  <c r="K425" i="2"/>
  <c r="J425" i="2"/>
  <c r="L424" i="2"/>
  <c r="K424" i="2"/>
  <c r="J424" i="2"/>
  <c r="L423" i="2"/>
  <c r="K423" i="2"/>
  <c r="J423" i="2"/>
  <c r="L422" i="2"/>
  <c r="K422" i="2"/>
  <c r="J422" i="2"/>
  <c r="L421" i="2"/>
  <c r="K421" i="2"/>
  <c r="J421" i="2"/>
  <c r="L420" i="2"/>
  <c r="K420" i="2"/>
  <c r="J420" i="2"/>
  <c r="L419" i="2"/>
  <c r="K419" i="2"/>
  <c r="J419" i="2"/>
  <c r="L418" i="2"/>
  <c r="K418" i="2"/>
  <c r="J418" i="2"/>
  <c r="L417" i="2"/>
  <c r="K417" i="2"/>
  <c r="J417" i="2"/>
  <c r="L416" i="2"/>
  <c r="K416" i="2"/>
  <c r="J416" i="2"/>
  <c r="L415" i="2"/>
  <c r="K415" i="2"/>
  <c r="J415" i="2"/>
  <c r="L414" i="2"/>
  <c r="K414" i="2"/>
  <c r="J414" i="2"/>
  <c r="L413" i="2"/>
  <c r="K413" i="2"/>
  <c r="J413" i="2"/>
  <c r="L412" i="2"/>
  <c r="K412" i="2"/>
  <c r="J412" i="2"/>
  <c r="L411" i="2"/>
  <c r="K411" i="2"/>
  <c r="J411" i="2"/>
  <c r="L410" i="2"/>
  <c r="K410" i="2"/>
  <c r="J410" i="2"/>
  <c r="L409" i="2"/>
  <c r="K409" i="2"/>
  <c r="J409" i="2"/>
  <c r="L408" i="2"/>
  <c r="K408" i="2"/>
  <c r="J408" i="2"/>
  <c r="L407" i="2"/>
  <c r="K407" i="2"/>
  <c r="J407" i="2"/>
  <c r="L406" i="2"/>
  <c r="K406" i="2"/>
  <c r="J406" i="2"/>
  <c r="L405" i="2"/>
  <c r="K405" i="2"/>
  <c r="J405" i="2"/>
  <c r="L404" i="2"/>
  <c r="K404" i="2"/>
  <c r="J404" i="2"/>
  <c r="L403" i="2"/>
  <c r="K403" i="2"/>
  <c r="J403" i="2"/>
  <c r="L402" i="2"/>
  <c r="K402" i="2"/>
  <c r="J402" i="2"/>
  <c r="L401" i="2"/>
  <c r="K401" i="2"/>
  <c r="J401" i="2"/>
  <c r="L400" i="2"/>
  <c r="K400" i="2"/>
  <c r="J400" i="2"/>
  <c r="L399" i="2"/>
  <c r="K399" i="2"/>
  <c r="J399" i="2"/>
  <c r="L398" i="2"/>
  <c r="K398" i="2"/>
  <c r="J398" i="2"/>
  <c r="L397" i="2"/>
  <c r="K397" i="2"/>
  <c r="J397" i="2"/>
  <c r="L396" i="2"/>
  <c r="K396" i="2"/>
  <c r="J396" i="2"/>
  <c r="L395" i="2"/>
  <c r="K395" i="2"/>
  <c r="J395" i="2"/>
  <c r="L394" i="2"/>
  <c r="K394" i="2"/>
  <c r="J394" i="2"/>
  <c r="L393" i="2"/>
  <c r="K393" i="2"/>
  <c r="J393" i="2"/>
  <c r="L392" i="2"/>
  <c r="K392" i="2"/>
  <c r="J392" i="2"/>
  <c r="L391" i="2"/>
  <c r="K391" i="2"/>
  <c r="J391" i="2"/>
  <c r="L390" i="2"/>
  <c r="K390" i="2"/>
  <c r="J390" i="2"/>
  <c r="L389" i="2"/>
  <c r="K389" i="2"/>
  <c r="J389" i="2"/>
  <c r="L388" i="2"/>
  <c r="K388" i="2"/>
  <c r="J388" i="2"/>
  <c r="L387" i="2"/>
  <c r="K387" i="2"/>
  <c r="J387" i="2"/>
  <c r="L386" i="2"/>
  <c r="K386" i="2"/>
  <c r="J386" i="2"/>
  <c r="L385" i="2"/>
  <c r="K385" i="2"/>
  <c r="J385" i="2"/>
  <c r="L384" i="2"/>
  <c r="K384" i="2"/>
  <c r="J384" i="2"/>
  <c r="L383" i="2"/>
  <c r="K383" i="2"/>
  <c r="J383" i="2"/>
  <c r="L382" i="2"/>
  <c r="K382" i="2"/>
  <c r="J382" i="2"/>
  <c r="L381" i="2"/>
  <c r="K381" i="2"/>
  <c r="J381" i="2"/>
  <c r="L380" i="2"/>
  <c r="K380" i="2"/>
  <c r="J380" i="2"/>
  <c r="L379" i="2"/>
  <c r="K379" i="2"/>
  <c r="J379" i="2"/>
  <c r="L378" i="2"/>
  <c r="K378" i="2"/>
  <c r="J378" i="2"/>
  <c r="L377" i="2"/>
  <c r="K377" i="2"/>
  <c r="J377" i="2"/>
  <c r="L376" i="2"/>
  <c r="K376" i="2"/>
  <c r="J376" i="2"/>
  <c r="L375" i="2"/>
  <c r="K375" i="2"/>
  <c r="J375" i="2"/>
  <c r="L374" i="2"/>
  <c r="K374" i="2"/>
  <c r="J374" i="2"/>
  <c r="L373" i="2"/>
  <c r="K373" i="2"/>
  <c r="J373" i="2"/>
  <c r="L372" i="2"/>
  <c r="K372" i="2"/>
  <c r="J372" i="2"/>
  <c r="L371" i="2"/>
  <c r="K371" i="2"/>
  <c r="J371" i="2"/>
  <c r="L370" i="2"/>
  <c r="K370" i="2"/>
  <c r="J370" i="2"/>
  <c r="L369" i="2"/>
  <c r="K369" i="2"/>
  <c r="J369" i="2"/>
  <c r="L368" i="2"/>
  <c r="K368" i="2"/>
  <c r="J368" i="2"/>
  <c r="L367" i="2"/>
  <c r="K367" i="2"/>
  <c r="J367" i="2"/>
  <c r="L366" i="2"/>
  <c r="K366" i="2"/>
  <c r="J366" i="2"/>
  <c r="L365" i="2"/>
  <c r="K365" i="2"/>
  <c r="J365" i="2"/>
  <c r="L364" i="2"/>
  <c r="K364" i="2"/>
  <c r="J364" i="2"/>
  <c r="L363" i="2"/>
  <c r="K363" i="2"/>
  <c r="J363" i="2"/>
  <c r="L362" i="2"/>
  <c r="K362" i="2"/>
  <c r="J362" i="2"/>
  <c r="L361" i="2"/>
  <c r="K361" i="2"/>
  <c r="J361" i="2"/>
  <c r="L360" i="2"/>
  <c r="K360" i="2"/>
  <c r="J360" i="2"/>
  <c r="L359" i="2"/>
  <c r="K359" i="2"/>
  <c r="J359" i="2"/>
  <c r="L358" i="2"/>
  <c r="K358" i="2"/>
  <c r="J358" i="2"/>
  <c r="L357" i="2"/>
  <c r="K357" i="2"/>
  <c r="J357" i="2"/>
  <c r="L356" i="2"/>
  <c r="K356" i="2"/>
  <c r="J356" i="2"/>
  <c r="L355" i="2"/>
  <c r="K355" i="2"/>
  <c r="J355" i="2"/>
  <c r="L354" i="2"/>
  <c r="K354" i="2"/>
  <c r="J354" i="2"/>
  <c r="L353" i="2"/>
  <c r="K353" i="2"/>
  <c r="J353" i="2"/>
  <c r="L352" i="2"/>
  <c r="K352" i="2"/>
  <c r="J352" i="2"/>
  <c r="L351" i="2"/>
  <c r="K351" i="2"/>
  <c r="J351" i="2"/>
  <c r="L350" i="2"/>
  <c r="K350" i="2"/>
  <c r="J350" i="2"/>
  <c r="L349" i="2"/>
  <c r="K349" i="2"/>
  <c r="J349" i="2"/>
  <c r="L348" i="2"/>
  <c r="K348" i="2"/>
  <c r="J348" i="2"/>
  <c r="L347" i="2"/>
  <c r="K347" i="2"/>
  <c r="J347" i="2"/>
  <c r="L346" i="2"/>
  <c r="K346" i="2"/>
  <c r="J346" i="2"/>
  <c r="L345" i="2"/>
  <c r="K345" i="2"/>
  <c r="J345" i="2"/>
  <c r="L344" i="2"/>
  <c r="K344" i="2"/>
  <c r="J344" i="2"/>
  <c r="L343" i="2"/>
  <c r="K343" i="2"/>
  <c r="J343" i="2"/>
  <c r="L342" i="2"/>
  <c r="K342" i="2"/>
  <c r="J342" i="2"/>
  <c r="L341" i="2"/>
  <c r="K341" i="2"/>
  <c r="J341" i="2"/>
  <c r="L340" i="2"/>
  <c r="K340" i="2"/>
  <c r="J340" i="2"/>
  <c r="L339" i="2"/>
  <c r="K339" i="2"/>
  <c r="J339" i="2"/>
  <c r="L338" i="2"/>
  <c r="K338" i="2"/>
  <c r="J338" i="2"/>
  <c r="L337" i="2"/>
  <c r="K337" i="2"/>
  <c r="J337" i="2"/>
  <c r="L336" i="2"/>
  <c r="K336" i="2"/>
  <c r="J336" i="2"/>
  <c r="L335" i="2"/>
  <c r="K335" i="2"/>
  <c r="J335" i="2"/>
  <c r="L334" i="2"/>
  <c r="K334" i="2"/>
  <c r="J334" i="2"/>
  <c r="L333" i="2"/>
  <c r="K333" i="2"/>
  <c r="J333" i="2"/>
  <c r="L332" i="2"/>
  <c r="K332" i="2"/>
  <c r="J332" i="2"/>
  <c r="L331" i="2"/>
  <c r="K331" i="2"/>
  <c r="J331" i="2"/>
  <c r="L330" i="2"/>
  <c r="K330" i="2"/>
  <c r="J330" i="2"/>
  <c r="L329" i="2"/>
  <c r="K329" i="2"/>
  <c r="J329" i="2"/>
  <c r="L328" i="2"/>
  <c r="K328" i="2"/>
  <c r="J328" i="2"/>
  <c r="L327" i="2"/>
  <c r="K327" i="2"/>
  <c r="J327" i="2"/>
  <c r="L326" i="2"/>
  <c r="K326" i="2"/>
  <c r="J326" i="2"/>
  <c r="L325" i="2"/>
  <c r="K325" i="2"/>
  <c r="J325" i="2"/>
  <c r="L324" i="2"/>
  <c r="K324" i="2"/>
  <c r="J324" i="2"/>
  <c r="L323" i="2"/>
  <c r="K323" i="2"/>
  <c r="J323" i="2"/>
  <c r="L322" i="2"/>
  <c r="K322" i="2"/>
  <c r="J322" i="2"/>
  <c r="L321" i="2"/>
  <c r="K321" i="2"/>
  <c r="J321" i="2"/>
  <c r="L320" i="2"/>
  <c r="K320" i="2"/>
  <c r="J320" i="2"/>
  <c r="L319" i="2"/>
  <c r="K319" i="2"/>
  <c r="J319" i="2"/>
  <c r="L318" i="2"/>
  <c r="K318" i="2"/>
  <c r="J318" i="2"/>
  <c r="L317" i="2"/>
  <c r="K317" i="2"/>
  <c r="J317" i="2"/>
  <c r="L316" i="2"/>
  <c r="K316" i="2"/>
  <c r="J316" i="2"/>
  <c r="L315" i="2"/>
  <c r="K315" i="2"/>
  <c r="J315" i="2"/>
  <c r="L314" i="2"/>
  <c r="K314" i="2"/>
  <c r="J314" i="2"/>
  <c r="L313" i="2"/>
  <c r="K313" i="2"/>
  <c r="J313" i="2"/>
  <c r="L312" i="2"/>
  <c r="K312" i="2"/>
  <c r="J312" i="2"/>
  <c r="L311" i="2"/>
  <c r="K311" i="2"/>
  <c r="J311" i="2"/>
  <c r="L310" i="2"/>
  <c r="K310" i="2"/>
  <c r="J310" i="2"/>
  <c r="L309" i="2"/>
  <c r="K309" i="2"/>
  <c r="J309" i="2"/>
  <c r="L308" i="2"/>
  <c r="K308" i="2"/>
  <c r="J308" i="2"/>
  <c r="L307" i="2"/>
  <c r="K307" i="2"/>
  <c r="J307" i="2"/>
  <c r="L306" i="2"/>
  <c r="K306" i="2"/>
  <c r="J306" i="2"/>
  <c r="L305" i="2"/>
  <c r="K305" i="2"/>
  <c r="J305" i="2"/>
  <c r="L304" i="2"/>
  <c r="K304" i="2"/>
  <c r="J304" i="2"/>
  <c r="L303" i="2"/>
  <c r="K303" i="2"/>
  <c r="J303" i="2"/>
  <c r="L302" i="2"/>
  <c r="K302" i="2"/>
  <c r="J302" i="2"/>
  <c r="L301" i="2"/>
  <c r="K301" i="2"/>
  <c r="J301" i="2"/>
  <c r="L300" i="2"/>
  <c r="K300" i="2"/>
  <c r="J300" i="2"/>
  <c r="L299" i="2"/>
  <c r="K299" i="2"/>
  <c r="J299" i="2"/>
  <c r="L298" i="2"/>
  <c r="K298" i="2"/>
  <c r="J298" i="2"/>
  <c r="L297" i="2"/>
  <c r="K297" i="2"/>
  <c r="J297" i="2"/>
  <c r="L296" i="2"/>
  <c r="K296" i="2"/>
  <c r="J296" i="2"/>
  <c r="L295" i="2"/>
  <c r="K295" i="2"/>
  <c r="J295" i="2"/>
  <c r="L294" i="2"/>
  <c r="K294" i="2"/>
  <c r="J294" i="2"/>
  <c r="L293" i="2"/>
  <c r="K293" i="2"/>
  <c r="J293" i="2"/>
  <c r="L292" i="2"/>
  <c r="K292" i="2"/>
  <c r="J292" i="2"/>
  <c r="L291" i="2"/>
  <c r="K291" i="2"/>
  <c r="J291" i="2"/>
  <c r="L290" i="2"/>
  <c r="K290" i="2"/>
  <c r="J290" i="2"/>
  <c r="L289" i="2"/>
  <c r="K289" i="2"/>
  <c r="J289" i="2"/>
  <c r="L288" i="2"/>
  <c r="K288" i="2"/>
  <c r="J288" i="2"/>
  <c r="L287" i="2"/>
  <c r="K287" i="2"/>
  <c r="J287" i="2"/>
  <c r="L286" i="2"/>
  <c r="K286" i="2"/>
  <c r="J286" i="2"/>
  <c r="L285" i="2"/>
  <c r="K285" i="2"/>
  <c r="J285" i="2"/>
  <c r="L284" i="2"/>
  <c r="K284" i="2"/>
  <c r="J284" i="2"/>
  <c r="L283" i="2"/>
  <c r="K283" i="2"/>
  <c r="J283" i="2"/>
  <c r="L282" i="2"/>
  <c r="K282" i="2"/>
  <c r="J282" i="2"/>
  <c r="L281" i="2"/>
  <c r="K281" i="2"/>
  <c r="J281" i="2"/>
  <c r="L280" i="2"/>
  <c r="K280" i="2"/>
  <c r="J280" i="2"/>
  <c r="L279" i="2"/>
  <c r="K279" i="2"/>
  <c r="J279" i="2"/>
  <c r="L278" i="2"/>
  <c r="K278" i="2"/>
  <c r="J278" i="2"/>
  <c r="L277" i="2"/>
  <c r="K277" i="2"/>
  <c r="J277" i="2"/>
  <c r="L276" i="2"/>
  <c r="K276" i="2"/>
  <c r="J276" i="2"/>
  <c r="L275" i="2"/>
  <c r="K275" i="2"/>
  <c r="J275" i="2"/>
  <c r="L274" i="2"/>
  <c r="K274" i="2"/>
  <c r="J274" i="2"/>
  <c r="L273" i="2"/>
  <c r="K273" i="2"/>
  <c r="J273" i="2"/>
  <c r="L272" i="2"/>
  <c r="K272" i="2"/>
  <c r="J272" i="2"/>
  <c r="L271" i="2"/>
  <c r="K271" i="2"/>
  <c r="J271" i="2"/>
  <c r="L270" i="2"/>
  <c r="K270" i="2"/>
  <c r="J270" i="2"/>
  <c r="L269" i="2"/>
  <c r="K269" i="2"/>
  <c r="J269" i="2"/>
  <c r="L268" i="2"/>
  <c r="K268" i="2"/>
  <c r="J268" i="2"/>
  <c r="L267" i="2"/>
  <c r="K267" i="2"/>
  <c r="J267" i="2"/>
  <c r="L266" i="2"/>
  <c r="K266" i="2"/>
  <c r="J266" i="2"/>
  <c r="L265" i="2"/>
  <c r="K265" i="2"/>
  <c r="J265" i="2"/>
  <c r="L264" i="2"/>
  <c r="K264" i="2"/>
  <c r="J264" i="2"/>
  <c r="L263" i="2"/>
  <c r="K263" i="2"/>
  <c r="J263" i="2"/>
  <c r="L262" i="2"/>
  <c r="K262" i="2"/>
  <c r="J262" i="2"/>
  <c r="L261" i="2"/>
  <c r="K261" i="2"/>
  <c r="J261" i="2"/>
  <c r="L260" i="2"/>
  <c r="K260" i="2"/>
  <c r="J260" i="2"/>
  <c r="L259" i="2"/>
  <c r="K259" i="2"/>
  <c r="J259" i="2"/>
  <c r="L258" i="2"/>
  <c r="K258" i="2"/>
  <c r="J258" i="2"/>
  <c r="L257" i="2"/>
  <c r="K257" i="2"/>
  <c r="J257" i="2"/>
  <c r="L256" i="2"/>
  <c r="K256" i="2"/>
  <c r="J256" i="2"/>
  <c r="L255" i="2"/>
  <c r="K255" i="2"/>
  <c r="J255" i="2"/>
  <c r="L254" i="2"/>
  <c r="K254" i="2"/>
  <c r="J254" i="2"/>
  <c r="L253" i="2"/>
  <c r="K253" i="2"/>
  <c r="J253" i="2"/>
  <c r="L252" i="2"/>
  <c r="K252" i="2"/>
  <c r="J252" i="2"/>
  <c r="L251" i="2"/>
  <c r="K251" i="2"/>
  <c r="J251" i="2"/>
  <c r="L250" i="2"/>
  <c r="K250" i="2"/>
  <c r="J250" i="2"/>
  <c r="L249" i="2"/>
  <c r="K249" i="2"/>
  <c r="J249" i="2"/>
  <c r="L248" i="2"/>
  <c r="K248" i="2"/>
  <c r="J248" i="2"/>
  <c r="L247" i="2"/>
  <c r="K247" i="2"/>
  <c r="J247" i="2"/>
  <c r="L246" i="2"/>
  <c r="K246" i="2"/>
  <c r="J246" i="2"/>
  <c r="L245" i="2"/>
  <c r="K245" i="2"/>
  <c r="J245" i="2"/>
  <c r="L244" i="2"/>
  <c r="K244" i="2"/>
  <c r="J244" i="2"/>
  <c r="L243" i="2"/>
  <c r="K243" i="2"/>
  <c r="J243" i="2"/>
  <c r="L242" i="2"/>
  <c r="K242" i="2"/>
  <c r="J242" i="2"/>
  <c r="L241" i="2"/>
  <c r="K241" i="2"/>
  <c r="J241" i="2"/>
  <c r="L240" i="2"/>
  <c r="K240" i="2"/>
  <c r="J240" i="2"/>
  <c r="L239" i="2"/>
  <c r="K239" i="2"/>
  <c r="J239" i="2"/>
  <c r="L238" i="2"/>
  <c r="K238" i="2"/>
  <c r="J238" i="2"/>
  <c r="L237" i="2"/>
  <c r="K237" i="2"/>
  <c r="J237" i="2"/>
  <c r="L236" i="2"/>
  <c r="K236" i="2"/>
  <c r="J236" i="2"/>
  <c r="L235" i="2"/>
  <c r="K235" i="2"/>
  <c r="J235" i="2"/>
  <c r="L234" i="2"/>
  <c r="K234" i="2"/>
  <c r="J234" i="2"/>
  <c r="L233" i="2"/>
  <c r="K233" i="2"/>
  <c r="J233" i="2"/>
  <c r="L232" i="2"/>
  <c r="K232" i="2"/>
  <c r="J232" i="2"/>
  <c r="L231" i="2"/>
  <c r="K231" i="2"/>
  <c r="J231" i="2"/>
  <c r="L230" i="2"/>
  <c r="K230" i="2"/>
  <c r="J230" i="2"/>
  <c r="L229" i="2"/>
  <c r="K229" i="2"/>
  <c r="J229" i="2"/>
  <c r="L228" i="2"/>
  <c r="K228" i="2"/>
  <c r="J228" i="2"/>
  <c r="L227" i="2"/>
  <c r="K227" i="2"/>
  <c r="J227" i="2"/>
  <c r="L226" i="2"/>
  <c r="K226" i="2"/>
  <c r="J226" i="2"/>
  <c r="L225" i="2"/>
  <c r="K225" i="2"/>
  <c r="J225" i="2"/>
  <c r="L224" i="2"/>
  <c r="K224" i="2"/>
  <c r="J224" i="2"/>
  <c r="L223" i="2"/>
  <c r="K223" i="2"/>
  <c r="J223" i="2"/>
  <c r="L222" i="2"/>
  <c r="K222" i="2"/>
  <c r="J222" i="2"/>
  <c r="L221" i="2"/>
  <c r="K221" i="2"/>
  <c r="J221" i="2"/>
  <c r="L220" i="2"/>
  <c r="K220" i="2"/>
  <c r="J220" i="2"/>
  <c r="L219" i="2"/>
  <c r="K219" i="2"/>
  <c r="J219" i="2"/>
  <c r="L218" i="2"/>
  <c r="K218" i="2"/>
  <c r="J218" i="2"/>
  <c r="L217" i="2"/>
  <c r="K217" i="2"/>
  <c r="J217" i="2"/>
  <c r="L216" i="2"/>
  <c r="K216" i="2"/>
  <c r="J216" i="2"/>
  <c r="L215" i="2"/>
  <c r="K215" i="2"/>
  <c r="J215" i="2"/>
  <c r="L214" i="2"/>
  <c r="K214" i="2"/>
  <c r="J214" i="2"/>
  <c r="L213" i="2"/>
  <c r="K213" i="2"/>
  <c r="J213" i="2"/>
  <c r="L212" i="2"/>
  <c r="K212" i="2"/>
  <c r="J212" i="2"/>
  <c r="L211" i="2"/>
  <c r="K211" i="2"/>
  <c r="J211" i="2"/>
  <c r="L210" i="2"/>
  <c r="K210" i="2"/>
  <c r="J210" i="2"/>
  <c r="L209" i="2"/>
  <c r="K209" i="2"/>
  <c r="J209" i="2"/>
  <c r="L208" i="2"/>
  <c r="K208" i="2"/>
  <c r="J208" i="2"/>
  <c r="L207" i="2"/>
  <c r="K207" i="2"/>
  <c r="J207" i="2"/>
  <c r="L206" i="2"/>
  <c r="K206" i="2"/>
  <c r="J206" i="2"/>
  <c r="L205" i="2"/>
  <c r="K205" i="2"/>
  <c r="J205" i="2"/>
  <c r="L204" i="2"/>
  <c r="K204" i="2"/>
  <c r="J204" i="2"/>
  <c r="L203" i="2"/>
  <c r="K203" i="2"/>
  <c r="J203" i="2"/>
  <c r="L202" i="2"/>
  <c r="K202" i="2"/>
  <c r="J202" i="2"/>
  <c r="L201" i="2"/>
  <c r="K201" i="2"/>
  <c r="J201" i="2"/>
  <c r="L200" i="2"/>
  <c r="K200" i="2"/>
  <c r="J200" i="2"/>
  <c r="L199" i="2"/>
  <c r="K199" i="2"/>
  <c r="J199" i="2"/>
  <c r="L198" i="2"/>
  <c r="K198" i="2"/>
  <c r="J198" i="2"/>
  <c r="L197" i="2"/>
  <c r="K197" i="2"/>
  <c r="J197" i="2"/>
  <c r="L196" i="2"/>
  <c r="K196" i="2"/>
  <c r="J196" i="2"/>
  <c r="L195" i="2"/>
  <c r="K195" i="2"/>
  <c r="J195" i="2"/>
  <c r="L194" i="2"/>
  <c r="K194" i="2"/>
  <c r="J194" i="2"/>
  <c r="L193" i="2"/>
  <c r="K193" i="2"/>
  <c r="J193" i="2"/>
  <c r="L192" i="2"/>
  <c r="K192" i="2"/>
  <c r="J192" i="2"/>
  <c r="L191" i="2"/>
  <c r="K191" i="2"/>
  <c r="J191" i="2"/>
  <c r="L190" i="2"/>
  <c r="K190" i="2"/>
  <c r="J190" i="2"/>
  <c r="L189" i="2"/>
  <c r="K189" i="2"/>
  <c r="J189" i="2"/>
  <c r="L188" i="2"/>
  <c r="K188" i="2"/>
  <c r="J188" i="2"/>
  <c r="L187" i="2"/>
  <c r="K187" i="2"/>
  <c r="J187" i="2"/>
  <c r="L186" i="2"/>
  <c r="K186" i="2"/>
  <c r="J186" i="2"/>
  <c r="L185" i="2"/>
  <c r="K185" i="2"/>
  <c r="J185" i="2"/>
  <c r="L184" i="2"/>
  <c r="K184" i="2"/>
  <c r="J184" i="2"/>
  <c r="L183" i="2"/>
  <c r="K183" i="2"/>
  <c r="J183" i="2"/>
  <c r="L182" i="2"/>
  <c r="K182" i="2"/>
  <c r="J182" i="2"/>
  <c r="L181" i="2"/>
  <c r="K181" i="2"/>
  <c r="J181" i="2"/>
  <c r="L180" i="2"/>
  <c r="K180" i="2"/>
  <c r="J180" i="2"/>
  <c r="L179" i="2"/>
  <c r="K179" i="2"/>
  <c r="J179" i="2"/>
  <c r="L178" i="2"/>
  <c r="K178" i="2"/>
  <c r="J178" i="2"/>
  <c r="L177" i="2"/>
  <c r="K177" i="2"/>
  <c r="J177" i="2"/>
  <c r="L176" i="2"/>
  <c r="K176" i="2"/>
  <c r="J176" i="2"/>
  <c r="L175" i="2"/>
  <c r="K175" i="2"/>
  <c r="J175" i="2"/>
  <c r="L174" i="2"/>
  <c r="K174" i="2"/>
  <c r="J174" i="2"/>
  <c r="L173" i="2"/>
  <c r="K173" i="2"/>
  <c r="J173" i="2"/>
  <c r="L172" i="2"/>
  <c r="K172" i="2"/>
  <c r="J172" i="2"/>
  <c r="L171" i="2"/>
  <c r="K171" i="2"/>
  <c r="J171" i="2"/>
  <c r="L170" i="2"/>
  <c r="K170" i="2"/>
  <c r="J170" i="2"/>
  <c r="L169" i="2"/>
  <c r="K169" i="2"/>
  <c r="J169" i="2"/>
  <c r="L168" i="2"/>
  <c r="K168" i="2"/>
  <c r="J168" i="2"/>
  <c r="L167" i="2"/>
  <c r="K167" i="2"/>
  <c r="J167" i="2"/>
  <c r="L166" i="2"/>
  <c r="K166" i="2"/>
  <c r="J166" i="2"/>
  <c r="L165" i="2"/>
  <c r="K165" i="2"/>
  <c r="J165" i="2"/>
  <c r="L164" i="2"/>
  <c r="K164" i="2"/>
  <c r="J164" i="2"/>
  <c r="L163" i="2"/>
  <c r="K163" i="2"/>
  <c r="J163" i="2"/>
  <c r="L162" i="2"/>
  <c r="K162" i="2"/>
  <c r="J162" i="2"/>
  <c r="L161" i="2"/>
  <c r="K161" i="2"/>
  <c r="J161" i="2"/>
  <c r="L160" i="2"/>
  <c r="K160" i="2"/>
  <c r="J160" i="2"/>
  <c r="L159" i="2"/>
  <c r="K159" i="2"/>
  <c r="J159" i="2"/>
  <c r="L158" i="2"/>
  <c r="K158" i="2"/>
  <c r="J158" i="2"/>
  <c r="L157" i="2"/>
  <c r="K157" i="2"/>
  <c r="J157" i="2"/>
  <c r="L156" i="2"/>
  <c r="K156" i="2"/>
  <c r="J156" i="2"/>
  <c r="L155" i="2"/>
  <c r="K155" i="2"/>
  <c r="J155" i="2"/>
  <c r="L154" i="2"/>
  <c r="K154" i="2"/>
  <c r="J154" i="2"/>
  <c r="L153" i="2"/>
  <c r="K153" i="2"/>
  <c r="J153" i="2"/>
  <c r="L152" i="2"/>
  <c r="K152" i="2"/>
  <c r="J152" i="2"/>
  <c r="L151" i="2"/>
  <c r="K151" i="2"/>
  <c r="J151" i="2"/>
  <c r="L150" i="2"/>
  <c r="K150" i="2"/>
  <c r="J150" i="2"/>
  <c r="L149" i="2"/>
  <c r="K149" i="2"/>
  <c r="J149" i="2"/>
  <c r="L148" i="2"/>
  <c r="K148" i="2"/>
  <c r="J148" i="2"/>
  <c r="L147" i="2"/>
  <c r="K147" i="2"/>
  <c r="J147" i="2"/>
  <c r="L146" i="2"/>
  <c r="K146" i="2"/>
  <c r="J146" i="2"/>
  <c r="L145" i="2"/>
  <c r="K145" i="2"/>
  <c r="J145" i="2"/>
  <c r="L144" i="2"/>
  <c r="K144" i="2"/>
  <c r="J144" i="2"/>
  <c r="L143" i="2"/>
  <c r="K143" i="2"/>
  <c r="J143" i="2"/>
  <c r="L142" i="2"/>
  <c r="K142" i="2"/>
  <c r="J142" i="2"/>
  <c r="L141" i="2"/>
  <c r="K141" i="2"/>
  <c r="J141" i="2"/>
  <c r="L140" i="2"/>
  <c r="K140" i="2"/>
  <c r="J140" i="2"/>
  <c r="L139" i="2"/>
  <c r="K139" i="2"/>
  <c r="J139" i="2"/>
  <c r="L138" i="2"/>
  <c r="K138" i="2"/>
  <c r="J138" i="2"/>
  <c r="L137" i="2"/>
  <c r="K137" i="2"/>
  <c r="J137" i="2"/>
  <c r="L136" i="2"/>
  <c r="K136" i="2"/>
  <c r="J136" i="2"/>
  <c r="L135" i="2"/>
  <c r="K135" i="2"/>
  <c r="J135" i="2"/>
  <c r="L134" i="2"/>
  <c r="K134" i="2"/>
  <c r="J134" i="2"/>
  <c r="L133" i="2"/>
  <c r="K133" i="2"/>
  <c r="J133" i="2"/>
  <c r="L132" i="2"/>
  <c r="K132" i="2"/>
  <c r="J132" i="2"/>
  <c r="L131" i="2"/>
  <c r="K131" i="2"/>
  <c r="J131" i="2"/>
  <c r="L130" i="2"/>
  <c r="K130" i="2"/>
  <c r="J130" i="2"/>
  <c r="L129" i="2"/>
  <c r="K129" i="2"/>
  <c r="J129" i="2"/>
  <c r="L128" i="2"/>
  <c r="K128" i="2"/>
  <c r="J128" i="2"/>
  <c r="L127" i="2"/>
  <c r="K127" i="2"/>
  <c r="J127" i="2"/>
  <c r="L126" i="2"/>
  <c r="K126" i="2"/>
  <c r="J126" i="2"/>
  <c r="L125" i="2"/>
  <c r="K125" i="2"/>
  <c r="J125" i="2"/>
  <c r="L124" i="2"/>
  <c r="K124" i="2"/>
  <c r="J124" i="2"/>
  <c r="L123" i="2"/>
  <c r="K123" i="2"/>
  <c r="J123" i="2"/>
  <c r="L122" i="2"/>
  <c r="K122" i="2"/>
  <c r="J122" i="2"/>
  <c r="L121" i="2"/>
  <c r="K121" i="2"/>
  <c r="J121" i="2"/>
  <c r="L120" i="2"/>
  <c r="K120" i="2"/>
  <c r="J120" i="2"/>
  <c r="L119" i="2"/>
  <c r="K119" i="2"/>
  <c r="J119" i="2"/>
  <c r="L118" i="2"/>
  <c r="K118" i="2"/>
  <c r="J118" i="2"/>
  <c r="L117" i="2"/>
  <c r="K117" i="2"/>
  <c r="J117" i="2"/>
  <c r="L116" i="2"/>
  <c r="K116" i="2"/>
  <c r="J116" i="2"/>
  <c r="L115" i="2"/>
  <c r="K115" i="2"/>
  <c r="J115" i="2"/>
  <c r="L114" i="2"/>
  <c r="K114" i="2"/>
  <c r="J114" i="2"/>
  <c r="L113" i="2"/>
  <c r="K113" i="2"/>
  <c r="J113" i="2"/>
  <c r="L112" i="2"/>
  <c r="K112" i="2"/>
  <c r="J112" i="2"/>
  <c r="L111" i="2"/>
  <c r="K111" i="2"/>
  <c r="J111" i="2"/>
  <c r="L110" i="2"/>
  <c r="K110" i="2"/>
  <c r="J110" i="2"/>
  <c r="L109" i="2"/>
  <c r="K109" i="2"/>
  <c r="J109" i="2"/>
  <c r="L108" i="2"/>
  <c r="K108" i="2"/>
  <c r="J108" i="2"/>
  <c r="L107" i="2"/>
  <c r="K107" i="2"/>
  <c r="J107" i="2"/>
  <c r="L106" i="2"/>
  <c r="K106" i="2"/>
  <c r="J106" i="2"/>
  <c r="L105" i="2"/>
  <c r="K105" i="2"/>
  <c r="J105" i="2"/>
  <c r="L104" i="2"/>
  <c r="K104" i="2"/>
  <c r="J104" i="2"/>
  <c r="L103" i="2"/>
  <c r="K103" i="2"/>
  <c r="J103" i="2"/>
  <c r="L102" i="2"/>
  <c r="K102" i="2"/>
  <c r="J102" i="2"/>
  <c r="L101" i="2"/>
  <c r="K101" i="2"/>
  <c r="J101" i="2"/>
  <c r="L100" i="2"/>
  <c r="K100" i="2"/>
  <c r="J100" i="2"/>
  <c r="L99" i="2"/>
  <c r="K99" i="2"/>
  <c r="J99" i="2"/>
  <c r="L98" i="2"/>
  <c r="K98" i="2"/>
  <c r="J98" i="2"/>
  <c r="L97" i="2"/>
  <c r="K97" i="2"/>
  <c r="J97" i="2"/>
  <c r="L96" i="2"/>
  <c r="K96" i="2"/>
  <c r="J96" i="2"/>
  <c r="L95" i="2"/>
  <c r="K95" i="2"/>
  <c r="J95" i="2"/>
  <c r="L94" i="2"/>
  <c r="K94" i="2"/>
  <c r="J94" i="2"/>
  <c r="L93" i="2"/>
  <c r="K93" i="2"/>
  <c r="J93" i="2"/>
  <c r="L92" i="2"/>
  <c r="K92" i="2"/>
  <c r="J92" i="2"/>
  <c r="L91" i="2"/>
  <c r="K91" i="2"/>
  <c r="J91" i="2"/>
  <c r="L90" i="2"/>
  <c r="K90" i="2"/>
  <c r="J90" i="2"/>
  <c r="L89" i="2"/>
  <c r="K89" i="2"/>
  <c r="J89" i="2"/>
  <c r="L88" i="2"/>
  <c r="K88" i="2"/>
  <c r="J88" i="2"/>
  <c r="L87" i="2"/>
  <c r="K87" i="2"/>
  <c r="J87" i="2"/>
  <c r="L86" i="2"/>
  <c r="K86" i="2"/>
  <c r="J86" i="2"/>
  <c r="L85" i="2"/>
  <c r="K85" i="2"/>
  <c r="J85" i="2"/>
  <c r="L84" i="2"/>
  <c r="K84" i="2"/>
  <c r="J84" i="2"/>
  <c r="L83" i="2"/>
  <c r="K83" i="2"/>
  <c r="J83" i="2"/>
  <c r="L82" i="2"/>
  <c r="K82" i="2"/>
  <c r="J82" i="2"/>
  <c r="L81" i="2"/>
  <c r="K81" i="2"/>
  <c r="J81" i="2"/>
  <c r="L80" i="2"/>
  <c r="K80" i="2"/>
  <c r="J80" i="2"/>
  <c r="L79" i="2"/>
  <c r="K79" i="2"/>
  <c r="J79" i="2"/>
  <c r="L78" i="2"/>
  <c r="K78" i="2"/>
  <c r="J78" i="2"/>
  <c r="L77" i="2"/>
  <c r="K77" i="2"/>
  <c r="J77" i="2"/>
  <c r="L76" i="2"/>
  <c r="K76" i="2"/>
  <c r="J76" i="2"/>
  <c r="L75" i="2"/>
  <c r="K75" i="2"/>
  <c r="J75" i="2"/>
  <c r="L74" i="2"/>
  <c r="K74" i="2"/>
  <c r="J74" i="2"/>
  <c r="L73" i="2"/>
  <c r="K73" i="2"/>
  <c r="J73" i="2"/>
  <c r="L72" i="2"/>
  <c r="K72" i="2"/>
  <c r="J72" i="2"/>
  <c r="L71" i="2"/>
  <c r="K71" i="2"/>
  <c r="J71" i="2"/>
  <c r="L70" i="2"/>
  <c r="K70" i="2"/>
  <c r="J70" i="2"/>
  <c r="L69" i="2"/>
  <c r="K69" i="2"/>
  <c r="J69" i="2"/>
  <c r="L68" i="2"/>
  <c r="K68" i="2"/>
  <c r="J68" i="2"/>
  <c r="L67" i="2"/>
  <c r="K67" i="2"/>
  <c r="J67" i="2"/>
  <c r="L66" i="2"/>
  <c r="K66" i="2"/>
  <c r="J66" i="2"/>
  <c r="L65" i="2"/>
  <c r="K65" i="2"/>
  <c r="J65" i="2"/>
  <c r="L64" i="2"/>
  <c r="K64" i="2"/>
  <c r="J64" i="2"/>
  <c r="L63" i="2"/>
  <c r="K63" i="2"/>
  <c r="J63" i="2"/>
  <c r="L62" i="2"/>
  <c r="K62" i="2"/>
  <c r="J62" i="2"/>
  <c r="L61" i="2"/>
  <c r="K61" i="2"/>
  <c r="J61" i="2"/>
  <c r="L60" i="2"/>
  <c r="K60" i="2"/>
  <c r="J60" i="2"/>
  <c r="L59" i="2"/>
  <c r="K59" i="2"/>
  <c r="J59" i="2"/>
  <c r="L58" i="2"/>
  <c r="K58" i="2"/>
  <c r="J58" i="2"/>
  <c r="L57" i="2"/>
  <c r="K57" i="2"/>
  <c r="J57" i="2"/>
  <c r="L56" i="2"/>
  <c r="K56" i="2"/>
  <c r="J56" i="2"/>
  <c r="L55" i="2"/>
  <c r="K55" i="2"/>
  <c r="J55" i="2"/>
  <c r="L54" i="2"/>
  <c r="K54" i="2"/>
  <c r="J54" i="2"/>
  <c r="L53" i="2"/>
  <c r="K53" i="2"/>
  <c r="J53" i="2"/>
  <c r="L52" i="2"/>
  <c r="K52" i="2"/>
  <c r="J52" i="2"/>
  <c r="L51" i="2"/>
  <c r="K51" i="2"/>
  <c r="J51" i="2"/>
  <c r="L50" i="2"/>
  <c r="K50" i="2"/>
  <c r="J50" i="2"/>
  <c r="L49" i="2"/>
  <c r="K49" i="2"/>
  <c r="J49" i="2"/>
  <c r="L48" i="2"/>
  <c r="K48" i="2"/>
  <c r="J48" i="2"/>
  <c r="L47" i="2"/>
  <c r="K47" i="2"/>
  <c r="J47" i="2"/>
  <c r="L46" i="2"/>
  <c r="K46" i="2"/>
  <c r="J46" i="2"/>
  <c r="L45" i="2"/>
  <c r="K45" i="2"/>
  <c r="J45" i="2"/>
  <c r="L44" i="2"/>
  <c r="K44" i="2"/>
  <c r="J44" i="2"/>
  <c r="L43" i="2"/>
  <c r="K43" i="2"/>
  <c r="J43" i="2"/>
  <c r="L42" i="2"/>
  <c r="K42" i="2"/>
  <c r="J42" i="2"/>
  <c r="L41" i="2"/>
  <c r="K41" i="2"/>
  <c r="J41" i="2"/>
  <c r="L40" i="2"/>
  <c r="K40" i="2"/>
  <c r="J40" i="2"/>
  <c r="L39" i="2"/>
  <c r="K39" i="2"/>
  <c r="J39" i="2"/>
  <c r="L38" i="2"/>
  <c r="K38" i="2"/>
  <c r="J38" i="2"/>
  <c r="L37" i="2"/>
  <c r="K37" i="2"/>
  <c r="J37" i="2"/>
  <c r="L36" i="2"/>
  <c r="K36" i="2"/>
  <c r="J36" i="2"/>
  <c r="L35" i="2"/>
  <c r="K35" i="2"/>
  <c r="J35" i="2"/>
  <c r="L34" i="2"/>
  <c r="K34" i="2"/>
  <c r="J34" i="2"/>
  <c r="L33" i="2"/>
  <c r="K33" i="2"/>
  <c r="J33" i="2"/>
  <c r="L32" i="2"/>
  <c r="K32" i="2"/>
  <c r="J32" i="2"/>
  <c r="L31" i="2"/>
  <c r="K31" i="2"/>
  <c r="J31" i="2"/>
  <c r="L30" i="2"/>
  <c r="K30" i="2"/>
  <c r="J30" i="2"/>
  <c r="L29" i="2"/>
  <c r="K29" i="2"/>
  <c r="J29" i="2"/>
  <c r="L28" i="2"/>
  <c r="K28" i="2"/>
  <c r="J28" i="2"/>
  <c r="L27" i="2"/>
  <c r="K27" i="2"/>
  <c r="J27" i="2"/>
  <c r="L26" i="2"/>
  <c r="K26" i="2"/>
  <c r="J26" i="2"/>
  <c r="L25" i="2"/>
  <c r="K25" i="2"/>
  <c r="J25" i="2"/>
  <c r="L24" i="2"/>
  <c r="K24" i="2"/>
  <c r="J24" i="2"/>
  <c r="L23" i="2"/>
  <c r="K23" i="2"/>
  <c r="J23" i="2"/>
  <c r="L22" i="2"/>
  <c r="K22" i="2"/>
  <c r="J22" i="2"/>
  <c r="L21" i="2"/>
  <c r="K21" i="2"/>
  <c r="J21" i="2"/>
  <c r="L20" i="2"/>
  <c r="K20" i="2"/>
  <c r="J20" i="2"/>
  <c r="L19" i="2"/>
  <c r="K19" i="2"/>
  <c r="J19" i="2"/>
  <c r="L18" i="2"/>
  <c r="K18" i="2"/>
  <c r="J18" i="2"/>
  <c r="L17" i="2"/>
  <c r="K17" i="2"/>
  <c r="J17" i="2"/>
  <c r="L16" i="2"/>
  <c r="K16" i="2"/>
  <c r="J16" i="2"/>
  <c r="L15" i="2"/>
  <c r="K15" i="2"/>
  <c r="J15" i="2"/>
  <c r="L14" i="2"/>
  <c r="K14" i="2"/>
  <c r="J14" i="2"/>
  <c r="L13" i="2"/>
  <c r="K13" i="2"/>
  <c r="J13" i="2"/>
  <c r="L12" i="2"/>
  <c r="K12" i="2"/>
  <c r="J12" i="2"/>
  <c r="L11" i="2"/>
  <c r="K11" i="2"/>
  <c r="J11" i="2"/>
  <c r="L10" i="2"/>
  <c r="K10" i="2"/>
  <c r="J10" i="2"/>
  <c r="L9" i="2"/>
  <c r="K9" i="2"/>
  <c r="J9" i="2"/>
  <c r="L8" i="2"/>
  <c r="K8" i="2"/>
  <c r="J8" i="2"/>
  <c r="L7" i="2"/>
  <c r="K7" i="2"/>
  <c r="J7" i="2"/>
  <c r="L6" i="2"/>
  <c r="K6" i="2"/>
  <c r="J6" i="2"/>
  <c r="L5" i="2"/>
  <c r="K5" i="2"/>
  <c r="J5" i="2"/>
  <c r="L4" i="2"/>
  <c r="K4" i="2"/>
  <c r="J4" i="2"/>
  <c r="L3" i="2"/>
  <c r="K3" i="2"/>
  <c r="J3" i="2"/>
  <c r="L2" i="2"/>
  <c r="L4384" i="2" s="1"/>
  <c r="K2" i="2"/>
  <c r="K4384" i="2" s="1"/>
  <c r="J2" i="2"/>
  <c r="J4384" i="2" s="1"/>
  <c r="I2021" i="1"/>
  <c r="H2021" i="1"/>
  <c r="H69" i="4" s="1"/>
  <c r="G2021" i="1"/>
  <c r="G69" i="4" s="1"/>
  <c r="L2020" i="1"/>
  <c r="K2020" i="1"/>
  <c r="J2020" i="1"/>
  <c r="L2019" i="1"/>
  <c r="K2019" i="1"/>
  <c r="J2019" i="1"/>
  <c r="L2018" i="1"/>
  <c r="K2018" i="1"/>
  <c r="J2018" i="1"/>
  <c r="L2017" i="1"/>
  <c r="K2017" i="1"/>
  <c r="J2017" i="1"/>
  <c r="L2016" i="1"/>
  <c r="K2016" i="1"/>
  <c r="J2016" i="1"/>
  <c r="L2015" i="1"/>
  <c r="K2015" i="1"/>
  <c r="J2015" i="1"/>
  <c r="L2014" i="1"/>
  <c r="K2014" i="1"/>
  <c r="J2014" i="1"/>
  <c r="L2013" i="1"/>
  <c r="K2013" i="1"/>
  <c r="J2013" i="1"/>
  <c r="L2012" i="1"/>
  <c r="K2012" i="1"/>
  <c r="J2012" i="1"/>
  <c r="L2011" i="1"/>
  <c r="K2011" i="1"/>
  <c r="J2011" i="1"/>
  <c r="L2010" i="1"/>
  <c r="K2010" i="1"/>
  <c r="J2010" i="1"/>
  <c r="L2009" i="1"/>
  <c r="K2009" i="1"/>
  <c r="J2009" i="1"/>
  <c r="L2008" i="1"/>
  <c r="K2008" i="1"/>
  <c r="J2008" i="1"/>
  <c r="L2007" i="1"/>
  <c r="K2007" i="1"/>
  <c r="J2007" i="1"/>
  <c r="L2006" i="1"/>
  <c r="K2006" i="1"/>
  <c r="J2006" i="1"/>
  <c r="L2005" i="1"/>
  <c r="K2005" i="1"/>
  <c r="J2005" i="1"/>
  <c r="L2004" i="1"/>
  <c r="K2004" i="1"/>
  <c r="J2004" i="1"/>
  <c r="L2003" i="1"/>
  <c r="K2003" i="1"/>
  <c r="J2003" i="1"/>
  <c r="L2002" i="1"/>
  <c r="K2002" i="1"/>
  <c r="J2002" i="1"/>
  <c r="L2001" i="1"/>
  <c r="K2001" i="1"/>
  <c r="J2001" i="1"/>
  <c r="L2000" i="1"/>
  <c r="K2000" i="1"/>
  <c r="J2000" i="1"/>
  <c r="L1999" i="1"/>
  <c r="K1999" i="1"/>
  <c r="J1999" i="1"/>
  <c r="L1998" i="1"/>
  <c r="K1998" i="1"/>
  <c r="J1998" i="1"/>
  <c r="L1997" i="1"/>
  <c r="K1997" i="1"/>
  <c r="J1997" i="1"/>
  <c r="L1996" i="1"/>
  <c r="K1996" i="1"/>
  <c r="J1996" i="1"/>
  <c r="L1995" i="1"/>
  <c r="K1995" i="1"/>
  <c r="J1995" i="1"/>
  <c r="L1994" i="1"/>
  <c r="K1994" i="1"/>
  <c r="J1994" i="1"/>
  <c r="L1993" i="1"/>
  <c r="K1993" i="1"/>
  <c r="J1993" i="1"/>
  <c r="L1992" i="1"/>
  <c r="K1992" i="1"/>
  <c r="J1992" i="1"/>
  <c r="L1991" i="1"/>
  <c r="K1991" i="1"/>
  <c r="J1991" i="1"/>
  <c r="L1990" i="1"/>
  <c r="K1990" i="1"/>
  <c r="J1990" i="1"/>
  <c r="L1989" i="1"/>
  <c r="K1989" i="1"/>
  <c r="J1989" i="1"/>
  <c r="L1988" i="1"/>
  <c r="K1988" i="1"/>
  <c r="J1988" i="1"/>
  <c r="L1987" i="1"/>
  <c r="K1987" i="1"/>
  <c r="J1987" i="1"/>
  <c r="L1986" i="1"/>
  <c r="K1986" i="1"/>
  <c r="J1986" i="1"/>
  <c r="L1985" i="1"/>
  <c r="K1985" i="1"/>
  <c r="J1985" i="1"/>
  <c r="L1984" i="1"/>
  <c r="K1984" i="1"/>
  <c r="J1984" i="1"/>
  <c r="L1983" i="1"/>
  <c r="K1983" i="1"/>
  <c r="J1983" i="1"/>
  <c r="L1982" i="1"/>
  <c r="K1982" i="1"/>
  <c r="J1982" i="1"/>
  <c r="L1981" i="1"/>
  <c r="K1981" i="1"/>
  <c r="J1981" i="1"/>
  <c r="L1980" i="1"/>
  <c r="K1980" i="1"/>
  <c r="J1980" i="1"/>
  <c r="L1979" i="1"/>
  <c r="K1979" i="1"/>
  <c r="J1979" i="1"/>
  <c r="L1978" i="1"/>
  <c r="K1978" i="1"/>
  <c r="J1978" i="1"/>
  <c r="L1977" i="1"/>
  <c r="K1977" i="1"/>
  <c r="J1977" i="1"/>
  <c r="L1976" i="1"/>
  <c r="K1976" i="1"/>
  <c r="J1976" i="1"/>
  <c r="L1975" i="1"/>
  <c r="K1975" i="1"/>
  <c r="J1975" i="1"/>
  <c r="L1974" i="1"/>
  <c r="K1974" i="1"/>
  <c r="J1974" i="1"/>
  <c r="L1973" i="1"/>
  <c r="K1973" i="1"/>
  <c r="J1973" i="1"/>
  <c r="L1972" i="1"/>
  <c r="K1972" i="1"/>
  <c r="J1972" i="1"/>
  <c r="L1971" i="1"/>
  <c r="K1971" i="1"/>
  <c r="J1971" i="1"/>
  <c r="L1970" i="1"/>
  <c r="K1970" i="1"/>
  <c r="J1970" i="1"/>
  <c r="L1969" i="1"/>
  <c r="K1969" i="1"/>
  <c r="J1969" i="1"/>
  <c r="L1968" i="1"/>
  <c r="K1968" i="1"/>
  <c r="J1968" i="1"/>
  <c r="L1967" i="1"/>
  <c r="K1967" i="1"/>
  <c r="J1967" i="1"/>
  <c r="L1966" i="1"/>
  <c r="K1966" i="1"/>
  <c r="J1966" i="1"/>
  <c r="L1965" i="1"/>
  <c r="K1965" i="1"/>
  <c r="J1965" i="1"/>
  <c r="L1964" i="1"/>
  <c r="K1964" i="1"/>
  <c r="J1964" i="1"/>
  <c r="L1963" i="1"/>
  <c r="K1963" i="1"/>
  <c r="J1963" i="1"/>
  <c r="L1962" i="1"/>
  <c r="K1962" i="1"/>
  <c r="J1962" i="1"/>
  <c r="L1961" i="1"/>
  <c r="K1961" i="1"/>
  <c r="J1961" i="1"/>
  <c r="L1960" i="1"/>
  <c r="K1960" i="1"/>
  <c r="J1960" i="1"/>
  <c r="L1959" i="1"/>
  <c r="K1959" i="1"/>
  <c r="J1959" i="1"/>
  <c r="L1958" i="1"/>
  <c r="K1958" i="1"/>
  <c r="J1958" i="1"/>
  <c r="L1957" i="1"/>
  <c r="K1957" i="1"/>
  <c r="J1957" i="1"/>
  <c r="L1956" i="1"/>
  <c r="K1956" i="1"/>
  <c r="J1956" i="1"/>
  <c r="L1955" i="1"/>
  <c r="K1955" i="1"/>
  <c r="J1955" i="1"/>
  <c r="L1954" i="1"/>
  <c r="K1954" i="1"/>
  <c r="J1954" i="1"/>
  <c r="L1953" i="1"/>
  <c r="K1953" i="1"/>
  <c r="J1953" i="1"/>
  <c r="L1952" i="1"/>
  <c r="K1952" i="1"/>
  <c r="J1952" i="1"/>
  <c r="L1951" i="1"/>
  <c r="K1951" i="1"/>
  <c r="J1951" i="1"/>
  <c r="L1950" i="1"/>
  <c r="K1950" i="1"/>
  <c r="J1950" i="1"/>
  <c r="L1949" i="1"/>
  <c r="K1949" i="1"/>
  <c r="J1949" i="1"/>
  <c r="L1948" i="1"/>
  <c r="K1948" i="1"/>
  <c r="J1948" i="1"/>
  <c r="L1947" i="1"/>
  <c r="K1947" i="1"/>
  <c r="J1947" i="1"/>
  <c r="L1946" i="1"/>
  <c r="K1946" i="1"/>
  <c r="J1946" i="1"/>
  <c r="L1945" i="1"/>
  <c r="K1945" i="1"/>
  <c r="J1945" i="1"/>
  <c r="L1944" i="1"/>
  <c r="K1944" i="1"/>
  <c r="J1944" i="1"/>
  <c r="L1943" i="1"/>
  <c r="K1943" i="1"/>
  <c r="J1943" i="1"/>
  <c r="L1942" i="1"/>
  <c r="K1942" i="1"/>
  <c r="J1942" i="1"/>
  <c r="L1941" i="1"/>
  <c r="K1941" i="1"/>
  <c r="J1941" i="1"/>
  <c r="L1940" i="1"/>
  <c r="K1940" i="1"/>
  <c r="J1940" i="1"/>
  <c r="L1939" i="1"/>
  <c r="K1939" i="1"/>
  <c r="J1939" i="1"/>
  <c r="L1938" i="1"/>
  <c r="K1938" i="1"/>
  <c r="J1938" i="1"/>
  <c r="L1937" i="1"/>
  <c r="K1937" i="1"/>
  <c r="J1937" i="1"/>
  <c r="L1936" i="1"/>
  <c r="K1936" i="1"/>
  <c r="J1936" i="1"/>
  <c r="L1935" i="1"/>
  <c r="K1935" i="1"/>
  <c r="J1935" i="1"/>
  <c r="L1934" i="1"/>
  <c r="K1934" i="1"/>
  <c r="J1934" i="1"/>
  <c r="L1933" i="1"/>
  <c r="K1933" i="1"/>
  <c r="J1933" i="1"/>
  <c r="L1932" i="1"/>
  <c r="K1932" i="1"/>
  <c r="J1932" i="1"/>
  <c r="L1931" i="1"/>
  <c r="K1931" i="1"/>
  <c r="J1931" i="1"/>
  <c r="L1930" i="1"/>
  <c r="K1930" i="1"/>
  <c r="J1930" i="1"/>
  <c r="L1929" i="1"/>
  <c r="K1929" i="1"/>
  <c r="J1929" i="1"/>
  <c r="L1928" i="1"/>
  <c r="K1928" i="1"/>
  <c r="J1928" i="1"/>
  <c r="L1927" i="1"/>
  <c r="K1927" i="1"/>
  <c r="J1927" i="1"/>
  <c r="L1926" i="1"/>
  <c r="K1926" i="1"/>
  <c r="J1926" i="1"/>
  <c r="L1925" i="1"/>
  <c r="K1925" i="1"/>
  <c r="J1925" i="1"/>
  <c r="L1924" i="1"/>
  <c r="K1924" i="1"/>
  <c r="J1924" i="1"/>
  <c r="L1923" i="1"/>
  <c r="K1923" i="1"/>
  <c r="J1923" i="1"/>
  <c r="L1922" i="1"/>
  <c r="K1922" i="1"/>
  <c r="J1922" i="1"/>
  <c r="L1921" i="1"/>
  <c r="K1921" i="1"/>
  <c r="J1921" i="1"/>
  <c r="L1920" i="1"/>
  <c r="K1920" i="1"/>
  <c r="J1920" i="1"/>
  <c r="L1919" i="1"/>
  <c r="K1919" i="1"/>
  <c r="J1919" i="1"/>
  <c r="L1918" i="1"/>
  <c r="K1918" i="1"/>
  <c r="J1918" i="1"/>
  <c r="L1917" i="1"/>
  <c r="K1917" i="1"/>
  <c r="J1917" i="1"/>
  <c r="L1916" i="1"/>
  <c r="K1916" i="1"/>
  <c r="J1916" i="1"/>
  <c r="L1915" i="1"/>
  <c r="K1915" i="1"/>
  <c r="J1915" i="1"/>
  <c r="L1914" i="1"/>
  <c r="K1914" i="1"/>
  <c r="J1914" i="1"/>
  <c r="L1913" i="1"/>
  <c r="K1913" i="1"/>
  <c r="J1913" i="1"/>
  <c r="L1912" i="1"/>
  <c r="K1912" i="1"/>
  <c r="J1912" i="1"/>
  <c r="L1911" i="1"/>
  <c r="K1911" i="1"/>
  <c r="J1911" i="1"/>
  <c r="L1910" i="1"/>
  <c r="K1910" i="1"/>
  <c r="J1910" i="1"/>
  <c r="L1909" i="1"/>
  <c r="K1909" i="1"/>
  <c r="J1909" i="1"/>
  <c r="L1908" i="1"/>
  <c r="K1908" i="1"/>
  <c r="J1908" i="1"/>
  <c r="L1907" i="1"/>
  <c r="K1907" i="1"/>
  <c r="J1907" i="1"/>
  <c r="L1906" i="1"/>
  <c r="K1906" i="1"/>
  <c r="J1906" i="1"/>
  <c r="L1905" i="1"/>
  <c r="K1905" i="1"/>
  <c r="J1905" i="1"/>
  <c r="L1904" i="1"/>
  <c r="K1904" i="1"/>
  <c r="J1904" i="1"/>
  <c r="L1903" i="1"/>
  <c r="K1903" i="1"/>
  <c r="J1903" i="1"/>
  <c r="L1902" i="1"/>
  <c r="K1902" i="1"/>
  <c r="J1902" i="1"/>
  <c r="L1901" i="1"/>
  <c r="K1901" i="1"/>
  <c r="J1901" i="1"/>
  <c r="L1900" i="1"/>
  <c r="K1900" i="1"/>
  <c r="J1900" i="1"/>
  <c r="L1899" i="1"/>
  <c r="K1899" i="1"/>
  <c r="J1899" i="1"/>
  <c r="L1898" i="1"/>
  <c r="K1898" i="1"/>
  <c r="J1898" i="1"/>
  <c r="L1897" i="1"/>
  <c r="K1897" i="1"/>
  <c r="J1897" i="1"/>
  <c r="L1896" i="1"/>
  <c r="K1896" i="1"/>
  <c r="J1896" i="1"/>
  <c r="L1895" i="1"/>
  <c r="K1895" i="1"/>
  <c r="J1895" i="1"/>
  <c r="L1894" i="1"/>
  <c r="K1894" i="1"/>
  <c r="J1894" i="1"/>
  <c r="L1893" i="1"/>
  <c r="K1893" i="1"/>
  <c r="J1893" i="1"/>
  <c r="L1892" i="1"/>
  <c r="K1892" i="1"/>
  <c r="J1892" i="1"/>
  <c r="L1891" i="1"/>
  <c r="K1891" i="1"/>
  <c r="J1891" i="1"/>
  <c r="L1890" i="1"/>
  <c r="K1890" i="1"/>
  <c r="J1890" i="1"/>
  <c r="L1889" i="1"/>
  <c r="K1889" i="1"/>
  <c r="J1889" i="1"/>
  <c r="L1888" i="1"/>
  <c r="K1888" i="1"/>
  <c r="J1888" i="1"/>
  <c r="L1887" i="1"/>
  <c r="K1887" i="1"/>
  <c r="J1887" i="1"/>
  <c r="L1886" i="1"/>
  <c r="K1886" i="1"/>
  <c r="J1886" i="1"/>
  <c r="L1885" i="1"/>
  <c r="K1885" i="1"/>
  <c r="J1885" i="1"/>
  <c r="L1884" i="1"/>
  <c r="K1884" i="1"/>
  <c r="J1884" i="1"/>
  <c r="L1883" i="1"/>
  <c r="K1883" i="1"/>
  <c r="J1883" i="1"/>
  <c r="L1882" i="1"/>
  <c r="K1882" i="1"/>
  <c r="J1882" i="1"/>
  <c r="L1881" i="1"/>
  <c r="K1881" i="1"/>
  <c r="J1881" i="1"/>
  <c r="L1880" i="1"/>
  <c r="K1880" i="1"/>
  <c r="J1880" i="1"/>
  <c r="L1879" i="1"/>
  <c r="K1879" i="1"/>
  <c r="J1879" i="1"/>
  <c r="L1878" i="1"/>
  <c r="K1878" i="1"/>
  <c r="J1878" i="1"/>
  <c r="L1877" i="1"/>
  <c r="K1877" i="1"/>
  <c r="J1877" i="1"/>
  <c r="L1876" i="1"/>
  <c r="K1876" i="1"/>
  <c r="J1876" i="1"/>
  <c r="L1875" i="1"/>
  <c r="K1875" i="1"/>
  <c r="J1875" i="1"/>
  <c r="L1874" i="1"/>
  <c r="K1874" i="1"/>
  <c r="J1874" i="1"/>
  <c r="L1873" i="1"/>
  <c r="K1873" i="1"/>
  <c r="J1873" i="1"/>
  <c r="L1872" i="1"/>
  <c r="K1872" i="1"/>
  <c r="J1872" i="1"/>
  <c r="L1871" i="1"/>
  <c r="K1871" i="1"/>
  <c r="J1871" i="1"/>
  <c r="L1870" i="1"/>
  <c r="K1870" i="1"/>
  <c r="J1870" i="1"/>
  <c r="L1869" i="1"/>
  <c r="K1869" i="1"/>
  <c r="J1869" i="1"/>
  <c r="L1868" i="1"/>
  <c r="K1868" i="1"/>
  <c r="J1868" i="1"/>
  <c r="L1867" i="1"/>
  <c r="K1867" i="1"/>
  <c r="J1867" i="1"/>
  <c r="L1866" i="1"/>
  <c r="K1866" i="1"/>
  <c r="J1866" i="1"/>
  <c r="L1865" i="1"/>
  <c r="K1865" i="1"/>
  <c r="J1865" i="1"/>
  <c r="L1864" i="1"/>
  <c r="K1864" i="1"/>
  <c r="J1864" i="1"/>
  <c r="L1863" i="1"/>
  <c r="K1863" i="1"/>
  <c r="J1863" i="1"/>
  <c r="L1862" i="1"/>
  <c r="K1862" i="1"/>
  <c r="J1862" i="1"/>
  <c r="L1861" i="1"/>
  <c r="K1861" i="1"/>
  <c r="J1861" i="1"/>
  <c r="L1860" i="1"/>
  <c r="K1860" i="1"/>
  <c r="J1860" i="1"/>
  <c r="L1859" i="1"/>
  <c r="K1859" i="1"/>
  <c r="J1859" i="1"/>
  <c r="L1858" i="1"/>
  <c r="K1858" i="1"/>
  <c r="J1858" i="1"/>
  <c r="L1857" i="1"/>
  <c r="K1857" i="1"/>
  <c r="J1857" i="1"/>
  <c r="L1856" i="1"/>
  <c r="K1856" i="1"/>
  <c r="J1856" i="1"/>
  <c r="L1855" i="1"/>
  <c r="K1855" i="1"/>
  <c r="J1855" i="1"/>
  <c r="L1854" i="1"/>
  <c r="K1854" i="1"/>
  <c r="J1854" i="1"/>
  <c r="L1853" i="1"/>
  <c r="K1853" i="1"/>
  <c r="J1853" i="1"/>
  <c r="L1852" i="1"/>
  <c r="K1852" i="1"/>
  <c r="J1852" i="1"/>
  <c r="L1851" i="1"/>
  <c r="K1851" i="1"/>
  <c r="J1851" i="1"/>
  <c r="L1850" i="1"/>
  <c r="K1850" i="1"/>
  <c r="J1850" i="1"/>
  <c r="L1849" i="1"/>
  <c r="K1849" i="1"/>
  <c r="J1849" i="1"/>
  <c r="L1848" i="1"/>
  <c r="K1848" i="1"/>
  <c r="J1848" i="1"/>
  <c r="L1847" i="1"/>
  <c r="K1847" i="1"/>
  <c r="J1847" i="1"/>
  <c r="L1846" i="1"/>
  <c r="K1846" i="1"/>
  <c r="J1846" i="1"/>
  <c r="L1845" i="1"/>
  <c r="K1845" i="1"/>
  <c r="J1845" i="1"/>
  <c r="L1844" i="1"/>
  <c r="K1844" i="1"/>
  <c r="J1844" i="1"/>
  <c r="L1843" i="1"/>
  <c r="K1843" i="1"/>
  <c r="J1843" i="1"/>
  <c r="L1842" i="1"/>
  <c r="K1842" i="1"/>
  <c r="J1842" i="1"/>
  <c r="L1841" i="1"/>
  <c r="K1841" i="1"/>
  <c r="J1841" i="1"/>
  <c r="L1840" i="1"/>
  <c r="K1840" i="1"/>
  <c r="J1840" i="1"/>
  <c r="L1839" i="1"/>
  <c r="K1839" i="1"/>
  <c r="J1839" i="1"/>
  <c r="L1838" i="1"/>
  <c r="K1838" i="1"/>
  <c r="J1838" i="1"/>
  <c r="L1837" i="1"/>
  <c r="K1837" i="1"/>
  <c r="J1837" i="1"/>
  <c r="L1836" i="1"/>
  <c r="K1836" i="1"/>
  <c r="J1836" i="1"/>
  <c r="L1835" i="1"/>
  <c r="K1835" i="1"/>
  <c r="J1835" i="1"/>
  <c r="L1834" i="1"/>
  <c r="K1834" i="1"/>
  <c r="J1834" i="1"/>
  <c r="L1833" i="1"/>
  <c r="K1833" i="1"/>
  <c r="J1833" i="1"/>
  <c r="L1832" i="1"/>
  <c r="K1832" i="1"/>
  <c r="J1832" i="1"/>
  <c r="L1831" i="1"/>
  <c r="K1831" i="1"/>
  <c r="J1831" i="1"/>
  <c r="L1830" i="1"/>
  <c r="K1830" i="1"/>
  <c r="J1830" i="1"/>
  <c r="L1829" i="1"/>
  <c r="K1829" i="1"/>
  <c r="J1829" i="1"/>
  <c r="L1828" i="1"/>
  <c r="K1828" i="1"/>
  <c r="J1828" i="1"/>
  <c r="L1827" i="1"/>
  <c r="K1827" i="1"/>
  <c r="J1827" i="1"/>
  <c r="L1826" i="1"/>
  <c r="K1826" i="1"/>
  <c r="J1826" i="1"/>
  <c r="L1825" i="1"/>
  <c r="K1825" i="1"/>
  <c r="J1825" i="1"/>
  <c r="L1824" i="1"/>
  <c r="K1824" i="1"/>
  <c r="J1824" i="1"/>
  <c r="L1823" i="1"/>
  <c r="K1823" i="1"/>
  <c r="J1823" i="1"/>
  <c r="L1822" i="1"/>
  <c r="K1822" i="1"/>
  <c r="J1822" i="1"/>
  <c r="L1821" i="1"/>
  <c r="K1821" i="1"/>
  <c r="J1821" i="1"/>
  <c r="L1820" i="1"/>
  <c r="K1820" i="1"/>
  <c r="J1820" i="1"/>
  <c r="L1819" i="1"/>
  <c r="K1819" i="1"/>
  <c r="J1819" i="1"/>
  <c r="L1818" i="1"/>
  <c r="K1818" i="1"/>
  <c r="J1818" i="1"/>
  <c r="L1817" i="1"/>
  <c r="K1817" i="1"/>
  <c r="J1817" i="1"/>
  <c r="L1816" i="1"/>
  <c r="K1816" i="1"/>
  <c r="J1816" i="1"/>
  <c r="L1815" i="1"/>
  <c r="K1815" i="1"/>
  <c r="J1815" i="1"/>
  <c r="L1814" i="1"/>
  <c r="K1814" i="1"/>
  <c r="J1814" i="1"/>
  <c r="L1813" i="1"/>
  <c r="K1813" i="1"/>
  <c r="J1813" i="1"/>
  <c r="L1812" i="1"/>
  <c r="K1812" i="1"/>
  <c r="J1812" i="1"/>
  <c r="L1811" i="1"/>
  <c r="K1811" i="1"/>
  <c r="J1811" i="1"/>
  <c r="L1810" i="1"/>
  <c r="K1810" i="1"/>
  <c r="J1810" i="1"/>
  <c r="L1809" i="1"/>
  <c r="K1809" i="1"/>
  <c r="J1809" i="1"/>
  <c r="L1808" i="1"/>
  <c r="K1808" i="1"/>
  <c r="J1808" i="1"/>
  <c r="L1807" i="1"/>
  <c r="K1807" i="1"/>
  <c r="J1807" i="1"/>
  <c r="L1806" i="1"/>
  <c r="K1806" i="1"/>
  <c r="J1806" i="1"/>
  <c r="L1805" i="1"/>
  <c r="K1805" i="1"/>
  <c r="J1805" i="1"/>
  <c r="L1804" i="1"/>
  <c r="K1804" i="1"/>
  <c r="J1804" i="1"/>
  <c r="L1803" i="1"/>
  <c r="K1803" i="1"/>
  <c r="J1803" i="1"/>
  <c r="L1802" i="1"/>
  <c r="K1802" i="1"/>
  <c r="J1802" i="1"/>
  <c r="L1801" i="1"/>
  <c r="K1801" i="1"/>
  <c r="J1801" i="1"/>
  <c r="L1800" i="1"/>
  <c r="K1800" i="1"/>
  <c r="J1800" i="1"/>
  <c r="L1799" i="1"/>
  <c r="K1799" i="1"/>
  <c r="J1799" i="1"/>
  <c r="L1798" i="1"/>
  <c r="K1798" i="1"/>
  <c r="J1798" i="1"/>
  <c r="L1797" i="1"/>
  <c r="K1797" i="1"/>
  <c r="J1797" i="1"/>
  <c r="L1796" i="1"/>
  <c r="K1796" i="1"/>
  <c r="J1796" i="1"/>
  <c r="L1795" i="1"/>
  <c r="K1795" i="1"/>
  <c r="J1795" i="1"/>
  <c r="L1794" i="1"/>
  <c r="K1794" i="1"/>
  <c r="J1794" i="1"/>
  <c r="L1793" i="1"/>
  <c r="K1793" i="1"/>
  <c r="J1793" i="1"/>
  <c r="L1792" i="1"/>
  <c r="K1792" i="1"/>
  <c r="J1792" i="1"/>
  <c r="L1791" i="1"/>
  <c r="K1791" i="1"/>
  <c r="J1791" i="1"/>
  <c r="L1790" i="1"/>
  <c r="K1790" i="1"/>
  <c r="J1790" i="1"/>
  <c r="L1789" i="1"/>
  <c r="K1789" i="1"/>
  <c r="J1789" i="1"/>
  <c r="L1788" i="1"/>
  <c r="K1788" i="1"/>
  <c r="J1788" i="1"/>
  <c r="L1787" i="1"/>
  <c r="K1787" i="1"/>
  <c r="J1787" i="1"/>
  <c r="L1786" i="1"/>
  <c r="K1786" i="1"/>
  <c r="J1786" i="1"/>
  <c r="L1785" i="1"/>
  <c r="K1785" i="1"/>
  <c r="J1785" i="1"/>
  <c r="L1784" i="1"/>
  <c r="K1784" i="1"/>
  <c r="J1784" i="1"/>
  <c r="L1783" i="1"/>
  <c r="K1783" i="1"/>
  <c r="J1783" i="1"/>
  <c r="L1782" i="1"/>
  <c r="K1782" i="1"/>
  <c r="J1782" i="1"/>
  <c r="L1781" i="1"/>
  <c r="K1781" i="1"/>
  <c r="J1781" i="1"/>
  <c r="L1780" i="1"/>
  <c r="K1780" i="1"/>
  <c r="J1780" i="1"/>
  <c r="L1779" i="1"/>
  <c r="K1779" i="1"/>
  <c r="J1779" i="1"/>
  <c r="L1778" i="1"/>
  <c r="K1778" i="1"/>
  <c r="J1778" i="1"/>
  <c r="L1777" i="1"/>
  <c r="K1777" i="1"/>
  <c r="J1777" i="1"/>
  <c r="L1776" i="1"/>
  <c r="K1776" i="1"/>
  <c r="J1776" i="1"/>
  <c r="L1775" i="1"/>
  <c r="K1775" i="1"/>
  <c r="J1775" i="1"/>
  <c r="L1774" i="1"/>
  <c r="K1774" i="1"/>
  <c r="J1774" i="1"/>
  <c r="L1773" i="1"/>
  <c r="K1773" i="1"/>
  <c r="J1773" i="1"/>
  <c r="L1772" i="1"/>
  <c r="K1772" i="1"/>
  <c r="J1772" i="1"/>
  <c r="L1771" i="1"/>
  <c r="K1771" i="1"/>
  <c r="J1771" i="1"/>
  <c r="L1770" i="1"/>
  <c r="K1770" i="1"/>
  <c r="J1770" i="1"/>
  <c r="L1769" i="1"/>
  <c r="K1769" i="1"/>
  <c r="J1769" i="1"/>
  <c r="L1768" i="1"/>
  <c r="K1768" i="1"/>
  <c r="J1768" i="1"/>
  <c r="L1767" i="1"/>
  <c r="K1767" i="1"/>
  <c r="J1767" i="1"/>
  <c r="L1766" i="1"/>
  <c r="K1766" i="1"/>
  <c r="J1766" i="1"/>
  <c r="L1765" i="1"/>
  <c r="K1765" i="1"/>
  <c r="J1765" i="1"/>
  <c r="L1764" i="1"/>
  <c r="K1764" i="1"/>
  <c r="J1764" i="1"/>
  <c r="L1763" i="1"/>
  <c r="K1763" i="1"/>
  <c r="J1763" i="1"/>
  <c r="L1762" i="1"/>
  <c r="K1762" i="1"/>
  <c r="J1762" i="1"/>
  <c r="L1761" i="1"/>
  <c r="K1761" i="1"/>
  <c r="J1761" i="1"/>
  <c r="L1760" i="1"/>
  <c r="K1760" i="1"/>
  <c r="J1760" i="1"/>
  <c r="L1759" i="1"/>
  <c r="K1759" i="1"/>
  <c r="J1759" i="1"/>
  <c r="L1758" i="1"/>
  <c r="K1758" i="1"/>
  <c r="J1758" i="1"/>
  <c r="L1757" i="1"/>
  <c r="K1757" i="1"/>
  <c r="J1757" i="1"/>
  <c r="L1756" i="1"/>
  <c r="K1756" i="1"/>
  <c r="J1756" i="1"/>
  <c r="L1755" i="1"/>
  <c r="K1755" i="1"/>
  <c r="J1755" i="1"/>
  <c r="L1754" i="1"/>
  <c r="K1754" i="1"/>
  <c r="J1754" i="1"/>
  <c r="L1753" i="1"/>
  <c r="K1753" i="1"/>
  <c r="J1753" i="1"/>
  <c r="L1752" i="1"/>
  <c r="K1752" i="1"/>
  <c r="J1752" i="1"/>
  <c r="L1751" i="1"/>
  <c r="K1751" i="1"/>
  <c r="J1751" i="1"/>
  <c r="L1750" i="1"/>
  <c r="K1750" i="1"/>
  <c r="J1750" i="1"/>
  <c r="L1749" i="1"/>
  <c r="K1749" i="1"/>
  <c r="J1749" i="1"/>
  <c r="L1748" i="1"/>
  <c r="K1748" i="1"/>
  <c r="J1748" i="1"/>
  <c r="L1747" i="1"/>
  <c r="K1747" i="1"/>
  <c r="J1747" i="1"/>
  <c r="L1746" i="1"/>
  <c r="K1746" i="1"/>
  <c r="J1746" i="1"/>
  <c r="L1745" i="1"/>
  <c r="K1745" i="1"/>
  <c r="J1745" i="1"/>
  <c r="L1744" i="1"/>
  <c r="K1744" i="1"/>
  <c r="J1744" i="1"/>
  <c r="L1743" i="1"/>
  <c r="K1743" i="1"/>
  <c r="J1743" i="1"/>
  <c r="L1742" i="1"/>
  <c r="K1742" i="1"/>
  <c r="J1742" i="1"/>
  <c r="L1741" i="1"/>
  <c r="K1741" i="1"/>
  <c r="J1741" i="1"/>
  <c r="L1740" i="1"/>
  <c r="K1740" i="1"/>
  <c r="J1740" i="1"/>
  <c r="L1739" i="1"/>
  <c r="K1739" i="1"/>
  <c r="J1739" i="1"/>
  <c r="L1738" i="1"/>
  <c r="K1738" i="1"/>
  <c r="J1738" i="1"/>
  <c r="L1737" i="1"/>
  <c r="K1737" i="1"/>
  <c r="J1737" i="1"/>
  <c r="L1736" i="1"/>
  <c r="K1736" i="1"/>
  <c r="J1736" i="1"/>
  <c r="L1735" i="1"/>
  <c r="K1735" i="1"/>
  <c r="J1735" i="1"/>
  <c r="L1734" i="1"/>
  <c r="K1734" i="1"/>
  <c r="J1734" i="1"/>
  <c r="L1733" i="1"/>
  <c r="K1733" i="1"/>
  <c r="J1733" i="1"/>
  <c r="L1732" i="1"/>
  <c r="K1732" i="1"/>
  <c r="J1732" i="1"/>
  <c r="L1731" i="1"/>
  <c r="K1731" i="1"/>
  <c r="J1731" i="1"/>
  <c r="L1730" i="1"/>
  <c r="K1730" i="1"/>
  <c r="J1730" i="1"/>
  <c r="L1729" i="1"/>
  <c r="K1729" i="1"/>
  <c r="J1729" i="1"/>
  <c r="L1728" i="1"/>
  <c r="K1728" i="1"/>
  <c r="J1728" i="1"/>
  <c r="L1727" i="1"/>
  <c r="K1727" i="1"/>
  <c r="J1727" i="1"/>
  <c r="L1726" i="1"/>
  <c r="K1726" i="1"/>
  <c r="J1726" i="1"/>
  <c r="L1725" i="1"/>
  <c r="K1725" i="1"/>
  <c r="J1725" i="1"/>
  <c r="L1724" i="1"/>
  <c r="K1724" i="1"/>
  <c r="J1724" i="1"/>
  <c r="L1723" i="1"/>
  <c r="K1723" i="1"/>
  <c r="J1723" i="1"/>
  <c r="L1722" i="1"/>
  <c r="K1722" i="1"/>
  <c r="J1722" i="1"/>
  <c r="L1721" i="1"/>
  <c r="K1721" i="1"/>
  <c r="J1721" i="1"/>
  <c r="L1720" i="1"/>
  <c r="K1720" i="1"/>
  <c r="J1720" i="1"/>
  <c r="L1719" i="1"/>
  <c r="K1719" i="1"/>
  <c r="J1719" i="1"/>
  <c r="L1718" i="1"/>
  <c r="K1718" i="1"/>
  <c r="J1718" i="1"/>
  <c r="L1717" i="1"/>
  <c r="K1717" i="1"/>
  <c r="J1717" i="1"/>
  <c r="L1716" i="1"/>
  <c r="K1716" i="1"/>
  <c r="J1716" i="1"/>
  <c r="L1715" i="1"/>
  <c r="K1715" i="1"/>
  <c r="J1715" i="1"/>
  <c r="L1714" i="1"/>
  <c r="K1714" i="1"/>
  <c r="J1714" i="1"/>
  <c r="L1713" i="1"/>
  <c r="K1713" i="1"/>
  <c r="J1713" i="1"/>
  <c r="L1712" i="1"/>
  <c r="K1712" i="1"/>
  <c r="J1712" i="1"/>
  <c r="L1711" i="1"/>
  <c r="K1711" i="1"/>
  <c r="J1711" i="1"/>
  <c r="L1710" i="1"/>
  <c r="K1710" i="1"/>
  <c r="J1710" i="1"/>
  <c r="L1709" i="1"/>
  <c r="K1709" i="1"/>
  <c r="J1709" i="1"/>
  <c r="L1708" i="1"/>
  <c r="K1708" i="1"/>
  <c r="J1708" i="1"/>
  <c r="L1707" i="1"/>
  <c r="K1707" i="1"/>
  <c r="J1707" i="1"/>
  <c r="L1706" i="1"/>
  <c r="K1706" i="1"/>
  <c r="J1706" i="1"/>
  <c r="L1705" i="1"/>
  <c r="K1705" i="1"/>
  <c r="J1705" i="1"/>
  <c r="L1704" i="1"/>
  <c r="K1704" i="1"/>
  <c r="J1704" i="1"/>
  <c r="L1703" i="1"/>
  <c r="K1703" i="1"/>
  <c r="J1703" i="1"/>
  <c r="L1702" i="1"/>
  <c r="K1702" i="1"/>
  <c r="J1702" i="1"/>
  <c r="L1701" i="1"/>
  <c r="K1701" i="1"/>
  <c r="J1701" i="1"/>
  <c r="L1700" i="1"/>
  <c r="K1700" i="1"/>
  <c r="J1700" i="1"/>
  <c r="L1699" i="1"/>
  <c r="K1699" i="1"/>
  <c r="J1699" i="1"/>
  <c r="L1698" i="1"/>
  <c r="K1698" i="1"/>
  <c r="J1698" i="1"/>
  <c r="L1697" i="1"/>
  <c r="K1697" i="1"/>
  <c r="J1697" i="1"/>
  <c r="L1696" i="1"/>
  <c r="K1696" i="1"/>
  <c r="J1696" i="1"/>
  <c r="L1695" i="1"/>
  <c r="K1695" i="1"/>
  <c r="J1695" i="1"/>
  <c r="L1694" i="1"/>
  <c r="K1694" i="1"/>
  <c r="J1694" i="1"/>
  <c r="L1693" i="1"/>
  <c r="K1693" i="1"/>
  <c r="J1693" i="1"/>
  <c r="L1692" i="1"/>
  <c r="K1692" i="1"/>
  <c r="J1692" i="1"/>
  <c r="L1691" i="1"/>
  <c r="K1691" i="1"/>
  <c r="J1691" i="1"/>
  <c r="L1690" i="1"/>
  <c r="K1690" i="1"/>
  <c r="J1690" i="1"/>
  <c r="L1689" i="1"/>
  <c r="K1689" i="1"/>
  <c r="J1689" i="1"/>
  <c r="L1688" i="1"/>
  <c r="K1688" i="1"/>
  <c r="J1688" i="1"/>
  <c r="L1687" i="1"/>
  <c r="K1687" i="1"/>
  <c r="J1687" i="1"/>
  <c r="L1686" i="1"/>
  <c r="K1686" i="1"/>
  <c r="J1686" i="1"/>
  <c r="L1685" i="1"/>
  <c r="K1685" i="1"/>
  <c r="J1685" i="1"/>
  <c r="L1684" i="1"/>
  <c r="K1684" i="1"/>
  <c r="J1684" i="1"/>
  <c r="L1683" i="1"/>
  <c r="K1683" i="1"/>
  <c r="J1683" i="1"/>
  <c r="L1682" i="1"/>
  <c r="K1682" i="1"/>
  <c r="J1682" i="1"/>
  <c r="L1681" i="1"/>
  <c r="K1681" i="1"/>
  <c r="J1681" i="1"/>
  <c r="L1680" i="1"/>
  <c r="K1680" i="1"/>
  <c r="J1680" i="1"/>
  <c r="L1679" i="1"/>
  <c r="K1679" i="1"/>
  <c r="J1679" i="1"/>
  <c r="L1678" i="1"/>
  <c r="K1678" i="1"/>
  <c r="J1678" i="1"/>
  <c r="L1677" i="1"/>
  <c r="K1677" i="1"/>
  <c r="J1677" i="1"/>
  <c r="L1676" i="1"/>
  <c r="K1676" i="1"/>
  <c r="J1676" i="1"/>
  <c r="L1675" i="1"/>
  <c r="K1675" i="1"/>
  <c r="J1675" i="1"/>
  <c r="L1674" i="1"/>
  <c r="K1674" i="1"/>
  <c r="J1674" i="1"/>
  <c r="L1673" i="1"/>
  <c r="K1673" i="1"/>
  <c r="J1673" i="1"/>
  <c r="L1672" i="1"/>
  <c r="K1672" i="1"/>
  <c r="J1672" i="1"/>
  <c r="L1671" i="1"/>
  <c r="K1671" i="1"/>
  <c r="J1671" i="1"/>
  <c r="L1670" i="1"/>
  <c r="K1670" i="1"/>
  <c r="J1670" i="1"/>
  <c r="L1669" i="1"/>
  <c r="K1669" i="1"/>
  <c r="J1669" i="1"/>
  <c r="L1668" i="1"/>
  <c r="K1668" i="1"/>
  <c r="J1668" i="1"/>
  <c r="L1667" i="1"/>
  <c r="K1667" i="1"/>
  <c r="J1667" i="1"/>
  <c r="L1666" i="1"/>
  <c r="K1666" i="1"/>
  <c r="J1666" i="1"/>
  <c r="L1665" i="1"/>
  <c r="K1665" i="1"/>
  <c r="J1665" i="1"/>
  <c r="L1664" i="1"/>
  <c r="K1664" i="1"/>
  <c r="J1664" i="1"/>
  <c r="L1663" i="1"/>
  <c r="K1663" i="1"/>
  <c r="J1663" i="1"/>
  <c r="L1662" i="1"/>
  <c r="K1662" i="1"/>
  <c r="J1662" i="1"/>
  <c r="L1661" i="1"/>
  <c r="K1661" i="1"/>
  <c r="J1661" i="1"/>
  <c r="L1660" i="1"/>
  <c r="K1660" i="1"/>
  <c r="J1660" i="1"/>
  <c r="L1659" i="1"/>
  <c r="K1659" i="1"/>
  <c r="J1659" i="1"/>
  <c r="L1658" i="1"/>
  <c r="K1658" i="1"/>
  <c r="J1658" i="1"/>
  <c r="L1657" i="1"/>
  <c r="K1657" i="1"/>
  <c r="J1657" i="1"/>
  <c r="L1656" i="1"/>
  <c r="K1656" i="1"/>
  <c r="J1656" i="1"/>
  <c r="L1655" i="1"/>
  <c r="K1655" i="1"/>
  <c r="J1655" i="1"/>
  <c r="L1654" i="1"/>
  <c r="K1654" i="1"/>
  <c r="J1654" i="1"/>
  <c r="L1653" i="1"/>
  <c r="K1653" i="1"/>
  <c r="J1653" i="1"/>
  <c r="L1652" i="1"/>
  <c r="K1652" i="1"/>
  <c r="J1652" i="1"/>
  <c r="L1651" i="1"/>
  <c r="K1651" i="1"/>
  <c r="J1651" i="1"/>
  <c r="L1650" i="1"/>
  <c r="K1650" i="1"/>
  <c r="J1650" i="1"/>
  <c r="L1649" i="1"/>
  <c r="K1649" i="1"/>
  <c r="J1649" i="1"/>
  <c r="L1648" i="1"/>
  <c r="K1648" i="1"/>
  <c r="J1648" i="1"/>
  <c r="L1647" i="1"/>
  <c r="K1647" i="1"/>
  <c r="J1647" i="1"/>
  <c r="L1646" i="1"/>
  <c r="K1646" i="1"/>
  <c r="J1646" i="1"/>
  <c r="L1645" i="1"/>
  <c r="K1645" i="1"/>
  <c r="J1645" i="1"/>
  <c r="L1644" i="1"/>
  <c r="K1644" i="1"/>
  <c r="J1644" i="1"/>
  <c r="L1643" i="1"/>
  <c r="K1643" i="1"/>
  <c r="J1643" i="1"/>
  <c r="L1642" i="1"/>
  <c r="K1642" i="1"/>
  <c r="J1642" i="1"/>
  <c r="L1641" i="1"/>
  <c r="K1641" i="1"/>
  <c r="J1641" i="1"/>
  <c r="L1640" i="1"/>
  <c r="K1640" i="1"/>
  <c r="J1640" i="1"/>
  <c r="L1639" i="1"/>
  <c r="K1639" i="1"/>
  <c r="J1639" i="1"/>
  <c r="L1638" i="1"/>
  <c r="K1638" i="1"/>
  <c r="J1638" i="1"/>
  <c r="L1637" i="1"/>
  <c r="K1637" i="1"/>
  <c r="J1637" i="1"/>
  <c r="L1636" i="1"/>
  <c r="K1636" i="1"/>
  <c r="J1636" i="1"/>
  <c r="L1635" i="1"/>
  <c r="K1635" i="1"/>
  <c r="J1635" i="1"/>
  <c r="L1634" i="1"/>
  <c r="K1634" i="1"/>
  <c r="J1634" i="1"/>
  <c r="L1633" i="1"/>
  <c r="K1633" i="1"/>
  <c r="J1633" i="1"/>
  <c r="L1632" i="1"/>
  <c r="K1632" i="1"/>
  <c r="J1632" i="1"/>
  <c r="L1631" i="1"/>
  <c r="K1631" i="1"/>
  <c r="J1631" i="1"/>
  <c r="L1630" i="1"/>
  <c r="K1630" i="1"/>
  <c r="J1630" i="1"/>
  <c r="L1629" i="1"/>
  <c r="K1629" i="1"/>
  <c r="J1629" i="1"/>
  <c r="L1628" i="1"/>
  <c r="K1628" i="1"/>
  <c r="J1628" i="1"/>
  <c r="L1627" i="1"/>
  <c r="K1627" i="1"/>
  <c r="J1627" i="1"/>
  <c r="L1626" i="1"/>
  <c r="K1626" i="1"/>
  <c r="J1626" i="1"/>
  <c r="L1625" i="1"/>
  <c r="K1625" i="1"/>
  <c r="J1625" i="1"/>
  <c r="L1624" i="1"/>
  <c r="K1624" i="1"/>
  <c r="J1624" i="1"/>
  <c r="L1623" i="1"/>
  <c r="K1623" i="1"/>
  <c r="J1623" i="1"/>
  <c r="L1622" i="1"/>
  <c r="K1622" i="1"/>
  <c r="J1622" i="1"/>
  <c r="L1621" i="1"/>
  <c r="K1621" i="1"/>
  <c r="J1621" i="1"/>
  <c r="L1620" i="1"/>
  <c r="K1620" i="1"/>
  <c r="J1620" i="1"/>
  <c r="L1619" i="1"/>
  <c r="K1619" i="1"/>
  <c r="J1619" i="1"/>
  <c r="L1618" i="1"/>
  <c r="K1618" i="1"/>
  <c r="J1618" i="1"/>
  <c r="L1617" i="1"/>
  <c r="K1617" i="1"/>
  <c r="J1617" i="1"/>
  <c r="L1616" i="1"/>
  <c r="K1616" i="1"/>
  <c r="J1616" i="1"/>
  <c r="L1615" i="1"/>
  <c r="K1615" i="1"/>
  <c r="J1615" i="1"/>
  <c r="L1614" i="1"/>
  <c r="K1614" i="1"/>
  <c r="J1614" i="1"/>
  <c r="L1613" i="1"/>
  <c r="K1613" i="1"/>
  <c r="J1613" i="1"/>
  <c r="L1612" i="1"/>
  <c r="K1612" i="1"/>
  <c r="J1612" i="1"/>
  <c r="L1611" i="1"/>
  <c r="K1611" i="1"/>
  <c r="J1611" i="1"/>
  <c r="L1610" i="1"/>
  <c r="K1610" i="1"/>
  <c r="J1610" i="1"/>
  <c r="L1609" i="1"/>
  <c r="K1609" i="1"/>
  <c r="J1609" i="1"/>
  <c r="L1608" i="1"/>
  <c r="K1608" i="1"/>
  <c r="J1608" i="1"/>
  <c r="L1607" i="1"/>
  <c r="K1607" i="1"/>
  <c r="J1607" i="1"/>
  <c r="L1606" i="1"/>
  <c r="K1606" i="1"/>
  <c r="J1606" i="1"/>
  <c r="L1605" i="1"/>
  <c r="K1605" i="1"/>
  <c r="J1605" i="1"/>
  <c r="L1604" i="1"/>
  <c r="K1604" i="1"/>
  <c r="J1604" i="1"/>
  <c r="L1603" i="1"/>
  <c r="K1603" i="1"/>
  <c r="J1603" i="1"/>
  <c r="L1602" i="1"/>
  <c r="K1602" i="1"/>
  <c r="J1602" i="1"/>
  <c r="L1601" i="1"/>
  <c r="K1601" i="1"/>
  <c r="J1601" i="1"/>
  <c r="L1600" i="1"/>
  <c r="K1600" i="1"/>
  <c r="J1600" i="1"/>
  <c r="L1599" i="1"/>
  <c r="K1599" i="1"/>
  <c r="J1599" i="1"/>
  <c r="L1598" i="1"/>
  <c r="K1598" i="1"/>
  <c r="J1598" i="1"/>
  <c r="L1597" i="1"/>
  <c r="K1597" i="1"/>
  <c r="J1597" i="1"/>
  <c r="L1596" i="1"/>
  <c r="K1596" i="1"/>
  <c r="J1596" i="1"/>
  <c r="L1595" i="1"/>
  <c r="K1595" i="1"/>
  <c r="J1595" i="1"/>
  <c r="L1594" i="1"/>
  <c r="K1594" i="1"/>
  <c r="J1594" i="1"/>
  <c r="L1593" i="1"/>
  <c r="K1593" i="1"/>
  <c r="J1593" i="1"/>
  <c r="L1592" i="1"/>
  <c r="K1592" i="1"/>
  <c r="J1592" i="1"/>
  <c r="L1591" i="1"/>
  <c r="K1591" i="1"/>
  <c r="J1591" i="1"/>
  <c r="L1590" i="1"/>
  <c r="K1590" i="1"/>
  <c r="J1590" i="1"/>
  <c r="L1589" i="1"/>
  <c r="K1589" i="1"/>
  <c r="J1589" i="1"/>
  <c r="L1588" i="1"/>
  <c r="K1588" i="1"/>
  <c r="J1588" i="1"/>
  <c r="L1587" i="1"/>
  <c r="K1587" i="1"/>
  <c r="J1587" i="1"/>
  <c r="L1586" i="1"/>
  <c r="K1586" i="1"/>
  <c r="J1586" i="1"/>
  <c r="L1585" i="1"/>
  <c r="K1585" i="1"/>
  <c r="J1585" i="1"/>
  <c r="L1584" i="1"/>
  <c r="K1584" i="1"/>
  <c r="J1584" i="1"/>
  <c r="L1583" i="1"/>
  <c r="K1583" i="1"/>
  <c r="J1583" i="1"/>
  <c r="L1582" i="1"/>
  <c r="K1582" i="1"/>
  <c r="J1582" i="1"/>
  <c r="L1581" i="1"/>
  <c r="K1581" i="1"/>
  <c r="J1581" i="1"/>
  <c r="L1580" i="1"/>
  <c r="K1580" i="1"/>
  <c r="J1580" i="1"/>
  <c r="L1579" i="1"/>
  <c r="K1579" i="1"/>
  <c r="J1579" i="1"/>
  <c r="L1578" i="1"/>
  <c r="K1578" i="1"/>
  <c r="J1578" i="1"/>
  <c r="L1577" i="1"/>
  <c r="K1577" i="1"/>
  <c r="J1577" i="1"/>
  <c r="L1576" i="1"/>
  <c r="K1576" i="1"/>
  <c r="J1576" i="1"/>
  <c r="L1575" i="1"/>
  <c r="K1575" i="1"/>
  <c r="J1575" i="1"/>
  <c r="L1574" i="1"/>
  <c r="K1574" i="1"/>
  <c r="J1574" i="1"/>
  <c r="L1573" i="1"/>
  <c r="K1573" i="1"/>
  <c r="J1573" i="1"/>
  <c r="L1572" i="1"/>
  <c r="K1572" i="1"/>
  <c r="J1572" i="1"/>
  <c r="L1571" i="1"/>
  <c r="K1571" i="1"/>
  <c r="J1571" i="1"/>
  <c r="L1570" i="1"/>
  <c r="K1570" i="1"/>
  <c r="J1570" i="1"/>
  <c r="L1569" i="1"/>
  <c r="K1569" i="1"/>
  <c r="J1569" i="1"/>
  <c r="L1568" i="1"/>
  <c r="K1568" i="1"/>
  <c r="J1568" i="1"/>
  <c r="L1567" i="1"/>
  <c r="K1567" i="1"/>
  <c r="J1567" i="1"/>
  <c r="L1566" i="1"/>
  <c r="K1566" i="1"/>
  <c r="J1566" i="1"/>
  <c r="L1565" i="1"/>
  <c r="K1565" i="1"/>
  <c r="J1565" i="1"/>
  <c r="L1564" i="1"/>
  <c r="K1564" i="1"/>
  <c r="J1564" i="1"/>
  <c r="L1563" i="1"/>
  <c r="K1563" i="1"/>
  <c r="J1563" i="1"/>
  <c r="L1562" i="1"/>
  <c r="K1562" i="1"/>
  <c r="J1562" i="1"/>
  <c r="L1561" i="1"/>
  <c r="K1561" i="1"/>
  <c r="J1561" i="1"/>
  <c r="L1560" i="1"/>
  <c r="K1560" i="1"/>
  <c r="J1560" i="1"/>
  <c r="L1559" i="1"/>
  <c r="K1559" i="1"/>
  <c r="J1559" i="1"/>
  <c r="L1558" i="1"/>
  <c r="K1558" i="1"/>
  <c r="J1558" i="1"/>
  <c r="L1557" i="1"/>
  <c r="K1557" i="1"/>
  <c r="J1557" i="1"/>
  <c r="L1556" i="1"/>
  <c r="K1556" i="1"/>
  <c r="J1556" i="1"/>
  <c r="L1555" i="1"/>
  <c r="K1555" i="1"/>
  <c r="J1555" i="1"/>
  <c r="L1554" i="1"/>
  <c r="K1554" i="1"/>
  <c r="J1554" i="1"/>
  <c r="L1553" i="1"/>
  <c r="K1553" i="1"/>
  <c r="J1553" i="1"/>
  <c r="L1552" i="1"/>
  <c r="K1552" i="1"/>
  <c r="J1552" i="1"/>
  <c r="L1551" i="1"/>
  <c r="K1551" i="1"/>
  <c r="J1551" i="1"/>
  <c r="L1550" i="1"/>
  <c r="K1550" i="1"/>
  <c r="J1550" i="1"/>
  <c r="L1549" i="1"/>
  <c r="K1549" i="1"/>
  <c r="J1549" i="1"/>
  <c r="L1548" i="1"/>
  <c r="K1548" i="1"/>
  <c r="J1548" i="1"/>
  <c r="L1547" i="1"/>
  <c r="K1547" i="1"/>
  <c r="J1547" i="1"/>
  <c r="L1546" i="1"/>
  <c r="K1546" i="1"/>
  <c r="J1546" i="1"/>
  <c r="L1545" i="1"/>
  <c r="K1545" i="1"/>
  <c r="J1545" i="1"/>
  <c r="L1544" i="1"/>
  <c r="K1544" i="1"/>
  <c r="J1544" i="1"/>
  <c r="L1543" i="1"/>
  <c r="K1543" i="1"/>
  <c r="J1543" i="1"/>
  <c r="L1542" i="1"/>
  <c r="K1542" i="1"/>
  <c r="J1542" i="1"/>
  <c r="L1541" i="1"/>
  <c r="K1541" i="1"/>
  <c r="J1541" i="1"/>
  <c r="L1540" i="1"/>
  <c r="K1540" i="1"/>
  <c r="J1540" i="1"/>
  <c r="L1539" i="1"/>
  <c r="K1539" i="1"/>
  <c r="J1539" i="1"/>
  <c r="L1538" i="1"/>
  <c r="K1538" i="1"/>
  <c r="J1538" i="1"/>
  <c r="L1537" i="1"/>
  <c r="K1537" i="1"/>
  <c r="J1537" i="1"/>
  <c r="L1536" i="1"/>
  <c r="K1536" i="1"/>
  <c r="J1536" i="1"/>
  <c r="L1535" i="1"/>
  <c r="K1535" i="1"/>
  <c r="J1535" i="1"/>
  <c r="L1534" i="1"/>
  <c r="K1534" i="1"/>
  <c r="J1534" i="1"/>
  <c r="L1533" i="1"/>
  <c r="K1533" i="1"/>
  <c r="J1533" i="1"/>
  <c r="L1532" i="1"/>
  <c r="K1532" i="1"/>
  <c r="J1532" i="1"/>
  <c r="L1531" i="1"/>
  <c r="K1531" i="1"/>
  <c r="J1531" i="1"/>
  <c r="L1530" i="1"/>
  <c r="K1530" i="1"/>
  <c r="J1530" i="1"/>
  <c r="L1529" i="1"/>
  <c r="K1529" i="1"/>
  <c r="J1529" i="1"/>
  <c r="L1528" i="1"/>
  <c r="K1528" i="1"/>
  <c r="J1528" i="1"/>
  <c r="L1527" i="1"/>
  <c r="K1527" i="1"/>
  <c r="J1527" i="1"/>
  <c r="L1526" i="1"/>
  <c r="K1526" i="1"/>
  <c r="J1526" i="1"/>
  <c r="L1525" i="1"/>
  <c r="K1525" i="1"/>
  <c r="J1525" i="1"/>
  <c r="L1524" i="1"/>
  <c r="K1524" i="1"/>
  <c r="J1524" i="1"/>
  <c r="L1523" i="1"/>
  <c r="K1523" i="1"/>
  <c r="J1523" i="1"/>
  <c r="L1522" i="1"/>
  <c r="K1522" i="1"/>
  <c r="J1522" i="1"/>
  <c r="L1521" i="1"/>
  <c r="K1521" i="1"/>
  <c r="J1521" i="1"/>
  <c r="L1520" i="1"/>
  <c r="K1520" i="1"/>
  <c r="J1520" i="1"/>
  <c r="L1519" i="1"/>
  <c r="K1519" i="1"/>
  <c r="J1519" i="1"/>
  <c r="L1518" i="1"/>
  <c r="K1518" i="1"/>
  <c r="J1518" i="1"/>
  <c r="L1517" i="1"/>
  <c r="K1517" i="1"/>
  <c r="J1517" i="1"/>
  <c r="L1516" i="1"/>
  <c r="K1516" i="1"/>
  <c r="J1516" i="1"/>
  <c r="L1515" i="1"/>
  <c r="K1515" i="1"/>
  <c r="J1515" i="1"/>
  <c r="L1514" i="1"/>
  <c r="K1514" i="1"/>
  <c r="J1514" i="1"/>
  <c r="L1513" i="1"/>
  <c r="K1513" i="1"/>
  <c r="J1513" i="1"/>
  <c r="L1512" i="1"/>
  <c r="K1512" i="1"/>
  <c r="J1512" i="1"/>
  <c r="L1511" i="1"/>
  <c r="K1511" i="1"/>
  <c r="J1511" i="1"/>
  <c r="L1510" i="1"/>
  <c r="K1510" i="1"/>
  <c r="J1510" i="1"/>
  <c r="L1509" i="1"/>
  <c r="K1509" i="1"/>
  <c r="J1509" i="1"/>
  <c r="L1508" i="1"/>
  <c r="K1508" i="1"/>
  <c r="J1508" i="1"/>
  <c r="L1507" i="1"/>
  <c r="K1507" i="1"/>
  <c r="J1507" i="1"/>
  <c r="L1506" i="1"/>
  <c r="K1506" i="1"/>
  <c r="J1506" i="1"/>
  <c r="L1505" i="1"/>
  <c r="K1505" i="1"/>
  <c r="J1505" i="1"/>
  <c r="L1504" i="1"/>
  <c r="K1504" i="1"/>
  <c r="J1504" i="1"/>
  <c r="L1503" i="1"/>
  <c r="K1503" i="1"/>
  <c r="J1503" i="1"/>
  <c r="L1502" i="1"/>
  <c r="K1502" i="1"/>
  <c r="J1502" i="1"/>
  <c r="L1501" i="1"/>
  <c r="K1501" i="1"/>
  <c r="J1501" i="1"/>
  <c r="L1500" i="1"/>
  <c r="K1500" i="1"/>
  <c r="J1500" i="1"/>
  <c r="L1499" i="1"/>
  <c r="K1499" i="1"/>
  <c r="J1499" i="1"/>
  <c r="L1498" i="1"/>
  <c r="K1498" i="1"/>
  <c r="J1498" i="1"/>
  <c r="L1497" i="1"/>
  <c r="K1497" i="1"/>
  <c r="J1497" i="1"/>
  <c r="L1496" i="1"/>
  <c r="K1496" i="1"/>
  <c r="J1496" i="1"/>
  <c r="L1495" i="1"/>
  <c r="K1495" i="1"/>
  <c r="J1495" i="1"/>
  <c r="L1494" i="1"/>
  <c r="K1494" i="1"/>
  <c r="J1494" i="1"/>
  <c r="L1493" i="1"/>
  <c r="K1493" i="1"/>
  <c r="J1493" i="1"/>
  <c r="L1492" i="1"/>
  <c r="K1492" i="1"/>
  <c r="J1492" i="1"/>
  <c r="L1491" i="1"/>
  <c r="K1491" i="1"/>
  <c r="J1491" i="1"/>
  <c r="L1490" i="1"/>
  <c r="K1490" i="1"/>
  <c r="J1490" i="1"/>
  <c r="L1489" i="1"/>
  <c r="K1489" i="1"/>
  <c r="J1489" i="1"/>
  <c r="L1488" i="1"/>
  <c r="K1488" i="1"/>
  <c r="J1488" i="1"/>
  <c r="L1487" i="1"/>
  <c r="K1487" i="1"/>
  <c r="J1487" i="1"/>
  <c r="L1486" i="1"/>
  <c r="K1486" i="1"/>
  <c r="J1486" i="1"/>
  <c r="L1485" i="1"/>
  <c r="K1485" i="1"/>
  <c r="J1485" i="1"/>
  <c r="L1484" i="1"/>
  <c r="K1484" i="1"/>
  <c r="J1484" i="1"/>
  <c r="L1483" i="1"/>
  <c r="K1483" i="1"/>
  <c r="J1483" i="1"/>
  <c r="L1482" i="1"/>
  <c r="K1482" i="1"/>
  <c r="J1482" i="1"/>
  <c r="L1481" i="1"/>
  <c r="K1481" i="1"/>
  <c r="J1481" i="1"/>
  <c r="L1480" i="1"/>
  <c r="K1480" i="1"/>
  <c r="J1480" i="1"/>
  <c r="L1479" i="1"/>
  <c r="K1479" i="1"/>
  <c r="J1479" i="1"/>
  <c r="L1478" i="1"/>
  <c r="K1478" i="1"/>
  <c r="J1478" i="1"/>
  <c r="L1477" i="1"/>
  <c r="K1477" i="1"/>
  <c r="J1477" i="1"/>
  <c r="L1476" i="1"/>
  <c r="K1476" i="1"/>
  <c r="J1476" i="1"/>
  <c r="L1475" i="1"/>
  <c r="K1475" i="1"/>
  <c r="J1475" i="1"/>
  <c r="L1474" i="1"/>
  <c r="K1474" i="1"/>
  <c r="J1474" i="1"/>
  <c r="L1473" i="1"/>
  <c r="K1473" i="1"/>
  <c r="J1473" i="1"/>
  <c r="L1472" i="1"/>
  <c r="K1472" i="1"/>
  <c r="J1472" i="1"/>
  <c r="L1471" i="1"/>
  <c r="K1471" i="1"/>
  <c r="J1471" i="1"/>
  <c r="L1470" i="1"/>
  <c r="K1470" i="1"/>
  <c r="J1470" i="1"/>
  <c r="L1469" i="1"/>
  <c r="K1469" i="1"/>
  <c r="J1469" i="1"/>
  <c r="L1468" i="1"/>
  <c r="K1468" i="1"/>
  <c r="J1468" i="1"/>
  <c r="L1467" i="1"/>
  <c r="K1467" i="1"/>
  <c r="J1467" i="1"/>
  <c r="L1466" i="1"/>
  <c r="K1466" i="1"/>
  <c r="J1466" i="1"/>
  <c r="L1465" i="1"/>
  <c r="K1465" i="1"/>
  <c r="J1465" i="1"/>
  <c r="L1464" i="1"/>
  <c r="K1464" i="1"/>
  <c r="J1464" i="1"/>
  <c r="L1463" i="1"/>
  <c r="K1463" i="1"/>
  <c r="J1463" i="1"/>
  <c r="L1462" i="1"/>
  <c r="K1462" i="1"/>
  <c r="J1462" i="1"/>
  <c r="L1461" i="1"/>
  <c r="K1461" i="1"/>
  <c r="J1461" i="1"/>
  <c r="L1460" i="1"/>
  <c r="K1460" i="1"/>
  <c r="J1460" i="1"/>
  <c r="L1459" i="1"/>
  <c r="K1459" i="1"/>
  <c r="J1459" i="1"/>
  <c r="L1458" i="1"/>
  <c r="K1458" i="1"/>
  <c r="J1458" i="1"/>
  <c r="L1457" i="1"/>
  <c r="K1457" i="1"/>
  <c r="J1457" i="1"/>
  <c r="L1456" i="1"/>
  <c r="K1456" i="1"/>
  <c r="J1456" i="1"/>
  <c r="L1455" i="1"/>
  <c r="K1455" i="1"/>
  <c r="J1455" i="1"/>
  <c r="L1454" i="1"/>
  <c r="K1454" i="1"/>
  <c r="J1454" i="1"/>
  <c r="L1453" i="1"/>
  <c r="K1453" i="1"/>
  <c r="J1453" i="1"/>
  <c r="L1452" i="1"/>
  <c r="K1452" i="1"/>
  <c r="J1452" i="1"/>
  <c r="L1451" i="1"/>
  <c r="K1451" i="1"/>
  <c r="J1451" i="1"/>
  <c r="L1450" i="1"/>
  <c r="K1450" i="1"/>
  <c r="J1450" i="1"/>
  <c r="L1449" i="1"/>
  <c r="K1449" i="1"/>
  <c r="J1449" i="1"/>
  <c r="L1448" i="1"/>
  <c r="K1448" i="1"/>
  <c r="J1448" i="1"/>
  <c r="L1447" i="1"/>
  <c r="K1447" i="1"/>
  <c r="J1447" i="1"/>
  <c r="L1446" i="1"/>
  <c r="K1446" i="1"/>
  <c r="J1446" i="1"/>
  <c r="L1445" i="1"/>
  <c r="K1445" i="1"/>
  <c r="J1445" i="1"/>
  <c r="L1444" i="1"/>
  <c r="K1444" i="1"/>
  <c r="J1444" i="1"/>
  <c r="L1443" i="1"/>
  <c r="K1443" i="1"/>
  <c r="J1443" i="1"/>
  <c r="L1442" i="1"/>
  <c r="K1442" i="1"/>
  <c r="J1442" i="1"/>
  <c r="L1441" i="1"/>
  <c r="K1441" i="1"/>
  <c r="J1441" i="1"/>
  <c r="L1440" i="1"/>
  <c r="K1440" i="1"/>
  <c r="J1440" i="1"/>
  <c r="L1439" i="1"/>
  <c r="K1439" i="1"/>
  <c r="J1439" i="1"/>
  <c r="L1438" i="1"/>
  <c r="K1438" i="1"/>
  <c r="J1438" i="1"/>
  <c r="L1437" i="1"/>
  <c r="K1437" i="1"/>
  <c r="J1437" i="1"/>
  <c r="L1436" i="1"/>
  <c r="K1436" i="1"/>
  <c r="J1436" i="1"/>
  <c r="L1435" i="1"/>
  <c r="K1435" i="1"/>
  <c r="J1435" i="1"/>
  <c r="L1434" i="1"/>
  <c r="K1434" i="1"/>
  <c r="J1434" i="1"/>
  <c r="L1433" i="1"/>
  <c r="K1433" i="1"/>
  <c r="J1433" i="1"/>
  <c r="L1432" i="1"/>
  <c r="K1432" i="1"/>
  <c r="J1432" i="1"/>
  <c r="L1431" i="1"/>
  <c r="K1431" i="1"/>
  <c r="J1431" i="1"/>
  <c r="L1430" i="1"/>
  <c r="K1430" i="1"/>
  <c r="J1430" i="1"/>
  <c r="L1429" i="1"/>
  <c r="K1429" i="1"/>
  <c r="J1429" i="1"/>
  <c r="L1428" i="1"/>
  <c r="K1428" i="1"/>
  <c r="J1428" i="1"/>
  <c r="L1427" i="1"/>
  <c r="K1427" i="1"/>
  <c r="J1427" i="1"/>
  <c r="L1426" i="1"/>
  <c r="K1426" i="1"/>
  <c r="J1426" i="1"/>
  <c r="L1425" i="1"/>
  <c r="K1425" i="1"/>
  <c r="J1425" i="1"/>
  <c r="L1424" i="1"/>
  <c r="K1424" i="1"/>
  <c r="J1424" i="1"/>
  <c r="L1423" i="1"/>
  <c r="K1423" i="1"/>
  <c r="J1423" i="1"/>
  <c r="L1422" i="1"/>
  <c r="K1422" i="1"/>
  <c r="J1422" i="1"/>
  <c r="L1421" i="1"/>
  <c r="K1421" i="1"/>
  <c r="J1421" i="1"/>
  <c r="L1420" i="1"/>
  <c r="K1420" i="1"/>
  <c r="J1420" i="1"/>
  <c r="L1419" i="1"/>
  <c r="K1419" i="1"/>
  <c r="J1419" i="1"/>
  <c r="L1418" i="1"/>
  <c r="K1418" i="1"/>
  <c r="J1418" i="1"/>
  <c r="L1417" i="1"/>
  <c r="K1417" i="1"/>
  <c r="J1417" i="1"/>
  <c r="L1416" i="1"/>
  <c r="K1416" i="1"/>
  <c r="J1416" i="1"/>
  <c r="L1415" i="1"/>
  <c r="K1415" i="1"/>
  <c r="J1415" i="1"/>
  <c r="L1414" i="1"/>
  <c r="K1414" i="1"/>
  <c r="J1414" i="1"/>
  <c r="L1413" i="1"/>
  <c r="K1413" i="1"/>
  <c r="J1413" i="1"/>
  <c r="L1412" i="1"/>
  <c r="K1412" i="1"/>
  <c r="J1412" i="1"/>
  <c r="L1411" i="1"/>
  <c r="K1411" i="1"/>
  <c r="J1411" i="1"/>
  <c r="L1410" i="1"/>
  <c r="K1410" i="1"/>
  <c r="J1410" i="1"/>
  <c r="L1409" i="1"/>
  <c r="K1409" i="1"/>
  <c r="J1409" i="1"/>
  <c r="L1408" i="1"/>
  <c r="K1408" i="1"/>
  <c r="J1408" i="1"/>
  <c r="L1407" i="1"/>
  <c r="K1407" i="1"/>
  <c r="J1407" i="1"/>
  <c r="L1406" i="1"/>
  <c r="K1406" i="1"/>
  <c r="J1406" i="1"/>
  <c r="L1405" i="1"/>
  <c r="K1405" i="1"/>
  <c r="J1405" i="1"/>
  <c r="L1404" i="1"/>
  <c r="K1404" i="1"/>
  <c r="J1404" i="1"/>
  <c r="L1403" i="1"/>
  <c r="K1403" i="1"/>
  <c r="J1403" i="1"/>
  <c r="L1402" i="1"/>
  <c r="K1402" i="1"/>
  <c r="J1402" i="1"/>
  <c r="L1401" i="1"/>
  <c r="K1401" i="1"/>
  <c r="J1401" i="1"/>
  <c r="L1400" i="1"/>
  <c r="K1400" i="1"/>
  <c r="J1400" i="1"/>
  <c r="L1399" i="1"/>
  <c r="K1399" i="1"/>
  <c r="J1399" i="1"/>
  <c r="L1398" i="1"/>
  <c r="K1398" i="1"/>
  <c r="J1398" i="1"/>
  <c r="L1397" i="1"/>
  <c r="K1397" i="1"/>
  <c r="J1397" i="1"/>
  <c r="L1396" i="1"/>
  <c r="K1396" i="1"/>
  <c r="J1396" i="1"/>
  <c r="L1395" i="1"/>
  <c r="K1395" i="1"/>
  <c r="J1395" i="1"/>
  <c r="L1394" i="1"/>
  <c r="K1394" i="1"/>
  <c r="J1394" i="1"/>
  <c r="L1393" i="1"/>
  <c r="K1393" i="1"/>
  <c r="J1393" i="1"/>
  <c r="L1392" i="1"/>
  <c r="K1392" i="1"/>
  <c r="J1392" i="1"/>
  <c r="L1391" i="1"/>
  <c r="K1391" i="1"/>
  <c r="J1391" i="1"/>
  <c r="L1390" i="1"/>
  <c r="K1390" i="1"/>
  <c r="J1390" i="1"/>
  <c r="L1389" i="1"/>
  <c r="K1389" i="1"/>
  <c r="J1389" i="1"/>
  <c r="L1388" i="1"/>
  <c r="K1388" i="1"/>
  <c r="J1388" i="1"/>
  <c r="L1387" i="1"/>
  <c r="K1387" i="1"/>
  <c r="J1387" i="1"/>
  <c r="L1386" i="1"/>
  <c r="K1386" i="1"/>
  <c r="J1386" i="1"/>
  <c r="L1385" i="1"/>
  <c r="K1385" i="1"/>
  <c r="J1385" i="1"/>
  <c r="L1384" i="1"/>
  <c r="K1384" i="1"/>
  <c r="J1384" i="1"/>
  <c r="L1383" i="1"/>
  <c r="K1383" i="1"/>
  <c r="J1383" i="1"/>
  <c r="L1382" i="1"/>
  <c r="K1382" i="1"/>
  <c r="J1382" i="1"/>
  <c r="L1381" i="1"/>
  <c r="K1381" i="1"/>
  <c r="J1381" i="1"/>
  <c r="L1380" i="1"/>
  <c r="K1380" i="1"/>
  <c r="J1380" i="1"/>
  <c r="L1379" i="1"/>
  <c r="K1379" i="1"/>
  <c r="J1379" i="1"/>
  <c r="L1378" i="1"/>
  <c r="K1378" i="1"/>
  <c r="J1378" i="1"/>
  <c r="L1377" i="1"/>
  <c r="K1377" i="1"/>
  <c r="J1377" i="1"/>
  <c r="L1376" i="1"/>
  <c r="K1376" i="1"/>
  <c r="J1376" i="1"/>
  <c r="L1375" i="1"/>
  <c r="K1375" i="1"/>
  <c r="J1375" i="1"/>
  <c r="L1374" i="1"/>
  <c r="K1374" i="1"/>
  <c r="J1374" i="1"/>
  <c r="L1373" i="1"/>
  <c r="K1373" i="1"/>
  <c r="J1373" i="1"/>
  <c r="L1372" i="1"/>
  <c r="K1372" i="1"/>
  <c r="J1372" i="1"/>
  <c r="L1371" i="1"/>
  <c r="K1371" i="1"/>
  <c r="J1371" i="1"/>
  <c r="L1370" i="1"/>
  <c r="K1370" i="1"/>
  <c r="J1370" i="1"/>
  <c r="L1369" i="1"/>
  <c r="K1369" i="1"/>
  <c r="J1369" i="1"/>
  <c r="L1368" i="1"/>
  <c r="K1368" i="1"/>
  <c r="J1368" i="1"/>
  <c r="L1367" i="1"/>
  <c r="K1367" i="1"/>
  <c r="J1367" i="1"/>
  <c r="L1366" i="1"/>
  <c r="K1366" i="1"/>
  <c r="J1366" i="1"/>
  <c r="L1365" i="1"/>
  <c r="K1365" i="1"/>
  <c r="J1365" i="1"/>
  <c r="L1364" i="1"/>
  <c r="K1364" i="1"/>
  <c r="J1364" i="1"/>
  <c r="L1363" i="1"/>
  <c r="K1363" i="1"/>
  <c r="J1363" i="1"/>
  <c r="L1362" i="1"/>
  <c r="K1362" i="1"/>
  <c r="J1362" i="1"/>
  <c r="L1361" i="1"/>
  <c r="K1361" i="1"/>
  <c r="J1361" i="1"/>
  <c r="L1360" i="1"/>
  <c r="K1360" i="1"/>
  <c r="J1360" i="1"/>
  <c r="L1359" i="1"/>
  <c r="K1359" i="1"/>
  <c r="J1359" i="1"/>
  <c r="L1358" i="1"/>
  <c r="K1358" i="1"/>
  <c r="J1358" i="1"/>
  <c r="L1357" i="1"/>
  <c r="K1357" i="1"/>
  <c r="J1357" i="1"/>
  <c r="L1356" i="1"/>
  <c r="K1356" i="1"/>
  <c r="J1356" i="1"/>
  <c r="L1355" i="1"/>
  <c r="K1355" i="1"/>
  <c r="J1355" i="1"/>
  <c r="L1354" i="1"/>
  <c r="K1354" i="1"/>
  <c r="J1354" i="1"/>
  <c r="L1353" i="1"/>
  <c r="K1353" i="1"/>
  <c r="J1353" i="1"/>
  <c r="L1352" i="1"/>
  <c r="K1352" i="1"/>
  <c r="J1352" i="1"/>
  <c r="L1351" i="1"/>
  <c r="K1351" i="1"/>
  <c r="J1351" i="1"/>
  <c r="L1350" i="1"/>
  <c r="K1350" i="1"/>
  <c r="J1350" i="1"/>
  <c r="L1349" i="1"/>
  <c r="K1349" i="1"/>
  <c r="J1349" i="1"/>
  <c r="L1348" i="1"/>
  <c r="K1348" i="1"/>
  <c r="J1348" i="1"/>
  <c r="L1347" i="1"/>
  <c r="K1347" i="1"/>
  <c r="J1347" i="1"/>
  <c r="L1346" i="1"/>
  <c r="K1346" i="1"/>
  <c r="J1346" i="1"/>
  <c r="L1345" i="1"/>
  <c r="K1345" i="1"/>
  <c r="J1345" i="1"/>
  <c r="L1344" i="1"/>
  <c r="K1344" i="1"/>
  <c r="J1344" i="1"/>
  <c r="L1343" i="1"/>
  <c r="K1343" i="1"/>
  <c r="J1343" i="1"/>
  <c r="L1342" i="1"/>
  <c r="K1342" i="1"/>
  <c r="J1342" i="1"/>
  <c r="L1341" i="1"/>
  <c r="K1341" i="1"/>
  <c r="J1341" i="1"/>
  <c r="L1340" i="1"/>
  <c r="K1340" i="1"/>
  <c r="J1340" i="1"/>
  <c r="L1339" i="1"/>
  <c r="K1339" i="1"/>
  <c r="J1339" i="1"/>
  <c r="L1338" i="1"/>
  <c r="K1338" i="1"/>
  <c r="J1338" i="1"/>
  <c r="L1337" i="1"/>
  <c r="K1337" i="1"/>
  <c r="J1337" i="1"/>
  <c r="L1336" i="1"/>
  <c r="K1336" i="1"/>
  <c r="J1336" i="1"/>
  <c r="L1335" i="1"/>
  <c r="K1335" i="1"/>
  <c r="J1335" i="1"/>
  <c r="L1334" i="1"/>
  <c r="K1334" i="1"/>
  <c r="J1334" i="1"/>
  <c r="L1333" i="1"/>
  <c r="K1333" i="1"/>
  <c r="J1333" i="1"/>
  <c r="L1332" i="1"/>
  <c r="K1332" i="1"/>
  <c r="J1332" i="1"/>
  <c r="L1331" i="1"/>
  <c r="K1331" i="1"/>
  <c r="J1331" i="1"/>
  <c r="L1330" i="1"/>
  <c r="K1330" i="1"/>
  <c r="J1330" i="1"/>
  <c r="L1329" i="1"/>
  <c r="K1329" i="1"/>
  <c r="J1329" i="1"/>
  <c r="L1328" i="1"/>
  <c r="K1328" i="1"/>
  <c r="J1328" i="1"/>
  <c r="L1327" i="1"/>
  <c r="K1327" i="1"/>
  <c r="J1327" i="1"/>
  <c r="L1326" i="1"/>
  <c r="K1326" i="1"/>
  <c r="J1326" i="1"/>
  <c r="L1325" i="1"/>
  <c r="K1325" i="1"/>
  <c r="J1325" i="1"/>
  <c r="L1324" i="1"/>
  <c r="K1324" i="1"/>
  <c r="J1324" i="1"/>
  <c r="L1323" i="1"/>
  <c r="K1323" i="1"/>
  <c r="J1323" i="1"/>
  <c r="L1322" i="1"/>
  <c r="K1322" i="1"/>
  <c r="J1322" i="1"/>
  <c r="L1321" i="1"/>
  <c r="K1321" i="1"/>
  <c r="J1321" i="1"/>
  <c r="L1320" i="1"/>
  <c r="K1320" i="1"/>
  <c r="J1320" i="1"/>
  <c r="L1319" i="1"/>
  <c r="K1319" i="1"/>
  <c r="J1319" i="1"/>
  <c r="L1318" i="1"/>
  <c r="K1318" i="1"/>
  <c r="J1318" i="1"/>
  <c r="L1317" i="1"/>
  <c r="K1317" i="1"/>
  <c r="J1317" i="1"/>
  <c r="L1316" i="1"/>
  <c r="K1316" i="1"/>
  <c r="J1316" i="1"/>
  <c r="L1315" i="1"/>
  <c r="K1315" i="1"/>
  <c r="J1315" i="1"/>
  <c r="L1314" i="1"/>
  <c r="K1314" i="1"/>
  <c r="J1314" i="1"/>
  <c r="L1313" i="1"/>
  <c r="K1313" i="1"/>
  <c r="J1313" i="1"/>
  <c r="L1312" i="1"/>
  <c r="K1312" i="1"/>
  <c r="J1312" i="1"/>
  <c r="L1311" i="1"/>
  <c r="K1311" i="1"/>
  <c r="J1311" i="1"/>
  <c r="L1310" i="1"/>
  <c r="K1310" i="1"/>
  <c r="J1310" i="1"/>
  <c r="L1309" i="1"/>
  <c r="K1309" i="1"/>
  <c r="J1309" i="1"/>
  <c r="L1308" i="1"/>
  <c r="K1308" i="1"/>
  <c r="J1308" i="1"/>
  <c r="L1307" i="1"/>
  <c r="K1307" i="1"/>
  <c r="J1307" i="1"/>
  <c r="L1306" i="1"/>
  <c r="K1306" i="1"/>
  <c r="J1306" i="1"/>
  <c r="L1305" i="1"/>
  <c r="K1305" i="1"/>
  <c r="J1305" i="1"/>
  <c r="L1304" i="1"/>
  <c r="K1304" i="1"/>
  <c r="J1304" i="1"/>
  <c r="L1303" i="1"/>
  <c r="K1303" i="1"/>
  <c r="J1303" i="1"/>
  <c r="L1302" i="1"/>
  <c r="K1302" i="1"/>
  <c r="J1302" i="1"/>
  <c r="L1301" i="1"/>
  <c r="K1301" i="1"/>
  <c r="J1301" i="1"/>
  <c r="L1300" i="1"/>
  <c r="K1300" i="1"/>
  <c r="J1300" i="1"/>
  <c r="L1299" i="1"/>
  <c r="K1299" i="1"/>
  <c r="J1299" i="1"/>
  <c r="L1298" i="1"/>
  <c r="K1298" i="1"/>
  <c r="J1298" i="1"/>
  <c r="L1297" i="1"/>
  <c r="K1297" i="1"/>
  <c r="J1297" i="1"/>
  <c r="L1296" i="1"/>
  <c r="K1296" i="1"/>
  <c r="J1296" i="1"/>
  <c r="L1295" i="1"/>
  <c r="K1295" i="1"/>
  <c r="J1295" i="1"/>
  <c r="L1294" i="1"/>
  <c r="K1294" i="1"/>
  <c r="J1294" i="1"/>
  <c r="L1293" i="1"/>
  <c r="K1293" i="1"/>
  <c r="J1293" i="1"/>
  <c r="L1292" i="1"/>
  <c r="K1292" i="1"/>
  <c r="J1292" i="1"/>
  <c r="L1291" i="1"/>
  <c r="K1291" i="1"/>
  <c r="J1291" i="1"/>
  <c r="L1290" i="1"/>
  <c r="K1290" i="1"/>
  <c r="J1290" i="1"/>
  <c r="L1289" i="1"/>
  <c r="K1289" i="1"/>
  <c r="J1289" i="1"/>
  <c r="L1288" i="1"/>
  <c r="K1288" i="1"/>
  <c r="J1288" i="1"/>
  <c r="L1287" i="1"/>
  <c r="K1287" i="1"/>
  <c r="J1287" i="1"/>
  <c r="L1286" i="1"/>
  <c r="K1286" i="1"/>
  <c r="J1286" i="1"/>
  <c r="L1285" i="1"/>
  <c r="K1285" i="1"/>
  <c r="J1285" i="1"/>
  <c r="L1284" i="1"/>
  <c r="K1284" i="1"/>
  <c r="J1284" i="1"/>
  <c r="L1283" i="1"/>
  <c r="K1283" i="1"/>
  <c r="J1283" i="1"/>
  <c r="L1282" i="1"/>
  <c r="K1282" i="1"/>
  <c r="J1282" i="1"/>
  <c r="L1281" i="1"/>
  <c r="K1281" i="1"/>
  <c r="J1281" i="1"/>
  <c r="L1280" i="1"/>
  <c r="K1280" i="1"/>
  <c r="J1280" i="1"/>
  <c r="L1279" i="1"/>
  <c r="K1279" i="1"/>
  <c r="J1279" i="1"/>
  <c r="L1278" i="1"/>
  <c r="K1278" i="1"/>
  <c r="J1278" i="1"/>
  <c r="L1277" i="1"/>
  <c r="K1277" i="1"/>
  <c r="J1277" i="1"/>
  <c r="L1276" i="1"/>
  <c r="K1276" i="1"/>
  <c r="J1276" i="1"/>
  <c r="L1275" i="1"/>
  <c r="K1275" i="1"/>
  <c r="J1275" i="1"/>
  <c r="L1274" i="1"/>
  <c r="K1274" i="1"/>
  <c r="J1274" i="1"/>
  <c r="L1273" i="1"/>
  <c r="K1273" i="1"/>
  <c r="J1273" i="1"/>
  <c r="L1272" i="1"/>
  <c r="K1272" i="1"/>
  <c r="J1272" i="1"/>
  <c r="L1271" i="1"/>
  <c r="K1271" i="1"/>
  <c r="J1271" i="1"/>
  <c r="L1270" i="1"/>
  <c r="K1270" i="1"/>
  <c r="J1270" i="1"/>
  <c r="L1269" i="1"/>
  <c r="K1269" i="1"/>
  <c r="J1269" i="1"/>
  <c r="L1268" i="1"/>
  <c r="K1268" i="1"/>
  <c r="J1268" i="1"/>
  <c r="L1267" i="1"/>
  <c r="K1267" i="1"/>
  <c r="J1267" i="1"/>
  <c r="L1266" i="1"/>
  <c r="K1266" i="1"/>
  <c r="J1266" i="1"/>
  <c r="L1265" i="1"/>
  <c r="K1265" i="1"/>
  <c r="J1265" i="1"/>
  <c r="L1264" i="1"/>
  <c r="K1264" i="1"/>
  <c r="J1264" i="1"/>
  <c r="L1263" i="1"/>
  <c r="K1263" i="1"/>
  <c r="J1263" i="1"/>
  <c r="L1262" i="1"/>
  <c r="K1262" i="1"/>
  <c r="J1262" i="1"/>
  <c r="L1261" i="1"/>
  <c r="K1261" i="1"/>
  <c r="J1261" i="1"/>
  <c r="L1260" i="1"/>
  <c r="K1260" i="1"/>
  <c r="J1260" i="1"/>
  <c r="L1259" i="1"/>
  <c r="K1259" i="1"/>
  <c r="J1259" i="1"/>
  <c r="L1258" i="1"/>
  <c r="K1258" i="1"/>
  <c r="J1258" i="1"/>
  <c r="L1257" i="1"/>
  <c r="K1257" i="1"/>
  <c r="J1257" i="1"/>
  <c r="L1256" i="1"/>
  <c r="K1256" i="1"/>
  <c r="J1256" i="1"/>
  <c r="L1255" i="1"/>
  <c r="K1255" i="1"/>
  <c r="J1255" i="1"/>
  <c r="L1254" i="1"/>
  <c r="K1254" i="1"/>
  <c r="J1254" i="1"/>
  <c r="L1253" i="1"/>
  <c r="K1253" i="1"/>
  <c r="J1253" i="1"/>
  <c r="L1252" i="1"/>
  <c r="K1252" i="1"/>
  <c r="J1252" i="1"/>
  <c r="L1251" i="1"/>
  <c r="K1251" i="1"/>
  <c r="J1251" i="1"/>
  <c r="L1250" i="1"/>
  <c r="K1250" i="1"/>
  <c r="J1250" i="1"/>
  <c r="L1249" i="1"/>
  <c r="K1249" i="1"/>
  <c r="J1249" i="1"/>
  <c r="L1248" i="1"/>
  <c r="K1248" i="1"/>
  <c r="J1248" i="1"/>
  <c r="L1247" i="1"/>
  <c r="K1247" i="1"/>
  <c r="J1247" i="1"/>
  <c r="L1246" i="1"/>
  <c r="K1246" i="1"/>
  <c r="J1246" i="1"/>
  <c r="L1245" i="1"/>
  <c r="K1245" i="1"/>
  <c r="J1245" i="1"/>
  <c r="L1244" i="1"/>
  <c r="K1244" i="1"/>
  <c r="J1244" i="1"/>
  <c r="L1243" i="1"/>
  <c r="K1243" i="1"/>
  <c r="J1243" i="1"/>
  <c r="L1242" i="1"/>
  <c r="K1242" i="1"/>
  <c r="J1242" i="1"/>
  <c r="L1241" i="1"/>
  <c r="K1241" i="1"/>
  <c r="J1241" i="1"/>
  <c r="L1240" i="1"/>
  <c r="K1240" i="1"/>
  <c r="J1240" i="1"/>
  <c r="L1239" i="1"/>
  <c r="K1239" i="1"/>
  <c r="J1239" i="1"/>
  <c r="L1238" i="1"/>
  <c r="K1238" i="1"/>
  <c r="J1238" i="1"/>
  <c r="L1237" i="1"/>
  <c r="K1237" i="1"/>
  <c r="J1237" i="1"/>
  <c r="L1236" i="1"/>
  <c r="K1236" i="1"/>
  <c r="J1236" i="1"/>
  <c r="L1235" i="1"/>
  <c r="K1235" i="1"/>
  <c r="J1235" i="1"/>
  <c r="L1234" i="1"/>
  <c r="K1234" i="1"/>
  <c r="J1234" i="1"/>
  <c r="L1233" i="1"/>
  <c r="K1233" i="1"/>
  <c r="J1233" i="1"/>
  <c r="L1232" i="1"/>
  <c r="K1232" i="1"/>
  <c r="J1232" i="1"/>
  <c r="L1231" i="1"/>
  <c r="K1231" i="1"/>
  <c r="J1231" i="1"/>
  <c r="L1230" i="1"/>
  <c r="K1230" i="1"/>
  <c r="J1230" i="1"/>
  <c r="L1229" i="1"/>
  <c r="K1229" i="1"/>
  <c r="J1229" i="1"/>
  <c r="L1228" i="1"/>
  <c r="K1228" i="1"/>
  <c r="J1228" i="1"/>
  <c r="L1227" i="1"/>
  <c r="K1227" i="1"/>
  <c r="J1227" i="1"/>
  <c r="L1226" i="1"/>
  <c r="K1226" i="1"/>
  <c r="J1226" i="1"/>
  <c r="L1225" i="1"/>
  <c r="K1225" i="1"/>
  <c r="J1225" i="1"/>
  <c r="L1224" i="1"/>
  <c r="K1224" i="1"/>
  <c r="J1224" i="1"/>
  <c r="L1223" i="1"/>
  <c r="K1223" i="1"/>
  <c r="J1223" i="1"/>
  <c r="L1222" i="1"/>
  <c r="K1222" i="1"/>
  <c r="J1222" i="1"/>
  <c r="L1221" i="1"/>
  <c r="K1221" i="1"/>
  <c r="J1221" i="1"/>
  <c r="L1220" i="1"/>
  <c r="K1220" i="1"/>
  <c r="J1220" i="1"/>
  <c r="L1219" i="1"/>
  <c r="K1219" i="1"/>
  <c r="J1219" i="1"/>
  <c r="L1218" i="1"/>
  <c r="K1218" i="1"/>
  <c r="J1218" i="1"/>
  <c r="L1217" i="1"/>
  <c r="K1217" i="1"/>
  <c r="J1217" i="1"/>
  <c r="L1216" i="1"/>
  <c r="K1216" i="1"/>
  <c r="J1216" i="1"/>
  <c r="L1215" i="1"/>
  <c r="K1215" i="1"/>
  <c r="J1215" i="1"/>
  <c r="L1214" i="1"/>
  <c r="K1214" i="1"/>
  <c r="J1214" i="1"/>
  <c r="L1213" i="1"/>
  <c r="K1213" i="1"/>
  <c r="J1213" i="1"/>
  <c r="L1212" i="1"/>
  <c r="K1212" i="1"/>
  <c r="J1212" i="1"/>
  <c r="L1211" i="1"/>
  <c r="K1211" i="1"/>
  <c r="J1211" i="1"/>
  <c r="L1210" i="1"/>
  <c r="K1210" i="1"/>
  <c r="J1210" i="1"/>
  <c r="L1209" i="1"/>
  <c r="K1209" i="1"/>
  <c r="J1209" i="1"/>
  <c r="L1208" i="1"/>
  <c r="K1208" i="1"/>
  <c r="J1208" i="1"/>
  <c r="L1207" i="1"/>
  <c r="K1207" i="1"/>
  <c r="J1207" i="1"/>
  <c r="L1206" i="1"/>
  <c r="K1206" i="1"/>
  <c r="J1206" i="1"/>
  <c r="L1205" i="1"/>
  <c r="K1205" i="1"/>
  <c r="J1205" i="1"/>
  <c r="L1204" i="1"/>
  <c r="K1204" i="1"/>
  <c r="J1204" i="1"/>
  <c r="L1203" i="1"/>
  <c r="K1203" i="1"/>
  <c r="J1203" i="1"/>
  <c r="L1202" i="1"/>
  <c r="K1202" i="1"/>
  <c r="J1202" i="1"/>
  <c r="L1201" i="1"/>
  <c r="K1201" i="1"/>
  <c r="J1201" i="1"/>
  <c r="L1200" i="1"/>
  <c r="K1200" i="1"/>
  <c r="J1200" i="1"/>
  <c r="L1199" i="1"/>
  <c r="K1199" i="1"/>
  <c r="J1199" i="1"/>
  <c r="L1198" i="1"/>
  <c r="K1198" i="1"/>
  <c r="J1198" i="1"/>
  <c r="L1197" i="1"/>
  <c r="K1197" i="1"/>
  <c r="J1197" i="1"/>
  <c r="L1196" i="1"/>
  <c r="K1196" i="1"/>
  <c r="J1196" i="1"/>
  <c r="L1195" i="1"/>
  <c r="K1195" i="1"/>
  <c r="J1195" i="1"/>
  <c r="L1194" i="1"/>
  <c r="K1194" i="1"/>
  <c r="J1194" i="1"/>
  <c r="L1193" i="1"/>
  <c r="K1193" i="1"/>
  <c r="J1193" i="1"/>
  <c r="L1192" i="1"/>
  <c r="K1192" i="1"/>
  <c r="J1192" i="1"/>
  <c r="L1191" i="1"/>
  <c r="K1191" i="1"/>
  <c r="J1191" i="1"/>
  <c r="L1190" i="1"/>
  <c r="K1190" i="1"/>
  <c r="J1190" i="1"/>
  <c r="L1189" i="1"/>
  <c r="K1189" i="1"/>
  <c r="J1189" i="1"/>
  <c r="L1188" i="1"/>
  <c r="K1188" i="1"/>
  <c r="J1188" i="1"/>
  <c r="L1187" i="1"/>
  <c r="K1187" i="1"/>
  <c r="J1187" i="1"/>
  <c r="L1186" i="1"/>
  <c r="K1186" i="1"/>
  <c r="J1186" i="1"/>
  <c r="L1185" i="1"/>
  <c r="K1185" i="1"/>
  <c r="J1185" i="1"/>
  <c r="L1184" i="1"/>
  <c r="K1184" i="1"/>
  <c r="J1184" i="1"/>
  <c r="L1183" i="1"/>
  <c r="K1183" i="1"/>
  <c r="J1183" i="1"/>
  <c r="L1182" i="1"/>
  <c r="K1182" i="1"/>
  <c r="J1182" i="1"/>
  <c r="L1181" i="1"/>
  <c r="K1181" i="1"/>
  <c r="J1181" i="1"/>
  <c r="L1180" i="1"/>
  <c r="K1180" i="1"/>
  <c r="J1180" i="1"/>
  <c r="L1179" i="1"/>
  <c r="K1179" i="1"/>
  <c r="J1179" i="1"/>
  <c r="L1178" i="1"/>
  <c r="K1178" i="1"/>
  <c r="J1178" i="1"/>
  <c r="L1177" i="1"/>
  <c r="K1177" i="1"/>
  <c r="J1177" i="1"/>
  <c r="L1176" i="1"/>
  <c r="K1176" i="1"/>
  <c r="J1176" i="1"/>
  <c r="L1175" i="1"/>
  <c r="K1175" i="1"/>
  <c r="J1175" i="1"/>
  <c r="L1174" i="1"/>
  <c r="K1174" i="1"/>
  <c r="J1174" i="1"/>
  <c r="L1173" i="1"/>
  <c r="K1173" i="1"/>
  <c r="J1173" i="1"/>
  <c r="L1172" i="1"/>
  <c r="K1172" i="1"/>
  <c r="J1172" i="1"/>
  <c r="L1171" i="1"/>
  <c r="K1171" i="1"/>
  <c r="J1171" i="1"/>
  <c r="L1170" i="1"/>
  <c r="K1170" i="1"/>
  <c r="J1170" i="1"/>
  <c r="L1169" i="1"/>
  <c r="K1169" i="1"/>
  <c r="J1169" i="1"/>
  <c r="L1168" i="1"/>
  <c r="K1168" i="1"/>
  <c r="J1168" i="1"/>
  <c r="L1167" i="1"/>
  <c r="K1167" i="1"/>
  <c r="J1167" i="1"/>
  <c r="L1166" i="1"/>
  <c r="K1166" i="1"/>
  <c r="J1166" i="1"/>
  <c r="L1165" i="1"/>
  <c r="K1165" i="1"/>
  <c r="J1165" i="1"/>
  <c r="L1164" i="1"/>
  <c r="K1164" i="1"/>
  <c r="J1164" i="1"/>
  <c r="L1163" i="1"/>
  <c r="K1163" i="1"/>
  <c r="J1163" i="1"/>
  <c r="L1162" i="1"/>
  <c r="K1162" i="1"/>
  <c r="J1162" i="1"/>
  <c r="L1161" i="1"/>
  <c r="K1161" i="1"/>
  <c r="J1161" i="1"/>
  <c r="L1160" i="1"/>
  <c r="K1160" i="1"/>
  <c r="J1160" i="1"/>
  <c r="L1159" i="1"/>
  <c r="K1159" i="1"/>
  <c r="J1159" i="1"/>
  <c r="L1158" i="1"/>
  <c r="K1158" i="1"/>
  <c r="J1158" i="1"/>
  <c r="L1157" i="1"/>
  <c r="K1157" i="1"/>
  <c r="J1157" i="1"/>
  <c r="L1156" i="1"/>
  <c r="K1156" i="1"/>
  <c r="J1156" i="1"/>
  <c r="L1155" i="1"/>
  <c r="K1155" i="1"/>
  <c r="J1155" i="1"/>
  <c r="L1154" i="1"/>
  <c r="K1154" i="1"/>
  <c r="J1154" i="1"/>
  <c r="L1153" i="1"/>
  <c r="K1153" i="1"/>
  <c r="J1153" i="1"/>
  <c r="L1152" i="1"/>
  <c r="K1152" i="1"/>
  <c r="J1152" i="1"/>
  <c r="L1151" i="1"/>
  <c r="K1151" i="1"/>
  <c r="J1151" i="1"/>
  <c r="L1150" i="1"/>
  <c r="K1150" i="1"/>
  <c r="J1150" i="1"/>
  <c r="L1149" i="1"/>
  <c r="K1149" i="1"/>
  <c r="J1149" i="1"/>
  <c r="L1148" i="1"/>
  <c r="K1148" i="1"/>
  <c r="J1148" i="1"/>
  <c r="L1147" i="1"/>
  <c r="K1147" i="1"/>
  <c r="J1147" i="1"/>
  <c r="L1146" i="1"/>
  <c r="K1146" i="1"/>
  <c r="J1146" i="1"/>
  <c r="L1145" i="1"/>
  <c r="K1145" i="1"/>
  <c r="J1145" i="1"/>
  <c r="L1144" i="1"/>
  <c r="K1144" i="1"/>
  <c r="J1144" i="1"/>
  <c r="L1143" i="1"/>
  <c r="K1143" i="1"/>
  <c r="J1143" i="1"/>
  <c r="L1142" i="1"/>
  <c r="K1142" i="1"/>
  <c r="J1142" i="1"/>
  <c r="L1141" i="1"/>
  <c r="K1141" i="1"/>
  <c r="J1141" i="1"/>
  <c r="L1140" i="1"/>
  <c r="K1140" i="1"/>
  <c r="J1140" i="1"/>
  <c r="L1139" i="1"/>
  <c r="K1139" i="1"/>
  <c r="J1139" i="1"/>
  <c r="L1138" i="1"/>
  <c r="K1138" i="1"/>
  <c r="J1138" i="1"/>
  <c r="L1137" i="1"/>
  <c r="K1137" i="1"/>
  <c r="J1137" i="1"/>
  <c r="L1136" i="1"/>
  <c r="K1136" i="1"/>
  <c r="J1136" i="1"/>
  <c r="L1135" i="1"/>
  <c r="K1135" i="1"/>
  <c r="J1135" i="1"/>
  <c r="L1134" i="1"/>
  <c r="K1134" i="1"/>
  <c r="J1134" i="1"/>
  <c r="L1133" i="1"/>
  <c r="K1133" i="1"/>
  <c r="J1133" i="1"/>
  <c r="L1132" i="1"/>
  <c r="K1132" i="1"/>
  <c r="J1132" i="1"/>
  <c r="L1131" i="1"/>
  <c r="K1131" i="1"/>
  <c r="J1131" i="1"/>
  <c r="L1130" i="1"/>
  <c r="K1130" i="1"/>
  <c r="J1130" i="1"/>
  <c r="L1129" i="1"/>
  <c r="K1129" i="1"/>
  <c r="J1129" i="1"/>
  <c r="L1128" i="1"/>
  <c r="K1128" i="1"/>
  <c r="J1128" i="1"/>
  <c r="L1127" i="1"/>
  <c r="K1127" i="1"/>
  <c r="J1127" i="1"/>
  <c r="L1126" i="1"/>
  <c r="K1126" i="1"/>
  <c r="J1126" i="1"/>
  <c r="L1125" i="1"/>
  <c r="K1125" i="1"/>
  <c r="J1125" i="1"/>
  <c r="L1124" i="1"/>
  <c r="K1124" i="1"/>
  <c r="J1124" i="1"/>
  <c r="L1123" i="1"/>
  <c r="K1123" i="1"/>
  <c r="J1123" i="1"/>
  <c r="L1122" i="1"/>
  <c r="K1122" i="1"/>
  <c r="J1122" i="1"/>
  <c r="L1121" i="1"/>
  <c r="K1121" i="1"/>
  <c r="J1121" i="1"/>
  <c r="L1120" i="1"/>
  <c r="K1120" i="1"/>
  <c r="J1120" i="1"/>
  <c r="L1119" i="1"/>
  <c r="K1119" i="1"/>
  <c r="J1119" i="1"/>
  <c r="L1118" i="1"/>
  <c r="K1118" i="1"/>
  <c r="J1118" i="1"/>
  <c r="L1117" i="1"/>
  <c r="K1117" i="1"/>
  <c r="J1117" i="1"/>
  <c r="L1116" i="1"/>
  <c r="K1116" i="1"/>
  <c r="J1116" i="1"/>
  <c r="L1115" i="1"/>
  <c r="K1115" i="1"/>
  <c r="J1115" i="1"/>
  <c r="L1114" i="1"/>
  <c r="K1114" i="1"/>
  <c r="J1114" i="1"/>
  <c r="L1113" i="1"/>
  <c r="K1113" i="1"/>
  <c r="J1113" i="1"/>
  <c r="L1112" i="1"/>
  <c r="K1112" i="1"/>
  <c r="J1112" i="1"/>
  <c r="L1111" i="1"/>
  <c r="K1111" i="1"/>
  <c r="J1111" i="1"/>
  <c r="L1110" i="1"/>
  <c r="K1110" i="1"/>
  <c r="J1110" i="1"/>
  <c r="L1109" i="1"/>
  <c r="K1109" i="1"/>
  <c r="J1109" i="1"/>
  <c r="L1108" i="1"/>
  <c r="K1108" i="1"/>
  <c r="J1108" i="1"/>
  <c r="L1107" i="1"/>
  <c r="K1107" i="1"/>
  <c r="J1107" i="1"/>
  <c r="L1106" i="1"/>
  <c r="K1106" i="1"/>
  <c r="J1106" i="1"/>
  <c r="L1105" i="1"/>
  <c r="K1105" i="1"/>
  <c r="J1105" i="1"/>
  <c r="L1104" i="1"/>
  <c r="K1104" i="1"/>
  <c r="J1104" i="1"/>
  <c r="L1103" i="1"/>
  <c r="K1103" i="1"/>
  <c r="J1103" i="1"/>
  <c r="L1102" i="1"/>
  <c r="K1102" i="1"/>
  <c r="J1102" i="1"/>
  <c r="L1101" i="1"/>
  <c r="K1101" i="1"/>
  <c r="J1101" i="1"/>
  <c r="L1100" i="1"/>
  <c r="K1100" i="1"/>
  <c r="J1100" i="1"/>
  <c r="L1099" i="1"/>
  <c r="K1099" i="1"/>
  <c r="J1099" i="1"/>
  <c r="L1098" i="1"/>
  <c r="K1098" i="1"/>
  <c r="J1098" i="1"/>
  <c r="L1097" i="1"/>
  <c r="K1097" i="1"/>
  <c r="J1097" i="1"/>
  <c r="L1096" i="1"/>
  <c r="K1096" i="1"/>
  <c r="J1096" i="1"/>
  <c r="L1095" i="1"/>
  <c r="K1095" i="1"/>
  <c r="J1095" i="1"/>
  <c r="L1094" i="1"/>
  <c r="K1094" i="1"/>
  <c r="J1094" i="1"/>
  <c r="L1093" i="1"/>
  <c r="K1093" i="1"/>
  <c r="J1093" i="1"/>
  <c r="L1092" i="1"/>
  <c r="K1092" i="1"/>
  <c r="J1092" i="1"/>
  <c r="L1091" i="1"/>
  <c r="K1091" i="1"/>
  <c r="J1091" i="1"/>
  <c r="L1090" i="1"/>
  <c r="K1090" i="1"/>
  <c r="J1090" i="1"/>
  <c r="L1089" i="1"/>
  <c r="K1089" i="1"/>
  <c r="J1089" i="1"/>
  <c r="L1088" i="1"/>
  <c r="K1088" i="1"/>
  <c r="J1088" i="1"/>
  <c r="L1087" i="1"/>
  <c r="K1087" i="1"/>
  <c r="J1087" i="1"/>
  <c r="L1086" i="1"/>
  <c r="K1086" i="1"/>
  <c r="J1086" i="1"/>
  <c r="L1085" i="1"/>
  <c r="K1085" i="1"/>
  <c r="J1085" i="1"/>
  <c r="L1084" i="1"/>
  <c r="K1084" i="1"/>
  <c r="J1084" i="1"/>
  <c r="L1083" i="1"/>
  <c r="K1083" i="1"/>
  <c r="J1083" i="1"/>
  <c r="L1082" i="1"/>
  <c r="K1082" i="1"/>
  <c r="J1082" i="1"/>
  <c r="L1081" i="1"/>
  <c r="K1081" i="1"/>
  <c r="J1081" i="1"/>
  <c r="L1080" i="1"/>
  <c r="K1080" i="1"/>
  <c r="J1080" i="1"/>
  <c r="L1079" i="1"/>
  <c r="K1079" i="1"/>
  <c r="J1079" i="1"/>
  <c r="L1078" i="1"/>
  <c r="K1078" i="1"/>
  <c r="J1078" i="1"/>
  <c r="L1077" i="1"/>
  <c r="K1077" i="1"/>
  <c r="J1077" i="1"/>
  <c r="L1076" i="1"/>
  <c r="K1076" i="1"/>
  <c r="J1076" i="1"/>
  <c r="L1075" i="1"/>
  <c r="K1075" i="1"/>
  <c r="J1075" i="1"/>
  <c r="L1074" i="1"/>
  <c r="K1074" i="1"/>
  <c r="J1074" i="1"/>
  <c r="L1073" i="1"/>
  <c r="K1073" i="1"/>
  <c r="J1073" i="1"/>
  <c r="L1072" i="1"/>
  <c r="K1072" i="1"/>
  <c r="J1072" i="1"/>
  <c r="L1071" i="1"/>
  <c r="K1071" i="1"/>
  <c r="J1071" i="1"/>
  <c r="L1070" i="1"/>
  <c r="K1070" i="1"/>
  <c r="J1070" i="1"/>
  <c r="L1069" i="1"/>
  <c r="K1069" i="1"/>
  <c r="J1069" i="1"/>
  <c r="L1068" i="1"/>
  <c r="K1068" i="1"/>
  <c r="J1068" i="1"/>
  <c r="L1067" i="1"/>
  <c r="K1067" i="1"/>
  <c r="J1067" i="1"/>
  <c r="L1066" i="1"/>
  <c r="K1066" i="1"/>
  <c r="J1066" i="1"/>
  <c r="L1065" i="1"/>
  <c r="K1065" i="1"/>
  <c r="J1065" i="1"/>
  <c r="L1064" i="1"/>
  <c r="K1064" i="1"/>
  <c r="J1064" i="1"/>
  <c r="L1063" i="1"/>
  <c r="K1063" i="1"/>
  <c r="J1063" i="1"/>
  <c r="L1062" i="1"/>
  <c r="K1062" i="1"/>
  <c r="J1062" i="1"/>
  <c r="L1061" i="1"/>
  <c r="K1061" i="1"/>
  <c r="J1061" i="1"/>
  <c r="L1060" i="1"/>
  <c r="K1060" i="1"/>
  <c r="J1060" i="1"/>
  <c r="L1059" i="1"/>
  <c r="K1059" i="1"/>
  <c r="J1059" i="1"/>
  <c r="L1058" i="1"/>
  <c r="K1058" i="1"/>
  <c r="J1058" i="1"/>
  <c r="L1057" i="1"/>
  <c r="K1057" i="1"/>
  <c r="J1057" i="1"/>
  <c r="L1056" i="1"/>
  <c r="K1056" i="1"/>
  <c r="J1056" i="1"/>
  <c r="L1055" i="1"/>
  <c r="K1055" i="1"/>
  <c r="J1055" i="1"/>
  <c r="L1054" i="1"/>
  <c r="K1054" i="1"/>
  <c r="J1054" i="1"/>
  <c r="L1053" i="1"/>
  <c r="K1053" i="1"/>
  <c r="J1053" i="1"/>
  <c r="L1052" i="1"/>
  <c r="K1052" i="1"/>
  <c r="J1052" i="1"/>
  <c r="L1051" i="1"/>
  <c r="K1051" i="1"/>
  <c r="J1051" i="1"/>
  <c r="L1050" i="1"/>
  <c r="K1050" i="1"/>
  <c r="J1050" i="1"/>
  <c r="L1049" i="1"/>
  <c r="K1049" i="1"/>
  <c r="J1049" i="1"/>
  <c r="L1048" i="1"/>
  <c r="K1048" i="1"/>
  <c r="J1048" i="1"/>
  <c r="L1047" i="1"/>
  <c r="K1047" i="1"/>
  <c r="J1047" i="1"/>
  <c r="L1046" i="1"/>
  <c r="K1046" i="1"/>
  <c r="J1046" i="1"/>
  <c r="L1045" i="1"/>
  <c r="K1045" i="1"/>
  <c r="J1045" i="1"/>
  <c r="L1044" i="1"/>
  <c r="K1044" i="1"/>
  <c r="J1044" i="1"/>
  <c r="L1043" i="1"/>
  <c r="K1043" i="1"/>
  <c r="J1043" i="1"/>
  <c r="L1042" i="1"/>
  <c r="K1042" i="1"/>
  <c r="J1042" i="1"/>
  <c r="L1041" i="1"/>
  <c r="K1041" i="1"/>
  <c r="J1041" i="1"/>
  <c r="L1040" i="1"/>
  <c r="K1040" i="1"/>
  <c r="J1040" i="1"/>
  <c r="L1039" i="1"/>
  <c r="K1039" i="1"/>
  <c r="J1039" i="1"/>
  <c r="L1038" i="1"/>
  <c r="K1038" i="1"/>
  <c r="J1038" i="1"/>
  <c r="L1037" i="1"/>
  <c r="K1037" i="1"/>
  <c r="J1037" i="1"/>
  <c r="L1036" i="1"/>
  <c r="K1036" i="1"/>
  <c r="J1036" i="1"/>
  <c r="L1035" i="1"/>
  <c r="K1035" i="1"/>
  <c r="J1035" i="1"/>
  <c r="L1034" i="1"/>
  <c r="K1034" i="1"/>
  <c r="J1034" i="1"/>
  <c r="L1033" i="1"/>
  <c r="K1033" i="1"/>
  <c r="J1033" i="1"/>
  <c r="L1032" i="1"/>
  <c r="K1032" i="1"/>
  <c r="J1032" i="1"/>
  <c r="L1031" i="1"/>
  <c r="K1031" i="1"/>
  <c r="J1031" i="1"/>
  <c r="L1030" i="1"/>
  <c r="K1030" i="1"/>
  <c r="J1030" i="1"/>
  <c r="L1029" i="1"/>
  <c r="K1029" i="1"/>
  <c r="J1029" i="1"/>
  <c r="L1028" i="1"/>
  <c r="K1028" i="1"/>
  <c r="J1028" i="1"/>
  <c r="L1027" i="1"/>
  <c r="K1027" i="1"/>
  <c r="J1027" i="1"/>
  <c r="L1026" i="1"/>
  <c r="K1026" i="1"/>
  <c r="J1026" i="1"/>
  <c r="L1025" i="1"/>
  <c r="K1025" i="1"/>
  <c r="J1025" i="1"/>
  <c r="L1024" i="1"/>
  <c r="K1024" i="1"/>
  <c r="J1024" i="1"/>
  <c r="L1023" i="1"/>
  <c r="K1023" i="1"/>
  <c r="J1023" i="1"/>
  <c r="L1022" i="1"/>
  <c r="K1022" i="1"/>
  <c r="J1022" i="1"/>
  <c r="L1021" i="1"/>
  <c r="K1021" i="1"/>
  <c r="J1021" i="1"/>
  <c r="L1020" i="1"/>
  <c r="K1020" i="1"/>
  <c r="J1020" i="1"/>
  <c r="L1019" i="1"/>
  <c r="K1019" i="1"/>
  <c r="J1019" i="1"/>
  <c r="L1018" i="1"/>
  <c r="K1018" i="1"/>
  <c r="J1018" i="1"/>
  <c r="L1017" i="1"/>
  <c r="K1017" i="1"/>
  <c r="J1017" i="1"/>
  <c r="L1016" i="1"/>
  <c r="K1016" i="1"/>
  <c r="J1016" i="1"/>
  <c r="L1015" i="1"/>
  <c r="K1015" i="1"/>
  <c r="J1015" i="1"/>
  <c r="L1014" i="1"/>
  <c r="K1014" i="1"/>
  <c r="J1014" i="1"/>
  <c r="L1013" i="1"/>
  <c r="K1013" i="1"/>
  <c r="J1013" i="1"/>
  <c r="L1012" i="1"/>
  <c r="K1012" i="1"/>
  <c r="J1012" i="1"/>
  <c r="L1011" i="1"/>
  <c r="K1011" i="1"/>
  <c r="J1011" i="1"/>
  <c r="L1010" i="1"/>
  <c r="K1010" i="1"/>
  <c r="J1010" i="1"/>
  <c r="L1009" i="1"/>
  <c r="K1009" i="1"/>
  <c r="J1009" i="1"/>
  <c r="L1008" i="1"/>
  <c r="K1008" i="1"/>
  <c r="J1008" i="1"/>
  <c r="L1007" i="1"/>
  <c r="K1007" i="1"/>
  <c r="J1007" i="1"/>
  <c r="L1006" i="1"/>
  <c r="K1006" i="1"/>
  <c r="J1006" i="1"/>
  <c r="L1005" i="1"/>
  <c r="K1005" i="1"/>
  <c r="J1005" i="1"/>
  <c r="L1004" i="1"/>
  <c r="K1004" i="1"/>
  <c r="J1004" i="1"/>
  <c r="L1003" i="1"/>
  <c r="K1003" i="1"/>
  <c r="J1003" i="1"/>
  <c r="L1002" i="1"/>
  <c r="K1002" i="1"/>
  <c r="J1002" i="1"/>
  <c r="L1001" i="1"/>
  <c r="K1001" i="1"/>
  <c r="J1001" i="1"/>
  <c r="L1000" i="1"/>
  <c r="K1000" i="1"/>
  <c r="J1000" i="1"/>
  <c r="L999" i="1"/>
  <c r="K999" i="1"/>
  <c r="J999" i="1"/>
  <c r="L998" i="1"/>
  <c r="K998" i="1"/>
  <c r="J998" i="1"/>
  <c r="L997" i="1"/>
  <c r="K997" i="1"/>
  <c r="J997" i="1"/>
  <c r="L996" i="1"/>
  <c r="K996" i="1"/>
  <c r="J996" i="1"/>
  <c r="L995" i="1"/>
  <c r="K995" i="1"/>
  <c r="J995" i="1"/>
  <c r="L994" i="1"/>
  <c r="K994" i="1"/>
  <c r="J994" i="1"/>
  <c r="L993" i="1"/>
  <c r="K993" i="1"/>
  <c r="J993" i="1"/>
  <c r="L992" i="1"/>
  <c r="K992" i="1"/>
  <c r="J992" i="1"/>
  <c r="L991" i="1"/>
  <c r="K991" i="1"/>
  <c r="J991" i="1"/>
  <c r="L990" i="1"/>
  <c r="K990" i="1"/>
  <c r="J990" i="1"/>
  <c r="L989" i="1"/>
  <c r="K989" i="1"/>
  <c r="J989" i="1"/>
  <c r="L988" i="1"/>
  <c r="K988" i="1"/>
  <c r="J988" i="1"/>
  <c r="L987" i="1"/>
  <c r="K987" i="1"/>
  <c r="J987" i="1"/>
  <c r="L986" i="1"/>
  <c r="K986" i="1"/>
  <c r="J986" i="1"/>
  <c r="L985" i="1"/>
  <c r="K985" i="1"/>
  <c r="J985" i="1"/>
  <c r="L984" i="1"/>
  <c r="K984" i="1"/>
  <c r="J984" i="1"/>
  <c r="L983" i="1"/>
  <c r="K983" i="1"/>
  <c r="J983" i="1"/>
  <c r="L982" i="1"/>
  <c r="K982" i="1"/>
  <c r="J982" i="1"/>
  <c r="L981" i="1"/>
  <c r="K981" i="1"/>
  <c r="J981" i="1"/>
  <c r="L980" i="1"/>
  <c r="K980" i="1"/>
  <c r="J980" i="1"/>
  <c r="L979" i="1"/>
  <c r="K979" i="1"/>
  <c r="J979" i="1"/>
  <c r="L978" i="1"/>
  <c r="K978" i="1"/>
  <c r="J978" i="1"/>
  <c r="L977" i="1"/>
  <c r="K977" i="1"/>
  <c r="J977" i="1"/>
  <c r="L976" i="1"/>
  <c r="K976" i="1"/>
  <c r="J976" i="1"/>
  <c r="L975" i="1"/>
  <c r="K975" i="1"/>
  <c r="J975" i="1"/>
  <c r="L974" i="1"/>
  <c r="K974" i="1"/>
  <c r="J974" i="1"/>
  <c r="L973" i="1"/>
  <c r="K973" i="1"/>
  <c r="J973" i="1"/>
  <c r="L972" i="1"/>
  <c r="K972" i="1"/>
  <c r="J972" i="1"/>
  <c r="L971" i="1"/>
  <c r="K971" i="1"/>
  <c r="J971" i="1"/>
  <c r="L970" i="1"/>
  <c r="K970" i="1"/>
  <c r="J970" i="1"/>
  <c r="L969" i="1"/>
  <c r="K969" i="1"/>
  <c r="J969" i="1"/>
  <c r="L968" i="1"/>
  <c r="K968" i="1"/>
  <c r="J968" i="1"/>
  <c r="L967" i="1"/>
  <c r="K967" i="1"/>
  <c r="J967" i="1"/>
  <c r="L966" i="1"/>
  <c r="K966" i="1"/>
  <c r="J966" i="1"/>
  <c r="L965" i="1"/>
  <c r="K965" i="1"/>
  <c r="J965" i="1"/>
  <c r="L964" i="1"/>
  <c r="K964" i="1"/>
  <c r="J964" i="1"/>
  <c r="L963" i="1"/>
  <c r="K963" i="1"/>
  <c r="J963" i="1"/>
  <c r="L962" i="1"/>
  <c r="K962" i="1"/>
  <c r="J962" i="1"/>
  <c r="L961" i="1"/>
  <c r="K961" i="1"/>
  <c r="J961" i="1"/>
  <c r="L960" i="1"/>
  <c r="K960" i="1"/>
  <c r="J960" i="1"/>
  <c r="L959" i="1"/>
  <c r="K959" i="1"/>
  <c r="J959" i="1"/>
  <c r="L958" i="1"/>
  <c r="K958" i="1"/>
  <c r="J958" i="1"/>
  <c r="L957" i="1"/>
  <c r="K957" i="1"/>
  <c r="J957" i="1"/>
  <c r="L956" i="1"/>
  <c r="K956" i="1"/>
  <c r="J956" i="1"/>
  <c r="L955" i="1"/>
  <c r="K955" i="1"/>
  <c r="J955" i="1"/>
  <c r="L954" i="1"/>
  <c r="K954" i="1"/>
  <c r="J954" i="1"/>
  <c r="L953" i="1"/>
  <c r="K953" i="1"/>
  <c r="J953" i="1"/>
  <c r="L952" i="1"/>
  <c r="K952" i="1"/>
  <c r="J952" i="1"/>
  <c r="L951" i="1"/>
  <c r="K951" i="1"/>
  <c r="J951" i="1"/>
  <c r="L950" i="1"/>
  <c r="K950" i="1"/>
  <c r="J950" i="1"/>
  <c r="L949" i="1"/>
  <c r="K949" i="1"/>
  <c r="J949" i="1"/>
  <c r="L948" i="1"/>
  <c r="K948" i="1"/>
  <c r="J948" i="1"/>
  <c r="L947" i="1"/>
  <c r="K947" i="1"/>
  <c r="J947" i="1"/>
  <c r="L946" i="1"/>
  <c r="K946" i="1"/>
  <c r="J946" i="1"/>
  <c r="L945" i="1"/>
  <c r="K945" i="1"/>
  <c r="J945" i="1"/>
  <c r="L944" i="1"/>
  <c r="K944" i="1"/>
  <c r="J944" i="1"/>
  <c r="L943" i="1"/>
  <c r="K943" i="1"/>
  <c r="J943" i="1"/>
  <c r="L942" i="1"/>
  <c r="K942" i="1"/>
  <c r="J942" i="1"/>
  <c r="L941" i="1"/>
  <c r="K941" i="1"/>
  <c r="J941" i="1"/>
  <c r="L940" i="1"/>
  <c r="K940" i="1"/>
  <c r="J940" i="1"/>
  <c r="L939" i="1"/>
  <c r="K939" i="1"/>
  <c r="J939" i="1"/>
  <c r="L938" i="1"/>
  <c r="K938" i="1"/>
  <c r="J938" i="1"/>
  <c r="L937" i="1"/>
  <c r="K937" i="1"/>
  <c r="J937" i="1"/>
  <c r="L936" i="1"/>
  <c r="K936" i="1"/>
  <c r="J936" i="1"/>
  <c r="L935" i="1"/>
  <c r="K935" i="1"/>
  <c r="J935" i="1"/>
  <c r="L934" i="1"/>
  <c r="K934" i="1"/>
  <c r="J934" i="1"/>
  <c r="L933" i="1"/>
  <c r="K933" i="1"/>
  <c r="J933" i="1"/>
  <c r="L932" i="1"/>
  <c r="K932" i="1"/>
  <c r="J932" i="1"/>
  <c r="L931" i="1"/>
  <c r="K931" i="1"/>
  <c r="J931" i="1"/>
  <c r="L930" i="1"/>
  <c r="K930" i="1"/>
  <c r="J930" i="1"/>
  <c r="L929" i="1"/>
  <c r="K929" i="1"/>
  <c r="J929" i="1"/>
  <c r="L928" i="1"/>
  <c r="K928" i="1"/>
  <c r="J928" i="1"/>
  <c r="L927" i="1"/>
  <c r="K927" i="1"/>
  <c r="J927" i="1"/>
  <c r="L926" i="1"/>
  <c r="K926" i="1"/>
  <c r="J926" i="1"/>
  <c r="L925" i="1"/>
  <c r="K925" i="1"/>
  <c r="J925" i="1"/>
  <c r="L924" i="1"/>
  <c r="K924" i="1"/>
  <c r="J924" i="1"/>
  <c r="L923" i="1"/>
  <c r="K923" i="1"/>
  <c r="J923" i="1"/>
  <c r="L922" i="1"/>
  <c r="K922" i="1"/>
  <c r="J922" i="1"/>
  <c r="L921" i="1"/>
  <c r="K921" i="1"/>
  <c r="J921" i="1"/>
  <c r="L920" i="1"/>
  <c r="K920" i="1"/>
  <c r="J920" i="1"/>
  <c r="L919" i="1"/>
  <c r="K919" i="1"/>
  <c r="J919" i="1"/>
  <c r="L918" i="1"/>
  <c r="K918" i="1"/>
  <c r="J918" i="1"/>
  <c r="L917" i="1"/>
  <c r="K917" i="1"/>
  <c r="J917" i="1"/>
  <c r="L916" i="1"/>
  <c r="K916" i="1"/>
  <c r="J916" i="1"/>
  <c r="L915" i="1"/>
  <c r="K915" i="1"/>
  <c r="J915" i="1"/>
  <c r="L914" i="1"/>
  <c r="K914" i="1"/>
  <c r="J914" i="1"/>
  <c r="L913" i="1"/>
  <c r="K913" i="1"/>
  <c r="J913" i="1"/>
  <c r="L912" i="1"/>
  <c r="K912" i="1"/>
  <c r="J912" i="1"/>
  <c r="L911" i="1"/>
  <c r="K911" i="1"/>
  <c r="J911" i="1"/>
  <c r="L910" i="1"/>
  <c r="K910" i="1"/>
  <c r="J910" i="1"/>
  <c r="L909" i="1"/>
  <c r="K909" i="1"/>
  <c r="J909" i="1"/>
  <c r="L908" i="1"/>
  <c r="K908" i="1"/>
  <c r="J908" i="1"/>
  <c r="L907" i="1"/>
  <c r="K907" i="1"/>
  <c r="J907" i="1"/>
  <c r="L906" i="1"/>
  <c r="K906" i="1"/>
  <c r="J906" i="1"/>
  <c r="L905" i="1"/>
  <c r="K905" i="1"/>
  <c r="J905" i="1"/>
  <c r="L904" i="1"/>
  <c r="K904" i="1"/>
  <c r="J904" i="1"/>
  <c r="L903" i="1"/>
  <c r="K903" i="1"/>
  <c r="J903" i="1"/>
  <c r="L902" i="1"/>
  <c r="K902" i="1"/>
  <c r="J902" i="1"/>
  <c r="L901" i="1"/>
  <c r="K901" i="1"/>
  <c r="J901" i="1"/>
  <c r="L900" i="1"/>
  <c r="K900" i="1"/>
  <c r="J900" i="1"/>
  <c r="L899" i="1"/>
  <c r="K899" i="1"/>
  <c r="J899" i="1"/>
  <c r="L898" i="1"/>
  <c r="K898" i="1"/>
  <c r="J898" i="1"/>
  <c r="L897" i="1"/>
  <c r="K897" i="1"/>
  <c r="J897" i="1"/>
  <c r="L896" i="1"/>
  <c r="K896" i="1"/>
  <c r="J896" i="1"/>
  <c r="L895" i="1"/>
  <c r="K895" i="1"/>
  <c r="J895" i="1"/>
  <c r="L894" i="1"/>
  <c r="K894" i="1"/>
  <c r="J894" i="1"/>
  <c r="L893" i="1"/>
  <c r="K893" i="1"/>
  <c r="J893" i="1"/>
  <c r="L892" i="1"/>
  <c r="K892" i="1"/>
  <c r="J892" i="1"/>
  <c r="L891" i="1"/>
  <c r="K891" i="1"/>
  <c r="J891" i="1"/>
  <c r="L890" i="1"/>
  <c r="K890" i="1"/>
  <c r="J890" i="1"/>
  <c r="L889" i="1"/>
  <c r="K889" i="1"/>
  <c r="J889" i="1"/>
  <c r="L888" i="1"/>
  <c r="K888" i="1"/>
  <c r="J888" i="1"/>
  <c r="L887" i="1"/>
  <c r="K887" i="1"/>
  <c r="J887" i="1"/>
  <c r="L886" i="1"/>
  <c r="K886" i="1"/>
  <c r="J886" i="1"/>
  <c r="L885" i="1"/>
  <c r="K885" i="1"/>
  <c r="J885" i="1"/>
  <c r="L884" i="1"/>
  <c r="K884" i="1"/>
  <c r="J884" i="1"/>
  <c r="L883" i="1"/>
  <c r="K883" i="1"/>
  <c r="J883" i="1"/>
  <c r="L882" i="1"/>
  <c r="K882" i="1"/>
  <c r="J882" i="1"/>
  <c r="L881" i="1"/>
  <c r="K881" i="1"/>
  <c r="J881" i="1"/>
  <c r="L880" i="1"/>
  <c r="K880" i="1"/>
  <c r="J880" i="1"/>
  <c r="L879" i="1"/>
  <c r="K879" i="1"/>
  <c r="J879" i="1"/>
  <c r="L878" i="1"/>
  <c r="K878" i="1"/>
  <c r="J878" i="1"/>
  <c r="L877" i="1"/>
  <c r="K877" i="1"/>
  <c r="J877" i="1"/>
  <c r="L876" i="1"/>
  <c r="K876" i="1"/>
  <c r="J876" i="1"/>
  <c r="L875" i="1"/>
  <c r="K875" i="1"/>
  <c r="J875" i="1"/>
  <c r="L874" i="1"/>
  <c r="K874" i="1"/>
  <c r="J874" i="1"/>
  <c r="L873" i="1"/>
  <c r="K873" i="1"/>
  <c r="J873" i="1"/>
  <c r="L872" i="1"/>
  <c r="K872" i="1"/>
  <c r="J872" i="1"/>
  <c r="L871" i="1"/>
  <c r="K871" i="1"/>
  <c r="J871" i="1"/>
  <c r="L870" i="1"/>
  <c r="K870" i="1"/>
  <c r="J870" i="1"/>
  <c r="L869" i="1"/>
  <c r="K869" i="1"/>
  <c r="J869" i="1"/>
  <c r="L868" i="1"/>
  <c r="K868" i="1"/>
  <c r="J868" i="1"/>
  <c r="L867" i="1"/>
  <c r="K867" i="1"/>
  <c r="J867" i="1"/>
  <c r="L866" i="1"/>
  <c r="K866" i="1"/>
  <c r="J866" i="1"/>
  <c r="L865" i="1"/>
  <c r="K865" i="1"/>
  <c r="J865" i="1"/>
  <c r="L864" i="1"/>
  <c r="K864" i="1"/>
  <c r="J864" i="1"/>
  <c r="L863" i="1"/>
  <c r="K863" i="1"/>
  <c r="J863" i="1"/>
  <c r="L862" i="1"/>
  <c r="K862" i="1"/>
  <c r="J862" i="1"/>
  <c r="L861" i="1"/>
  <c r="K861" i="1"/>
  <c r="J861" i="1"/>
  <c r="L860" i="1"/>
  <c r="K860" i="1"/>
  <c r="J860" i="1"/>
  <c r="L859" i="1"/>
  <c r="K859" i="1"/>
  <c r="J859" i="1"/>
  <c r="L858" i="1"/>
  <c r="K858" i="1"/>
  <c r="J858" i="1"/>
  <c r="L857" i="1"/>
  <c r="K857" i="1"/>
  <c r="J857" i="1"/>
  <c r="L856" i="1"/>
  <c r="K856" i="1"/>
  <c r="J856" i="1"/>
  <c r="L855" i="1"/>
  <c r="K855" i="1"/>
  <c r="J855" i="1"/>
  <c r="L854" i="1"/>
  <c r="K854" i="1"/>
  <c r="J854" i="1"/>
  <c r="L853" i="1"/>
  <c r="K853" i="1"/>
  <c r="J853" i="1"/>
  <c r="L852" i="1"/>
  <c r="K852" i="1"/>
  <c r="J852" i="1"/>
  <c r="L851" i="1"/>
  <c r="K851" i="1"/>
  <c r="J851" i="1"/>
  <c r="L850" i="1"/>
  <c r="K850" i="1"/>
  <c r="J850" i="1"/>
  <c r="L849" i="1"/>
  <c r="K849" i="1"/>
  <c r="J849" i="1"/>
  <c r="L848" i="1"/>
  <c r="K848" i="1"/>
  <c r="J848" i="1"/>
  <c r="L847" i="1"/>
  <c r="K847" i="1"/>
  <c r="J847" i="1"/>
  <c r="L846" i="1"/>
  <c r="K846" i="1"/>
  <c r="J846" i="1"/>
  <c r="L845" i="1"/>
  <c r="K845" i="1"/>
  <c r="J845" i="1"/>
  <c r="L844" i="1"/>
  <c r="K844" i="1"/>
  <c r="J844" i="1"/>
  <c r="L843" i="1"/>
  <c r="K843" i="1"/>
  <c r="J843" i="1"/>
  <c r="L842" i="1"/>
  <c r="K842" i="1"/>
  <c r="J842" i="1"/>
  <c r="L841" i="1"/>
  <c r="K841" i="1"/>
  <c r="J841" i="1"/>
  <c r="L840" i="1"/>
  <c r="K840" i="1"/>
  <c r="J840" i="1"/>
  <c r="L839" i="1"/>
  <c r="K839" i="1"/>
  <c r="J839" i="1"/>
  <c r="L838" i="1"/>
  <c r="K838" i="1"/>
  <c r="J838" i="1"/>
  <c r="L837" i="1"/>
  <c r="K837" i="1"/>
  <c r="J837" i="1"/>
  <c r="L836" i="1"/>
  <c r="K836" i="1"/>
  <c r="J836" i="1"/>
  <c r="L835" i="1"/>
  <c r="K835" i="1"/>
  <c r="J835" i="1"/>
  <c r="L834" i="1"/>
  <c r="K834" i="1"/>
  <c r="J834" i="1"/>
  <c r="L833" i="1"/>
  <c r="K833" i="1"/>
  <c r="J833" i="1"/>
  <c r="L832" i="1"/>
  <c r="K832" i="1"/>
  <c r="J832" i="1"/>
  <c r="L831" i="1"/>
  <c r="K831" i="1"/>
  <c r="J831" i="1"/>
  <c r="L830" i="1"/>
  <c r="K830" i="1"/>
  <c r="J830" i="1"/>
  <c r="L829" i="1"/>
  <c r="K829" i="1"/>
  <c r="J829" i="1"/>
  <c r="L828" i="1"/>
  <c r="K828" i="1"/>
  <c r="J828" i="1"/>
  <c r="L827" i="1"/>
  <c r="K827" i="1"/>
  <c r="J827" i="1"/>
  <c r="L826" i="1"/>
  <c r="K826" i="1"/>
  <c r="J826" i="1"/>
  <c r="L825" i="1"/>
  <c r="K825" i="1"/>
  <c r="J825" i="1"/>
  <c r="L824" i="1"/>
  <c r="K824" i="1"/>
  <c r="J824" i="1"/>
  <c r="L823" i="1"/>
  <c r="K823" i="1"/>
  <c r="J823" i="1"/>
  <c r="L822" i="1"/>
  <c r="K822" i="1"/>
  <c r="J822" i="1"/>
  <c r="L821" i="1"/>
  <c r="K821" i="1"/>
  <c r="J821" i="1"/>
  <c r="L820" i="1"/>
  <c r="K820" i="1"/>
  <c r="J820" i="1"/>
  <c r="L819" i="1"/>
  <c r="K819" i="1"/>
  <c r="J819" i="1"/>
  <c r="L818" i="1"/>
  <c r="K818" i="1"/>
  <c r="J818" i="1"/>
  <c r="L817" i="1"/>
  <c r="K817" i="1"/>
  <c r="J817" i="1"/>
  <c r="L816" i="1"/>
  <c r="K816" i="1"/>
  <c r="J816" i="1"/>
  <c r="L815" i="1"/>
  <c r="K815" i="1"/>
  <c r="J815" i="1"/>
  <c r="L814" i="1"/>
  <c r="K814" i="1"/>
  <c r="J814" i="1"/>
  <c r="L813" i="1"/>
  <c r="K813" i="1"/>
  <c r="J813" i="1"/>
  <c r="L812" i="1"/>
  <c r="K812" i="1"/>
  <c r="J812" i="1"/>
  <c r="L811" i="1"/>
  <c r="K811" i="1"/>
  <c r="J811" i="1"/>
  <c r="L810" i="1"/>
  <c r="K810" i="1"/>
  <c r="J810" i="1"/>
  <c r="L809" i="1"/>
  <c r="K809" i="1"/>
  <c r="J809" i="1"/>
  <c r="L808" i="1"/>
  <c r="K808" i="1"/>
  <c r="J808" i="1"/>
  <c r="L807" i="1"/>
  <c r="K807" i="1"/>
  <c r="J807" i="1"/>
  <c r="L806" i="1"/>
  <c r="K806" i="1"/>
  <c r="J806" i="1"/>
  <c r="L805" i="1"/>
  <c r="K805" i="1"/>
  <c r="J805" i="1"/>
  <c r="L804" i="1"/>
  <c r="K804" i="1"/>
  <c r="J804" i="1"/>
  <c r="L803" i="1"/>
  <c r="K803" i="1"/>
  <c r="J803" i="1"/>
  <c r="L802" i="1"/>
  <c r="K802" i="1"/>
  <c r="J802" i="1"/>
  <c r="L801" i="1"/>
  <c r="K801" i="1"/>
  <c r="J801" i="1"/>
  <c r="L800" i="1"/>
  <c r="K800" i="1"/>
  <c r="J800" i="1"/>
  <c r="L799" i="1"/>
  <c r="K799" i="1"/>
  <c r="J799" i="1"/>
  <c r="L798" i="1"/>
  <c r="K798" i="1"/>
  <c r="J798" i="1"/>
  <c r="L797" i="1"/>
  <c r="K797" i="1"/>
  <c r="J797" i="1"/>
  <c r="L796" i="1"/>
  <c r="K796" i="1"/>
  <c r="J796" i="1"/>
  <c r="L795" i="1"/>
  <c r="K795" i="1"/>
  <c r="J795" i="1"/>
  <c r="L794" i="1"/>
  <c r="K794" i="1"/>
  <c r="J794" i="1"/>
  <c r="L793" i="1"/>
  <c r="K793" i="1"/>
  <c r="J793" i="1"/>
  <c r="L792" i="1"/>
  <c r="K792" i="1"/>
  <c r="J792" i="1"/>
  <c r="L791" i="1"/>
  <c r="K791" i="1"/>
  <c r="J791" i="1"/>
  <c r="L790" i="1"/>
  <c r="K790" i="1"/>
  <c r="J790" i="1"/>
  <c r="L789" i="1"/>
  <c r="K789" i="1"/>
  <c r="J789" i="1"/>
  <c r="L788" i="1"/>
  <c r="K788" i="1"/>
  <c r="J788" i="1"/>
  <c r="L787" i="1"/>
  <c r="K787" i="1"/>
  <c r="J787" i="1"/>
  <c r="L786" i="1"/>
  <c r="K786" i="1"/>
  <c r="J786" i="1"/>
  <c r="L785" i="1"/>
  <c r="K785" i="1"/>
  <c r="J785" i="1"/>
  <c r="L784" i="1"/>
  <c r="K784" i="1"/>
  <c r="J784" i="1"/>
  <c r="L783" i="1"/>
  <c r="K783" i="1"/>
  <c r="J783" i="1"/>
  <c r="L782" i="1"/>
  <c r="K782" i="1"/>
  <c r="J782" i="1"/>
  <c r="L781" i="1"/>
  <c r="K781" i="1"/>
  <c r="J781" i="1"/>
  <c r="L780" i="1"/>
  <c r="K780" i="1"/>
  <c r="J780" i="1"/>
  <c r="L779" i="1"/>
  <c r="K779" i="1"/>
  <c r="J779" i="1"/>
  <c r="L778" i="1"/>
  <c r="K778" i="1"/>
  <c r="J778" i="1"/>
  <c r="L777" i="1"/>
  <c r="K777" i="1"/>
  <c r="J777" i="1"/>
  <c r="L776" i="1"/>
  <c r="K776" i="1"/>
  <c r="J776" i="1"/>
  <c r="L775" i="1"/>
  <c r="K775" i="1"/>
  <c r="J775" i="1"/>
  <c r="L774" i="1"/>
  <c r="K774" i="1"/>
  <c r="J774" i="1"/>
  <c r="L773" i="1"/>
  <c r="K773" i="1"/>
  <c r="J773" i="1"/>
  <c r="L772" i="1"/>
  <c r="K772" i="1"/>
  <c r="J772" i="1"/>
  <c r="L771" i="1"/>
  <c r="K771" i="1"/>
  <c r="J771" i="1"/>
  <c r="L770" i="1"/>
  <c r="K770" i="1"/>
  <c r="J770" i="1"/>
  <c r="L769" i="1"/>
  <c r="K769" i="1"/>
  <c r="J769" i="1"/>
  <c r="L768" i="1"/>
  <c r="K768" i="1"/>
  <c r="J768" i="1"/>
  <c r="L767" i="1"/>
  <c r="K767" i="1"/>
  <c r="J767" i="1"/>
  <c r="L766" i="1"/>
  <c r="K766" i="1"/>
  <c r="J766" i="1"/>
  <c r="L765" i="1"/>
  <c r="K765" i="1"/>
  <c r="J765" i="1"/>
  <c r="L764" i="1"/>
  <c r="K764" i="1"/>
  <c r="J764" i="1"/>
  <c r="L763" i="1"/>
  <c r="K763" i="1"/>
  <c r="J763" i="1"/>
  <c r="L762" i="1"/>
  <c r="K762" i="1"/>
  <c r="J762" i="1"/>
  <c r="L761" i="1"/>
  <c r="K761" i="1"/>
  <c r="J761" i="1"/>
  <c r="L760" i="1"/>
  <c r="K760" i="1"/>
  <c r="J760" i="1"/>
  <c r="L759" i="1"/>
  <c r="K759" i="1"/>
  <c r="J759" i="1"/>
  <c r="L758" i="1"/>
  <c r="K758" i="1"/>
  <c r="J758" i="1"/>
  <c r="L757" i="1"/>
  <c r="K757" i="1"/>
  <c r="J757" i="1"/>
  <c r="L756" i="1"/>
  <c r="K756" i="1"/>
  <c r="J756" i="1"/>
  <c r="L755" i="1"/>
  <c r="K755" i="1"/>
  <c r="J755" i="1"/>
  <c r="L754" i="1"/>
  <c r="K754" i="1"/>
  <c r="J754" i="1"/>
  <c r="L753" i="1"/>
  <c r="K753" i="1"/>
  <c r="J753" i="1"/>
  <c r="L752" i="1"/>
  <c r="K752" i="1"/>
  <c r="J752" i="1"/>
  <c r="L751" i="1"/>
  <c r="K751" i="1"/>
  <c r="J751" i="1"/>
  <c r="L750" i="1"/>
  <c r="K750" i="1"/>
  <c r="J750" i="1"/>
  <c r="L749" i="1"/>
  <c r="K749" i="1"/>
  <c r="J749" i="1"/>
  <c r="L748" i="1"/>
  <c r="K748" i="1"/>
  <c r="J748" i="1"/>
  <c r="L747" i="1"/>
  <c r="K747" i="1"/>
  <c r="J747" i="1"/>
  <c r="L746" i="1"/>
  <c r="K746" i="1"/>
  <c r="J746" i="1"/>
  <c r="L745" i="1"/>
  <c r="K745" i="1"/>
  <c r="J745" i="1"/>
  <c r="L744" i="1"/>
  <c r="K744" i="1"/>
  <c r="J744" i="1"/>
  <c r="L743" i="1"/>
  <c r="K743" i="1"/>
  <c r="J743" i="1"/>
  <c r="L742" i="1"/>
  <c r="K742" i="1"/>
  <c r="J742" i="1"/>
  <c r="L741" i="1"/>
  <c r="K741" i="1"/>
  <c r="J741" i="1"/>
  <c r="L740" i="1"/>
  <c r="K740" i="1"/>
  <c r="J740" i="1"/>
  <c r="L739" i="1"/>
  <c r="K739" i="1"/>
  <c r="J739" i="1"/>
  <c r="L738" i="1"/>
  <c r="K738" i="1"/>
  <c r="J738" i="1"/>
  <c r="L737" i="1"/>
  <c r="K737" i="1"/>
  <c r="J737" i="1"/>
  <c r="L736" i="1"/>
  <c r="K736" i="1"/>
  <c r="J736" i="1"/>
  <c r="L735" i="1"/>
  <c r="K735" i="1"/>
  <c r="J735" i="1"/>
  <c r="L734" i="1"/>
  <c r="K734" i="1"/>
  <c r="J734" i="1"/>
  <c r="L733" i="1"/>
  <c r="K733" i="1"/>
  <c r="J733" i="1"/>
  <c r="L732" i="1"/>
  <c r="K732" i="1"/>
  <c r="J732" i="1"/>
  <c r="L731" i="1"/>
  <c r="K731" i="1"/>
  <c r="J731" i="1"/>
  <c r="L730" i="1"/>
  <c r="K730" i="1"/>
  <c r="J730" i="1"/>
  <c r="L729" i="1"/>
  <c r="K729" i="1"/>
  <c r="J729" i="1"/>
  <c r="L728" i="1"/>
  <c r="K728" i="1"/>
  <c r="J728" i="1"/>
  <c r="L727" i="1"/>
  <c r="K727" i="1"/>
  <c r="J727" i="1"/>
  <c r="L726" i="1"/>
  <c r="K726" i="1"/>
  <c r="J726" i="1"/>
  <c r="L725" i="1"/>
  <c r="K725" i="1"/>
  <c r="J725" i="1"/>
  <c r="L724" i="1"/>
  <c r="K724" i="1"/>
  <c r="J724" i="1"/>
  <c r="L723" i="1"/>
  <c r="K723" i="1"/>
  <c r="J723" i="1"/>
  <c r="L722" i="1"/>
  <c r="K722" i="1"/>
  <c r="J722" i="1"/>
  <c r="L721" i="1"/>
  <c r="K721" i="1"/>
  <c r="J721" i="1"/>
  <c r="L720" i="1"/>
  <c r="K720" i="1"/>
  <c r="J720" i="1"/>
  <c r="L719" i="1"/>
  <c r="K719" i="1"/>
  <c r="J719" i="1"/>
  <c r="L718" i="1"/>
  <c r="K718" i="1"/>
  <c r="J718" i="1"/>
  <c r="L717" i="1"/>
  <c r="K717" i="1"/>
  <c r="J717" i="1"/>
  <c r="L716" i="1"/>
  <c r="K716" i="1"/>
  <c r="J716" i="1"/>
  <c r="L715" i="1"/>
  <c r="K715" i="1"/>
  <c r="J715" i="1"/>
  <c r="L714" i="1"/>
  <c r="K714" i="1"/>
  <c r="J714" i="1"/>
  <c r="L713" i="1"/>
  <c r="K713" i="1"/>
  <c r="J713" i="1"/>
  <c r="L712" i="1"/>
  <c r="K712" i="1"/>
  <c r="J712" i="1"/>
  <c r="L711" i="1"/>
  <c r="K711" i="1"/>
  <c r="J711" i="1"/>
  <c r="L710" i="1"/>
  <c r="K710" i="1"/>
  <c r="J710" i="1"/>
  <c r="L709" i="1"/>
  <c r="K709" i="1"/>
  <c r="J709" i="1"/>
  <c r="L708" i="1"/>
  <c r="K708" i="1"/>
  <c r="J708" i="1"/>
  <c r="L707" i="1"/>
  <c r="K707" i="1"/>
  <c r="J707" i="1"/>
  <c r="L706" i="1"/>
  <c r="K706" i="1"/>
  <c r="J706" i="1"/>
  <c r="L705" i="1"/>
  <c r="K705" i="1"/>
  <c r="J705" i="1"/>
  <c r="L704" i="1"/>
  <c r="K704" i="1"/>
  <c r="J704" i="1"/>
  <c r="L703" i="1"/>
  <c r="K703" i="1"/>
  <c r="J703" i="1"/>
  <c r="L702" i="1"/>
  <c r="K702" i="1"/>
  <c r="J702" i="1"/>
  <c r="L701" i="1"/>
  <c r="K701" i="1"/>
  <c r="J701" i="1"/>
  <c r="L700" i="1"/>
  <c r="K700" i="1"/>
  <c r="J700" i="1"/>
  <c r="L699" i="1"/>
  <c r="K699" i="1"/>
  <c r="J699" i="1"/>
  <c r="L698" i="1"/>
  <c r="K698" i="1"/>
  <c r="J698" i="1"/>
  <c r="L697" i="1"/>
  <c r="K697" i="1"/>
  <c r="J697" i="1"/>
  <c r="L696" i="1"/>
  <c r="K696" i="1"/>
  <c r="J696" i="1"/>
  <c r="L695" i="1"/>
  <c r="K695" i="1"/>
  <c r="J695" i="1"/>
  <c r="L694" i="1"/>
  <c r="K694" i="1"/>
  <c r="J694" i="1"/>
  <c r="L693" i="1"/>
  <c r="K693" i="1"/>
  <c r="J693" i="1"/>
  <c r="L692" i="1"/>
  <c r="K692" i="1"/>
  <c r="J692" i="1"/>
  <c r="L691" i="1"/>
  <c r="K691" i="1"/>
  <c r="J691" i="1"/>
  <c r="L690" i="1"/>
  <c r="K690" i="1"/>
  <c r="J690" i="1"/>
  <c r="L689" i="1"/>
  <c r="K689" i="1"/>
  <c r="J689" i="1"/>
  <c r="L688" i="1"/>
  <c r="K688" i="1"/>
  <c r="J688" i="1"/>
  <c r="L687" i="1"/>
  <c r="K687" i="1"/>
  <c r="J687" i="1"/>
  <c r="L686" i="1"/>
  <c r="K686" i="1"/>
  <c r="J686" i="1"/>
  <c r="L685" i="1"/>
  <c r="K685" i="1"/>
  <c r="J685" i="1"/>
  <c r="L684" i="1"/>
  <c r="K684" i="1"/>
  <c r="J684" i="1"/>
  <c r="L683" i="1"/>
  <c r="K683" i="1"/>
  <c r="J683" i="1"/>
  <c r="L682" i="1"/>
  <c r="K682" i="1"/>
  <c r="J682" i="1"/>
  <c r="L681" i="1"/>
  <c r="K681" i="1"/>
  <c r="J681" i="1"/>
  <c r="L680" i="1"/>
  <c r="K680" i="1"/>
  <c r="J680" i="1"/>
  <c r="L679" i="1"/>
  <c r="K679" i="1"/>
  <c r="J679" i="1"/>
  <c r="L678" i="1"/>
  <c r="K678" i="1"/>
  <c r="J678" i="1"/>
  <c r="L677" i="1"/>
  <c r="K677" i="1"/>
  <c r="J677" i="1"/>
  <c r="L676" i="1"/>
  <c r="K676" i="1"/>
  <c r="J676" i="1"/>
  <c r="L675" i="1"/>
  <c r="K675" i="1"/>
  <c r="J675" i="1"/>
  <c r="L674" i="1"/>
  <c r="K674" i="1"/>
  <c r="J674" i="1"/>
  <c r="L673" i="1"/>
  <c r="K673" i="1"/>
  <c r="J673" i="1"/>
  <c r="L672" i="1"/>
  <c r="K672" i="1"/>
  <c r="J672" i="1"/>
  <c r="L671" i="1"/>
  <c r="K671" i="1"/>
  <c r="J671" i="1"/>
  <c r="L670" i="1"/>
  <c r="K670" i="1"/>
  <c r="J670" i="1"/>
  <c r="L669" i="1"/>
  <c r="K669" i="1"/>
  <c r="J669" i="1"/>
  <c r="L668" i="1"/>
  <c r="K668" i="1"/>
  <c r="J668" i="1"/>
  <c r="L667" i="1"/>
  <c r="K667" i="1"/>
  <c r="J667" i="1"/>
  <c r="L666" i="1"/>
  <c r="K666" i="1"/>
  <c r="J666" i="1"/>
  <c r="L665" i="1"/>
  <c r="K665" i="1"/>
  <c r="J665" i="1"/>
  <c r="L664" i="1"/>
  <c r="K664" i="1"/>
  <c r="J664" i="1"/>
  <c r="L663" i="1"/>
  <c r="K663" i="1"/>
  <c r="J663" i="1"/>
  <c r="L662" i="1"/>
  <c r="K662" i="1"/>
  <c r="J662" i="1"/>
  <c r="L661" i="1"/>
  <c r="K661" i="1"/>
  <c r="J661" i="1"/>
  <c r="L660" i="1"/>
  <c r="K660" i="1"/>
  <c r="J660" i="1"/>
  <c r="L659" i="1"/>
  <c r="K659" i="1"/>
  <c r="J659" i="1"/>
  <c r="L658" i="1"/>
  <c r="K658" i="1"/>
  <c r="J658" i="1"/>
  <c r="L657" i="1"/>
  <c r="K657" i="1"/>
  <c r="J657" i="1"/>
  <c r="L656" i="1"/>
  <c r="K656" i="1"/>
  <c r="J656" i="1"/>
  <c r="L655" i="1"/>
  <c r="K655" i="1"/>
  <c r="J655" i="1"/>
  <c r="L654" i="1"/>
  <c r="K654" i="1"/>
  <c r="J654" i="1"/>
  <c r="L653" i="1"/>
  <c r="K653" i="1"/>
  <c r="J653" i="1"/>
  <c r="L652" i="1"/>
  <c r="K652" i="1"/>
  <c r="J652" i="1"/>
  <c r="L651" i="1"/>
  <c r="K651" i="1"/>
  <c r="J651" i="1"/>
  <c r="L650" i="1"/>
  <c r="K650" i="1"/>
  <c r="J650" i="1"/>
  <c r="L649" i="1"/>
  <c r="K649" i="1"/>
  <c r="J649" i="1"/>
  <c r="L648" i="1"/>
  <c r="K648" i="1"/>
  <c r="J648" i="1"/>
  <c r="L647" i="1"/>
  <c r="K647" i="1"/>
  <c r="J647" i="1"/>
  <c r="L646" i="1"/>
  <c r="K646" i="1"/>
  <c r="J646" i="1"/>
  <c r="L645" i="1"/>
  <c r="K645" i="1"/>
  <c r="J645" i="1"/>
  <c r="L644" i="1"/>
  <c r="K644" i="1"/>
  <c r="J644" i="1"/>
  <c r="L643" i="1"/>
  <c r="K643" i="1"/>
  <c r="J643" i="1"/>
  <c r="L642" i="1"/>
  <c r="K642" i="1"/>
  <c r="J642" i="1"/>
  <c r="L641" i="1"/>
  <c r="K641" i="1"/>
  <c r="J641" i="1"/>
  <c r="L640" i="1"/>
  <c r="K640" i="1"/>
  <c r="J640" i="1"/>
  <c r="L639" i="1"/>
  <c r="K639" i="1"/>
  <c r="J639" i="1"/>
  <c r="L638" i="1"/>
  <c r="K638" i="1"/>
  <c r="J638" i="1"/>
  <c r="L637" i="1"/>
  <c r="K637" i="1"/>
  <c r="J637" i="1"/>
  <c r="L636" i="1"/>
  <c r="K636" i="1"/>
  <c r="J636" i="1"/>
  <c r="L635" i="1"/>
  <c r="K635" i="1"/>
  <c r="J635" i="1"/>
  <c r="L634" i="1"/>
  <c r="K634" i="1"/>
  <c r="J634" i="1"/>
  <c r="L633" i="1"/>
  <c r="K633" i="1"/>
  <c r="J633" i="1"/>
  <c r="L632" i="1"/>
  <c r="K632" i="1"/>
  <c r="J632" i="1"/>
  <c r="L631" i="1"/>
  <c r="K631" i="1"/>
  <c r="J631" i="1"/>
  <c r="L630" i="1"/>
  <c r="K630" i="1"/>
  <c r="J630" i="1"/>
  <c r="L629" i="1"/>
  <c r="K629" i="1"/>
  <c r="J629" i="1"/>
  <c r="L628" i="1"/>
  <c r="K628" i="1"/>
  <c r="J628" i="1"/>
  <c r="L627" i="1"/>
  <c r="K627" i="1"/>
  <c r="J627" i="1"/>
  <c r="L626" i="1"/>
  <c r="K626" i="1"/>
  <c r="J626" i="1"/>
  <c r="L625" i="1"/>
  <c r="K625" i="1"/>
  <c r="J625" i="1"/>
  <c r="L624" i="1"/>
  <c r="K624" i="1"/>
  <c r="J624" i="1"/>
  <c r="L623" i="1"/>
  <c r="K623" i="1"/>
  <c r="J623" i="1"/>
  <c r="L622" i="1"/>
  <c r="K622" i="1"/>
  <c r="J622" i="1"/>
  <c r="L621" i="1"/>
  <c r="K621" i="1"/>
  <c r="J621" i="1"/>
  <c r="L620" i="1"/>
  <c r="K620" i="1"/>
  <c r="J620" i="1"/>
  <c r="L619" i="1"/>
  <c r="K619" i="1"/>
  <c r="J619" i="1"/>
  <c r="L618" i="1"/>
  <c r="K618" i="1"/>
  <c r="J618" i="1"/>
  <c r="L617" i="1"/>
  <c r="K617" i="1"/>
  <c r="J617" i="1"/>
  <c r="L616" i="1"/>
  <c r="K616" i="1"/>
  <c r="J616" i="1"/>
  <c r="L615" i="1"/>
  <c r="K615" i="1"/>
  <c r="J615" i="1"/>
  <c r="L614" i="1"/>
  <c r="K614" i="1"/>
  <c r="J614" i="1"/>
  <c r="L613" i="1"/>
  <c r="K613" i="1"/>
  <c r="J613" i="1"/>
  <c r="L612" i="1"/>
  <c r="K612" i="1"/>
  <c r="J612" i="1"/>
  <c r="L611" i="1"/>
  <c r="K611" i="1"/>
  <c r="J611" i="1"/>
  <c r="L610" i="1"/>
  <c r="K610" i="1"/>
  <c r="J610" i="1"/>
  <c r="L609" i="1"/>
  <c r="K609" i="1"/>
  <c r="J609" i="1"/>
  <c r="L608" i="1"/>
  <c r="K608" i="1"/>
  <c r="J608" i="1"/>
  <c r="L607" i="1"/>
  <c r="K607" i="1"/>
  <c r="J607" i="1"/>
  <c r="L606" i="1"/>
  <c r="K606" i="1"/>
  <c r="J606" i="1"/>
  <c r="L605" i="1"/>
  <c r="K605" i="1"/>
  <c r="J605" i="1"/>
  <c r="L604" i="1"/>
  <c r="K604" i="1"/>
  <c r="J604" i="1"/>
  <c r="L603" i="1"/>
  <c r="K603" i="1"/>
  <c r="J603" i="1"/>
  <c r="L602" i="1"/>
  <c r="K602" i="1"/>
  <c r="J602" i="1"/>
  <c r="L601" i="1"/>
  <c r="K601" i="1"/>
  <c r="J601" i="1"/>
  <c r="L600" i="1"/>
  <c r="K600" i="1"/>
  <c r="J600" i="1"/>
  <c r="L599" i="1"/>
  <c r="K599" i="1"/>
  <c r="J599" i="1"/>
  <c r="L598" i="1"/>
  <c r="K598" i="1"/>
  <c r="J598" i="1"/>
  <c r="L597" i="1"/>
  <c r="K597" i="1"/>
  <c r="J597" i="1"/>
  <c r="L596" i="1"/>
  <c r="K596" i="1"/>
  <c r="J596" i="1"/>
  <c r="L595" i="1"/>
  <c r="K595" i="1"/>
  <c r="J595" i="1"/>
  <c r="L594" i="1"/>
  <c r="K594" i="1"/>
  <c r="J594" i="1"/>
  <c r="L593" i="1"/>
  <c r="K593" i="1"/>
  <c r="J593" i="1"/>
  <c r="L592" i="1"/>
  <c r="K592" i="1"/>
  <c r="J592" i="1"/>
  <c r="L591" i="1"/>
  <c r="K591" i="1"/>
  <c r="J591" i="1"/>
  <c r="L590" i="1"/>
  <c r="K590" i="1"/>
  <c r="J590" i="1"/>
  <c r="L589" i="1"/>
  <c r="K589" i="1"/>
  <c r="J589" i="1"/>
  <c r="L588" i="1"/>
  <c r="K588" i="1"/>
  <c r="J588" i="1"/>
  <c r="L587" i="1"/>
  <c r="K587" i="1"/>
  <c r="J587" i="1"/>
  <c r="L586" i="1"/>
  <c r="K586" i="1"/>
  <c r="J586" i="1"/>
  <c r="L585" i="1"/>
  <c r="K585" i="1"/>
  <c r="J585" i="1"/>
  <c r="L584" i="1"/>
  <c r="K584" i="1"/>
  <c r="J584" i="1"/>
  <c r="L583" i="1"/>
  <c r="K583" i="1"/>
  <c r="J583" i="1"/>
  <c r="L582" i="1"/>
  <c r="K582" i="1"/>
  <c r="J582" i="1"/>
  <c r="L581" i="1"/>
  <c r="K581" i="1"/>
  <c r="J581" i="1"/>
  <c r="L580" i="1"/>
  <c r="K580" i="1"/>
  <c r="J580" i="1"/>
  <c r="L579" i="1"/>
  <c r="K579" i="1"/>
  <c r="J579" i="1"/>
  <c r="L578" i="1"/>
  <c r="K578" i="1"/>
  <c r="J578" i="1"/>
  <c r="L577" i="1"/>
  <c r="K577" i="1"/>
  <c r="J577" i="1"/>
  <c r="L576" i="1"/>
  <c r="K576" i="1"/>
  <c r="J576" i="1"/>
  <c r="L575" i="1"/>
  <c r="K575" i="1"/>
  <c r="J575" i="1"/>
  <c r="L574" i="1"/>
  <c r="K574" i="1"/>
  <c r="J574" i="1"/>
  <c r="L573" i="1"/>
  <c r="K573" i="1"/>
  <c r="J573" i="1"/>
  <c r="L572" i="1"/>
  <c r="K572" i="1"/>
  <c r="J572" i="1"/>
  <c r="L571" i="1"/>
  <c r="K571" i="1"/>
  <c r="J571" i="1"/>
  <c r="L570" i="1"/>
  <c r="K570" i="1"/>
  <c r="J570" i="1"/>
  <c r="L569" i="1"/>
  <c r="K569" i="1"/>
  <c r="J569" i="1"/>
  <c r="L568" i="1"/>
  <c r="K568" i="1"/>
  <c r="J568" i="1"/>
  <c r="L567" i="1"/>
  <c r="K567" i="1"/>
  <c r="J567" i="1"/>
  <c r="L566" i="1"/>
  <c r="K566" i="1"/>
  <c r="J566" i="1"/>
  <c r="L565" i="1"/>
  <c r="K565" i="1"/>
  <c r="J565" i="1"/>
  <c r="L564" i="1"/>
  <c r="K564" i="1"/>
  <c r="J564" i="1"/>
  <c r="L563" i="1"/>
  <c r="K563" i="1"/>
  <c r="J563" i="1"/>
  <c r="L562" i="1"/>
  <c r="K562" i="1"/>
  <c r="J562" i="1"/>
  <c r="L561" i="1"/>
  <c r="K561" i="1"/>
  <c r="J561" i="1"/>
  <c r="L560" i="1"/>
  <c r="K560" i="1"/>
  <c r="J560" i="1"/>
  <c r="L559" i="1"/>
  <c r="K559" i="1"/>
  <c r="J559" i="1"/>
  <c r="L558" i="1"/>
  <c r="K558" i="1"/>
  <c r="J558" i="1"/>
  <c r="L557" i="1"/>
  <c r="K557" i="1"/>
  <c r="J557" i="1"/>
  <c r="L556" i="1"/>
  <c r="K556" i="1"/>
  <c r="J556" i="1"/>
  <c r="L555" i="1"/>
  <c r="K555" i="1"/>
  <c r="J555" i="1"/>
  <c r="L554" i="1"/>
  <c r="K554" i="1"/>
  <c r="J554" i="1"/>
  <c r="L553" i="1"/>
  <c r="K553" i="1"/>
  <c r="J553" i="1"/>
  <c r="L552" i="1"/>
  <c r="K552" i="1"/>
  <c r="J552" i="1"/>
  <c r="L551" i="1"/>
  <c r="K551" i="1"/>
  <c r="J551" i="1"/>
  <c r="L550" i="1"/>
  <c r="K550" i="1"/>
  <c r="J550" i="1"/>
  <c r="L549" i="1"/>
  <c r="K549" i="1"/>
  <c r="J549" i="1"/>
  <c r="L548" i="1"/>
  <c r="K548" i="1"/>
  <c r="J548" i="1"/>
  <c r="L547" i="1"/>
  <c r="K547" i="1"/>
  <c r="J547" i="1"/>
  <c r="L546" i="1"/>
  <c r="K546" i="1"/>
  <c r="J546" i="1"/>
  <c r="L545" i="1"/>
  <c r="K545" i="1"/>
  <c r="J545" i="1"/>
  <c r="L544" i="1"/>
  <c r="K544" i="1"/>
  <c r="J544" i="1"/>
  <c r="L543" i="1"/>
  <c r="K543" i="1"/>
  <c r="J543" i="1"/>
  <c r="L542" i="1"/>
  <c r="K542" i="1"/>
  <c r="J542" i="1"/>
  <c r="L541" i="1"/>
  <c r="K541" i="1"/>
  <c r="J541" i="1"/>
  <c r="L540" i="1"/>
  <c r="K540" i="1"/>
  <c r="J540" i="1"/>
  <c r="L539" i="1"/>
  <c r="K539" i="1"/>
  <c r="J539" i="1"/>
  <c r="L538" i="1"/>
  <c r="K538" i="1"/>
  <c r="J538" i="1"/>
  <c r="L537" i="1"/>
  <c r="K537" i="1"/>
  <c r="J537" i="1"/>
  <c r="L536" i="1"/>
  <c r="K536" i="1"/>
  <c r="J536" i="1"/>
  <c r="L535" i="1"/>
  <c r="K535" i="1"/>
  <c r="J535" i="1"/>
  <c r="L534" i="1"/>
  <c r="K534" i="1"/>
  <c r="J534" i="1"/>
  <c r="L533" i="1"/>
  <c r="K533" i="1"/>
  <c r="J533" i="1"/>
  <c r="L532" i="1"/>
  <c r="K532" i="1"/>
  <c r="J532" i="1"/>
  <c r="L531" i="1"/>
  <c r="K531" i="1"/>
  <c r="J531" i="1"/>
  <c r="L530" i="1"/>
  <c r="K530" i="1"/>
  <c r="J530" i="1"/>
  <c r="L529" i="1"/>
  <c r="K529" i="1"/>
  <c r="J529" i="1"/>
  <c r="L528" i="1"/>
  <c r="K528" i="1"/>
  <c r="J528" i="1"/>
  <c r="L527" i="1"/>
  <c r="K527" i="1"/>
  <c r="J527" i="1"/>
  <c r="L526" i="1"/>
  <c r="K526" i="1"/>
  <c r="J526" i="1"/>
  <c r="L525" i="1"/>
  <c r="K525" i="1"/>
  <c r="J525" i="1"/>
  <c r="L524" i="1"/>
  <c r="K524" i="1"/>
  <c r="J524" i="1"/>
  <c r="L523" i="1"/>
  <c r="K523" i="1"/>
  <c r="J523" i="1"/>
  <c r="L522" i="1"/>
  <c r="K522" i="1"/>
  <c r="J522" i="1"/>
  <c r="L521" i="1"/>
  <c r="K521" i="1"/>
  <c r="J521" i="1"/>
  <c r="L520" i="1"/>
  <c r="K520" i="1"/>
  <c r="J520" i="1"/>
  <c r="L519" i="1"/>
  <c r="K519" i="1"/>
  <c r="J519" i="1"/>
  <c r="L518" i="1"/>
  <c r="K518" i="1"/>
  <c r="J518" i="1"/>
  <c r="L517" i="1"/>
  <c r="K517" i="1"/>
  <c r="J517" i="1"/>
  <c r="L516" i="1"/>
  <c r="K516" i="1"/>
  <c r="J516" i="1"/>
  <c r="L515" i="1"/>
  <c r="K515" i="1"/>
  <c r="J515" i="1"/>
  <c r="L514" i="1"/>
  <c r="K514" i="1"/>
  <c r="J514" i="1"/>
  <c r="L513" i="1"/>
  <c r="K513" i="1"/>
  <c r="J513" i="1"/>
  <c r="L512" i="1"/>
  <c r="K512" i="1"/>
  <c r="J512" i="1"/>
  <c r="L511" i="1"/>
  <c r="K511" i="1"/>
  <c r="J511" i="1"/>
  <c r="L510" i="1"/>
  <c r="K510" i="1"/>
  <c r="J510" i="1"/>
  <c r="L509" i="1"/>
  <c r="K509" i="1"/>
  <c r="J509" i="1"/>
  <c r="L508" i="1"/>
  <c r="K508" i="1"/>
  <c r="J508" i="1"/>
  <c r="L507" i="1"/>
  <c r="K507" i="1"/>
  <c r="J507" i="1"/>
  <c r="L506" i="1"/>
  <c r="K506" i="1"/>
  <c r="J506" i="1"/>
  <c r="L505" i="1"/>
  <c r="K505" i="1"/>
  <c r="J505" i="1"/>
  <c r="L504" i="1"/>
  <c r="K504" i="1"/>
  <c r="J504" i="1"/>
  <c r="L503" i="1"/>
  <c r="K503" i="1"/>
  <c r="J503" i="1"/>
  <c r="L502" i="1"/>
  <c r="K502" i="1"/>
  <c r="J502" i="1"/>
  <c r="L501" i="1"/>
  <c r="K501" i="1"/>
  <c r="J501" i="1"/>
  <c r="L500" i="1"/>
  <c r="K500" i="1"/>
  <c r="J500" i="1"/>
  <c r="L499" i="1"/>
  <c r="K499" i="1"/>
  <c r="J499" i="1"/>
  <c r="L498" i="1"/>
  <c r="K498" i="1"/>
  <c r="J498" i="1"/>
  <c r="L497" i="1"/>
  <c r="K497" i="1"/>
  <c r="J497" i="1"/>
  <c r="L496" i="1"/>
  <c r="K496" i="1"/>
  <c r="J496" i="1"/>
  <c r="L495" i="1"/>
  <c r="K495" i="1"/>
  <c r="J495" i="1"/>
  <c r="L494" i="1"/>
  <c r="K494" i="1"/>
  <c r="J494" i="1"/>
  <c r="L493" i="1"/>
  <c r="K493" i="1"/>
  <c r="J493" i="1"/>
  <c r="L492" i="1"/>
  <c r="K492" i="1"/>
  <c r="J492" i="1"/>
  <c r="L491" i="1"/>
  <c r="K491" i="1"/>
  <c r="J491" i="1"/>
  <c r="L490" i="1"/>
  <c r="K490" i="1"/>
  <c r="J490" i="1"/>
  <c r="L489" i="1"/>
  <c r="K489" i="1"/>
  <c r="J489" i="1"/>
  <c r="L488" i="1"/>
  <c r="K488" i="1"/>
  <c r="J488" i="1"/>
  <c r="L487" i="1"/>
  <c r="K487" i="1"/>
  <c r="J487" i="1"/>
  <c r="L486" i="1"/>
  <c r="K486" i="1"/>
  <c r="J486" i="1"/>
  <c r="L485" i="1"/>
  <c r="K485" i="1"/>
  <c r="J485" i="1"/>
  <c r="L484" i="1"/>
  <c r="K484" i="1"/>
  <c r="J484" i="1"/>
  <c r="L483" i="1"/>
  <c r="K483" i="1"/>
  <c r="J483" i="1"/>
  <c r="L482" i="1"/>
  <c r="K482" i="1"/>
  <c r="J482" i="1"/>
  <c r="L481" i="1"/>
  <c r="K481" i="1"/>
  <c r="J481" i="1"/>
  <c r="L480" i="1"/>
  <c r="K480" i="1"/>
  <c r="J480" i="1"/>
  <c r="L479" i="1"/>
  <c r="K479" i="1"/>
  <c r="J479" i="1"/>
  <c r="L478" i="1"/>
  <c r="K478" i="1"/>
  <c r="J478" i="1"/>
  <c r="L477" i="1"/>
  <c r="K477" i="1"/>
  <c r="J477" i="1"/>
  <c r="L476" i="1"/>
  <c r="K476" i="1"/>
  <c r="J476" i="1"/>
  <c r="L475" i="1"/>
  <c r="K475" i="1"/>
  <c r="J475" i="1"/>
  <c r="L474" i="1"/>
  <c r="K474" i="1"/>
  <c r="J474" i="1"/>
  <c r="L473" i="1"/>
  <c r="K473" i="1"/>
  <c r="J473" i="1"/>
  <c r="L472" i="1"/>
  <c r="K472" i="1"/>
  <c r="J472" i="1"/>
  <c r="L471" i="1"/>
  <c r="K471" i="1"/>
  <c r="J471" i="1"/>
  <c r="L470" i="1"/>
  <c r="K470" i="1"/>
  <c r="J470" i="1"/>
  <c r="L469" i="1"/>
  <c r="K469" i="1"/>
  <c r="J469" i="1"/>
  <c r="L468" i="1"/>
  <c r="K468" i="1"/>
  <c r="J468" i="1"/>
  <c r="L467" i="1"/>
  <c r="K467" i="1"/>
  <c r="J467" i="1"/>
  <c r="L466" i="1"/>
  <c r="K466" i="1"/>
  <c r="J466" i="1"/>
  <c r="L465" i="1"/>
  <c r="K465" i="1"/>
  <c r="J465" i="1"/>
  <c r="L464" i="1"/>
  <c r="K464" i="1"/>
  <c r="J464" i="1"/>
  <c r="L463" i="1"/>
  <c r="K463" i="1"/>
  <c r="J463" i="1"/>
  <c r="L462" i="1"/>
  <c r="K462" i="1"/>
  <c r="J462" i="1"/>
  <c r="L461" i="1"/>
  <c r="K461" i="1"/>
  <c r="J461" i="1"/>
  <c r="L460" i="1"/>
  <c r="K460" i="1"/>
  <c r="J460" i="1"/>
  <c r="L459" i="1"/>
  <c r="K459" i="1"/>
  <c r="J459" i="1"/>
  <c r="L458" i="1"/>
  <c r="K458" i="1"/>
  <c r="J458" i="1"/>
  <c r="L457" i="1"/>
  <c r="K457" i="1"/>
  <c r="J457" i="1"/>
  <c r="L456" i="1"/>
  <c r="K456" i="1"/>
  <c r="J456" i="1"/>
  <c r="L455" i="1"/>
  <c r="K455" i="1"/>
  <c r="J455" i="1"/>
  <c r="L454" i="1"/>
  <c r="K454" i="1"/>
  <c r="J454" i="1"/>
  <c r="L453" i="1"/>
  <c r="K453" i="1"/>
  <c r="J453" i="1"/>
  <c r="L452" i="1"/>
  <c r="K452" i="1"/>
  <c r="J452" i="1"/>
  <c r="L451" i="1"/>
  <c r="K451" i="1"/>
  <c r="J451" i="1"/>
  <c r="L450" i="1"/>
  <c r="K450" i="1"/>
  <c r="J450" i="1"/>
  <c r="L449" i="1"/>
  <c r="K449" i="1"/>
  <c r="J449" i="1"/>
  <c r="L448" i="1"/>
  <c r="K448" i="1"/>
  <c r="J448" i="1"/>
  <c r="L447" i="1"/>
  <c r="K447" i="1"/>
  <c r="J447" i="1"/>
  <c r="L446" i="1"/>
  <c r="K446" i="1"/>
  <c r="J446" i="1"/>
  <c r="L445" i="1"/>
  <c r="K445" i="1"/>
  <c r="J445" i="1"/>
  <c r="L444" i="1"/>
  <c r="K444" i="1"/>
  <c r="J444" i="1"/>
  <c r="L443" i="1"/>
  <c r="K443" i="1"/>
  <c r="J443" i="1"/>
  <c r="L442" i="1"/>
  <c r="K442" i="1"/>
  <c r="J442" i="1"/>
  <c r="L441" i="1"/>
  <c r="K441" i="1"/>
  <c r="J441" i="1"/>
  <c r="L440" i="1"/>
  <c r="K440" i="1"/>
  <c r="J440" i="1"/>
  <c r="L439" i="1"/>
  <c r="K439" i="1"/>
  <c r="J439" i="1"/>
  <c r="L438" i="1"/>
  <c r="K438" i="1"/>
  <c r="J438" i="1"/>
  <c r="L437" i="1"/>
  <c r="K437" i="1"/>
  <c r="J437" i="1"/>
  <c r="L436" i="1"/>
  <c r="K436" i="1"/>
  <c r="J436" i="1"/>
  <c r="L435" i="1"/>
  <c r="K435" i="1"/>
  <c r="J435" i="1"/>
  <c r="L434" i="1"/>
  <c r="K434" i="1"/>
  <c r="J434" i="1"/>
  <c r="L433" i="1"/>
  <c r="K433" i="1"/>
  <c r="J433" i="1"/>
  <c r="L432" i="1"/>
  <c r="K432" i="1"/>
  <c r="J432" i="1"/>
  <c r="L431" i="1"/>
  <c r="K431" i="1"/>
  <c r="J431" i="1"/>
  <c r="L430" i="1"/>
  <c r="K430" i="1"/>
  <c r="J430" i="1"/>
  <c r="L429" i="1"/>
  <c r="K429" i="1"/>
  <c r="J429" i="1"/>
  <c r="L428" i="1"/>
  <c r="K428" i="1"/>
  <c r="J428" i="1"/>
  <c r="L427" i="1"/>
  <c r="K427" i="1"/>
  <c r="J427" i="1"/>
  <c r="L426" i="1"/>
  <c r="K426" i="1"/>
  <c r="J426" i="1"/>
  <c r="L425" i="1"/>
  <c r="K425" i="1"/>
  <c r="J425" i="1"/>
  <c r="L424" i="1"/>
  <c r="K424" i="1"/>
  <c r="J424" i="1"/>
  <c r="L423" i="1"/>
  <c r="K423" i="1"/>
  <c r="J423" i="1"/>
  <c r="L422" i="1"/>
  <c r="K422" i="1"/>
  <c r="J422" i="1"/>
  <c r="L421" i="1"/>
  <c r="K421" i="1"/>
  <c r="J421" i="1"/>
  <c r="L420" i="1"/>
  <c r="K420" i="1"/>
  <c r="J420" i="1"/>
  <c r="L419" i="1"/>
  <c r="K419" i="1"/>
  <c r="J419" i="1"/>
  <c r="L418" i="1"/>
  <c r="K418" i="1"/>
  <c r="J418" i="1"/>
  <c r="L417" i="1"/>
  <c r="K417" i="1"/>
  <c r="J417" i="1"/>
  <c r="L416" i="1"/>
  <c r="K416" i="1"/>
  <c r="J416" i="1"/>
  <c r="L415" i="1"/>
  <c r="K415" i="1"/>
  <c r="J415" i="1"/>
  <c r="L414" i="1"/>
  <c r="K414" i="1"/>
  <c r="J414" i="1"/>
  <c r="L413" i="1"/>
  <c r="K413" i="1"/>
  <c r="J413" i="1"/>
  <c r="L412" i="1"/>
  <c r="K412" i="1"/>
  <c r="J412" i="1"/>
  <c r="L411" i="1"/>
  <c r="K411" i="1"/>
  <c r="J411" i="1"/>
  <c r="L410" i="1"/>
  <c r="K410" i="1"/>
  <c r="J410" i="1"/>
  <c r="L409" i="1"/>
  <c r="K409" i="1"/>
  <c r="J409" i="1"/>
  <c r="L408" i="1"/>
  <c r="K408" i="1"/>
  <c r="J408" i="1"/>
  <c r="L407" i="1"/>
  <c r="K407" i="1"/>
  <c r="J407" i="1"/>
  <c r="L406" i="1"/>
  <c r="K406" i="1"/>
  <c r="J406" i="1"/>
  <c r="L405" i="1"/>
  <c r="K405" i="1"/>
  <c r="J405" i="1"/>
  <c r="L404" i="1"/>
  <c r="K404" i="1"/>
  <c r="J404" i="1"/>
  <c r="L403" i="1"/>
  <c r="K403" i="1"/>
  <c r="J403" i="1"/>
  <c r="L402" i="1"/>
  <c r="K402" i="1"/>
  <c r="J402" i="1"/>
  <c r="L401" i="1"/>
  <c r="K401" i="1"/>
  <c r="J401" i="1"/>
  <c r="L400" i="1"/>
  <c r="K400" i="1"/>
  <c r="J400" i="1"/>
  <c r="L399" i="1"/>
  <c r="K399" i="1"/>
  <c r="J399" i="1"/>
  <c r="L398" i="1"/>
  <c r="K398" i="1"/>
  <c r="J398" i="1"/>
  <c r="L397" i="1"/>
  <c r="K397" i="1"/>
  <c r="J397" i="1"/>
  <c r="L396" i="1"/>
  <c r="K396" i="1"/>
  <c r="J396" i="1"/>
  <c r="L395" i="1"/>
  <c r="K395" i="1"/>
  <c r="J395" i="1"/>
  <c r="L394" i="1"/>
  <c r="K394" i="1"/>
  <c r="J394" i="1"/>
  <c r="L393" i="1"/>
  <c r="K393" i="1"/>
  <c r="J393" i="1"/>
  <c r="L392" i="1"/>
  <c r="K392" i="1"/>
  <c r="J392" i="1"/>
  <c r="L391" i="1"/>
  <c r="K391" i="1"/>
  <c r="J391" i="1"/>
  <c r="L390" i="1"/>
  <c r="K390" i="1"/>
  <c r="J390" i="1"/>
  <c r="L389" i="1"/>
  <c r="K389" i="1"/>
  <c r="J389" i="1"/>
  <c r="L388" i="1"/>
  <c r="K388" i="1"/>
  <c r="J388" i="1"/>
  <c r="L387" i="1"/>
  <c r="K387" i="1"/>
  <c r="J387" i="1"/>
  <c r="L386" i="1"/>
  <c r="K386" i="1"/>
  <c r="J386" i="1"/>
  <c r="L385" i="1"/>
  <c r="K385" i="1"/>
  <c r="J385" i="1"/>
  <c r="L384" i="1"/>
  <c r="K384" i="1"/>
  <c r="J384" i="1"/>
  <c r="L383" i="1"/>
  <c r="K383" i="1"/>
  <c r="J383" i="1"/>
  <c r="L382" i="1"/>
  <c r="K382" i="1"/>
  <c r="J382" i="1"/>
  <c r="L381" i="1"/>
  <c r="K381" i="1"/>
  <c r="J381" i="1"/>
  <c r="L380" i="1"/>
  <c r="K380" i="1"/>
  <c r="J380" i="1"/>
  <c r="L379" i="1"/>
  <c r="K379" i="1"/>
  <c r="J379" i="1"/>
  <c r="L378" i="1"/>
  <c r="K378" i="1"/>
  <c r="J378" i="1"/>
  <c r="L377" i="1"/>
  <c r="K377" i="1"/>
  <c r="J377" i="1"/>
  <c r="L376" i="1"/>
  <c r="K376" i="1"/>
  <c r="J376" i="1"/>
  <c r="L375" i="1"/>
  <c r="K375" i="1"/>
  <c r="J375" i="1"/>
  <c r="L374" i="1"/>
  <c r="K374" i="1"/>
  <c r="J374" i="1"/>
  <c r="L373" i="1"/>
  <c r="K373" i="1"/>
  <c r="J373" i="1"/>
  <c r="L372" i="1"/>
  <c r="K372" i="1"/>
  <c r="J372" i="1"/>
  <c r="L371" i="1"/>
  <c r="K371" i="1"/>
  <c r="J371" i="1"/>
  <c r="L370" i="1"/>
  <c r="K370" i="1"/>
  <c r="J370" i="1"/>
  <c r="L369" i="1"/>
  <c r="K369" i="1"/>
  <c r="J369" i="1"/>
  <c r="L368" i="1"/>
  <c r="K368" i="1"/>
  <c r="J368" i="1"/>
  <c r="L367" i="1"/>
  <c r="K367" i="1"/>
  <c r="J367" i="1"/>
  <c r="L366" i="1"/>
  <c r="K366" i="1"/>
  <c r="J366" i="1"/>
  <c r="L365" i="1"/>
  <c r="K365" i="1"/>
  <c r="J365" i="1"/>
  <c r="L364" i="1"/>
  <c r="K364" i="1"/>
  <c r="J364" i="1"/>
  <c r="L363" i="1"/>
  <c r="K363" i="1"/>
  <c r="J363" i="1"/>
  <c r="L362" i="1"/>
  <c r="K362" i="1"/>
  <c r="J362" i="1"/>
  <c r="L361" i="1"/>
  <c r="K361" i="1"/>
  <c r="J361" i="1"/>
  <c r="L360" i="1"/>
  <c r="K360" i="1"/>
  <c r="J360" i="1"/>
  <c r="L359" i="1"/>
  <c r="K359" i="1"/>
  <c r="J359" i="1"/>
  <c r="L358" i="1"/>
  <c r="K358" i="1"/>
  <c r="J358" i="1"/>
  <c r="L357" i="1"/>
  <c r="K357" i="1"/>
  <c r="J357" i="1"/>
  <c r="L356" i="1"/>
  <c r="K356" i="1"/>
  <c r="J356" i="1"/>
  <c r="L355" i="1"/>
  <c r="K355" i="1"/>
  <c r="J355" i="1"/>
  <c r="L354" i="1"/>
  <c r="K354" i="1"/>
  <c r="J354" i="1"/>
  <c r="L353" i="1"/>
  <c r="K353" i="1"/>
  <c r="J353" i="1"/>
  <c r="L352" i="1"/>
  <c r="K352" i="1"/>
  <c r="J352" i="1"/>
  <c r="L351" i="1"/>
  <c r="K351" i="1"/>
  <c r="J351" i="1"/>
  <c r="L350" i="1"/>
  <c r="K350" i="1"/>
  <c r="J350" i="1"/>
  <c r="L349" i="1"/>
  <c r="K349" i="1"/>
  <c r="J349" i="1"/>
  <c r="L348" i="1"/>
  <c r="K348" i="1"/>
  <c r="J348" i="1"/>
  <c r="L347" i="1"/>
  <c r="K347" i="1"/>
  <c r="J347" i="1"/>
  <c r="L346" i="1"/>
  <c r="K346" i="1"/>
  <c r="J346" i="1"/>
  <c r="L345" i="1"/>
  <c r="K345" i="1"/>
  <c r="J345" i="1"/>
  <c r="L344" i="1"/>
  <c r="K344" i="1"/>
  <c r="J344" i="1"/>
  <c r="L343" i="1"/>
  <c r="K343" i="1"/>
  <c r="J343" i="1"/>
  <c r="L342" i="1"/>
  <c r="K342" i="1"/>
  <c r="J342" i="1"/>
  <c r="L341" i="1"/>
  <c r="K341" i="1"/>
  <c r="J341" i="1"/>
  <c r="L340" i="1"/>
  <c r="K340" i="1"/>
  <c r="J340" i="1"/>
  <c r="L339" i="1"/>
  <c r="K339" i="1"/>
  <c r="J339" i="1"/>
  <c r="L338" i="1"/>
  <c r="K338" i="1"/>
  <c r="J338" i="1"/>
  <c r="L337" i="1"/>
  <c r="K337" i="1"/>
  <c r="J337" i="1"/>
  <c r="L336" i="1"/>
  <c r="K336" i="1"/>
  <c r="J336" i="1"/>
  <c r="L335" i="1"/>
  <c r="K335" i="1"/>
  <c r="J335" i="1"/>
  <c r="L334" i="1"/>
  <c r="K334" i="1"/>
  <c r="J334" i="1"/>
  <c r="L333" i="1"/>
  <c r="K333" i="1"/>
  <c r="J333" i="1"/>
  <c r="L332" i="1"/>
  <c r="K332" i="1"/>
  <c r="J332" i="1"/>
  <c r="L331" i="1"/>
  <c r="K331" i="1"/>
  <c r="J331" i="1"/>
  <c r="L330" i="1"/>
  <c r="K330" i="1"/>
  <c r="J330" i="1"/>
  <c r="L329" i="1"/>
  <c r="K329" i="1"/>
  <c r="J329" i="1"/>
  <c r="L328" i="1"/>
  <c r="K328" i="1"/>
  <c r="J328" i="1"/>
  <c r="L327" i="1"/>
  <c r="K327" i="1"/>
  <c r="J327" i="1"/>
  <c r="L326" i="1"/>
  <c r="K326" i="1"/>
  <c r="J326" i="1"/>
  <c r="L325" i="1"/>
  <c r="K325" i="1"/>
  <c r="J325" i="1"/>
  <c r="L324" i="1"/>
  <c r="K324" i="1"/>
  <c r="J324" i="1"/>
  <c r="L323" i="1"/>
  <c r="K323" i="1"/>
  <c r="J323" i="1"/>
  <c r="L322" i="1"/>
  <c r="K322" i="1"/>
  <c r="J322" i="1"/>
  <c r="L321" i="1"/>
  <c r="K321" i="1"/>
  <c r="J321" i="1"/>
  <c r="L320" i="1"/>
  <c r="K320" i="1"/>
  <c r="J320" i="1"/>
  <c r="L319" i="1"/>
  <c r="K319" i="1"/>
  <c r="J319" i="1"/>
  <c r="L318" i="1"/>
  <c r="K318" i="1"/>
  <c r="J318" i="1"/>
  <c r="L317" i="1"/>
  <c r="K317" i="1"/>
  <c r="J317" i="1"/>
  <c r="L316" i="1"/>
  <c r="K316" i="1"/>
  <c r="J316" i="1"/>
  <c r="L315" i="1"/>
  <c r="K315" i="1"/>
  <c r="J315" i="1"/>
  <c r="L314" i="1"/>
  <c r="K314" i="1"/>
  <c r="J314" i="1"/>
  <c r="L313" i="1"/>
  <c r="K313" i="1"/>
  <c r="J313" i="1"/>
  <c r="L312" i="1"/>
  <c r="K312" i="1"/>
  <c r="J312" i="1"/>
  <c r="L311" i="1"/>
  <c r="K311" i="1"/>
  <c r="J311" i="1"/>
  <c r="L310" i="1"/>
  <c r="K310" i="1"/>
  <c r="J310" i="1"/>
  <c r="L309" i="1"/>
  <c r="K309" i="1"/>
  <c r="J309" i="1"/>
  <c r="L308" i="1"/>
  <c r="K308" i="1"/>
  <c r="J308" i="1"/>
  <c r="L307" i="1"/>
  <c r="K307" i="1"/>
  <c r="J307" i="1"/>
  <c r="L306" i="1"/>
  <c r="K306" i="1"/>
  <c r="J306" i="1"/>
  <c r="L305" i="1"/>
  <c r="K305" i="1"/>
  <c r="J305" i="1"/>
  <c r="L304" i="1"/>
  <c r="K304" i="1"/>
  <c r="J304" i="1"/>
  <c r="L303" i="1"/>
  <c r="K303" i="1"/>
  <c r="J303" i="1"/>
  <c r="L302" i="1"/>
  <c r="K302" i="1"/>
  <c r="J302" i="1"/>
  <c r="L301" i="1"/>
  <c r="K301" i="1"/>
  <c r="J301" i="1"/>
  <c r="L300" i="1"/>
  <c r="K300" i="1"/>
  <c r="J300" i="1"/>
  <c r="L299" i="1"/>
  <c r="K299" i="1"/>
  <c r="J299" i="1"/>
  <c r="L298" i="1"/>
  <c r="K298" i="1"/>
  <c r="J298" i="1"/>
  <c r="L297" i="1"/>
  <c r="K297" i="1"/>
  <c r="J297" i="1"/>
  <c r="L296" i="1"/>
  <c r="K296" i="1"/>
  <c r="J296" i="1"/>
  <c r="L295" i="1"/>
  <c r="K295" i="1"/>
  <c r="J295" i="1"/>
  <c r="L294" i="1"/>
  <c r="K294" i="1"/>
  <c r="J294" i="1"/>
  <c r="L293" i="1"/>
  <c r="K293" i="1"/>
  <c r="J293" i="1"/>
  <c r="L292" i="1"/>
  <c r="K292" i="1"/>
  <c r="J292" i="1"/>
  <c r="L291" i="1"/>
  <c r="K291" i="1"/>
  <c r="J291" i="1"/>
  <c r="L290" i="1"/>
  <c r="K290" i="1"/>
  <c r="J290" i="1"/>
  <c r="L289" i="1"/>
  <c r="K289" i="1"/>
  <c r="J289" i="1"/>
  <c r="L288" i="1"/>
  <c r="K288" i="1"/>
  <c r="J288" i="1"/>
  <c r="L287" i="1"/>
  <c r="K287" i="1"/>
  <c r="J287" i="1"/>
  <c r="L286" i="1"/>
  <c r="K286" i="1"/>
  <c r="J286" i="1"/>
  <c r="L285" i="1"/>
  <c r="K285" i="1"/>
  <c r="J285" i="1"/>
  <c r="L284" i="1"/>
  <c r="K284" i="1"/>
  <c r="J284" i="1"/>
  <c r="L283" i="1"/>
  <c r="K283" i="1"/>
  <c r="J283" i="1"/>
  <c r="L282" i="1"/>
  <c r="K282" i="1"/>
  <c r="J282" i="1"/>
  <c r="L281" i="1"/>
  <c r="K281" i="1"/>
  <c r="J281" i="1"/>
  <c r="L280" i="1"/>
  <c r="K280" i="1"/>
  <c r="J280" i="1"/>
  <c r="L279" i="1"/>
  <c r="K279" i="1"/>
  <c r="J279" i="1"/>
  <c r="L278" i="1"/>
  <c r="K278" i="1"/>
  <c r="J278" i="1"/>
  <c r="L277" i="1"/>
  <c r="K277" i="1"/>
  <c r="J277" i="1"/>
  <c r="L276" i="1"/>
  <c r="K276" i="1"/>
  <c r="J276" i="1"/>
  <c r="L275" i="1"/>
  <c r="K275" i="1"/>
  <c r="J275" i="1"/>
  <c r="L274" i="1"/>
  <c r="K274" i="1"/>
  <c r="J274" i="1"/>
  <c r="L273" i="1"/>
  <c r="K273" i="1"/>
  <c r="J273" i="1"/>
  <c r="L272" i="1"/>
  <c r="K272" i="1"/>
  <c r="J272" i="1"/>
  <c r="L271" i="1"/>
  <c r="K271" i="1"/>
  <c r="J271" i="1"/>
  <c r="L270" i="1"/>
  <c r="K270" i="1"/>
  <c r="J270" i="1"/>
  <c r="L269" i="1"/>
  <c r="K269" i="1"/>
  <c r="J269" i="1"/>
  <c r="L268" i="1"/>
  <c r="K268" i="1"/>
  <c r="J268" i="1"/>
  <c r="L267" i="1"/>
  <c r="K267" i="1"/>
  <c r="J267" i="1"/>
  <c r="L266" i="1"/>
  <c r="K266" i="1"/>
  <c r="J266" i="1"/>
  <c r="L265" i="1"/>
  <c r="K265" i="1"/>
  <c r="J265" i="1"/>
  <c r="L264" i="1"/>
  <c r="K264" i="1"/>
  <c r="J264" i="1"/>
  <c r="L263" i="1"/>
  <c r="K263" i="1"/>
  <c r="J263" i="1"/>
  <c r="L262" i="1"/>
  <c r="K262" i="1"/>
  <c r="J262" i="1"/>
  <c r="L261" i="1"/>
  <c r="K261" i="1"/>
  <c r="J261" i="1"/>
  <c r="L260" i="1"/>
  <c r="K260" i="1"/>
  <c r="J260" i="1"/>
  <c r="L259" i="1"/>
  <c r="K259" i="1"/>
  <c r="J259" i="1"/>
  <c r="L258" i="1"/>
  <c r="K258" i="1"/>
  <c r="J258" i="1"/>
  <c r="L257" i="1"/>
  <c r="K257" i="1"/>
  <c r="J257" i="1"/>
  <c r="L256" i="1"/>
  <c r="K256" i="1"/>
  <c r="J256" i="1"/>
  <c r="L255" i="1"/>
  <c r="K255" i="1"/>
  <c r="J255" i="1"/>
  <c r="L254" i="1"/>
  <c r="K254" i="1"/>
  <c r="J254" i="1"/>
  <c r="L253" i="1"/>
  <c r="K253" i="1"/>
  <c r="J253" i="1"/>
  <c r="L252" i="1"/>
  <c r="K252" i="1"/>
  <c r="J252" i="1"/>
  <c r="L251" i="1"/>
  <c r="K251" i="1"/>
  <c r="J251" i="1"/>
  <c r="L250" i="1"/>
  <c r="K250" i="1"/>
  <c r="J250" i="1"/>
  <c r="L249" i="1"/>
  <c r="K249" i="1"/>
  <c r="J249" i="1"/>
  <c r="L248" i="1"/>
  <c r="K248" i="1"/>
  <c r="J248" i="1"/>
  <c r="L247" i="1"/>
  <c r="K247" i="1"/>
  <c r="J247" i="1"/>
  <c r="L246" i="1"/>
  <c r="K246" i="1"/>
  <c r="J246" i="1"/>
  <c r="L245" i="1"/>
  <c r="K245" i="1"/>
  <c r="J245" i="1"/>
  <c r="L244" i="1"/>
  <c r="K244" i="1"/>
  <c r="J244" i="1"/>
  <c r="L243" i="1"/>
  <c r="K243" i="1"/>
  <c r="J243" i="1"/>
  <c r="L242" i="1"/>
  <c r="K242" i="1"/>
  <c r="J242" i="1"/>
  <c r="L241" i="1"/>
  <c r="K241" i="1"/>
  <c r="J241" i="1"/>
  <c r="L240" i="1"/>
  <c r="K240" i="1"/>
  <c r="J240" i="1"/>
  <c r="L239" i="1"/>
  <c r="K239" i="1"/>
  <c r="J239" i="1"/>
  <c r="L238" i="1"/>
  <c r="K238" i="1"/>
  <c r="J238" i="1"/>
  <c r="L237" i="1"/>
  <c r="K237" i="1"/>
  <c r="J237" i="1"/>
  <c r="L236" i="1"/>
  <c r="K236" i="1"/>
  <c r="J236" i="1"/>
  <c r="L235" i="1"/>
  <c r="K235" i="1"/>
  <c r="J235" i="1"/>
  <c r="L234" i="1"/>
  <c r="K234" i="1"/>
  <c r="J234" i="1"/>
  <c r="L233" i="1"/>
  <c r="K233" i="1"/>
  <c r="J233" i="1"/>
  <c r="L232" i="1"/>
  <c r="K232" i="1"/>
  <c r="J232" i="1"/>
  <c r="L231" i="1"/>
  <c r="K231" i="1"/>
  <c r="J231" i="1"/>
  <c r="L230" i="1"/>
  <c r="K230" i="1"/>
  <c r="J230" i="1"/>
  <c r="L229" i="1"/>
  <c r="K229" i="1"/>
  <c r="J229" i="1"/>
  <c r="L228" i="1"/>
  <c r="K228" i="1"/>
  <c r="J228" i="1"/>
  <c r="L227" i="1"/>
  <c r="K227" i="1"/>
  <c r="J227" i="1"/>
  <c r="L226" i="1"/>
  <c r="K226" i="1"/>
  <c r="J226" i="1"/>
  <c r="L225" i="1"/>
  <c r="K225" i="1"/>
  <c r="J225" i="1"/>
  <c r="L224" i="1"/>
  <c r="K224" i="1"/>
  <c r="J224" i="1"/>
  <c r="L223" i="1"/>
  <c r="K223" i="1"/>
  <c r="J223" i="1"/>
  <c r="L222" i="1"/>
  <c r="K222" i="1"/>
  <c r="J222" i="1"/>
  <c r="L221" i="1"/>
  <c r="K221" i="1"/>
  <c r="J221" i="1"/>
  <c r="L220" i="1"/>
  <c r="K220" i="1"/>
  <c r="J220" i="1"/>
  <c r="L219" i="1"/>
  <c r="K219" i="1"/>
  <c r="J219" i="1"/>
  <c r="L218" i="1"/>
  <c r="K218" i="1"/>
  <c r="J218" i="1"/>
  <c r="L217" i="1"/>
  <c r="K217" i="1"/>
  <c r="J217" i="1"/>
  <c r="L216" i="1"/>
  <c r="K216" i="1"/>
  <c r="J216" i="1"/>
  <c r="L215" i="1"/>
  <c r="K215" i="1"/>
  <c r="J215" i="1"/>
  <c r="L214" i="1"/>
  <c r="K214" i="1"/>
  <c r="J214" i="1"/>
  <c r="L213" i="1"/>
  <c r="K213" i="1"/>
  <c r="J213" i="1"/>
  <c r="L212" i="1"/>
  <c r="K212" i="1"/>
  <c r="J212" i="1"/>
  <c r="L211" i="1"/>
  <c r="K211" i="1"/>
  <c r="J211" i="1"/>
  <c r="L210" i="1"/>
  <c r="K210" i="1"/>
  <c r="J210" i="1"/>
  <c r="L209" i="1"/>
  <c r="K209" i="1"/>
  <c r="J209" i="1"/>
  <c r="L208" i="1"/>
  <c r="K208" i="1"/>
  <c r="J208" i="1"/>
  <c r="L207" i="1"/>
  <c r="K207" i="1"/>
  <c r="J207" i="1"/>
  <c r="L206" i="1"/>
  <c r="K206" i="1"/>
  <c r="J206" i="1"/>
  <c r="L205" i="1"/>
  <c r="K205" i="1"/>
  <c r="J205" i="1"/>
  <c r="L204" i="1"/>
  <c r="K204" i="1"/>
  <c r="J204" i="1"/>
  <c r="L203" i="1"/>
  <c r="K203" i="1"/>
  <c r="J203" i="1"/>
  <c r="L202" i="1"/>
  <c r="K202" i="1"/>
  <c r="J202" i="1"/>
  <c r="L201" i="1"/>
  <c r="K201" i="1"/>
  <c r="J201" i="1"/>
  <c r="L200" i="1"/>
  <c r="K200" i="1"/>
  <c r="J200" i="1"/>
  <c r="L199" i="1"/>
  <c r="K199" i="1"/>
  <c r="J199" i="1"/>
  <c r="L198" i="1"/>
  <c r="K198" i="1"/>
  <c r="J198" i="1"/>
  <c r="L197" i="1"/>
  <c r="K197" i="1"/>
  <c r="J197" i="1"/>
  <c r="L196" i="1"/>
  <c r="K196" i="1"/>
  <c r="J196" i="1"/>
  <c r="L195" i="1"/>
  <c r="K195" i="1"/>
  <c r="J195" i="1"/>
  <c r="L194" i="1"/>
  <c r="K194" i="1"/>
  <c r="J194" i="1"/>
  <c r="L193" i="1"/>
  <c r="K193" i="1"/>
  <c r="J193" i="1"/>
  <c r="L192" i="1"/>
  <c r="K192" i="1"/>
  <c r="J192" i="1"/>
  <c r="L191" i="1"/>
  <c r="K191" i="1"/>
  <c r="J191" i="1"/>
  <c r="L190" i="1"/>
  <c r="K190" i="1"/>
  <c r="J190" i="1"/>
  <c r="L189" i="1"/>
  <c r="K189" i="1"/>
  <c r="J189" i="1"/>
  <c r="L188" i="1"/>
  <c r="K188" i="1"/>
  <c r="J188" i="1"/>
  <c r="L187" i="1"/>
  <c r="K187" i="1"/>
  <c r="J187" i="1"/>
  <c r="L186" i="1"/>
  <c r="K186" i="1"/>
  <c r="J186" i="1"/>
  <c r="L185" i="1"/>
  <c r="K185" i="1"/>
  <c r="J185" i="1"/>
  <c r="L184" i="1"/>
  <c r="K184" i="1"/>
  <c r="J184" i="1"/>
  <c r="L183" i="1"/>
  <c r="K183" i="1"/>
  <c r="J183" i="1"/>
  <c r="L182" i="1"/>
  <c r="K182" i="1"/>
  <c r="J182" i="1"/>
  <c r="L181" i="1"/>
  <c r="K181" i="1"/>
  <c r="J181" i="1"/>
  <c r="L180" i="1"/>
  <c r="K180" i="1"/>
  <c r="J180" i="1"/>
  <c r="L179" i="1"/>
  <c r="K179" i="1"/>
  <c r="J179" i="1"/>
  <c r="L178" i="1"/>
  <c r="K178" i="1"/>
  <c r="J178" i="1"/>
  <c r="L177" i="1"/>
  <c r="K177" i="1"/>
  <c r="J177" i="1"/>
  <c r="L176" i="1"/>
  <c r="K176" i="1"/>
  <c r="J176" i="1"/>
  <c r="L175" i="1"/>
  <c r="K175" i="1"/>
  <c r="J175" i="1"/>
  <c r="L174" i="1"/>
  <c r="K174" i="1"/>
  <c r="J174" i="1"/>
  <c r="L173" i="1"/>
  <c r="K173" i="1"/>
  <c r="J173" i="1"/>
  <c r="L172" i="1"/>
  <c r="K172" i="1"/>
  <c r="J172" i="1"/>
  <c r="L171" i="1"/>
  <c r="K171" i="1"/>
  <c r="J171" i="1"/>
  <c r="L170" i="1"/>
  <c r="K170" i="1"/>
  <c r="J170" i="1"/>
  <c r="L169" i="1"/>
  <c r="K169" i="1"/>
  <c r="J169" i="1"/>
  <c r="L168" i="1"/>
  <c r="K168" i="1"/>
  <c r="J168" i="1"/>
  <c r="L167" i="1"/>
  <c r="K167" i="1"/>
  <c r="J167" i="1"/>
  <c r="L166" i="1"/>
  <c r="K166" i="1"/>
  <c r="J166" i="1"/>
  <c r="L165" i="1"/>
  <c r="K165" i="1"/>
  <c r="J165" i="1"/>
  <c r="L164" i="1"/>
  <c r="K164" i="1"/>
  <c r="J164" i="1"/>
  <c r="L163" i="1"/>
  <c r="K163" i="1"/>
  <c r="J163" i="1"/>
  <c r="L162" i="1"/>
  <c r="K162" i="1"/>
  <c r="J162" i="1"/>
  <c r="L161" i="1"/>
  <c r="K161" i="1"/>
  <c r="J161" i="1"/>
  <c r="L160" i="1"/>
  <c r="K160" i="1"/>
  <c r="J160" i="1"/>
  <c r="L159" i="1"/>
  <c r="K159" i="1"/>
  <c r="J159" i="1"/>
  <c r="L158" i="1"/>
  <c r="K158" i="1"/>
  <c r="J158" i="1"/>
  <c r="L157" i="1"/>
  <c r="K157" i="1"/>
  <c r="J157" i="1"/>
  <c r="L156" i="1"/>
  <c r="K156" i="1"/>
  <c r="J156" i="1"/>
  <c r="L155" i="1"/>
  <c r="K155" i="1"/>
  <c r="J155" i="1"/>
  <c r="L154" i="1"/>
  <c r="K154" i="1"/>
  <c r="J154" i="1"/>
  <c r="L153" i="1"/>
  <c r="K153" i="1"/>
  <c r="J153" i="1"/>
  <c r="L152" i="1"/>
  <c r="K152" i="1"/>
  <c r="J152" i="1"/>
  <c r="L151" i="1"/>
  <c r="K151" i="1"/>
  <c r="J151" i="1"/>
  <c r="L150" i="1"/>
  <c r="K150" i="1"/>
  <c r="J150" i="1"/>
  <c r="L149" i="1"/>
  <c r="K149" i="1"/>
  <c r="J149" i="1"/>
  <c r="L148" i="1"/>
  <c r="K148" i="1"/>
  <c r="J148" i="1"/>
  <c r="L147" i="1"/>
  <c r="K147" i="1"/>
  <c r="J147" i="1"/>
  <c r="L146" i="1"/>
  <c r="K146" i="1"/>
  <c r="J146" i="1"/>
  <c r="L145" i="1"/>
  <c r="K145" i="1"/>
  <c r="J145" i="1"/>
  <c r="L144" i="1"/>
  <c r="K144" i="1"/>
  <c r="J144" i="1"/>
  <c r="L143" i="1"/>
  <c r="K143" i="1"/>
  <c r="J143" i="1"/>
  <c r="L142" i="1"/>
  <c r="K142" i="1"/>
  <c r="J142" i="1"/>
  <c r="L141" i="1"/>
  <c r="K141" i="1"/>
  <c r="J141" i="1"/>
  <c r="L140" i="1"/>
  <c r="K140" i="1"/>
  <c r="J140" i="1"/>
  <c r="L139" i="1"/>
  <c r="K139" i="1"/>
  <c r="J139" i="1"/>
  <c r="L138" i="1"/>
  <c r="K138" i="1"/>
  <c r="J138" i="1"/>
  <c r="L137" i="1"/>
  <c r="K137" i="1"/>
  <c r="J137" i="1"/>
  <c r="L136" i="1"/>
  <c r="K136" i="1"/>
  <c r="J136" i="1"/>
  <c r="L135" i="1"/>
  <c r="K135" i="1"/>
  <c r="J135" i="1"/>
  <c r="L134" i="1"/>
  <c r="K134" i="1"/>
  <c r="J134" i="1"/>
  <c r="L133" i="1"/>
  <c r="K133" i="1"/>
  <c r="J133" i="1"/>
  <c r="L132" i="1"/>
  <c r="K132" i="1"/>
  <c r="J132" i="1"/>
  <c r="L131" i="1"/>
  <c r="K131" i="1"/>
  <c r="J131" i="1"/>
  <c r="L130" i="1"/>
  <c r="K130" i="1"/>
  <c r="J130" i="1"/>
  <c r="L129" i="1"/>
  <c r="K129" i="1"/>
  <c r="J129" i="1"/>
  <c r="L128" i="1"/>
  <c r="K128" i="1"/>
  <c r="J128" i="1"/>
  <c r="L127" i="1"/>
  <c r="K127" i="1"/>
  <c r="J127" i="1"/>
  <c r="L126" i="1"/>
  <c r="K126" i="1"/>
  <c r="J126" i="1"/>
  <c r="L125" i="1"/>
  <c r="K125" i="1"/>
  <c r="J125" i="1"/>
  <c r="L124" i="1"/>
  <c r="K124" i="1"/>
  <c r="J124" i="1"/>
  <c r="L123" i="1"/>
  <c r="K123" i="1"/>
  <c r="J123" i="1"/>
  <c r="L122" i="1"/>
  <c r="K122" i="1"/>
  <c r="J122" i="1"/>
  <c r="L121" i="1"/>
  <c r="K121" i="1"/>
  <c r="J121" i="1"/>
  <c r="L120" i="1"/>
  <c r="K120" i="1"/>
  <c r="J120" i="1"/>
  <c r="L119" i="1"/>
  <c r="K119" i="1"/>
  <c r="J119" i="1"/>
  <c r="L118" i="1"/>
  <c r="K118" i="1"/>
  <c r="J118" i="1"/>
  <c r="L117" i="1"/>
  <c r="K117" i="1"/>
  <c r="J117" i="1"/>
  <c r="L116" i="1"/>
  <c r="K116" i="1"/>
  <c r="J116" i="1"/>
  <c r="L115" i="1"/>
  <c r="K115" i="1"/>
  <c r="J115" i="1"/>
  <c r="L114" i="1"/>
  <c r="K114" i="1"/>
  <c r="J114" i="1"/>
  <c r="L113" i="1"/>
  <c r="K113" i="1"/>
  <c r="J113" i="1"/>
  <c r="L112" i="1"/>
  <c r="K112" i="1"/>
  <c r="J112" i="1"/>
  <c r="L111" i="1"/>
  <c r="K111" i="1"/>
  <c r="J111" i="1"/>
  <c r="L110" i="1"/>
  <c r="K110" i="1"/>
  <c r="J110" i="1"/>
  <c r="L109" i="1"/>
  <c r="K109" i="1"/>
  <c r="J109" i="1"/>
  <c r="L108" i="1"/>
  <c r="K108" i="1"/>
  <c r="J108" i="1"/>
  <c r="L107" i="1"/>
  <c r="K107" i="1"/>
  <c r="J107" i="1"/>
  <c r="L106" i="1"/>
  <c r="K106" i="1"/>
  <c r="J106" i="1"/>
  <c r="L105" i="1"/>
  <c r="K105" i="1"/>
  <c r="J105" i="1"/>
  <c r="L104" i="1"/>
  <c r="K104" i="1"/>
  <c r="J104" i="1"/>
  <c r="L103" i="1"/>
  <c r="K103" i="1"/>
  <c r="J103" i="1"/>
  <c r="L102" i="1"/>
  <c r="K102" i="1"/>
  <c r="J102" i="1"/>
  <c r="L101" i="1"/>
  <c r="K101" i="1"/>
  <c r="J101" i="1"/>
  <c r="L100" i="1"/>
  <c r="K100" i="1"/>
  <c r="J100" i="1"/>
  <c r="L99" i="1"/>
  <c r="K99" i="1"/>
  <c r="J99" i="1"/>
  <c r="L98" i="1"/>
  <c r="K98" i="1"/>
  <c r="J98" i="1"/>
  <c r="L97" i="1"/>
  <c r="K97" i="1"/>
  <c r="J97" i="1"/>
  <c r="L96" i="1"/>
  <c r="K96" i="1"/>
  <c r="J96" i="1"/>
  <c r="L95" i="1"/>
  <c r="K95" i="1"/>
  <c r="J95" i="1"/>
  <c r="L94" i="1"/>
  <c r="K94" i="1"/>
  <c r="J94" i="1"/>
  <c r="L93" i="1"/>
  <c r="K93" i="1"/>
  <c r="J93" i="1"/>
  <c r="L92" i="1"/>
  <c r="K92" i="1"/>
  <c r="J92" i="1"/>
  <c r="L91" i="1"/>
  <c r="K91" i="1"/>
  <c r="J91" i="1"/>
  <c r="L90" i="1"/>
  <c r="K90" i="1"/>
  <c r="J90" i="1"/>
  <c r="L89" i="1"/>
  <c r="K89" i="1"/>
  <c r="J89" i="1"/>
  <c r="L88" i="1"/>
  <c r="K88" i="1"/>
  <c r="J88" i="1"/>
  <c r="L87" i="1"/>
  <c r="K87" i="1"/>
  <c r="J87" i="1"/>
  <c r="L86" i="1"/>
  <c r="K86" i="1"/>
  <c r="J86" i="1"/>
  <c r="L85" i="1"/>
  <c r="K85" i="1"/>
  <c r="J85" i="1"/>
  <c r="L84" i="1"/>
  <c r="K84" i="1"/>
  <c r="J84" i="1"/>
  <c r="L83" i="1"/>
  <c r="K83" i="1"/>
  <c r="J83" i="1"/>
  <c r="L82" i="1"/>
  <c r="K82" i="1"/>
  <c r="J82" i="1"/>
  <c r="L81" i="1"/>
  <c r="K81" i="1"/>
  <c r="J81" i="1"/>
  <c r="L80" i="1"/>
  <c r="K80" i="1"/>
  <c r="J80" i="1"/>
  <c r="L79" i="1"/>
  <c r="K79" i="1"/>
  <c r="J79" i="1"/>
  <c r="L78" i="1"/>
  <c r="K78" i="1"/>
  <c r="J78" i="1"/>
  <c r="L77" i="1"/>
  <c r="K77" i="1"/>
  <c r="J77" i="1"/>
  <c r="L76" i="1"/>
  <c r="K76" i="1"/>
  <c r="J76" i="1"/>
  <c r="L75" i="1"/>
  <c r="K75" i="1"/>
  <c r="J75" i="1"/>
  <c r="L74" i="1"/>
  <c r="K74" i="1"/>
  <c r="J74" i="1"/>
  <c r="L73" i="1"/>
  <c r="K73" i="1"/>
  <c r="J73" i="1"/>
  <c r="L72" i="1"/>
  <c r="K72" i="1"/>
  <c r="J72" i="1"/>
  <c r="L71" i="1"/>
  <c r="K71" i="1"/>
  <c r="J71" i="1"/>
  <c r="L70" i="1"/>
  <c r="K70" i="1"/>
  <c r="J70" i="1"/>
  <c r="L69" i="1"/>
  <c r="K69" i="1"/>
  <c r="J69" i="1"/>
  <c r="L68" i="1"/>
  <c r="K68" i="1"/>
  <c r="J68" i="1"/>
  <c r="L67" i="1"/>
  <c r="K67" i="1"/>
  <c r="J67" i="1"/>
  <c r="L66" i="1"/>
  <c r="K66" i="1"/>
  <c r="J66" i="1"/>
  <c r="L65" i="1"/>
  <c r="K65" i="1"/>
  <c r="J65" i="1"/>
  <c r="L64" i="1"/>
  <c r="K64" i="1"/>
  <c r="J64" i="1"/>
  <c r="L63" i="1"/>
  <c r="K63" i="1"/>
  <c r="J63" i="1"/>
  <c r="L62" i="1"/>
  <c r="K62" i="1"/>
  <c r="J62" i="1"/>
  <c r="L61" i="1"/>
  <c r="K61" i="1"/>
  <c r="J61" i="1"/>
  <c r="L60" i="1"/>
  <c r="K60" i="1"/>
  <c r="J60" i="1"/>
  <c r="L59" i="1"/>
  <c r="K59" i="1"/>
  <c r="J59" i="1"/>
  <c r="L58" i="1"/>
  <c r="K58" i="1"/>
  <c r="J58" i="1"/>
  <c r="L57" i="1"/>
  <c r="K57" i="1"/>
  <c r="J57" i="1"/>
  <c r="L56" i="1"/>
  <c r="K56" i="1"/>
  <c r="J56" i="1"/>
  <c r="L55" i="1"/>
  <c r="K55" i="1"/>
  <c r="J55" i="1"/>
  <c r="L54" i="1"/>
  <c r="K54" i="1"/>
  <c r="J54" i="1"/>
  <c r="L53" i="1"/>
  <c r="K53" i="1"/>
  <c r="J53" i="1"/>
  <c r="L52" i="1"/>
  <c r="K52" i="1"/>
  <c r="J52" i="1"/>
  <c r="L51" i="1"/>
  <c r="K51" i="1"/>
  <c r="J51" i="1"/>
  <c r="L50" i="1"/>
  <c r="K50" i="1"/>
  <c r="J50" i="1"/>
  <c r="L49" i="1"/>
  <c r="K49" i="1"/>
  <c r="J49" i="1"/>
  <c r="L48" i="1"/>
  <c r="K48" i="1"/>
  <c r="J48" i="1"/>
  <c r="L47" i="1"/>
  <c r="K47" i="1"/>
  <c r="J47" i="1"/>
  <c r="L46" i="1"/>
  <c r="K46" i="1"/>
  <c r="J46" i="1"/>
  <c r="L45" i="1"/>
  <c r="K45" i="1"/>
  <c r="J45" i="1"/>
  <c r="L44" i="1"/>
  <c r="K44" i="1"/>
  <c r="J44" i="1"/>
  <c r="L43" i="1"/>
  <c r="K43" i="1"/>
  <c r="J43" i="1"/>
  <c r="L42" i="1"/>
  <c r="K42" i="1"/>
  <c r="J42" i="1"/>
  <c r="L41" i="1"/>
  <c r="K41" i="1"/>
  <c r="J41" i="1"/>
  <c r="L40" i="1"/>
  <c r="K40" i="1"/>
  <c r="J40" i="1"/>
  <c r="L39" i="1"/>
  <c r="K39" i="1"/>
  <c r="J39" i="1"/>
  <c r="L38" i="1"/>
  <c r="K38" i="1"/>
  <c r="J38" i="1"/>
  <c r="L37" i="1"/>
  <c r="K37" i="1"/>
  <c r="J37" i="1"/>
  <c r="L36" i="1"/>
  <c r="K36" i="1"/>
  <c r="J36" i="1"/>
  <c r="L35" i="1"/>
  <c r="K35" i="1"/>
  <c r="J35" i="1"/>
  <c r="L34" i="1"/>
  <c r="K34" i="1"/>
  <c r="J34" i="1"/>
  <c r="L33" i="1"/>
  <c r="K33" i="1"/>
  <c r="J33" i="1"/>
  <c r="L32" i="1"/>
  <c r="K32" i="1"/>
  <c r="J32" i="1"/>
  <c r="L31" i="1"/>
  <c r="K31" i="1"/>
  <c r="J31" i="1"/>
  <c r="L30" i="1"/>
  <c r="K30" i="1"/>
  <c r="J30" i="1"/>
  <c r="L29" i="1"/>
  <c r="K29" i="1"/>
  <c r="J29" i="1"/>
  <c r="L28" i="1"/>
  <c r="K28" i="1"/>
  <c r="J28" i="1"/>
  <c r="L27" i="1"/>
  <c r="K27" i="1"/>
  <c r="J27" i="1"/>
  <c r="L26" i="1"/>
  <c r="K26" i="1"/>
  <c r="J26" i="1"/>
  <c r="L25" i="1"/>
  <c r="K25" i="1"/>
  <c r="J25" i="1"/>
  <c r="L24" i="1"/>
  <c r="K24" i="1"/>
  <c r="J24" i="1"/>
  <c r="L23" i="1"/>
  <c r="K23" i="1"/>
  <c r="J23" i="1"/>
  <c r="L22" i="1"/>
  <c r="K22" i="1"/>
  <c r="J22" i="1"/>
  <c r="L21" i="1"/>
  <c r="K21" i="1"/>
  <c r="J21" i="1"/>
  <c r="L20" i="1"/>
  <c r="K20" i="1"/>
  <c r="J20" i="1"/>
  <c r="L19" i="1"/>
  <c r="K19" i="1"/>
  <c r="J19" i="1"/>
  <c r="L18" i="1"/>
  <c r="K18" i="1"/>
  <c r="J18" i="1"/>
  <c r="L17" i="1"/>
  <c r="K17" i="1"/>
  <c r="J17" i="1"/>
  <c r="L16" i="1"/>
  <c r="K16" i="1"/>
  <c r="J16" i="1"/>
  <c r="L15" i="1"/>
  <c r="K15" i="1"/>
  <c r="J15" i="1"/>
  <c r="L14" i="1"/>
  <c r="K14" i="1"/>
  <c r="J14" i="1"/>
  <c r="L13" i="1"/>
  <c r="K13" i="1"/>
  <c r="J13" i="1"/>
  <c r="L12" i="1"/>
  <c r="K12" i="1"/>
  <c r="J12" i="1"/>
  <c r="L11" i="1"/>
  <c r="K11" i="1"/>
  <c r="J11" i="1"/>
  <c r="L10" i="1"/>
  <c r="K10" i="1"/>
  <c r="J10" i="1"/>
  <c r="L9" i="1"/>
  <c r="K9" i="1"/>
  <c r="J9" i="1"/>
  <c r="L8" i="1"/>
  <c r="K8" i="1"/>
  <c r="J8" i="1"/>
  <c r="L7" i="1"/>
  <c r="K7" i="1"/>
  <c r="J7" i="1"/>
  <c r="L6" i="1"/>
  <c r="K6" i="1"/>
  <c r="J6" i="1"/>
  <c r="L5" i="1"/>
  <c r="K5" i="1"/>
  <c r="J5" i="1"/>
  <c r="L4" i="1"/>
  <c r="K4" i="1"/>
  <c r="J4" i="1"/>
  <c r="L3" i="1"/>
  <c r="K3" i="1"/>
  <c r="J3" i="1"/>
  <c r="L2" i="1"/>
  <c r="K2" i="1"/>
  <c r="K2021" i="1" s="1"/>
  <c r="J2" i="1"/>
  <c r="K68" i="4" l="1"/>
  <c r="L68" i="4"/>
  <c r="J68" i="4"/>
  <c r="J2021" i="1"/>
  <c r="L2021" i="1"/>
  <c r="M2021" i="1"/>
  <c r="M2022" i="1" s="1"/>
  <c r="G2022" i="1"/>
  <c r="H2022" i="1"/>
  <c r="M4384" i="2"/>
  <c r="M4385" i="2" s="1"/>
  <c r="M68" i="4"/>
  <c r="M69" i="4" s="1"/>
  <c r="G4385" i="2"/>
  <c r="H4385" i="2"/>
</calcChain>
</file>

<file path=xl/sharedStrings.xml><?xml version="1.0" encoding="utf-8"?>
<sst xmlns="http://schemas.openxmlformats.org/spreadsheetml/2006/main" count="29282" uniqueCount="14300">
  <si>
    <r>
      <rPr>
        <sz val="9"/>
        <color rgb="FF333333"/>
        <rFont val="Microsoft YaHei Light"/>
        <family val="2"/>
        <charset val="134"/>
      </rPr>
      <t>住院号</t>
    </r>
  </si>
  <si>
    <r>
      <rPr>
        <sz val="9"/>
        <color rgb="FF333333"/>
        <rFont val="Microsoft YaHei Light"/>
        <family val="2"/>
        <charset val="134"/>
      </rPr>
      <t>性别</t>
    </r>
  </si>
  <si>
    <r>
      <rPr>
        <sz val="9"/>
        <color rgb="FF333333"/>
        <rFont val="Microsoft YaHei Light"/>
        <family val="2"/>
        <charset val="134"/>
      </rPr>
      <t>入区日期</t>
    </r>
  </si>
  <si>
    <r>
      <rPr>
        <sz val="9"/>
        <color rgb="FF333333"/>
        <rFont val="Microsoft YaHei Light"/>
        <family val="2"/>
        <charset val="134"/>
      </rPr>
      <t>出院时间</t>
    </r>
  </si>
  <si>
    <r>
      <rPr>
        <sz val="9"/>
        <color rgb="FF333333"/>
        <rFont val="Microsoft YaHei Light"/>
        <family val="2"/>
        <charset val="134"/>
      </rPr>
      <t>年龄</t>
    </r>
  </si>
  <si>
    <r>
      <rPr>
        <sz val="9"/>
        <rFont val="Microsoft YaHei Light"/>
        <family val="2"/>
        <charset val="134"/>
      </rPr>
      <t>影像号</t>
    </r>
  </si>
  <si>
    <r>
      <rPr>
        <sz val="9"/>
        <rFont val="Times New Roman"/>
        <family val="1"/>
      </rPr>
      <t xml:space="preserve"> MRI</t>
    </r>
    <r>
      <rPr>
        <sz val="9"/>
        <color rgb="FF000000"/>
        <rFont val="Microsoft YaHei Light"/>
        <family val="2"/>
        <charset val="134"/>
      </rPr>
      <t>数量</t>
    </r>
  </si>
  <si>
    <r>
      <rPr>
        <sz val="9"/>
        <rFont val="Times New Roman"/>
        <family val="1"/>
      </rPr>
      <t>CT</t>
    </r>
    <r>
      <rPr>
        <sz val="9"/>
        <color rgb="FF000000"/>
        <rFont val="Microsoft YaHei Light"/>
        <family val="2"/>
        <charset val="134"/>
      </rPr>
      <t>数量</t>
    </r>
  </si>
  <si>
    <r>
      <rPr>
        <sz val="9"/>
        <rFont val="Microsoft YaHei Light"/>
        <family val="2"/>
        <charset val="134"/>
      </rPr>
      <t>脱敏</t>
    </r>
  </si>
  <si>
    <r>
      <rPr>
        <sz val="9"/>
        <rFont val="Microsoft YaHei Light"/>
        <family val="2"/>
        <charset val="134"/>
      </rPr>
      <t>是否有</t>
    </r>
    <r>
      <rPr>
        <sz val="9"/>
        <rFont val="Times New Roman"/>
        <family val="1"/>
      </rPr>
      <t>MRI</t>
    </r>
  </si>
  <si>
    <r>
      <rPr>
        <sz val="9"/>
        <rFont val="Microsoft YaHei Light"/>
        <family val="2"/>
        <charset val="134"/>
      </rPr>
      <t>是否有</t>
    </r>
    <r>
      <rPr>
        <sz val="9"/>
        <rFont val="Times New Roman"/>
        <family val="1"/>
      </rPr>
      <t>CT</t>
    </r>
  </si>
  <si>
    <r>
      <rPr>
        <sz val="9"/>
        <color indexed="63"/>
        <rFont val="Microsoft YaHei Light"/>
        <family val="2"/>
        <charset val="134"/>
      </rPr>
      <t>同时有</t>
    </r>
    <r>
      <rPr>
        <sz val="9"/>
        <color indexed="63"/>
        <rFont val="Times New Roman"/>
        <family val="1"/>
      </rPr>
      <t>MRI</t>
    </r>
    <r>
      <rPr>
        <sz val="9"/>
        <color rgb="FF333333"/>
        <rFont val="Microsoft YaHei Light"/>
        <family val="2"/>
        <charset val="134"/>
      </rPr>
      <t>和</t>
    </r>
    <r>
      <rPr>
        <sz val="9"/>
        <color indexed="63"/>
        <rFont val="Times New Roman"/>
        <family val="1"/>
      </rPr>
      <t>CT</t>
    </r>
  </si>
  <si>
    <r>
      <rPr>
        <sz val="9"/>
        <rFont val="Microsoft YaHei Light"/>
        <family val="2"/>
        <charset val="134"/>
      </rPr>
      <t>备注</t>
    </r>
  </si>
  <si>
    <t>0811290</t>
  </si>
  <si>
    <r>
      <rPr>
        <sz val="9"/>
        <color rgb="FF333333"/>
        <rFont val="Microsoft YaHei Light"/>
        <family val="2"/>
        <charset val="134"/>
      </rPr>
      <t>男</t>
    </r>
  </si>
  <si>
    <t>2015010414:33:03</t>
  </si>
  <si>
    <t>2015010909:00:00</t>
  </si>
  <si>
    <r>
      <rPr>
        <sz val="9"/>
        <color rgb="FF333333"/>
        <rFont val="Times New Roman"/>
        <family val="1"/>
      </rPr>
      <t>24</t>
    </r>
    <r>
      <rPr>
        <sz val="9"/>
        <rFont val="Microsoft YaHei Light"/>
        <family val="2"/>
        <charset val="134"/>
      </rPr>
      <t>岁</t>
    </r>
  </si>
  <si>
    <t>0815164</t>
  </si>
  <si>
    <t>2015010509:36:56</t>
  </si>
  <si>
    <t>2015011109:00:00</t>
  </si>
  <si>
    <r>
      <rPr>
        <sz val="9"/>
        <color rgb="FF333333"/>
        <rFont val="Times New Roman"/>
        <family val="1"/>
      </rPr>
      <t>20</t>
    </r>
    <r>
      <rPr>
        <sz val="9"/>
        <rFont val="Microsoft YaHei Light"/>
        <family val="2"/>
        <charset val="134"/>
      </rPr>
      <t>岁</t>
    </r>
  </si>
  <si>
    <t>0815366</t>
  </si>
  <si>
    <t>2015010513:06:11</t>
  </si>
  <si>
    <t>2015011016:00:00</t>
  </si>
  <si>
    <r>
      <rPr>
        <sz val="9"/>
        <color rgb="FF333333"/>
        <rFont val="Times New Roman"/>
        <family val="1"/>
      </rPr>
      <t>18</t>
    </r>
    <r>
      <rPr>
        <sz val="9"/>
        <rFont val="Microsoft YaHei Light"/>
        <family val="2"/>
        <charset val="134"/>
      </rPr>
      <t>岁</t>
    </r>
  </si>
  <si>
    <t>0815511</t>
  </si>
  <si>
    <t>2015010515:22:04</t>
  </si>
  <si>
    <t>2015010916:00:00</t>
  </si>
  <si>
    <r>
      <rPr>
        <sz val="9"/>
        <color rgb="FF333333"/>
        <rFont val="Times New Roman"/>
        <family val="1"/>
      </rPr>
      <t>30</t>
    </r>
    <r>
      <rPr>
        <sz val="9"/>
        <rFont val="Microsoft YaHei Light"/>
        <family val="2"/>
        <charset val="134"/>
      </rPr>
      <t>岁</t>
    </r>
  </si>
  <si>
    <t>0811352</t>
  </si>
  <si>
    <t>2015010522:16:14</t>
  </si>
  <si>
    <r>
      <rPr>
        <sz val="9"/>
        <color rgb="FF333333"/>
        <rFont val="Times New Roman"/>
        <family val="1"/>
      </rPr>
      <t>22</t>
    </r>
    <r>
      <rPr>
        <sz val="9"/>
        <rFont val="Microsoft YaHei Light"/>
        <family val="2"/>
        <charset val="134"/>
      </rPr>
      <t>岁</t>
    </r>
  </si>
  <si>
    <t>0815469</t>
  </si>
  <si>
    <t>2015010610:02:10</t>
  </si>
  <si>
    <t>2015011316:00:00</t>
  </si>
  <si>
    <r>
      <rPr>
        <sz val="9"/>
        <color rgb="FF333333"/>
        <rFont val="Times New Roman"/>
        <family val="1"/>
      </rPr>
      <t>23</t>
    </r>
    <r>
      <rPr>
        <sz val="9"/>
        <rFont val="Microsoft YaHei Light"/>
        <family val="2"/>
        <charset val="134"/>
      </rPr>
      <t>岁</t>
    </r>
  </si>
  <si>
    <t>0815687</t>
  </si>
  <si>
    <t>2015010709:04:12</t>
  </si>
  <si>
    <t>2015011216:00:00</t>
  </si>
  <si>
    <r>
      <rPr>
        <sz val="9"/>
        <color rgb="FF333333"/>
        <rFont val="Times New Roman"/>
        <family val="1"/>
      </rPr>
      <t>29</t>
    </r>
    <r>
      <rPr>
        <sz val="9"/>
        <rFont val="Microsoft YaHei Light"/>
        <family val="2"/>
        <charset val="134"/>
      </rPr>
      <t>岁</t>
    </r>
  </si>
  <si>
    <t>0815959</t>
  </si>
  <si>
    <t>2015010714:25:46</t>
  </si>
  <si>
    <r>
      <rPr>
        <sz val="9"/>
        <color rgb="FF333333"/>
        <rFont val="Times New Roman"/>
        <family val="1"/>
      </rPr>
      <t>41</t>
    </r>
    <r>
      <rPr>
        <sz val="9"/>
        <rFont val="Microsoft YaHei Light"/>
        <family val="2"/>
        <charset val="134"/>
      </rPr>
      <t>岁</t>
    </r>
  </si>
  <si>
    <t>0815978</t>
  </si>
  <si>
    <t>2015010715:35:35</t>
  </si>
  <si>
    <r>
      <rPr>
        <sz val="9"/>
        <color rgb="FF333333"/>
        <rFont val="Times New Roman"/>
        <family val="1"/>
      </rPr>
      <t>33</t>
    </r>
    <r>
      <rPr>
        <sz val="9"/>
        <rFont val="Microsoft YaHei Light"/>
        <family val="2"/>
        <charset val="134"/>
      </rPr>
      <t>岁</t>
    </r>
  </si>
  <si>
    <t>0815986</t>
  </si>
  <si>
    <t>2015010808:19:10</t>
  </si>
  <si>
    <t>2015011309:00:00</t>
  </si>
  <si>
    <r>
      <rPr>
        <sz val="9"/>
        <color rgb="FF333333"/>
        <rFont val="Times New Roman"/>
        <family val="1"/>
      </rPr>
      <t>49</t>
    </r>
    <r>
      <rPr>
        <sz val="9"/>
        <rFont val="Microsoft YaHei Light"/>
        <family val="2"/>
        <charset val="134"/>
      </rPr>
      <t>岁</t>
    </r>
  </si>
  <si>
    <t>0816017</t>
  </si>
  <si>
    <t>2015010811:54:09</t>
  </si>
  <si>
    <t>2015012816:00:00</t>
  </si>
  <si>
    <t>0816459</t>
  </si>
  <si>
    <t>2015010915:30:55</t>
  </si>
  <si>
    <t>2015011516:00:00</t>
  </si>
  <si>
    <r>
      <rPr>
        <sz val="9"/>
        <color rgb="FF333333"/>
        <rFont val="Times New Roman"/>
        <family val="1"/>
      </rPr>
      <t>35</t>
    </r>
    <r>
      <rPr>
        <sz val="9"/>
        <rFont val="Microsoft YaHei Light"/>
        <family val="2"/>
        <charset val="134"/>
      </rPr>
      <t>岁</t>
    </r>
  </si>
  <si>
    <t>0811465</t>
  </si>
  <si>
    <t>2015010916:30:35</t>
  </si>
  <si>
    <t>2015011416:00:00</t>
  </si>
  <si>
    <t>0811561</t>
  </si>
  <si>
    <r>
      <rPr>
        <sz val="9"/>
        <color rgb="FF333333"/>
        <rFont val="Microsoft YaHei Light"/>
        <family val="2"/>
        <charset val="134"/>
      </rPr>
      <t>女</t>
    </r>
  </si>
  <si>
    <t>2015011109:41:20</t>
  </si>
  <si>
    <t>2015011609:00:00</t>
  </si>
  <si>
    <t>0811571</t>
  </si>
  <si>
    <t>2015011114:38:36</t>
  </si>
  <si>
    <t>2015011616:00:00</t>
  </si>
  <si>
    <r>
      <rPr>
        <sz val="9"/>
        <color rgb="FF333333"/>
        <rFont val="Times New Roman"/>
        <family val="1"/>
      </rPr>
      <t>19</t>
    </r>
    <r>
      <rPr>
        <sz val="9"/>
        <rFont val="Microsoft YaHei Light"/>
        <family val="2"/>
        <charset val="134"/>
      </rPr>
      <t>岁</t>
    </r>
  </si>
  <si>
    <t>0816945</t>
  </si>
  <si>
    <t>2015011210:50:31</t>
  </si>
  <si>
    <t>2015011916:00:00</t>
  </si>
  <si>
    <r>
      <rPr>
        <sz val="9"/>
        <color rgb="FF333333"/>
        <rFont val="Times New Roman"/>
        <family val="1"/>
      </rPr>
      <t>28</t>
    </r>
    <r>
      <rPr>
        <sz val="9"/>
        <rFont val="Microsoft YaHei Light"/>
        <family val="2"/>
        <charset val="134"/>
      </rPr>
      <t>岁</t>
    </r>
  </si>
  <si>
    <t>0816261</t>
  </si>
  <si>
    <t>2015011213:42:30</t>
  </si>
  <si>
    <t>2015013016:00:00</t>
  </si>
  <si>
    <r>
      <rPr>
        <sz val="9"/>
        <color rgb="FF333333"/>
        <rFont val="Times New Roman"/>
        <family val="1"/>
      </rPr>
      <t>50</t>
    </r>
    <r>
      <rPr>
        <sz val="9"/>
        <rFont val="Microsoft YaHei Light"/>
        <family val="2"/>
        <charset val="134"/>
      </rPr>
      <t>岁</t>
    </r>
  </si>
  <si>
    <t>0816971</t>
  </si>
  <si>
    <t>2015011214:24:47</t>
  </si>
  <si>
    <r>
      <rPr>
        <sz val="9"/>
        <color rgb="FF333333"/>
        <rFont val="Times New Roman"/>
        <family val="1"/>
      </rPr>
      <t>48</t>
    </r>
    <r>
      <rPr>
        <sz val="9"/>
        <rFont val="Microsoft YaHei Light"/>
        <family val="2"/>
        <charset val="134"/>
      </rPr>
      <t>岁</t>
    </r>
  </si>
  <si>
    <t>0811650</t>
  </si>
  <si>
    <t>2015011220:46:07</t>
  </si>
  <si>
    <t>2015012116:00:00</t>
  </si>
  <si>
    <r>
      <rPr>
        <sz val="9"/>
        <color rgb="FF333333"/>
        <rFont val="Times New Roman"/>
        <family val="1"/>
      </rPr>
      <t>43</t>
    </r>
    <r>
      <rPr>
        <sz val="9"/>
        <rFont val="Microsoft YaHei Light"/>
        <family val="2"/>
        <charset val="134"/>
      </rPr>
      <t>岁</t>
    </r>
  </si>
  <si>
    <t>0817277</t>
  </si>
  <si>
    <t>2015011608:03:16</t>
  </si>
  <si>
    <t>0817804</t>
  </si>
  <si>
    <t>2015011610:52:38</t>
  </si>
  <si>
    <t>2015012216:00:00</t>
  </si>
  <si>
    <t>0811785</t>
  </si>
  <si>
    <t>2015011617:41:32</t>
  </si>
  <si>
    <r>
      <rPr>
        <sz val="9"/>
        <color rgb="FF333333"/>
        <rFont val="Times New Roman"/>
        <family val="1"/>
      </rPr>
      <t>16</t>
    </r>
    <r>
      <rPr>
        <sz val="9"/>
        <rFont val="Microsoft YaHei Light"/>
        <family val="2"/>
        <charset val="134"/>
      </rPr>
      <t>岁</t>
    </r>
  </si>
  <si>
    <t>0817860</t>
  </si>
  <si>
    <t>2015011709:58:03</t>
  </si>
  <si>
    <t>2015012316:00:00</t>
  </si>
  <si>
    <t>0817870</t>
  </si>
  <si>
    <t>2015011710:40:26</t>
  </si>
  <si>
    <r>
      <rPr>
        <sz val="9"/>
        <color rgb="FF333333"/>
        <rFont val="Times New Roman"/>
        <family val="1"/>
      </rPr>
      <t>27</t>
    </r>
    <r>
      <rPr>
        <sz val="9"/>
        <rFont val="Microsoft YaHei Light"/>
        <family val="2"/>
        <charset val="134"/>
      </rPr>
      <t>岁</t>
    </r>
  </si>
  <si>
    <t>0817890</t>
  </si>
  <si>
    <t>2015011715:11:13</t>
  </si>
  <si>
    <t>0811861</t>
  </si>
  <si>
    <t>2015011810:53:32</t>
  </si>
  <si>
    <t>0811863</t>
  </si>
  <si>
    <t>2015011811:01:11</t>
  </si>
  <si>
    <r>
      <rPr>
        <sz val="9"/>
        <color rgb="FF333333"/>
        <rFont val="Times New Roman"/>
        <family val="1"/>
      </rPr>
      <t>38</t>
    </r>
    <r>
      <rPr>
        <sz val="9"/>
        <rFont val="Microsoft YaHei Light"/>
        <family val="2"/>
        <charset val="134"/>
      </rPr>
      <t>岁</t>
    </r>
  </si>
  <si>
    <t>0811892</t>
  </si>
  <si>
    <t>2015011811:01:48</t>
  </si>
  <si>
    <t>0811920</t>
  </si>
  <si>
    <t>2015011812:38:14</t>
  </si>
  <si>
    <t>0818503</t>
  </si>
  <si>
    <t>2015012114:19:10</t>
  </si>
  <si>
    <t>2015012716:00:00</t>
  </si>
  <si>
    <t>0818469</t>
  </si>
  <si>
    <t>2015012114:57:35</t>
  </si>
  <si>
    <r>
      <rPr>
        <sz val="9"/>
        <color rgb="FF333333"/>
        <rFont val="Times New Roman"/>
        <family val="1"/>
      </rPr>
      <t>36</t>
    </r>
    <r>
      <rPr>
        <sz val="9"/>
        <rFont val="Microsoft YaHei Light"/>
        <family val="2"/>
        <charset val="134"/>
      </rPr>
      <t>岁</t>
    </r>
  </si>
  <si>
    <t>0818845</t>
  </si>
  <si>
    <t>2015012315:29:36</t>
  </si>
  <si>
    <t>0818863</t>
  </si>
  <si>
    <t>2015012409:09:26</t>
  </si>
  <si>
    <t>2015013009:00:00</t>
  </si>
  <si>
    <r>
      <rPr>
        <sz val="9"/>
        <color rgb="FF333333"/>
        <rFont val="Times New Roman"/>
        <family val="1"/>
      </rPr>
      <t>14</t>
    </r>
    <r>
      <rPr>
        <sz val="9"/>
        <rFont val="Microsoft YaHei Light"/>
        <family val="2"/>
        <charset val="134"/>
      </rPr>
      <t>岁</t>
    </r>
  </si>
  <si>
    <t>0818936</t>
  </si>
  <si>
    <t>2015012410:22:24</t>
  </si>
  <si>
    <t>2015012916:00:00</t>
  </si>
  <si>
    <t>0818866</t>
  </si>
  <si>
    <t>2015012413:35:13</t>
  </si>
  <si>
    <r>
      <rPr>
        <sz val="9"/>
        <color rgb="FF333333"/>
        <rFont val="Times New Roman"/>
        <family val="1"/>
      </rPr>
      <t>15</t>
    </r>
    <r>
      <rPr>
        <sz val="9"/>
        <rFont val="Microsoft YaHei Light"/>
        <family val="2"/>
        <charset val="134"/>
      </rPr>
      <t>岁</t>
    </r>
  </si>
  <si>
    <t>0818879</t>
  </si>
  <si>
    <t>2015012414:46:59</t>
  </si>
  <si>
    <t>0822206</t>
  </si>
  <si>
    <t>2015012511:33:34</t>
  </si>
  <si>
    <t>0819053</t>
  </si>
  <si>
    <t>2015012611:53:40</t>
  </si>
  <si>
    <t>0819144</t>
  </si>
  <si>
    <t>2015012615:25:22</t>
  </si>
  <si>
    <t>2015013116:00:00</t>
  </si>
  <si>
    <r>
      <rPr>
        <sz val="9"/>
        <color rgb="FF333333"/>
        <rFont val="Times New Roman"/>
        <family val="1"/>
      </rPr>
      <t>31</t>
    </r>
    <r>
      <rPr>
        <sz val="9"/>
        <rFont val="Microsoft YaHei Light"/>
        <family val="2"/>
        <charset val="134"/>
      </rPr>
      <t>岁</t>
    </r>
  </si>
  <si>
    <t>0822278</t>
  </si>
  <si>
    <t>2015012720:11:10</t>
  </si>
  <si>
    <t>0819711</t>
  </si>
  <si>
    <t>2015012814:41:33</t>
  </si>
  <si>
    <t>2015020109:00:00</t>
  </si>
  <si>
    <t>0819719</t>
  </si>
  <si>
    <t>2015012815:26:21</t>
  </si>
  <si>
    <t>2015020216:00:00</t>
  </si>
  <si>
    <t>0819745</t>
  </si>
  <si>
    <t>2015012911:49:35</t>
  </si>
  <si>
    <t>2015020416:00:00</t>
  </si>
  <si>
    <t>0819799</t>
  </si>
  <si>
    <t>2015013008:49:05</t>
  </si>
  <si>
    <r>
      <rPr>
        <sz val="9"/>
        <color rgb="FF333333"/>
        <rFont val="Times New Roman"/>
        <family val="1"/>
      </rPr>
      <t>46</t>
    </r>
    <r>
      <rPr>
        <sz val="9"/>
        <rFont val="Microsoft YaHei Light"/>
        <family val="2"/>
        <charset val="134"/>
      </rPr>
      <t>岁</t>
    </r>
  </si>
  <si>
    <t>0820180</t>
  </si>
  <si>
    <t>2015013111:41:33</t>
  </si>
  <si>
    <t>2015020616:00:00</t>
  </si>
  <si>
    <t>0820304</t>
  </si>
  <si>
    <t>2015013115:16:12</t>
  </si>
  <si>
    <r>
      <rPr>
        <sz val="9"/>
        <color rgb="FF333333"/>
        <rFont val="Times New Roman"/>
        <family val="1"/>
      </rPr>
      <t>34</t>
    </r>
    <r>
      <rPr>
        <sz val="9"/>
        <rFont val="Microsoft YaHei Light"/>
        <family val="2"/>
        <charset val="134"/>
      </rPr>
      <t>岁</t>
    </r>
  </si>
  <si>
    <t>0822484</t>
  </si>
  <si>
    <t>2015020115:59:31</t>
  </si>
  <si>
    <t>2015020516:00:00</t>
  </si>
  <si>
    <t>0820457</t>
  </si>
  <si>
    <t>2015020213:52:41</t>
  </si>
  <si>
    <t>0820717</t>
  </si>
  <si>
    <t>2015020310:14:47</t>
  </si>
  <si>
    <t>2015020716:00:00</t>
  </si>
  <si>
    <t>0820930</t>
  </si>
  <si>
    <t>2015020414:08:07</t>
  </si>
  <si>
    <t>2015020916:00:00</t>
  </si>
  <si>
    <t>0821109</t>
  </si>
  <si>
    <t>2015020508:56:11</t>
  </si>
  <si>
    <t>0821196</t>
  </si>
  <si>
    <t>2015020613:12:44</t>
  </si>
  <si>
    <t>2015021216:00:00</t>
  </si>
  <si>
    <t>0822747</t>
  </si>
  <si>
    <t>2015020717:13:13</t>
  </si>
  <si>
    <t>2015021309:00:00</t>
  </si>
  <si>
    <t>0822780</t>
  </si>
  <si>
    <t>2015020810:21:18</t>
  </si>
  <si>
    <t>0821465</t>
  </si>
  <si>
    <t>2015020909:00:45</t>
  </si>
  <si>
    <t>2015021609:00:00</t>
  </si>
  <si>
    <t>0821658</t>
  </si>
  <si>
    <t>2015021011:23:06</t>
  </si>
  <si>
    <r>
      <rPr>
        <sz val="9"/>
        <color rgb="FF333333"/>
        <rFont val="Times New Roman"/>
        <family val="1"/>
      </rPr>
      <t>17</t>
    </r>
    <r>
      <rPr>
        <sz val="9"/>
        <rFont val="Microsoft YaHei Light"/>
        <family val="2"/>
        <charset val="134"/>
      </rPr>
      <t>岁</t>
    </r>
  </si>
  <si>
    <t>0826052</t>
  </si>
  <si>
    <t>2015022508:51:05</t>
  </si>
  <si>
    <t>2015030516:00:00</t>
  </si>
  <si>
    <t>0825911</t>
  </si>
  <si>
    <t>2015022509:13:04</t>
  </si>
  <si>
    <t>2015030216:00:00</t>
  </si>
  <si>
    <r>
      <rPr>
        <sz val="9"/>
        <color rgb="FF333333"/>
        <rFont val="Times New Roman"/>
        <family val="1"/>
      </rPr>
      <t>11</t>
    </r>
    <r>
      <rPr>
        <sz val="9"/>
        <rFont val="Microsoft YaHei Light"/>
        <family val="2"/>
        <charset val="134"/>
      </rPr>
      <t>岁</t>
    </r>
  </si>
  <si>
    <t>0825950</t>
  </si>
  <si>
    <t>2015022511:10:46</t>
  </si>
  <si>
    <t>0826181</t>
  </si>
  <si>
    <t>2015022609:27:08</t>
  </si>
  <si>
    <t>2015030416:00:00</t>
  </si>
  <si>
    <t>0826453</t>
  </si>
  <si>
    <t>2015022611:42:55</t>
  </si>
  <si>
    <t>0823716</t>
  </si>
  <si>
    <t>2015030110:28:19</t>
  </si>
  <si>
    <t>2015030616:00:00</t>
  </si>
  <si>
    <r>
      <rPr>
        <sz val="9"/>
        <color rgb="FF333333"/>
        <rFont val="Times New Roman"/>
        <family val="1"/>
      </rPr>
      <t>39</t>
    </r>
    <r>
      <rPr>
        <sz val="9"/>
        <rFont val="Microsoft YaHei Light"/>
        <family val="2"/>
        <charset val="134"/>
      </rPr>
      <t>岁</t>
    </r>
  </si>
  <si>
    <t>0823754</t>
  </si>
  <si>
    <t>2015030117:08:39</t>
  </si>
  <si>
    <t>2015030609:00:00</t>
  </si>
  <si>
    <r>
      <rPr>
        <sz val="9"/>
        <color rgb="FF333333"/>
        <rFont val="Times New Roman"/>
        <family val="1"/>
      </rPr>
      <t>40</t>
    </r>
    <r>
      <rPr>
        <sz val="9"/>
        <rFont val="Microsoft YaHei Light"/>
        <family val="2"/>
        <charset val="134"/>
      </rPr>
      <t>岁</t>
    </r>
  </si>
  <si>
    <t>0827009</t>
  </si>
  <si>
    <t>2015030211:52:12</t>
  </si>
  <si>
    <t>2015030716:00:00</t>
  </si>
  <si>
    <t>0827019</t>
  </si>
  <si>
    <t>2015030211:53:41</t>
  </si>
  <si>
    <t>2015030809:00:00</t>
  </si>
  <si>
    <t>0827125</t>
  </si>
  <si>
    <t>2015030214:58:14</t>
  </si>
  <si>
    <t>2015031016:00:00</t>
  </si>
  <si>
    <r>
      <rPr>
        <sz val="9"/>
        <color rgb="FF333333"/>
        <rFont val="Times New Roman"/>
        <family val="1"/>
      </rPr>
      <t>32</t>
    </r>
    <r>
      <rPr>
        <sz val="9"/>
        <rFont val="Microsoft YaHei Light"/>
        <family val="2"/>
        <charset val="134"/>
      </rPr>
      <t>岁</t>
    </r>
  </si>
  <si>
    <t>0827196</t>
  </si>
  <si>
    <t>2015030313:28:12</t>
  </si>
  <si>
    <t>0823847</t>
  </si>
  <si>
    <t>2015030417:07:03</t>
  </si>
  <si>
    <r>
      <rPr>
        <sz val="9"/>
        <color rgb="FF333333"/>
        <rFont val="Times New Roman"/>
        <family val="1"/>
      </rPr>
      <t>25</t>
    </r>
    <r>
      <rPr>
        <sz val="9"/>
        <rFont val="Microsoft YaHei Light"/>
        <family val="2"/>
        <charset val="134"/>
      </rPr>
      <t>岁</t>
    </r>
  </si>
  <si>
    <t>0831077</t>
  </si>
  <si>
    <t>2015030710:33:51</t>
  </si>
  <si>
    <t>2015031316:00:00</t>
  </si>
  <si>
    <t>0831078</t>
  </si>
  <si>
    <t>2015030710:47:16</t>
  </si>
  <si>
    <t>2015031309:00:00</t>
  </si>
  <si>
    <t>0824020</t>
  </si>
  <si>
    <t>2015030810:04:45</t>
  </si>
  <si>
    <t>2015031216:00:00</t>
  </si>
  <si>
    <t>0823993</t>
  </si>
  <si>
    <t>2015030810:48:05</t>
  </si>
  <si>
    <t>2015031409:00:00</t>
  </si>
  <si>
    <t>0824041</t>
  </si>
  <si>
    <t>2015030811:27:25</t>
  </si>
  <si>
    <t>0831444</t>
  </si>
  <si>
    <t>2015031111:58:52</t>
  </si>
  <si>
    <t>2015031816:00:00</t>
  </si>
  <si>
    <r>
      <rPr>
        <sz val="9"/>
        <color rgb="FF333333"/>
        <rFont val="Times New Roman"/>
        <family val="1"/>
      </rPr>
      <t>57</t>
    </r>
    <r>
      <rPr>
        <sz val="9"/>
        <rFont val="Microsoft YaHei Light"/>
        <family val="2"/>
        <charset val="134"/>
      </rPr>
      <t>岁</t>
    </r>
  </si>
  <si>
    <t>0831561</t>
  </si>
  <si>
    <t>2015031111:59:41</t>
  </si>
  <si>
    <t>2015031709:00:00</t>
  </si>
  <si>
    <t>0831465</t>
  </si>
  <si>
    <t>2015031114:49:24</t>
  </si>
  <si>
    <t>2015031616:00:00</t>
  </si>
  <si>
    <t>0831815</t>
  </si>
  <si>
    <t>2015031115:54:28</t>
  </si>
  <si>
    <r>
      <rPr>
        <sz val="9"/>
        <color rgb="FF333333"/>
        <rFont val="Times New Roman"/>
        <family val="1"/>
      </rPr>
      <t>56</t>
    </r>
    <r>
      <rPr>
        <sz val="9"/>
        <rFont val="Microsoft YaHei Light"/>
        <family val="2"/>
        <charset val="134"/>
      </rPr>
      <t>岁</t>
    </r>
  </si>
  <si>
    <t>0832266</t>
  </si>
  <si>
    <t>2015031315:18:41</t>
  </si>
  <si>
    <t>0832415</t>
  </si>
  <si>
    <t>2015031415:12:42</t>
  </si>
  <si>
    <t>2015032716:00:00</t>
  </si>
  <si>
    <t>0824328</t>
  </si>
  <si>
    <t>2015031512:05:30</t>
  </si>
  <si>
    <t>2015031916:00:00</t>
  </si>
  <si>
    <t>0824400</t>
  </si>
  <si>
    <t>2015031519:51:54</t>
  </si>
  <si>
    <t>2015032009:00:00</t>
  </si>
  <si>
    <t>0832908</t>
  </si>
  <si>
    <t>2015031614:55:22</t>
  </si>
  <si>
    <t>2015032116:00:00</t>
  </si>
  <si>
    <t>0832752</t>
  </si>
  <si>
    <t>2015031715:54:23</t>
  </si>
  <si>
    <t>2015032316:00:00</t>
  </si>
  <si>
    <t>0832988</t>
  </si>
  <si>
    <t>2015031810:34:10</t>
  </si>
  <si>
    <r>
      <rPr>
        <sz val="9"/>
        <color rgb="FF333333"/>
        <rFont val="Times New Roman"/>
        <family val="1"/>
      </rPr>
      <t>37</t>
    </r>
    <r>
      <rPr>
        <sz val="9"/>
        <rFont val="Microsoft YaHei Light"/>
        <family val="2"/>
        <charset val="134"/>
      </rPr>
      <t>岁</t>
    </r>
  </si>
  <si>
    <t>0833206</t>
  </si>
  <si>
    <t>2015031814:00:18</t>
  </si>
  <si>
    <t>0833069</t>
  </si>
  <si>
    <t>2015031816:15:47</t>
  </si>
  <si>
    <t>0824533</t>
  </si>
  <si>
    <t>2015031920:16:04</t>
  </si>
  <si>
    <t>2015032416:00:00</t>
  </si>
  <si>
    <t>0833307</t>
  </si>
  <si>
    <t>2015032009:07:13</t>
  </si>
  <si>
    <t>2015032616:00:00</t>
  </si>
  <si>
    <t>0824678</t>
  </si>
  <si>
    <t>2015032211:52:08</t>
  </si>
  <si>
    <t>0824692</t>
  </si>
  <si>
    <t>2015032214:14:26</t>
  </si>
  <si>
    <t>2015032516:00:00</t>
  </si>
  <si>
    <t>0824697</t>
  </si>
  <si>
    <t>2015032216:05:01</t>
  </si>
  <si>
    <r>
      <rPr>
        <sz val="9"/>
        <color rgb="FF333333"/>
        <rFont val="Times New Roman"/>
        <family val="1"/>
      </rPr>
      <t>26</t>
    </r>
    <r>
      <rPr>
        <sz val="9"/>
        <rFont val="Microsoft YaHei Light"/>
        <family val="2"/>
        <charset val="134"/>
      </rPr>
      <t>岁</t>
    </r>
  </si>
  <si>
    <t>0824708</t>
  </si>
  <si>
    <t>2015032216:20:56</t>
  </si>
  <si>
    <t>2015032709:00:00</t>
  </si>
  <si>
    <t>0824707</t>
  </si>
  <si>
    <t>2015032217:14:00</t>
  </si>
  <si>
    <t>0834134</t>
  </si>
  <si>
    <t>2015032413:30:51</t>
  </si>
  <si>
    <t>2015033016:00:00</t>
  </si>
  <si>
    <t>0834350</t>
  </si>
  <si>
    <t>2015032515:01:21</t>
  </si>
  <si>
    <t>0834604</t>
  </si>
  <si>
    <t>2015032615:56:41</t>
  </si>
  <si>
    <t>2015040209:00:00</t>
  </si>
  <si>
    <t>0834552</t>
  </si>
  <si>
    <t>2015032708:59:50</t>
  </si>
  <si>
    <t>2015041516:00:00</t>
  </si>
  <si>
    <t>0834812</t>
  </si>
  <si>
    <t>2015032714:25:51</t>
  </si>
  <si>
    <t>0834884</t>
  </si>
  <si>
    <t>2015032814:59:42</t>
  </si>
  <si>
    <t>2015040316:00:00</t>
  </si>
  <si>
    <t>0834892</t>
  </si>
  <si>
    <t>2015032815:41:32</t>
  </si>
  <si>
    <t>2015040309:00:00</t>
  </si>
  <si>
    <t>0824964</t>
  </si>
  <si>
    <t>2015032909:25:41</t>
  </si>
  <si>
    <t>2015040916:00:00</t>
  </si>
  <si>
    <t>0834990</t>
  </si>
  <si>
    <t>2015033013:46:14</t>
  </si>
  <si>
    <t>2015040409:00:00</t>
  </si>
  <si>
    <t>0837685</t>
  </si>
  <si>
    <t>2015040214:06:33</t>
  </si>
  <si>
    <t>2015041016:00:00</t>
  </si>
  <si>
    <r>
      <rPr>
        <sz val="9"/>
        <color rgb="FF333333"/>
        <rFont val="Times New Roman"/>
        <family val="1"/>
      </rPr>
      <t>51</t>
    </r>
    <r>
      <rPr>
        <sz val="9"/>
        <rFont val="Microsoft YaHei Light"/>
        <family val="2"/>
        <charset val="134"/>
      </rPr>
      <t>岁</t>
    </r>
  </si>
  <si>
    <t>0835041</t>
  </si>
  <si>
    <t>2015040313:54:58</t>
  </si>
  <si>
    <t>0837952</t>
  </si>
  <si>
    <t>2015040315:10:30</t>
  </si>
  <si>
    <t>0837860</t>
  </si>
  <si>
    <t>2015040315:27:38</t>
  </si>
  <si>
    <t>2015041009:00:00</t>
  </si>
  <si>
    <t>0835053</t>
  </si>
  <si>
    <t>2015040315:49:26</t>
  </si>
  <si>
    <t>0838310</t>
  </si>
  <si>
    <t>2015040712:07:53</t>
  </si>
  <si>
    <t>0838419</t>
  </si>
  <si>
    <t>2015040811:12:19</t>
  </si>
  <si>
    <t>0838600</t>
  </si>
  <si>
    <t>2015040815:46:42</t>
  </si>
  <si>
    <t>2015041316:00:00</t>
  </si>
  <si>
    <t>0838664</t>
  </si>
  <si>
    <t>2015041008:20:06</t>
  </si>
  <si>
    <t>0828681</t>
  </si>
  <si>
    <t>2015041213:30:02</t>
  </si>
  <si>
    <t>2015041716:00:00</t>
  </si>
  <si>
    <t>0840440</t>
  </si>
  <si>
    <t>2015041314:55:20</t>
  </si>
  <si>
    <t>0828752</t>
  </si>
  <si>
    <t>2015041320:29:21</t>
  </si>
  <si>
    <t>0838703</t>
  </si>
  <si>
    <t>2015041515:58:03</t>
  </si>
  <si>
    <t>2015042016:00:00</t>
  </si>
  <si>
    <t>0828843</t>
  </si>
  <si>
    <t>2015041600:11:48</t>
  </si>
  <si>
    <t>2015041909:00:00</t>
  </si>
  <si>
    <t>0838782</t>
  </si>
  <si>
    <t>2015041709:05:55</t>
  </si>
  <si>
    <t>2015042316:00:00</t>
  </si>
  <si>
    <r>
      <rPr>
        <sz val="9"/>
        <color rgb="FF333333"/>
        <rFont val="Times New Roman"/>
        <family val="1"/>
      </rPr>
      <t>44</t>
    </r>
    <r>
      <rPr>
        <sz val="9"/>
        <rFont val="Microsoft YaHei Light"/>
        <family val="2"/>
        <charset val="134"/>
      </rPr>
      <t>岁</t>
    </r>
  </si>
  <si>
    <t>0828911</t>
  </si>
  <si>
    <t>2015041723:18:27</t>
  </si>
  <si>
    <t>0828920</t>
  </si>
  <si>
    <t>2015041801:56:10</t>
  </si>
  <si>
    <t>2015042116:00:00</t>
  </si>
  <si>
    <t>0828944</t>
  </si>
  <si>
    <t>2015041819:09:45</t>
  </si>
  <si>
    <t>0829024</t>
  </si>
  <si>
    <t>2015041916:01:37</t>
  </si>
  <si>
    <t>2015042509:00:00</t>
  </si>
  <si>
    <r>
      <rPr>
        <sz val="9"/>
        <color rgb="FF333333"/>
        <rFont val="Times New Roman"/>
        <family val="1"/>
      </rPr>
      <t>55</t>
    </r>
    <r>
      <rPr>
        <sz val="9"/>
        <rFont val="Microsoft YaHei Light"/>
        <family val="2"/>
        <charset val="134"/>
      </rPr>
      <t>岁</t>
    </r>
  </si>
  <si>
    <t>0838893</t>
  </si>
  <si>
    <t>2015042014:02:57</t>
  </si>
  <si>
    <t>2015042609:00:00</t>
  </si>
  <si>
    <r>
      <rPr>
        <sz val="9"/>
        <color rgb="FF333333"/>
        <rFont val="Times New Roman"/>
        <family val="1"/>
      </rPr>
      <t>59</t>
    </r>
    <r>
      <rPr>
        <sz val="9"/>
        <rFont val="Microsoft YaHei Light"/>
        <family val="2"/>
        <charset val="134"/>
      </rPr>
      <t>岁</t>
    </r>
  </si>
  <si>
    <t>0836029</t>
  </si>
  <si>
    <t>2015042016:14:46</t>
  </si>
  <si>
    <t>0829074</t>
  </si>
  <si>
    <t>2015042018:44:13</t>
  </si>
  <si>
    <t>0836266</t>
  </si>
  <si>
    <t>2015042212:48:38</t>
  </si>
  <si>
    <t>0836506</t>
  </si>
  <si>
    <t>2015042213:21:40</t>
  </si>
  <si>
    <t>2015042816:00:00</t>
  </si>
  <si>
    <t>0836696</t>
  </si>
  <si>
    <t>2015042713:09:20</t>
  </si>
  <si>
    <t>2015050416:00:00</t>
  </si>
  <si>
    <t>0839219</t>
  </si>
  <si>
    <t>2015042714:43:49</t>
  </si>
  <si>
    <t>2015050509:00:00</t>
  </si>
  <si>
    <t>0836997</t>
  </si>
  <si>
    <t>2015042714:45:50</t>
  </si>
  <si>
    <t>0839003</t>
  </si>
  <si>
    <t>2015042714:54:54</t>
  </si>
  <si>
    <t>2015051516:00:00</t>
  </si>
  <si>
    <t>0839223</t>
  </si>
  <si>
    <t>2015042714:59:09</t>
  </si>
  <si>
    <t>0839134</t>
  </si>
  <si>
    <t>2015042716:00:04</t>
  </si>
  <si>
    <t>2015050209:00:00</t>
  </si>
  <si>
    <t>0829367</t>
  </si>
  <si>
    <t>2015042717:28:25</t>
  </si>
  <si>
    <t>2015043016:00:00</t>
  </si>
  <si>
    <r>
      <rPr>
        <sz val="9"/>
        <color rgb="FF333333"/>
        <rFont val="Times New Roman"/>
        <family val="1"/>
      </rPr>
      <t>53</t>
    </r>
    <r>
      <rPr>
        <sz val="9"/>
        <rFont val="Microsoft YaHei Light"/>
        <family val="2"/>
        <charset val="134"/>
      </rPr>
      <t>岁</t>
    </r>
  </si>
  <si>
    <t>0839438</t>
  </si>
  <si>
    <t>2015042913:52:41</t>
  </si>
  <si>
    <t>2015050716:00:00</t>
  </si>
  <si>
    <r>
      <rPr>
        <sz val="9"/>
        <color rgb="FF333333"/>
        <rFont val="Times New Roman"/>
        <family val="1"/>
      </rPr>
      <t>42</t>
    </r>
    <r>
      <rPr>
        <sz val="9"/>
        <rFont val="Microsoft YaHei Light"/>
        <family val="2"/>
        <charset val="134"/>
      </rPr>
      <t>岁</t>
    </r>
  </si>
  <si>
    <t>0839361</t>
  </si>
  <si>
    <t>2015042914:50:34</t>
  </si>
  <si>
    <t>2015050616:00:00</t>
  </si>
  <si>
    <t>0829536</t>
  </si>
  <si>
    <t>2015050113:01:12</t>
  </si>
  <si>
    <t>0839649</t>
  </si>
  <si>
    <t>2015050208:26:25</t>
  </si>
  <si>
    <t>2015051116:00:00</t>
  </si>
  <si>
    <t>0839667</t>
  </si>
  <si>
    <t>2015050210:49:42</t>
  </si>
  <si>
    <t>0829690</t>
  </si>
  <si>
    <t>2015050315:07:51</t>
  </si>
  <si>
    <t>0829692</t>
  </si>
  <si>
    <t>2015050315:28:31</t>
  </si>
  <si>
    <t>0841009</t>
  </si>
  <si>
    <t>2015050414:24:02</t>
  </si>
  <si>
    <t>2015050916:00:00</t>
  </si>
  <si>
    <t>0839999</t>
  </si>
  <si>
    <t>2015050415:17:10</t>
  </si>
  <si>
    <t>0829796</t>
  </si>
  <si>
    <t>2015050519:40:49</t>
  </si>
  <si>
    <t>0829832</t>
  </si>
  <si>
    <t>2015050618:44:08</t>
  </si>
  <si>
    <t>2015051216:00:00</t>
  </si>
  <si>
    <t>0843508</t>
  </si>
  <si>
    <t>2015050715:33:57</t>
  </si>
  <si>
    <t>2015051316:00:00</t>
  </si>
  <si>
    <t>0843314</t>
  </si>
  <si>
    <t>2015050716:22:01</t>
  </si>
  <si>
    <t>0843496</t>
  </si>
  <si>
    <t>2015050813:36:46</t>
  </si>
  <si>
    <t>0843621</t>
  </si>
  <si>
    <t>2015050907:59:00</t>
  </si>
  <si>
    <t>0829956</t>
  </si>
  <si>
    <t>2015051014:15:00</t>
  </si>
  <si>
    <t>0830012</t>
  </si>
  <si>
    <t>2015051016:02:28</t>
  </si>
  <si>
    <t>0829984</t>
  </si>
  <si>
    <t>2015051016:35:29</t>
  </si>
  <si>
    <t>2015051609:00:00</t>
  </si>
  <si>
    <r>
      <rPr>
        <sz val="9"/>
        <color rgb="FF333333"/>
        <rFont val="Times New Roman"/>
        <family val="1"/>
      </rPr>
      <t>54</t>
    </r>
    <r>
      <rPr>
        <sz val="9"/>
        <rFont val="Microsoft YaHei Light"/>
        <family val="2"/>
        <charset val="134"/>
      </rPr>
      <t>岁</t>
    </r>
  </si>
  <si>
    <t>0843835</t>
  </si>
  <si>
    <t>2015051115:40:00</t>
  </si>
  <si>
    <r>
      <rPr>
        <sz val="9"/>
        <color rgb="FF333333"/>
        <rFont val="Times New Roman"/>
        <family val="1"/>
      </rPr>
      <t>21</t>
    </r>
    <r>
      <rPr>
        <sz val="9"/>
        <rFont val="Microsoft YaHei Light"/>
        <family val="2"/>
        <charset val="134"/>
      </rPr>
      <t>岁</t>
    </r>
  </si>
  <si>
    <t>0830097</t>
  </si>
  <si>
    <t>2015051218:54:43</t>
  </si>
  <si>
    <t>2015051509:00:00</t>
  </si>
  <si>
    <t>0842001</t>
  </si>
  <si>
    <t>2015051312:27:59</t>
  </si>
  <si>
    <t>2015051916:00:00</t>
  </si>
  <si>
    <t>0841771</t>
  </si>
  <si>
    <t>2015051312:28:27</t>
  </si>
  <si>
    <t>2015051816:00:00</t>
  </si>
  <si>
    <t>0830117</t>
  </si>
  <si>
    <t>2015051318:46:58</t>
  </si>
  <si>
    <t>2015051909:00:00</t>
  </si>
  <si>
    <t>0830134</t>
  </si>
  <si>
    <t>2015051320:20:43</t>
  </si>
  <si>
    <t>0830168</t>
  </si>
  <si>
    <t>2015051419:57:07</t>
  </si>
  <si>
    <t>2015052016:00:00</t>
  </si>
  <si>
    <t>0830308</t>
  </si>
  <si>
    <t>2015051708:48:50</t>
  </si>
  <si>
    <t>2015052309:00:00</t>
  </si>
  <si>
    <t>0830316</t>
  </si>
  <si>
    <t>2015051711:09:41</t>
  </si>
  <si>
    <t>2015052516:00:00</t>
  </si>
  <si>
    <t>0830326</t>
  </si>
  <si>
    <t>2015051714:24:16</t>
  </si>
  <si>
    <t>2015052216:00:00</t>
  </si>
  <si>
    <t>0830333</t>
  </si>
  <si>
    <t>2015051715:05:52</t>
  </si>
  <si>
    <t>0830366</t>
  </si>
  <si>
    <t>2015051717:12:45</t>
  </si>
  <si>
    <t>2015052116:00:00</t>
  </si>
  <si>
    <t>0830385</t>
  </si>
  <si>
    <t>2015051718:34:23</t>
  </si>
  <si>
    <t>7014931</t>
  </si>
  <si>
    <t>2015051810:21:24</t>
  </si>
  <si>
    <t>2015052109:00:00</t>
  </si>
  <si>
    <t>0842899</t>
  </si>
  <si>
    <t>2015051912:03:10</t>
  </si>
  <si>
    <t>2015052316:00:00</t>
  </si>
  <si>
    <t>0844125</t>
  </si>
  <si>
    <t>2015051914:30:33</t>
  </si>
  <si>
    <r>
      <rPr>
        <sz val="9"/>
        <color rgb="FF333333"/>
        <rFont val="Times New Roman"/>
        <family val="1"/>
      </rPr>
      <t>45</t>
    </r>
    <r>
      <rPr>
        <sz val="9"/>
        <rFont val="Microsoft YaHei Light"/>
        <family val="2"/>
        <charset val="134"/>
      </rPr>
      <t>岁</t>
    </r>
  </si>
  <si>
    <t>0844512</t>
  </si>
  <si>
    <t>2015052015:15:02</t>
  </si>
  <si>
    <t>0844520</t>
  </si>
  <si>
    <t>2015052016:09:23</t>
  </si>
  <si>
    <t>0844715</t>
  </si>
  <si>
    <t>2015052108:20:41</t>
  </si>
  <si>
    <t>2015052716:00:00</t>
  </si>
  <si>
    <t>0844635</t>
  </si>
  <si>
    <t>2015052214:29:37</t>
  </si>
  <si>
    <t>0844919</t>
  </si>
  <si>
    <t>2015052215:14:32</t>
  </si>
  <si>
    <t>2015060609:00:00</t>
  </si>
  <si>
    <t>0844828</t>
  </si>
  <si>
    <t>2015052216:23:31</t>
  </si>
  <si>
    <t>2015052616:00:00</t>
  </si>
  <si>
    <t>0844839</t>
  </si>
  <si>
    <t>2015052311:57:39</t>
  </si>
  <si>
    <t>2015052916:00:00</t>
  </si>
  <si>
    <t>0830641</t>
  </si>
  <si>
    <t>2015052409:43:01</t>
  </si>
  <si>
    <t>0830659</t>
  </si>
  <si>
    <t>2015052411:49:09</t>
  </si>
  <si>
    <t>2015060116:00:00</t>
  </si>
  <si>
    <t>0844972</t>
  </si>
  <si>
    <t>2015052511:55:19</t>
  </si>
  <si>
    <t>2015061516:00:00</t>
  </si>
  <si>
    <t>0844986</t>
  </si>
  <si>
    <t>2015052511:57:08</t>
  </si>
  <si>
    <t>2015053109:00:00</t>
  </si>
  <si>
    <t>0830796</t>
  </si>
  <si>
    <t>2015052617:17:21</t>
  </si>
  <si>
    <t>2015053016:00:00</t>
  </si>
  <si>
    <t>0830884</t>
  </si>
  <si>
    <t>2015052817:45:31</t>
  </si>
  <si>
    <t>2015060216:00:00</t>
  </si>
  <si>
    <t>0846289</t>
  </si>
  <si>
    <t>2015053010:18:46</t>
  </si>
  <si>
    <t>2015060616:00:00</t>
  </si>
  <si>
    <t>0846424</t>
  </si>
  <si>
    <t>2015053015:58:07</t>
  </si>
  <si>
    <t>2015060816:00:00</t>
  </si>
  <si>
    <t>0830999</t>
  </si>
  <si>
    <t>2015053109:12:34</t>
  </si>
  <si>
    <t>0847006</t>
  </si>
  <si>
    <t>2015053110:15:14</t>
  </si>
  <si>
    <t>0830994</t>
  </si>
  <si>
    <t>2015053113:41:50</t>
  </si>
  <si>
    <t>2015060509:00:00</t>
  </si>
  <si>
    <t>0846611</t>
  </si>
  <si>
    <t>2015060116:34:19</t>
  </si>
  <si>
    <t>2015060909:00:00</t>
  </si>
  <si>
    <t>0846745</t>
  </si>
  <si>
    <t>2015060213:25:06</t>
  </si>
  <si>
    <t>2015060709:00:00</t>
  </si>
  <si>
    <t>0847145</t>
  </si>
  <si>
    <t>2015060219:21:20</t>
  </si>
  <si>
    <t>0847148</t>
  </si>
  <si>
    <t>2015060220:15:29</t>
  </si>
  <si>
    <t>0846772</t>
  </si>
  <si>
    <t>2015060308:09:37</t>
  </si>
  <si>
    <t>0846782</t>
  </si>
  <si>
    <t>2015060309:17:33</t>
  </si>
  <si>
    <t>0846933</t>
  </si>
  <si>
    <t>2015060314:25:23</t>
  </si>
  <si>
    <t>0847236</t>
  </si>
  <si>
    <t>2015060517:05:10</t>
  </si>
  <si>
    <t>2015061016:00:00</t>
  </si>
  <si>
    <t>0847355</t>
  </si>
  <si>
    <t>2015060714:04:03</t>
  </si>
  <si>
    <t>0851237</t>
  </si>
  <si>
    <t>2015060914:22:48</t>
  </si>
  <si>
    <t>2015061716:00:00</t>
  </si>
  <si>
    <t>0850970</t>
  </si>
  <si>
    <t>2015061009:36:27</t>
  </si>
  <si>
    <t>0850984</t>
  </si>
  <si>
    <t>2015061011:15:56</t>
  </si>
  <si>
    <t>2015062009:00:00</t>
  </si>
  <si>
    <t>0851027</t>
  </si>
  <si>
    <t>2015061014:22:11</t>
  </si>
  <si>
    <t>0851324</t>
  </si>
  <si>
    <t>2015061016:31:03</t>
  </si>
  <si>
    <t>0851433</t>
  </si>
  <si>
    <t>2015061016:35:34</t>
  </si>
  <si>
    <t>0848075</t>
  </si>
  <si>
    <t>2015061117:38:44</t>
  </si>
  <si>
    <t>2015061916:00:00</t>
  </si>
  <si>
    <t>0851547</t>
  </si>
  <si>
    <t>2015061216:24:59</t>
  </si>
  <si>
    <t>0848256</t>
  </si>
  <si>
    <t>2015061414:23:53</t>
  </si>
  <si>
    <t>0848243</t>
  </si>
  <si>
    <t>2015061415:02:48</t>
  </si>
  <si>
    <t>0852629</t>
  </si>
  <si>
    <t>2015061614:05:41</t>
  </si>
  <si>
    <t>2015062316:00:00</t>
  </si>
  <si>
    <t>0852687</t>
  </si>
  <si>
    <t>2015061712:01:39</t>
  </si>
  <si>
    <t>0852457</t>
  </si>
  <si>
    <t>2015061712:02:28</t>
  </si>
  <si>
    <t>2015062409:00:00</t>
  </si>
  <si>
    <t>0852509</t>
  </si>
  <si>
    <t>2015061807:50:14</t>
  </si>
  <si>
    <t>0852532</t>
  </si>
  <si>
    <t>2015061812:02:56</t>
  </si>
  <si>
    <t>2015071316:00:00</t>
  </si>
  <si>
    <t>0852749</t>
  </si>
  <si>
    <t>2015061815:51:22</t>
  </si>
  <si>
    <t>2015062616:00:00</t>
  </si>
  <si>
    <t>0852762</t>
  </si>
  <si>
    <t>2015061816:20:44</t>
  </si>
  <si>
    <t>2015062709:00:00</t>
  </si>
  <si>
    <t>0852355</t>
  </si>
  <si>
    <t>2015061816:32:22</t>
  </si>
  <si>
    <t>2015062916:00:00</t>
  </si>
  <si>
    <t>0848548</t>
  </si>
  <si>
    <t>2015062008:57:56</t>
  </si>
  <si>
    <t>0848529</t>
  </si>
  <si>
    <t>2015062013:44:48</t>
  </si>
  <si>
    <t>0848608</t>
  </si>
  <si>
    <t>2015062109:06:27</t>
  </si>
  <si>
    <t>0848631</t>
  </si>
  <si>
    <t>2015062113:42:18</t>
  </si>
  <si>
    <t>2015062716:00:00</t>
  </si>
  <si>
    <t>0848689</t>
  </si>
  <si>
    <t>2015062119:06:48</t>
  </si>
  <si>
    <t>0852997</t>
  </si>
  <si>
    <t>2015062214:29:56</t>
  </si>
  <si>
    <t>2015062809:00:00</t>
  </si>
  <si>
    <t>0853088</t>
  </si>
  <si>
    <t>2015062313:47:16</t>
  </si>
  <si>
    <t>0853271</t>
  </si>
  <si>
    <t>2015062315:23:09</t>
  </si>
  <si>
    <t>0853142</t>
  </si>
  <si>
    <t>2015062315:28:10</t>
  </si>
  <si>
    <t>0853369</t>
  </si>
  <si>
    <t>2015062316:03:41</t>
  </si>
  <si>
    <t>0853152</t>
  </si>
  <si>
    <t>2015062316:32:13</t>
  </si>
  <si>
    <t>0848769</t>
  </si>
  <si>
    <t>2015062318:56:09</t>
  </si>
  <si>
    <t>0853293</t>
  </si>
  <si>
    <t>2015062409:38:26</t>
  </si>
  <si>
    <t>2015070209:00:00</t>
  </si>
  <si>
    <t>0854004</t>
  </si>
  <si>
    <t>2015062411:51:13</t>
  </si>
  <si>
    <t>2015070216:00:00</t>
  </si>
  <si>
    <t>0853681</t>
  </si>
  <si>
    <t>2015062714:02:50</t>
  </si>
  <si>
    <t>2015070316:00:00</t>
  </si>
  <si>
    <t>0848952</t>
  </si>
  <si>
    <t>2015062809:23:31</t>
  </si>
  <si>
    <t>2015070309:00:00</t>
  </si>
  <si>
    <t>0847516</t>
  </si>
  <si>
    <t>2015062814:55:50</t>
  </si>
  <si>
    <t>0848988</t>
  </si>
  <si>
    <t>2015062816:45:19</t>
  </si>
  <si>
    <t>0853825</t>
  </si>
  <si>
    <t>2015062912:50:31</t>
  </si>
  <si>
    <t>0854284</t>
  </si>
  <si>
    <t>2015062912:51:27</t>
  </si>
  <si>
    <t>0854405</t>
  </si>
  <si>
    <t>2015063008:51:23</t>
  </si>
  <si>
    <t>2015070616:00:00</t>
  </si>
  <si>
    <t>0854465</t>
  </si>
  <si>
    <t>2015063015:25:29</t>
  </si>
  <si>
    <t>0847649</t>
  </si>
  <si>
    <t>2015070117:11:41</t>
  </si>
  <si>
    <t>0847680</t>
  </si>
  <si>
    <t>2015070206:49:23</t>
  </si>
  <si>
    <t>0854592</t>
  </si>
  <si>
    <t>2015070215:14:29</t>
  </si>
  <si>
    <t>2015070816:00:00</t>
  </si>
  <si>
    <t>0855233</t>
  </si>
  <si>
    <t>2015070415:09:52</t>
  </si>
  <si>
    <t>2015071016:00:00</t>
  </si>
  <si>
    <t>0855235</t>
  </si>
  <si>
    <t>2015070416:15:30</t>
  </si>
  <si>
    <t>2015071109:00:00</t>
  </si>
  <si>
    <t>0847803</t>
  </si>
  <si>
    <t>2015070508:04:57</t>
  </si>
  <si>
    <t>0847880</t>
  </si>
  <si>
    <t>2015070514:31:18</t>
  </si>
  <si>
    <t>0847898</t>
  </si>
  <si>
    <t>2015070516:32:02</t>
  </si>
  <si>
    <t>2015071009:00:00</t>
  </si>
  <si>
    <t>0855830</t>
  </si>
  <si>
    <t>2015070616:19:58</t>
  </si>
  <si>
    <t>2015071116:00:00</t>
  </si>
  <si>
    <t>0856134</t>
  </si>
  <si>
    <t>2015070812:14:48</t>
  </si>
  <si>
    <t>2015072116:00:00</t>
  </si>
  <si>
    <t>0856335</t>
  </si>
  <si>
    <t>2015070814:54:02</t>
  </si>
  <si>
    <t>0856170</t>
  </si>
  <si>
    <t>2015070815:24:00</t>
  </si>
  <si>
    <t>0856017</t>
  </si>
  <si>
    <t>2015070912:01:51</t>
  </si>
  <si>
    <t>2015071516:00:00</t>
  </si>
  <si>
    <t>0856047</t>
  </si>
  <si>
    <t>2015070914:36:42</t>
  </si>
  <si>
    <t>0856496</t>
  </si>
  <si>
    <t>2015071014:41:56</t>
  </si>
  <si>
    <t>0849113</t>
  </si>
  <si>
    <t>2015071020:21:36</t>
  </si>
  <si>
    <t>0849198</t>
  </si>
  <si>
    <t>2015071209:01:05</t>
  </si>
  <si>
    <t>2015071709:00:00</t>
  </si>
  <si>
    <t>0849193</t>
  </si>
  <si>
    <t>2015071209:48:59</t>
  </si>
  <si>
    <t>2015071616:00:00</t>
  </si>
  <si>
    <t>0849194</t>
  </si>
  <si>
    <t>2015071210:03:45</t>
  </si>
  <si>
    <t>2015071816:00:00</t>
  </si>
  <si>
    <t>0849207</t>
  </si>
  <si>
    <t>2015071211:15:44</t>
  </si>
  <si>
    <t>2015071809:00:00</t>
  </si>
  <si>
    <t>0849217</t>
  </si>
  <si>
    <t>2015071211:16:28</t>
  </si>
  <si>
    <t>2015071416:00:00</t>
  </si>
  <si>
    <t>0849250</t>
  </si>
  <si>
    <t>2015071215:03:12</t>
  </si>
  <si>
    <t>0849252</t>
  </si>
  <si>
    <t>2015071215:33:59</t>
  </si>
  <si>
    <t>0849269</t>
  </si>
  <si>
    <t>2015071216:03:41</t>
  </si>
  <si>
    <t>0856826</t>
  </si>
  <si>
    <t>2015071315:31:15</t>
  </si>
  <si>
    <t>0856852</t>
  </si>
  <si>
    <t>2015071410:29:00</t>
  </si>
  <si>
    <t>2015072916:00:00</t>
  </si>
  <si>
    <t>0856659</t>
  </si>
  <si>
    <t>2015071414:22:22</t>
  </si>
  <si>
    <t>2015072016:00:00</t>
  </si>
  <si>
    <t>0856897</t>
  </si>
  <si>
    <t>2015071415:15:23</t>
  </si>
  <si>
    <t>0856678</t>
  </si>
  <si>
    <t>2015071415:42:03</t>
  </si>
  <si>
    <t>2015071909:00:00</t>
  </si>
  <si>
    <t>0857370</t>
  </si>
  <si>
    <t>2015071511:40:18</t>
  </si>
  <si>
    <t>2015072209:00:00</t>
  </si>
  <si>
    <t>0849419</t>
  </si>
  <si>
    <t>2015071519:08:08</t>
  </si>
  <si>
    <t>2015072109:00:00</t>
  </si>
  <si>
    <t>0857585</t>
  </si>
  <si>
    <t>2015071611:23:33</t>
  </si>
  <si>
    <t>2015072416:00:00</t>
  </si>
  <si>
    <t>0857640</t>
  </si>
  <si>
    <t>2015071712:25:12</t>
  </si>
  <si>
    <t>2015072216:00:00</t>
  </si>
  <si>
    <t>0849587</t>
  </si>
  <si>
    <t>2015071909:37:13</t>
  </si>
  <si>
    <t>2015072716:00:00</t>
  </si>
  <si>
    <t>0861234</t>
  </si>
  <si>
    <t>2015072015:29:45</t>
  </si>
  <si>
    <t>2015072509:00:00</t>
  </si>
  <si>
    <t>0861442</t>
  </si>
  <si>
    <t>2015072109:23:45</t>
  </si>
  <si>
    <t>2015072516:00:00</t>
  </si>
  <si>
    <t>0862855</t>
  </si>
  <si>
    <t>2015072419:48:04</t>
  </si>
  <si>
    <t>2015073009:00:00</t>
  </si>
  <si>
    <t>0862899</t>
  </si>
  <si>
    <t>2015072514:43:21</t>
  </si>
  <si>
    <t>2015073116:00:00</t>
  </si>
  <si>
    <t>0849938</t>
  </si>
  <si>
    <t>2015072610:21:34</t>
  </si>
  <si>
    <t>0849986</t>
  </si>
  <si>
    <t>2015072615:13:35</t>
  </si>
  <si>
    <t>0849984</t>
  </si>
  <si>
    <t>2015072615:59:29</t>
  </si>
  <si>
    <t>2015080116:00:00</t>
  </si>
  <si>
    <t>0862668</t>
  </si>
  <si>
    <t>2015072714:19:18</t>
  </si>
  <si>
    <t>2015073109:00:00</t>
  </si>
  <si>
    <t>0862768</t>
  </si>
  <si>
    <t>2015072714:19:33</t>
  </si>
  <si>
    <t>2015080209:00:00</t>
  </si>
  <si>
    <t>0862974</t>
  </si>
  <si>
    <t>2015072714:32:40</t>
  </si>
  <si>
    <t>0861842</t>
  </si>
  <si>
    <t>2015072812:01:03</t>
  </si>
  <si>
    <t>2015080316:00:00</t>
  </si>
  <si>
    <t>0861852</t>
  </si>
  <si>
    <t>2015072814:17:01</t>
  </si>
  <si>
    <t>0861856</t>
  </si>
  <si>
    <t>2015072814:24:05</t>
  </si>
  <si>
    <t>0861615</t>
  </si>
  <si>
    <t>2015072922:06:05</t>
  </si>
  <si>
    <t>0863140</t>
  </si>
  <si>
    <t>2015073114:01:17</t>
  </si>
  <si>
    <t>2015080616:00:00</t>
  </si>
  <si>
    <t>0863669</t>
  </si>
  <si>
    <t>2015073115:03:42</t>
  </si>
  <si>
    <t>2015080416:00:00</t>
  </si>
  <si>
    <t>0863485</t>
  </si>
  <si>
    <t>2015073115:42:27</t>
  </si>
  <si>
    <t>0863502</t>
  </si>
  <si>
    <t>2015080108:48:12</t>
  </si>
  <si>
    <t>2015080709:00:00</t>
  </si>
  <si>
    <r>
      <rPr>
        <sz val="9"/>
        <color rgb="FF333333"/>
        <rFont val="Times New Roman"/>
        <family val="1"/>
      </rPr>
      <t>12</t>
    </r>
    <r>
      <rPr>
        <sz val="9"/>
        <rFont val="Microsoft YaHei Light"/>
        <family val="2"/>
        <charset val="134"/>
      </rPr>
      <t>岁</t>
    </r>
  </si>
  <si>
    <t>0863724</t>
  </si>
  <si>
    <t>2015080115:42:01</t>
  </si>
  <si>
    <t>0858333</t>
  </si>
  <si>
    <t>2015080212:40:44</t>
  </si>
  <si>
    <t>0858345</t>
  </si>
  <si>
    <t>2015080214:45:40</t>
  </si>
  <si>
    <t>0858357</t>
  </si>
  <si>
    <t>2015080215:14:56</t>
  </si>
  <si>
    <t>0858354</t>
  </si>
  <si>
    <t>2015080215:17:34</t>
  </si>
  <si>
    <t>0858359</t>
  </si>
  <si>
    <t>2015080215:31:27</t>
  </si>
  <si>
    <t>0858371</t>
  </si>
  <si>
    <t>2015080216:23:44</t>
  </si>
  <si>
    <t>2015080716:00:00</t>
  </si>
  <si>
    <t>0863778</t>
  </si>
  <si>
    <t>2015080311:54:03</t>
  </si>
  <si>
    <t>2015112414:35:26</t>
  </si>
  <si>
    <t>0863758</t>
  </si>
  <si>
    <t>2015080311:59:14</t>
  </si>
  <si>
    <t>2015080909:00:00</t>
  </si>
  <si>
    <t>0863788</t>
  </si>
  <si>
    <t>2015080314:36:21</t>
  </si>
  <si>
    <t>2015080816:00:00</t>
  </si>
  <si>
    <t>0864007</t>
  </si>
  <si>
    <t>2015080412:17:19</t>
  </si>
  <si>
    <t>0864072</t>
  </si>
  <si>
    <t>2015080511:30:17</t>
  </si>
  <si>
    <t>0864222</t>
  </si>
  <si>
    <t>2015080511:30:36</t>
  </si>
  <si>
    <t>0864086</t>
  </si>
  <si>
    <t>2015080511:30:51</t>
  </si>
  <si>
    <t>2015081016:00:00</t>
  </si>
  <si>
    <t>0865021</t>
  </si>
  <si>
    <t>2015080511:36:21</t>
  </si>
  <si>
    <t>0864381</t>
  </si>
  <si>
    <t>2015080713:52:22</t>
  </si>
  <si>
    <t>2015081309:00:00</t>
  </si>
  <si>
    <t>0865408</t>
  </si>
  <si>
    <t>2015080810:23:37</t>
  </si>
  <si>
    <t>2015081416:00:00</t>
  </si>
  <si>
    <t>0860193</t>
  </si>
  <si>
    <t>2015080910:55:39</t>
  </si>
  <si>
    <t>2015081516:00:00</t>
  </si>
  <si>
    <t>0860207</t>
  </si>
  <si>
    <t>2015080915:28:21</t>
  </si>
  <si>
    <t>2015081216:00:00</t>
  </si>
  <si>
    <r>
      <rPr>
        <sz val="9"/>
        <color rgb="FF333333"/>
        <rFont val="Times New Roman"/>
        <family val="1"/>
      </rPr>
      <t>20</t>
    </r>
    <r>
      <rPr>
        <sz val="9"/>
        <color rgb="FF333333"/>
        <rFont val="Microsoft YaHei Light"/>
        <family val="2"/>
        <charset val="134"/>
      </rPr>
      <t>岁</t>
    </r>
  </si>
  <si>
    <t>0860173</t>
  </si>
  <si>
    <t>2015080915:28:38</t>
  </si>
  <si>
    <t>0865339</t>
  </si>
  <si>
    <t>2015081015:13:38</t>
  </si>
  <si>
    <t>0865531</t>
  </si>
  <si>
    <t>2015081015:37:13</t>
  </si>
  <si>
    <t>0864598</t>
  </si>
  <si>
    <t>2015081210:48:51</t>
  </si>
  <si>
    <t>2015081609:00:00</t>
  </si>
  <si>
    <t>0864602</t>
  </si>
  <si>
    <t>2015081212:56:05</t>
  </si>
  <si>
    <t>0860340</t>
  </si>
  <si>
    <t>2015081217:30:51</t>
  </si>
  <si>
    <t>2015081716:00:00</t>
  </si>
  <si>
    <t>0865890</t>
  </si>
  <si>
    <t>2015081310:20:22</t>
  </si>
  <si>
    <t>2015081916:00:00</t>
  </si>
  <si>
    <t>0865903</t>
  </si>
  <si>
    <t>2015081313:46:35</t>
  </si>
  <si>
    <t>0860545</t>
  </si>
  <si>
    <t>2015081611:31:44</t>
  </si>
  <si>
    <r>
      <rPr>
        <sz val="9"/>
        <color rgb="FF333333"/>
        <rFont val="Times New Roman"/>
        <family val="1"/>
      </rPr>
      <t>62</t>
    </r>
    <r>
      <rPr>
        <sz val="9"/>
        <rFont val="Microsoft YaHei Light"/>
        <family val="2"/>
        <charset val="134"/>
      </rPr>
      <t>岁</t>
    </r>
  </si>
  <si>
    <t>0860513</t>
  </si>
  <si>
    <t>2015081614:42:19</t>
  </si>
  <si>
    <t>2015082209:00:00</t>
  </si>
  <si>
    <t>0860577</t>
  </si>
  <si>
    <t>2015081616:09:59</t>
  </si>
  <si>
    <t>2015082016:00:00</t>
  </si>
  <si>
    <t>0866563</t>
  </si>
  <si>
    <t>2015081709:35:01</t>
  </si>
  <si>
    <t>2015082716:00:00</t>
  </si>
  <si>
    <t>0866578</t>
  </si>
  <si>
    <t>2015081712:27:50</t>
  </si>
  <si>
    <t>2015082416:00:00</t>
  </si>
  <si>
    <t>0860612</t>
  </si>
  <si>
    <t>2015081717:43:08</t>
  </si>
  <si>
    <t>0860617</t>
  </si>
  <si>
    <t>2015081720:42:05</t>
  </si>
  <si>
    <t>0866692</t>
  </si>
  <si>
    <t>2015081814:20:21</t>
  </si>
  <si>
    <t>2015082216:00:00</t>
  </si>
  <si>
    <t>0869520</t>
  </si>
  <si>
    <t>2015082507:36:42</t>
  </si>
  <si>
    <t>2015082816:00:00</t>
  </si>
  <si>
    <t>0869678</t>
  </si>
  <si>
    <t>2015082614:42:09</t>
  </si>
  <si>
    <t>2015090516:00:00</t>
  </si>
  <si>
    <t>0869684</t>
  </si>
  <si>
    <t>2015082615:02:39</t>
  </si>
  <si>
    <t>2015083009:00:00</t>
  </si>
  <si>
    <t>0869076</t>
  </si>
  <si>
    <t>2015082814:22:35</t>
  </si>
  <si>
    <t>2015090216:00:00</t>
  </si>
  <si>
    <t>0858746</t>
  </si>
  <si>
    <t>2015083016:05:40</t>
  </si>
  <si>
    <t>2015090416:00:00</t>
  </si>
  <si>
    <t>0858777</t>
  </si>
  <si>
    <t>2015083016:59:42</t>
  </si>
  <si>
    <t>2015090509:00:00</t>
  </si>
  <si>
    <t>0868049</t>
  </si>
  <si>
    <t>2015090212:09:11</t>
  </si>
  <si>
    <t>2015090816:00:00</t>
  </si>
  <si>
    <t>0868215</t>
  </si>
  <si>
    <t>2015090212:09:36</t>
  </si>
  <si>
    <t>2015091016:00:00</t>
  </si>
  <si>
    <t>0858988</t>
  </si>
  <si>
    <t>2015090419:48:07</t>
  </si>
  <si>
    <t>2015091209:00:00</t>
  </si>
  <si>
    <t>0859062</t>
  </si>
  <si>
    <t>2015090608:27:15</t>
  </si>
  <si>
    <t>0859111</t>
  </si>
  <si>
    <t>2015090612:44:42</t>
  </si>
  <si>
    <t>0859118</t>
  </si>
  <si>
    <t>2015090613:06:16</t>
  </si>
  <si>
    <t>2015091116:00:00</t>
  </si>
  <si>
    <t>0859147</t>
  </si>
  <si>
    <t>2015090616:09:16</t>
  </si>
  <si>
    <t>0859176</t>
  </si>
  <si>
    <t>2015090621:28:42</t>
  </si>
  <si>
    <t>0868735</t>
  </si>
  <si>
    <t>2015090713:02:32</t>
  </si>
  <si>
    <t>2015093016:00:00</t>
  </si>
  <si>
    <t>0868611</t>
  </si>
  <si>
    <t>2015090714:31:20</t>
  </si>
  <si>
    <t>2015091416:00:00</t>
  </si>
  <si>
    <t>0868786</t>
  </si>
  <si>
    <t>2015090715:41:35</t>
  </si>
  <si>
    <t>0868819</t>
  </si>
  <si>
    <t>2015090812:44:30</t>
  </si>
  <si>
    <t>0868894</t>
  </si>
  <si>
    <t>2015090912:22:10</t>
  </si>
  <si>
    <t>2015091516:00:00</t>
  </si>
  <si>
    <t>0870540</t>
  </si>
  <si>
    <t>2015090915:55:46</t>
  </si>
  <si>
    <t>0859406</t>
  </si>
  <si>
    <t>2015091308:08:54</t>
  </si>
  <si>
    <t>2015091709:00:00</t>
  </si>
  <si>
    <t>0859437</t>
  </si>
  <si>
    <t>2015091309:32:34</t>
  </si>
  <si>
    <t>2015091909:00:00</t>
  </si>
  <si>
    <t>0859441</t>
  </si>
  <si>
    <t>2015091310:08:35</t>
  </si>
  <si>
    <t>0859458</t>
  </si>
  <si>
    <t>2015091312:35:48</t>
  </si>
  <si>
    <t>0870436</t>
  </si>
  <si>
    <t>2015091409:34:59</t>
  </si>
  <si>
    <t>2015091816:00:00</t>
  </si>
  <si>
    <t>0871114</t>
  </si>
  <si>
    <t>2015091415:49:24</t>
  </si>
  <si>
    <t>0859532</t>
  </si>
  <si>
    <t>2015091417:31:17</t>
  </si>
  <si>
    <t>0859582</t>
  </si>
  <si>
    <t>2015091602:09:54</t>
  </si>
  <si>
    <t>2015092116:00:00</t>
  </si>
  <si>
    <t>0871348</t>
  </si>
  <si>
    <t>2015091715:48:17</t>
  </si>
  <si>
    <t>2015092416:00:00</t>
  </si>
  <si>
    <t>0871828</t>
  </si>
  <si>
    <t>2015091814:12:28</t>
  </si>
  <si>
    <t>2015092516:00:00</t>
  </si>
  <si>
    <t>0859836</t>
  </si>
  <si>
    <t>2015092015:49:08</t>
  </si>
  <si>
    <t>2015092609:00:00</t>
  </si>
  <si>
    <t>0872724</t>
  </si>
  <si>
    <t>2015092114:13:41</t>
  </si>
  <si>
    <t>2015092816:00:00</t>
  </si>
  <si>
    <t>0872530</t>
  </si>
  <si>
    <t>2015092115:37:48</t>
  </si>
  <si>
    <t>2015092616:00:00</t>
  </si>
  <si>
    <t>0872218</t>
  </si>
  <si>
    <t>2015092215:11:35</t>
  </si>
  <si>
    <t>0872614</t>
  </si>
  <si>
    <t>2015092215:57:45</t>
  </si>
  <si>
    <r>
      <rPr>
        <sz val="9"/>
        <color rgb="FF333333"/>
        <rFont val="Times New Roman"/>
        <family val="1"/>
      </rPr>
      <t>47</t>
    </r>
    <r>
      <rPr>
        <sz val="9"/>
        <rFont val="Microsoft YaHei Light"/>
        <family val="2"/>
        <charset val="134"/>
      </rPr>
      <t>岁</t>
    </r>
  </si>
  <si>
    <t>0859943</t>
  </si>
  <si>
    <t>2015092220:17:44</t>
  </si>
  <si>
    <t>0872852</t>
  </si>
  <si>
    <t>2015092312:25:42</t>
  </si>
  <si>
    <t>0859971</t>
  </si>
  <si>
    <t>2015092317:25:17</t>
  </si>
  <si>
    <t>0872318</t>
  </si>
  <si>
    <t>2015092410:53:27</t>
  </si>
  <si>
    <t>0872924</t>
  </si>
  <si>
    <t>2015092414:48:10</t>
  </si>
  <si>
    <t>0875228</t>
  </si>
  <si>
    <t>2015100714:01:49</t>
  </si>
  <si>
    <t>2015101316:00:00</t>
  </si>
  <si>
    <t>0875230</t>
  </si>
  <si>
    <t>2015100714:02:00</t>
  </si>
  <si>
    <t>0875252</t>
  </si>
  <si>
    <t>2015100717:04:51</t>
  </si>
  <si>
    <t>0876717</t>
  </si>
  <si>
    <t>2015100813:48:27</t>
  </si>
  <si>
    <t>2015101216:00:00</t>
  </si>
  <si>
    <t>0876763</t>
  </si>
  <si>
    <t>2015100908:45:45</t>
  </si>
  <si>
    <t>2015101416:00:00</t>
  </si>
  <si>
    <t>0877651</t>
  </si>
  <si>
    <t>2015100913:09:15</t>
  </si>
  <si>
    <t>2015101109:00:00</t>
  </si>
  <si>
    <t>0875418</t>
  </si>
  <si>
    <t>2015101108:50:22</t>
  </si>
  <si>
    <t>2015101809:00:00</t>
  </si>
  <si>
    <t>0875460</t>
  </si>
  <si>
    <t>2015101114:16:06</t>
  </si>
  <si>
    <t>2015101716:00:00</t>
  </si>
  <si>
    <t>0877870</t>
  </si>
  <si>
    <t>2015101210:58:33</t>
  </si>
  <si>
    <t>2015101916:00:00</t>
  </si>
  <si>
    <t>0876979</t>
  </si>
  <si>
    <t>2015101213:52:44</t>
  </si>
  <si>
    <t>2015101616:00:00</t>
  </si>
  <si>
    <t>0877955</t>
  </si>
  <si>
    <t>2015101216:10:47</t>
  </si>
  <si>
    <t>2015101709:00:00</t>
  </si>
  <si>
    <t>0877965</t>
  </si>
  <si>
    <t>2015101308:56:40</t>
  </si>
  <si>
    <t>0878305</t>
  </si>
  <si>
    <t>2015101313:44:34</t>
  </si>
  <si>
    <t>0878180</t>
  </si>
  <si>
    <t>2015101409:55:20</t>
  </si>
  <si>
    <t>2015102009:00:00</t>
  </si>
  <si>
    <t>0878403</t>
  </si>
  <si>
    <t>2015101414:01:54</t>
  </si>
  <si>
    <t>2015102209:00:00</t>
  </si>
  <si>
    <t>0875719</t>
  </si>
  <si>
    <t>2015101808:34:58</t>
  </si>
  <si>
    <t>2015102309:00:00</t>
  </si>
  <si>
    <t>0875752</t>
  </si>
  <si>
    <t>2015101814:07:52</t>
  </si>
  <si>
    <t>0879263</t>
  </si>
  <si>
    <t>2015101910:56:31</t>
  </si>
  <si>
    <t>2015102316:00:00</t>
  </si>
  <si>
    <t>0879319</t>
  </si>
  <si>
    <t>2015101914:38:26</t>
  </si>
  <si>
    <t>2015102409:00:00</t>
  </si>
  <si>
    <t>0879476</t>
  </si>
  <si>
    <t>2015101915:33:38</t>
  </si>
  <si>
    <t>2015102416:00:00</t>
  </si>
  <si>
    <r>
      <rPr>
        <sz val="9"/>
        <color rgb="FF333333"/>
        <rFont val="Times New Roman"/>
        <family val="1"/>
      </rPr>
      <t>9</t>
    </r>
    <r>
      <rPr>
        <sz val="9"/>
        <rFont val="Microsoft YaHei Light"/>
        <family val="2"/>
        <charset val="134"/>
      </rPr>
      <t>岁</t>
    </r>
  </si>
  <si>
    <t>0879119</t>
  </si>
  <si>
    <t>2015101915:35:18</t>
  </si>
  <si>
    <t>2015102616:00:00</t>
  </si>
  <si>
    <t>0879234</t>
  </si>
  <si>
    <t>2015101916:21:57</t>
  </si>
  <si>
    <t>0879626</t>
  </si>
  <si>
    <t>2015102015:14:08</t>
  </si>
  <si>
    <t>0879639</t>
  </si>
  <si>
    <t>2015102109:21:41</t>
  </si>
  <si>
    <t>0879814</t>
  </si>
  <si>
    <t>2015102110:04:48</t>
  </si>
  <si>
    <t>2015102909:00:00</t>
  </si>
  <si>
    <t>0873573</t>
  </si>
  <si>
    <t>2015102509:20:32</t>
  </si>
  <si>
    <t>2015103016:00:00</t>
  </si>
  <si>
    <t>0873595</t>
  </si>
  <si>
    <t>2015102509:47:43</t>
  </si>
  <si>
    <t>2015103109:00:00</t>
  </si>
  <si>
    <t>0873596</t>
  </si>
  <si>
    <t>2015102509:49:19</t>
  </si>
  <si>
    <t>0873620</t>
  </si>
  <si>
    <t>2015102511:40:20</t>
  </si>
  <si>
    <t>2015102916:00:00</t>
  </si>
  <si>
    <t>0873660</t>
  </si>
  <si>
    <t>2015102514:44:35</t>
  </si>
  <si>
    <t>2015103009:00:00</t>
  </si>
  <si>
    <t>0873652</t>
  </si>
  <si>
    <t>2015102515:12:43</t>
  </si>
  <si>
    <t>0873690</t>
  </si>
  <si>
    <t>2015102520:50:51</t>
  </si>
  <si>
    <t>0880816</t>
  </si>
  <si>
    <t>2015102612:53:49</t>
  </si>
  <si>
    <t>2015110213:04:22</t>
  </si>
  <si>
    <t>0882074</t>
  </si>
  <si>
    <t>2015102615:45:42</t>
  </si>
  <si>
    <t>2015110512:57:54</t>
  </si>
  <si>
    <t>0880928</t>
  </si>
  <si>
    <t>2015102714:16:40</t>
  </si>
  <si>
    <t>2015110413:27:44</t>
  </si>
  <si>
    <t>0881095</t>
  </si>
  <si>
    <t>2015102814:27:37</t>
  </si>
  <si>
    <t>2015110313:12:12</t>
  </si>
  <si>
    <t>0881970</t>
  </si>
  <si>
    <t>2015102914:47:37</t>
  </si>
  <si>
    <t>2015110709:52:44</t>
  </si>
  <si>
    <t>0881471</t>
  </si>
  <si>
    <t>2015102915:49:44</t>
  </si>
  <si>
    <t>2015110413:24:27</t>
  </si>
  <si>
    <t>0881636</t>
  </si>
  <si>
    <t>2015103010:15:51</t>
  </si>
  <si>
    <t>2015110413:14:19</t>
  </si>
  <si>
    <t>0873964</t>
  </si>
  <si>
    <t>2015110114:44:16</t>
  </si>
  <si>
    <t>2015110512:55:49</t>
  </si>
  <si>
    <t>0881819</t>
  </si>
  <si>
    <t>2015110213:49:15</t>
  </si>
  <si>
    <t>2015110414:02:46</t>
  </si>
  <si>
    <t>0882216</t>
  </si>
  <si>
    <t>2015110310:51:55</t>
  </si>
  <si>
    <t>2015110913:47:11</t>
  </si>
  <si>
    <t>0882376</t>
  </si>
  <si>
    <t>2015110413:50:22</t>
  </si>
  <si>
    <t>2015110913:38:56</t>
  </si>
  <si>
    <t>0882519</t>
  </si>
  <si>
    <t>2015110413:58:01</t>
  </si>
  <si>
    <t>2015111008:36:43</t>
  </si>
  <si>
    <t>0882735</t>
  </si>
  <si>
    <t>2015110414:52:49</t>
  </si>
  <si>
    <t>2015110913:18:12</t>
  </si>
  <si>
    <t>0874260</t>
  </si>
  <si>
    <t>2015110810:42:24</t>
  </si>
  <si>
    <t>2015111409:07:31</t>
  </si>
  <si>
    <t>0874312</t>
  </si>
  <si>
    <t>2015110814:16:52</t>
  </si>
  <si>
    <t>2015111408:49:24</t>
  </si>
  <si>
    <r>
      <rPr>
        <sz val="9"/>
        <color rgb="FF333333"/>
        <rFont val="Times New Roman"/>
        <family val="1"/>
      </rPr>
      <t>52</t>
    </r>
    <r>
      <rPr>
        <sz val="9"/>
        <rFont val="Microsoft YaHei Light"/>
        <family val="2"/>
        <charset val="134"/>
      </rPr>
      <t>岁</t>
    </r>
  </si>
  <si>
    <t>0874282</t>
  </si>
  <si>
    <t>2015110814:56:17</t>
  </si>
  <si>
    <t>2015111313:44:34</t>
  </si>
  <si>
    <t>0874325</t>
  </si>
  <si>
    <t>2015110816:23:21</t>
  </si>
  <si>
    <t>2015111313:42:06</t>
  </si>
  <si>
    <t>0883302</t>
  </si>
  <si>
    <t>2015110912:42:48</t>
  </si>
  <si>
    <t>2015111413:21:43</t>
  </si>
  <si>
    <t>0883471</t>
  </si>
  <si>
    <t>2015110915:00:13</t>
  </si>
  <si>
    <t>2015111413:38:35</t>
  </si>
  <si>
    <t>0882987</t>
  </si>
  <si>
    <t>2015111008:10:31</t>
  </si>
  <si>
    <t>2015111508:38:03</t>
  </si>
  <si>
    <t>0883612</t>
  </si>
  <si>
    <t>2015111010:34:26</t>
  </si>
  <si>
    <t>2015111508:20:07</t>
  </si>
  <si>
    <t>0883615</t>
  </si>
  <si>
    <t>2015111010:57:00</t>
  </si>
  <si>
    <t>2015111213:09:46</t>
  </si>
  <si>
    <t>0883535</t>
  </si>
  <si>
    <t>2015111014:05:05</t>
  </si>
  <si>
    <t>2015111415:09:58</t>
  </si>
  <si>
    <t>0883976</t>
  </si>
  <si>
    <t>2015111213:30:47</t>
  </si>
  <si>
    <t>2015111908:19:50</t>
  </si>
  <si>
    <t>0884084</t>
  </si>
  <si>
    <t>2015111311:13:17</t>
  </si>
  <si>
    <t>2015111812:57:59</t>
  </si>
  <si>
    <t>0884142</t>
  </si>
  <si>
    <t>2015111315:42:32</t>
  </si>
  <si>
    <t>2015111908:24:44</t>
  </si>
  <si>
    <t>0884144</t>
  </si>
  <si>
    <t>2015111315:55:23</t>
  </si>
  <si>
    <t>2016031215:01:51</t>
  </si>
  <si>
    <t>0874604</t>
  </si>
  <si>
    <t>2015111509:36:00</t>
  </si>
  <si>
    <t>2015112013:04:49</t>
  </si>
  <si>
    <t>0874639</t>
  </si>
  <si>
    <t>2015111511:05:12</t>
  </si>
  <si>
    <t>2015112313:26:10</t>
  </si>
  <si>
    <t>0874671</t>
  </si>
  <si>
    <t>2015111514:42:57</t>
  </si>
  <si>
    <t>2015112413:08:58</t>
  </si>
  <si>
    <t>0884979</t>
  </si>
  <si>
    <t>2015111811:03:47</t>
  </si>
  <si>
    <t>2015112613:23:32</t>
  </si>
  <si>
    <t>0888342</t>
  </si>
  <si>
    <t>2015111914:37:39</t>
  </si>
  <si>
    <t>2015112513:00:39</t>
  </si>
  <si>
    <t>0888286</t>
  </si>
  <si>
    <t>2015111915:56:06</t>
  </si>
  <si>
    <t>2015112513:02:47</t>
  </si>
  <si>
    <t>0874859</t>
  </si>
  <si>
    <t>2015111917:32:50</t>
  </si>
  <si>
    <t>2015112513:16:08</t>
  </si>
  <si>
    <t>0889216</t>
  </si>
  <si>
    <t>2015112010:07:46</t>
  </si>
  <si>
    <t>2015112713:31:41</t>
  </si>
  <si>
    <t>0889231</t>
  </si>
  <si>
    <t>2015112011:22:21</t>
  </si>
  <si>
    <t>2015112708:24:32</t>
  </si>
  <si>
    <t>0874999</t>
  </si>
  <si>
    <t>2015112210:23:46</t>
  </si>
  <si>
    <t>2015112613:16:01</t>
  </si>
  <si>
    <t>0885008</t>
  </si>
  <si>
    <t>2015112211:59:34</t>
  </si>
  <si>
    <t>2015112713:21:18</t>
  </si>
  <si>
    <t>0885031</t>
  </si>
  <si>
    <t>2015112213:39:34</t>
  </si>
  <si>
    <t>2015113013:25:59</t>
  </si>
  <si>
    <t>0885041</t>
  </si>
  <si>
    <t>2015112214:53:14</t>
  </si>
  <si>
    <t>2015112715:17:34</t>
  </si>
  <si>
    <t>0885067</t>
  </si>
  <si>
    <t>2015112216:17:05</t>
  </si>
  <si>
    <t>2015112814:35:34</t>
  </si>
  <si>
    <t>0889316</t>
  </si>
  <si>
    <t>2015112414:15:12</t>
  </si>
  <si>
    <t>2015113013:05:00</t>
  </si>
  <si>
    <t>0889393</t>
  </si>
  <si>
    <t>2015112514:12:16</t>
  </si>
  <si>
    <t>2015120213:54:48</t>
  </si>
  <si>
    <t>0889811</t>
  </si>
  <si>
    <t>2015112709:09:22</t>
  </si>
  <si>
    <t>2015120213:15:26</t>
  </si>
  <si>
    <t>0885402</t>
  </si>
  <si>
    <t>2015112914:15:11</t>
  </si>
  <si>
    <t>2015120508:13:40</t>
  </si>
  <si>
    <t>0885408</t>
  </si>
  <si>
    <t>2015112915:22:03</t>
  </si>
  <si>
    <t>2015120508:14:15</t>
  </si>
  <si>
    <t>0885430</t>
  </si>
  <si>
    <t>2015112918:14:16</t>
  </si>
  <si>
    <t>2015120410:58:17</t>
  </si>
  <si>
    <t>0890334</t>
  </si>
  <si>
    <t>2015113013:02:30</t>
  </si>
  <si>
    <t>2015121413:28:16</t>
  </si>
  <si>
    <t>0890125</t>
  </si>
  <si>
    <t>2015113015:09:38</t>
  </si>
  <si>
    <t>2015120413:14:01</t>
  </si>
  <si>
    <t>0890798</t>
  </si>
  <si>
    <t>2015120216:12:43</t>
  </si>
  <si>
    <t>2015121610:49:23</t>
  </si>
  <si>
    <t>0887046</t>
  </si>
  <si>
    <t>2015120218:59:48</t>
  </si>
  <si>
    <t>2015120713:05:55</t>
  </si>
  <si>
    <t>0890900</t>
  </si>
  <si>
    <t>2015120318:36:24</t>
  </si>
  <si>
    <t>2015120914:54:31</t>
  </si>
  <si>
    <t>0891169</t>
  </si>
  <si>
    <t>2015120415:05:44</t>
  </si>
  <si>
    <t>2015120913:24:07</t>
  </si>
  <si>
    <t>0891170</t>
  </si>
  <si>
    <t>2015120415:11:23</t>
  </si>
  <si>
    <t>2015120913:32:59</t>
  </si>
  <si>
    <t>0891430</t>
  </si>
  <si>
    <t>2015120415:28:22</t>
  </si>
  <si>
    <t>2015120813:13:12</t>
  </si>
  <si>
    <t>0887193</t>
  </si>
  <si>
    <t>2015120612:30:57</t>
  </si>
  <si>
    <t>2015121208:42:15</t>
  </si>
  <si>
    <t>0887199</t>
  </si>
  <si>
    <t>2015120614:56:56</t>
  </si>
  <si>
    <t>2015121014:45:25</t>
  </si>
  <si>
    <t>0891664</t>
  </si>
  <si>
    <t>2015120714:19:07</t>
  </si>
  <si>
    <t>2015121413:21:02</t>
  </si>
  <si>
    <t>0891774</t>
  </si>
  <si>
    <t>2015120810:40:24</t>
  </si>
  <si>
    <t>2015122109:56:16</t>
  </si>
  <si>
    <t>0892241</t>
  </si>
  <si>
    <t>2015120913:54:23</t>
  </si>
  <si>
    <t>2015121510:03:26</t>
  </si>
  <si>
    <t>0887355</t>
  </si>
  <si>
    <t>2015120918:43:54</t>
  </si>
  <si>
    <t>2015121413:12:38</t>
  </si>
  <si>
    <t>0887359</t>
  </si>
  <si>
    <t>2015120920:12:36</t>
  </si>
  <si>
    <t>2015121413:39:51</t>
  </si>
  <si>
    <t>0887361</t>
  </si>
  <si>
    <t>2015120920:59:02</t>
  </si>
  <si>
    <t>2015121413:57:36</t>
  </si>
  <si>
    <t>0887369</t>
  </si>
  <si>
    <t>2015120922:13:17</t>
  </si>
  <si>
    <t>2015121415:03:39</t>
  </si>
  <si>
    <t>0892465</t>
  </si>
  <si>
    <t>2015121015:08:11</t>
  </si>
  <si>
    <t>2015121713:23:22</t>
  </si>
  <si>
    <t>0887517</t>
  </si>
  <si>
    <t>2015121310:03:52</t>
  </si>
  <si>
    <t>2015121909:40:46</t>
  </si>
  <si>
    <t>0887527</t>
  </si>
  <si>
    <t>2015121310:50:48</t>
  </si>
  <si>
    <t>2015121909:23:52</t>
  </si>
  <si>
    <t>0887549</t>
  </si>
  <si>
    <t>2015121315:08:21</t>
  </si>
  <si>
    <t>2015122113:11:27</t>
  </si>
  <si>
    <t>0887483</t>
  </si>
  <si>
    <t>2015121315:19:25</t>
  </si>
  <si>
    <t>2015121909:35:51</t>
  </si>
  <si>
    <t>0893045</t>
  </si>
  <si>
    <t>2015121412:43:59</t>
  </si>
  <si>
    <t>2015122113:16:08</t>
  </si>
  <si>
    <t>0893098</t>
  </si>
  <si>
    <t>2015121415:44:41</t>
  </si>
  <si>
    <t>2015121909:12:08</t>
  </si>
  <si>
    <t>0893105</t>
  </si>
  <si>
    <t>2015121416:08:45</t>
  </si>
  <si>
    <t>2015122113:09:40</t>
  </si>
  <si>
    <t>0892895</t>
  </si>
  <si>
    <t>2015121514:33:31</t>
  </si>
  <si>
    <t>2015122113:07:31</t>
  </si>
  <si>
    <t>0893422</t>
  </si>
  <si>
    <t>2015121612:23:31</t>
  </si>
  <si>
    <t>2015122113:41:42</t>
  </si>
  <si>
    <t>0893902</t>
  </si>
  <si>
    <t>2015121715:01:21</t>
  </si>
  <si>
    <t>2015122313:11:35</t>
  </si>
  <si>
    <t>0893580</t>
  </si>
  <si>
    <t>2015121715:26:53</t>
  </si>
  <si>
    <t>2015122413:06:54</t>
  </si>
  <si>
    <t>0893637</t>
  </si>
  <si>
    <t>2015121813:24:55</t>
  </si>
  <si>
    <t>2015122513:23:59</t>
  </si>
  <si>
    <t>0887798</t>
  </si>
  <si>
    <t>2015122009:16:13</t>
  </si>
  <si>
    <t>2015122513:12:52</t>
  </si>
  <si>
    <t>0887863</t>
  </si>
  <si>
    <t>2015122012:08:27</t>
  </si>
  <si>
    <t>2015122608:46:41</t>
  </si>
  <si>
    <t>0887852</t>
  </si>
  <si>
    <t>2015122014:36:01</t>
  </si>
  <si>
    <t>2015122513:45:35</t>
  </si>
  <si>
    <t>0887887</t>
  </si>
  <si>
    <t>2015122015:38:42</t>
  </si>
  <si>
    <t>2015123108:15:14</t>
  </si>
  <si>
    <t>0887895</t>
  </si>
  <si>
    <t>2015122017:41:22</t>
  </si>
  <si>
    <t>2015123115:56:59</t>
  </si>
  <si>
    <t>0887914</t>
  </si>
  <si>
    <t>2015122022:05:16</t>
  </si>
  <si>
    <t>2015122608:42:18</t>
  </si>
  <si>
    <t>0894101</t>
  </si>
  <si>
    <t>2015122115:06:40</t>
  </si>
  <si>
    <t>2015122513:03:56</t>
  </si>
  <si>
    <t>0894383</t>
  </si>
  <si>
    <t>2015122209:20:02</t>
  </si>
  <si>
    <t>2015122813:16:53</t>
  </si>
  <si>
    <t>0894637</t>
  </si>
  <si>
    <t>2015122214:25:25</t>
  </si>
  <si>
    <t>2015122710:17:37</t>
  </si>
  <si>
    <t>0894472</t>
  </si>
  <si>
    <t>2015122216:13:02</t>
  </si>
  <si>
    <t>2015122813:30:31</t>
  </si>
  <si>
    <t>0894473</t>
  </si>
  <si>
    <t>2015122216:16:24</t>
  </si>
  <si>
    <t>2015122613:56:20</t>
  </si>
  <si>
    <t>0894842</t>
  </si>
  <si>
    <t>2015122314:06:20</t>
  </si>
  <si>
    <t>2015123013:40:31</t>
  </si>
  <si>
    <t>0894573</t>
  </si>
  <si>
    <t>2015122315:00:15</t>
  </si>
  <si>
    <t>2016030108:04:23</t>
  </si>
  <si>
    <t>0894931</t>
  </si>
  <si>
    <t>2015122409:59:32</t>
  </si>
  <si>
    <t>2016020408:24:52</t>
  </si>
  <si>
    <t>0895086</t>
  </si>
  <si>
    <t>2015122515:48:27</t>
  </si>
  <si>
    <t>2015123013:34:15</t>
  </si>
  <si>
    <t>0885652</t>
  </si>
  <si>
    <t>2015122713:21:23</t>
  </si>
  <si>
    <t>2015123113:50:57</t>
  </si>
  <si>
    <t>0896101</t>
  </si>
  <si>
    <t>2016010409:14:26</t>
  </si>
  <si>
    <t>2016010813:30:31</t>
  </si>
  <si>
    <t>0897277</t>
  </si>
  <si>
    <t>2016010815:40:06</t>
  </si>
  <si>
    <t>2016011313:19:32</t>
  </si>
  <si>
    <t>0897571</t>
  </si>
  <si>
    <t>2016010914:37:16</t>
  </si>
  <si>
    <t>2016011313:05:10</t>
  </si>
  <si>
    <t>0886303</t>
  </si>
  <si>
    <t>2016011010:35:22</t>
  </si>
  <si>
    <t>2016011513:06:44</t>
  </si>
  <si>
    <t>0886368</t>
  </si>
  <si>
    <t>2016011018:26:50</t>
  </si>
  <si>
    <t>2016011413:14:12</t>
  </si>
  <si>
    <t>0899351</t>
  </si>
  <si>
    <t>2016011210:09:18</t>
  </si>
  <si>
    <t>2016012015:00:04</t>
  </si>
  <si>
    <t>0899381</t>
  </si>
  <si>
    <t>2016011213:33:26</t>
  </si>
  <si>
    <t>2016011614:54:45</t>
  </si>
  <si>
    <t>0897767</t>
  </si>
  <si>
    <t>2016011307:59:38</t>
  </si>
  <si>
    <t>2016011813:02:24</t>
  </si>
  <si>
    <t>0898020</t>
  </si>
  <si>
    <t>2016011313:56:46</t>
  </si>
  <si>
    <t>2016011813:17:26</t>
  </si>
  <si>
    <t>0898021</t>
  </si>
  <si>
    <t>2016011314:06:43</t>
  </si>
  <si>
    <t>2016011813:33:31</t>
  </si>
  <si>
    <t>0897849</t>
  </si>
  <si>
    <t>2016011314:17:36</t>
  </si>
  <si>
    <t>2016011813:15:22</t>
  </si>
  <si>
    <t>0899467</t>
  </si>
  <si>
    <t>2016011314:31:19</t>
  </si>
  <si>
    <t>2016011909:17:56</t>
  </si>
  <si>
    <t>0897871</t>
  </si>
  <si>
    <t>2016011316:14:50</t>
  </si>
  <si>
    <t>2016011914:07:32</t>
  </si>
  <si>
    <t>0886632</t>
  </si>
  <si>
    <t>2016011710:52:19</t>
  </si>
  <si>
    <t>2016012913:25:01</t>
  </si>
  <si>
    <t>0886634</t>
  </si>
  <si>
    <t>2016011711:35:58</t>
  </si>
  <si>
    <t>2016012114:04:20</t>
  </si>
  <si>
    <t>0886628</t>
  </si>
  <si>
    <t>2016011714:06:57</t>
  </si>
  <si>
    <t>2016012113:13:19</t>
  </si>
  <si>
    <t>0886665</t>
  </si>
  <si>
    <t>2016011714:46:37</t>
  </si>
  <si>
    <t>2016012308:10:54</t>
  </si>
  <si>
    <t>0886653</t>
  </si>
  <si>
    <t>2016011716:09:21</t>
  </si>
  <si>
    <t>2016012308:08:46</t>
  </si>
  <si>
    <t>0898584</t>
  </si>
  <si>
    <t>2016011814:31:25</t>
  </si>
  <si>
    <t>2016012213:03:12</t>
  </si>
  <si>
    <t>0898697</t>
  </si>
  <si>
    <t>2016011814:39:32</t>
  </si>
  <si>
    <t>2016012314:00:53</t>
  </si>
  <si>
    <t>0898744</t>
  </si>
  <si>
    <t>2016011909:41:08</t>
  </si>
  <si>
    <t>2016012313:24:40</t>
  </si>
  <si>
    <t>0899721</t>
  </si>
  <si>
    <t>2016011916:13:11</t>
  </si>
  <si>
    <t>2016012513:47:05</t>
  </si>
  <si>
    <t>0899773</t>
  </si>
  <si>
    <t>2016012014:53:04</t>
  </si>
  <si>
    <t>2016012613:04:38</t>
  </si>
  <si>
    <t>0899784</t>
  </si>
  <si>
    <t>2016012015:14:28</t>
  </si>
  <si>
    <t>2016012513:11:04</t>
  </si>
  <si>
    <t>0899931</t>
  </si>
  <si>
    <t>2016012113:27:01</t>
  </si>
  <si>
    <t>2016012813:06:30</t>
  </si>
  <si>
    <t>0899949</t>
  </si>
  <si>
    <t>2016012114:56:57</t>
  </si>
  <si>
    <t>2016012713:38:43</t>
  </si>
  <si>
    <t>1002068</t>
  </si>
  <si>
    <t>2016012116:07:33</t>
  </si>
  <si>
    <t>2016020513:18:33</t>
  </si>
  <si>
    <t>0886849</t>
  </si>
  <si>
    <t>2016012220:56:01</t>
  </si>
  <si>
    <t>2016012714:10:27</t>
  </si>
  <si>
    <t>1002223</t>
  </si>
  <si>
    <t>2016012316:12:49</t>
  </si>
  <si>
    <t>2016012614:24:00</t>
  </si>
  <si>
    <t>0886918</t>
  </si>
  <si>
    <t>2016012412:57:33</t>
  </si>
  <si>
    <t>2016012914:06:29</t>
  </si>
  <si>
    <t>0886963</t>
  </si>
  <si>
    <t>2016012416:00:47</t>
  </si>
  <si>
    <t>2016013013:35:45</t>
  </si>
  <si>
    <t>1002634</t>
  </si>
  <si>
    <t>2016012510:22:53</t>
  </si>
  <si>
    <t>2016013009:16:21</t>
  </si>
  <si>
    <t>1002664</t>
  </si>
  <si>
    <t>2016012513:28:15</t>
  </si>
  <si>
    <t>2016020112:59:31</t>
  </si>
  <si>
    <t>1002683</t>
  </si>
  <si>
    <t>2016012513:59:38</t>
  </si>
  <si>
    <t>2016013013:42:30</t>
  </si>
  <si>
    <t>1002804</t>
  </si>
  <si>
    <t>2016012514:54:39</t>
  </si>
  <si>
    <t>2016013013:44:44</t>
  </si>
  <si>
    <t>1002761</t>
  </si>
  <si>
    <t>2016012610:32:47</t>
  </si>
  <si>
    <t>2016013014:25:02</t>
  </si>
  <si>
    <t>1003003</t>
  </si>
  <si>
    <t>2016012616:03:45</t>
  </si>
  <si>
    <t>2016013013:46:34</t>
  </si>
  <si>
    <t>1003142</t>
  </si>
  <si>
    <t>2016012713:28:13</t>
  </si>
  <si>
    <t>2016020208:35:23</t>
  </si>
  <si>
    <t>1003149</t>
  </si>
  <si>
    <t>2016012714:21:21</t>
  </si>
  <si>
    <t>2016020213:14:23</t>
  </si>
  <si>
    <t>1003523</t>
  </si>
  <si>
    <t>2016012815:54:43</t>
  </si>
  <si>
    <t>2016020408:35:22</t>
  </si>
  <si>
    <t>1003396</t>
  </si>
  <si>
    <t>2016013013:51:08</t>
  </si>
  <si>
    <t>2016020513:30:54</t>
  </si>
  <si>
    <t>1000254</t>
  </si>
  <si>
    <t>2016013111:14:38</t>
  </si>
  <si>
    <t>2016020513:16:31</t>
  </si>
  <si>
    <t>1000280</t>
  </si>
  <si>
    <t>2016013116:00:59</t>
  </si>
  <si>
    <t>2016020513:14:34</t>
  </si>
  <si>
    <t>1003680</t>
  </si>
  <si>
    <t>2016020109:44:57</t>
  </si>
  <si>
    <t>2016020513:04:18</t>
  </si>
  <si>
    <t>1000797</t>
  </si>
  <si>
    <t>2016021310:24:54</t>
  </si>
  <si>
    <t>2016021909:49:21</t>
  </si>
  <si>
    <t>1000836</t>
  </si>
  <si>
    <t>2016021316:02:41</t>
  </si>
  <si>
    <t>2016021813:15:51</t>
  </si>
  <si>
    <t>1004565</t>
  </si>
  <si>
    <t>2016021411:12:14</t>
  </si>
  <si>
    <t>2016022009:45:04</t>
  </si>
  <si>
    <t>1004828</t>
  </si>
  <si>
    <t>2016021411:14:26</t>
  </si>
  <si>
    <t>2016021909:09:28</t>
  </si>
  <si>
    <t>1004577</t>
  </si>
  <si>
    <t>2016021413:23:28</t>
  </si>
  <si>
    <t>2016021613:56:48</t>
  </si>
  <si>
    <t>1004745</t>
  </si>
  <si>
    <t>2016021418:05:29</t>
  </si>
  <si>
    <t>2016022213:56:04</t>
  </si>
  <si>
    <t>1004788</t>
  </si>
  <si>
    <t>2016021510:59:46</t>
  </si>
  <si>
    <t>2016031013:19:11</t>
  </si>
  <si>
    <t>1005209</t>
  </si>
  <si>
    <t>2016021513:07:10</t>
  </si>
  <si>
    <t>2016021913:01:11</t>
  </si>
  <si>
    <t>1005127</t>
  </si>
  <si>
    <t>2016021514:03:53</t>
  </si>
  <si>
    <t>2016022108:41:28</t>
  </si>
  <si>
    <t>0970797</t>
  </si>
  <si>
    <t>2016021514:12:22</t>
  </si>
  <si>
    <t>2016030413:44:04</t>
  </si>
  <si>
    <t>1005017</t>
  </si>
  <si>
    <t>2016021514:34:08</t>
  </si>
  <si>
    <t>2016021913:43:53</t>
  </si>
  <si>
    <t>1005355</t>
  </si>
  <si>
    <t>2016021615:37:08</t>
  </si>
  <si>
    <t>2016022213:07:09</t>
  </si>
  <si>
    <t>1005381</t>
  </si>
  <si>
    <t>2016021710:38:55</t>
  </si>
  <si>
    <t>2016022213:05:17</t>
  </si>
  <si>
    <t>1005741</t>
  </si>
  <si>
    <t>2016021715:28:22</t>
  </si>
  <si>
    <t>2016022413:14:19</t>
  </si>
  <si>
    <t>1005945</t>
  </si>
  <si>
    <t>2016021907:47:15</t>
  </si>
  <si>
    <t>2016022413:16:49</t>
  </si>
  <si>
    <t>1001072</t>
  </si>
  <si>
    <t>2016022108:13:50</t>
  </si>
  <si>
    <t>2016022708:47:51</t>
  </si>
  <si>
    <t>1001084</t>
  </si>
  <si>
    <t>2016022113:00:11</t>
  </si>
  <si>
    <t>2016022513:03:13</t>
  </si>
  <si>
    <t>1008430</t>
  </si>
  <si>
    <t>2016022209:46:56</t>
  </si>
  <si>
    <t>2016022807:31:19</t>
  </si>
  <si>
    <t>1008448</t>
  </si>
  <si>
    <t>2016022210:46:47</t>
  </si>
  <si>
    <t>2016022913:15:12</t>
  </si>
  <si>
    <t>1008451</t>
  </si>
  <si>
    <t>2016022210:56:57</t>
  </si>
  <si>
    <t>2016022808:44:20</t>
  </si>
  <si>
    <t>1008530</t>
  </si>
  <si>
    <t>2016022216:25:02</t>
  </si>
  <si>
    <t>2016022613:27:31</t>
  </si>
  <si>
    <t>1008736</t>
  </si>
  <si>
    <t>2016022413:21:25</t>
  </si>
  <si>
    <t>2016022913:32:31</t>
  </si>
  <si>
    <t>1008760</t>
  </si>
  <si>
    <t>2016022414:43:47</t>
  </si>
  <si>
    <t>2016022913:40:14</t>
  </si>
  <si>
    <t>1008776</t>
  </si>
  <si>
    <t>2016022415:20:04</t>
  </si>
  <si>
    <t>2016022913:18:35</t>
  </si>
  <si>
    <t>1013174</t>
  </si>
  <si>
    <t>2016031409:17:35</t>
  </si>
  <si>
    <t>2016040813:15:47</t>
  </si>
  <si>
    <t>1006214</t>
  </si>
  <si>
    <t>2016031512:12:00</t>
  </si>
  <si>
    <t>2016032008:24:12</t>
  </si>
  <si>
    <t>1006540</t>
  </si>
  <si>
    <t>2016032016:25:35</t>
  </si>
  <si>
    <t>2016032813:27:04</t>
  </si>
  <si>
    <t>1007141</t>
  </si>
  <si>
    <t>2016040207:02:11</t>
  </si>
  <si>
    <t>2016040714:02:30</t>
  </si>
  <si>
    <t>1007324</t>
  </si>
  <si>
    <t>2016040413:00:37</t>
  </si>
  <si>
    <t>2016041113:32:27</t>
  </si>
  <si>
    <r>
      <rPr>
        <sz val="9"/>
        <color rgb="FF333333"/>
        <rFont val="Times New Roman"/>
        <family val="1"/>
      </rPr>
      <t>58</t>
    </r>
    <r>
      <rPr>
        <sz val="9"/>
        <rFont val="Microsoft YaHei Light"/>
        <family val="2"/>
        <charset val="134"/>
      </rPr>
      <t>岁</t>
    </r>
  </si>
  <si>
    <t>1027008</t>
  </si>
  <si>
    <t>2016042914:32:34</t>
  </si>
  <si>
    <t>2016050715:28:42</t>
  </si>
  <si>
    <t>2016042915:32:25</t>
  </si>
  <si>
    <t>2016050413:01:49</t>
  </si>
  <si>
    <r>
      <rPr>
        <sz val="9"/>
        <color rgb="FF333333"/>
        <rFont val="Times New Roman"/>
        <family val="1"/>
      </rPr>
      <t>29</t>
    </r>
    <r>
      <rPr>
        <sz val="9"/>
        <color rgb="FF333333"/>
        <rFont val="Microsoft YaHei Light"/>
        <family val="2"/>
        <charset val="134"/>
      </rPr>
      <t>岁</t>
    </r>
  </si>
  <si>
    <t>1027193</t>
  </si>
  <si>
    <t>2016050415:39:10</t>
  </si>
  <si>
    <t>2016050714:16:47</t>
  </si>
  <si>
    <t>2016060308:08:51</t>
  </si>
  <si>
    <t>2016060908:30:36</t>
  </si>
  <si>
    <r>
      <rPr>
        <sz val="9"/>
        <color rgb="FF333333"/>
        <rFont val="Times New Roman"/>
        <family val="1"/>
      </rPr>
      <t>27</t>
    </r>
    <r>
      <rPr>
        <sz val="9"/>
        <color rgb="FF333333"/>
        <rFont val="Microsoft YaHei Light"/>
        <family val="2"/>
        <charset val="134"/>
      </rPr>
      <t>岁</t>
    </r>
  </si>
  <si>
    <t>1023676</t>
  </si>
  <si>
    <t>2016060515:22:34</t>
  </si>
  <si>
    <t>2016061014:25:46</t>
  </si>
  <si>
    <t>1023943</t>
  </si>
  <si>
    <t>2016061107:33:51</t>
  </si>
  <si>
    <t>2016061613:45:48</t>
  </si>
  <si>
    <t>1041355</t>
  </si>
  <si>
    <t>2016071314:46:13</t>
  </si>
  <si>
    <t>2016071614:28:48</t>
  </si>
  <si>
    <t>1041254</t>
  </si>
  <si>
    <t>2016071316:24:00</t>
  </si>
  <si>
    <t>2016073008:44:49</t>
  </si>
  <si>
    <t>1026025</t>
  </si>
  <si>
    <t>2016071919:54:24</t>
  </si>
  <si>
    <t>2016072408:32:55</t>
  </si>
  <si>
    <t>1047133</t>
  </si>
  <si>
    <t>2016072715:57:06</t>
  </si>
  <si>
    <t>2016073013:43:13</t>
  </si>
  <si>
    <t>1026705</t>
  </si>
  <si>
    <t>2016073115:40:04</t>
  </si>
  <si>
    <t>2016080514:01:18</t>
  </si>
  <si>
    <t>1048385</t>
  </si>
  <si>
    <t>2016080415:34:56</t>
  </si>
  <si>
    <t>2016080913:43:04</t>
  </si>
  <si>
    <t>1045050</t>
  </si>
  <si>
    <t>2016082617:59:45</t>
  </si>
  <si>
    <t>2016083113:28:53</t>
  </si>
  <si>
    <t>1045210</t>
  </si>
  <si>
    <t>2016082813:59:24</t>
  </si>
  <si>
    <t>2016090309:00:39</t>
  </si>
  <si>
    <t>1045212</t>
  </si>
  <si>
    <t>2016082814:34:22</t>
  </si>
  <si>
    <t>2016090213:45:19</t>
  </si>
  <si>
    <t>1045199</t>
  </si>
  <si>
    <t>2016082814:52:10</t>
  </si>
  <si>
    <t>2016090213:31:52</t>
  </si>
  <si>
    <t>1052826</t>
  </si>
  <si>
    <t>2016082913:58:07</t>
  </si>
  <si>
    <t>2016090514:05:33</t>
  </si>
  <si>
    <t>1045241</t>
  </si>
  <si>
    <t>2016082920:14:55</t>
  </si>
  <si>
    <t>2016090215:46:23</t>
  </si>
  <si>
    <t>1053165</t>
  </si>
  <si>
    <t>2016083011:09:11</t>
  </si>
  <si>
    <t>2016090315:14:47</t>
  </si>
  <si>
    <t>1045278</t>
  </si>
  <si>
    <t>2016083018:39:59</t>
  </si>
  <si>
    <t>2016090409:02:08</t>
  </si>
  <si>
    <t>1053224</t>
  </si>
  <si>
    <t>2016083112:58:59</t>
  </si>
  <si>
    <t>2016090213:49:32</t>
  </si>
  <si>
    <t>1053571</t>
  </si>
  <si>
    <t>2016090214:50:46</t>
  </si>
  <si>
    <t>2016090713:49:43</t>
  </si>
  <si>
    <t>1053781</t>
  </si>
  <si>
    <t>2016090215:49:28</t>
  </si>
  <si>
    <t>2016090713:34:38</t>
  </si>
  <si>
    <t>1053579</t>
  </si>
  <si>
    <t>2016090216:33:36</t>
  </si>
  <si>
    <t>2016090713:48:01</t>
  </si>
  <si>
    <t>1045538</t>
  </si>
  <si>
    <t>2016090410:19:32</t>
  </si>
  <si>
    <t>2016090913:32:56</t>
  </si>
  <si>
    <t>1045540</t>
  </si>
  <si>
    <t>2016090410:37:49</t>
  </si>
  <si>
    <t>2016090813:42:35</t>
  </si>
  <si>
    <t>1054240</t>
  </si>
  <si>
    <t>2016090514:55:41</t>
  </si>
  <si>
    <t>2016091015:55:52</t>
  </si>
  <si>
    <t>1054258</t>
  </si>
  <si>
    <t>2016090515:25:47</t>
  </si>
  <si>
    <t>2016092714:39:52</t>
  </si>
  <si>
    <t>1045637</t>
  </si>
  <si>
    <t>2016090517:34:53</t>
  </si>
  <si>
    <t>2016091014:31:50</t>
  </si>
  <si>
    <t>1054346</t>
  </si>
  <si>
    <t>2016090613:49:40</t>
  </si>
  <si>
    <t>2016091213:16:23</t>
  </si>
  <si>
    <r>
      <rPr>
        <sz val="9"/>
        <color rgb="FF333333"/>
        <rFont val="Times New Roman"/>
        <family val="1"/>
      </rPr>
      <t>63</t>
    </r>
    <r>
      <rPr>
        <sz val="9"/>
        <rFont val="Microsoft YaHei Light"/>
        <family val="2"/>
        <charset val="134"/>
      </rPr>
      <t>岁</t>
    </r>
  </si>
  <si>
    <t>1054787</t>
  </si>
  <si>
    <t>2016090713:36:42</t>
  </si>
  <si>
    <t>2016091013:52:21</t>
  </si>
  <si>
    <t>1045855</t>
  </si>
  <si>
    <t>2016091109:58:30</t>
  </si>
  <si>
    <t>2016091613:34:08</t>
  </si>
  <si>
    <t>1045935</t>
  </si>
  <si>
    <t>2016091113:03:47</t>
  </si>
  <si>
    <t>2016091613:02:00</t>
  </si>
  <si>
    <t>1045872</t>
  </si>
  <si>
    <t>2016091116:07:57</t>
  </si>
  <si>
    <t>2016091613:31:44</t>
  </si>
  <si>
    <t>1055407</t>
  </si>
  <si>
    <t>2016091213:05:28</t>
  </si>
  <si>
    <t>2016091914:02:09</t>
  </si>
  <si>
    <t>1045998</t>
  </si>
  <si>
    <t>2016091220:45:19</t>
  </si>
  <si>
    <t>2016091913:44:22</t>
  </si>
  <si>
    <t>1057432</t>
  </si>
  <si>
    <t>2016091315:03:29</t>
  </si>
  <si>
    <t>2016091913:21:03</t>
  </si>
  <si>
    <t>1046336</t>
  </si>
  <si>
    <t>2016091813:11:32</t>
  </si>
  <si>
    <t>2016111613:29:01</t>
  </si>
  <si>
    <t>1046337</t>
  </si>
  <si>
    <t>2016091813:23:34</t>
  </si>
  <si>
    <t>2016092813:06:44</t>
  </si>
  <si>
    <t>1046350</t>
  </si>
  <si>
    <t>2016091813:50:02</t>
  </si>
  <si>
    <t>2016092414:04:24</t>
  </si>
  <si>
    <t>1046339</t>
  </si>
  <si>
    <t>2016091814:38:59</t>
  </si>
  <si>
    <t>2016092414:52:00</t>
  </si>
  <si>
    <t>1055685</t>
  </si>
  <si>
    <t>2016091915:59:50</t>
  </si>
  <si>
    <t>2016092914:16:48</t>
  </si>
  <si>
    <t>1046430</t>
  </si>
  <si>
    <t>2016091917:49:24</t>
  </si>
  <si>
    <t>2016092413:58:46</t>
  </si>
  <si>
    <t>1055574</t>
  </si>
  <si>
    <t>2016092010:44:40</t>
  </si>
  <si>
    <t>2016092713:17:14</t>
  </si>
  <si>
    <t>1046485</t>
  </si>
  <si>
    <t>2016092022:12:14</t>
  </si>
  <si>
    <t>2016092415:15:41</t>
  </si>
  <si>
    <t>1056261</t>
  </si>
  <si>
    <t>2016092215:47:21</t>
  </si>
  <si>
    <t>2016092813:51:49</t>
  </si>
  <si>
    <t>1056583</t>
  </si>
  <si>
    <t>2016092416:13:18</t>
  </si>
  <si>
    <t>2016092914:00:35</t>
  </si>
  <si>
    <t>1046731</t>
  </si>
  <si>
    <t>2016092514:11:11</t>
  </si>
  <si>
    <t>2016093014:12:07</t>
  </si>
  <si>
    <t>1046780</t>
  </si>
  <si>
    <t>2016092515:10:15</t>
  </si>
  <si>
    <t>2016100108:44:18</t>
  </si>
  <si>
    <t>1046784</t>
  </si>
  <si>
    <t>2016092515:40:26</t>
  </si>
  <si>
    <t>2016093012:59:47</t>
  </si>
  <si>
    <t>1058125</t>
  </si>
  <si>
    <t>2016092709:05:12</t>
  </si>
  <si>
    <t>2016093013:15:26</t>
  </si>
  <si>
    <t>1064438</t>
  </si>
  <si>
    <t>2016100708:18:44</t>
  </si>
  <si>
    <t>2016101113:16:28</t>
  </si>
  <si>
    <t>1064455</t>
  </si>
  <si>
    <t>2016100711:10:18</t>
  </si>
  <si>
    <t>2016101113:24:14</t>
  </si>
  <si>
    <t>1064456</t>
  </si>
  <si>
    <t>2016100711:10:30</t>
  </si>
  <si>
    <t>2016101208:49:39</t>
  </si>
  <si>
    <t>1059579</t>
  </si>
  <si>
    <t>2016100811:23:05</t>
  </si>
  <si>
    <t>2016101412:59:01</t>
  </si>
  <si>
    <t>1059282</t>
  </si>
  <si>
    <t>2016100812:18:40</t>
  </si>
  <si>
    <t>2016101311:13:17</t>
  </si>
  <si>
    <t>1059850</t>
  </si>
  <si>
    <t>2016100908:30:10</t>
  </si>
  <si>
    <t>2016101514:17:50</t>
  </si>
  <si>
    <t>1059892</t>
  </si>
  <si>
    <t>2016100911:00:37</t>
  </si>
  <si>
    <t>2016101113:13:48</t>
  </si>
  <si>
    <t>1059957</t>
  </si>
  <si>
    <t>2016100911:22:08</t>
  </si>
  <si>
    <t>2016101713:00:07</t>
  </si>
  <si>
    <t>1058727</t>
  </si>
  <si>
    <t>2016100914:20:45</t>
  </si>
  <si>
    <t>2016101509:56:08</t>
  </si>
  <si>
    <t>1058756</t>
  </si>
  <si>
    <t>2016100915:46:52</t>
  </si>
  <si>
    <t>2016101409:14:15</t>
  </si>
  <si>
    <t>1058871</t>
  </si>
  <si>
    <t>2016101109:41:08</t>
  </si>
  <si>
    <t>2016101513:27:10</t>
  </si>
  <si>
    <t>1060304</t>
  </si>
  <si>
    <t>2016101211:24:49</t>
  </si>
  <si>
    <t>2016101812:52:59</t>
  </si>
  <si>
    <t>1060323</t>
  </si>
  <si>
    <t>2016101214:30:47</t>
  </si>
  <si>
    <t>2016101813:08:44</t>
  </si>
  <si>
    <t>1060223</t>
  </si>
  <si>
    <t>2016101214:36:33</t>
  </si>
  <si>
    <t>2016101813:15:53</t>
  </si>
  <si>
    <t>1066434</t>
  </si>
  <si>
    <t>2016101609:02:43</t>
  </si>
  <si>
    <t>2016102209:20:10</t>
  </si>
  <si>
    <t>1066512</t>
  </si>
  <si>
    <t>2016101611:22:41</t>
  </si>
  <si>
    <t>2016102210:48:16</t>
  </si>
  <si>
    <t>1066481</t>
  </si>
  <si>
    <t>2016101613:00:18</t>
  </si>
  <si>
    <t>2016102113:27:42</t>
  </si>
  <si>
    <t>1066485</t>
  </si>
  <si>
    <t>2016101613:43:43</t>
  </si>
  <si>
    <t>2016102013:35:52</t>
  </si>
  <si>
    <t>1066524</t>
  </si>
  <si>
    <t>2016101614:23:34</t>
  </si>
  <si>
    <t>2016102209:20:55</t>
  </si>
  <si>
    <t>1066548</t>
  </si>
  <si>
    <t>2016101619:22:59</t>
  </si>
  <si>
    <t>2016102013:38:24</t>
  </si>
  <si>
    <t>1060979</t>
  </si>
  <si>
    <t>2016101709:13:20</t>
  </si>
  <si>
    <t>2016102113:22:28</t>
  </si>
  <si>
    <t>1061272</t>
  </si>
  <si>
    <t>2016101812:15:04</t>
  </si>
  <si>
    <t>2016102214:40:49</t>
  </si>
  <si>
    <t>1061328</t>
  </si>
  <si>
    <t>2016101814:27:10</t>
  </si>
  <si>
    <t>2016102113:33:24</t>
  </si>
  <si>
    <t>1061320</t>
  </si>
  <si>
    <t>2016101818:35:40</t>
  </si>
  <si>
    <t>2016102214:48:54</t>
  </si>
  <si>
    <t>1063221</t>
  </si>
  <si>
    <t>2016101910:11:07</t>
  </si>
  <si>
    <t>2016102508:23:43</t>
  </si>
  <si>
    <t>1063244</t>
  </si>
  <si>
    <t>2016101912:59:39</t>
  </si>
  <si>
    <t>2016102413:25:23</t>
  </si>
  <si>
    <t>1061410</t>
  </si>
  <si>
    <t>2016101913:57:45</t>
  </si>
  <si>
    <t>2016102607:39:19</t>
  </si>
  <si>
    <r>
      <rPr>
        <sz val="9"/>
        <color rgb="FF333333"/>
        <rFont val="Times New Roman"/>
        <family val="1"/>
      </rPr>
      <t>68</t>
    </r>
    <r>
      <rPr>
        <sz val="9"/>
        <rFont val="Microsoft YaHei Light"/>
        <family val="2"/>
        <charset val="134"/>
      </rPr>
      <t>岁</t>
    </r>
  </si>
  <si>
    <t>1061787</t>
  </si>
  <si>
    <t>2016102610:29:41</t>
  </si>
  <si>
    <t>2016103113:38:33</t>
  </si>
  <si>
    <t>1062246</t>
  </si>
  <si>
    <t>2016102710:51:21</t>
  </si>
  <si>
    <t>2016110213:10:02</t>
  </si>
  <si>
    <t>1062512</t>
  </si>
  <si>
    <t>2016102811:14:18</t>
  </si>
  <si>
    <t>2016110213:34:02</t>
  </si>
  <si>
    <t>1064678</t>
  </si>
  <si>
    <t>2016103008:06:23</t>
  </si>
  <si>
    <t>2016110608:15:54</t>
  </si>
  <si>
    <t>1064760</t>
  </si>
  <si>
    <t>2016103014:46:33</t>
  </si>
  <si>
    <t>2016110313:22:25</t>
  </si>
  <si>
    <t>1064768</t>
  </si>
  <si>
    <t>2016103016:20:39</t>
  </si>
  <si>
    <t>2016110510:17:33</t>
  </si>
  <si>
    <t>1067026</t>
  </si>
  <si>
    <t>2016103113:01:25</t>
  </si>
  <si>
    <t>2016110608:18:26</t>
  </si>
  <si>
    <t>1067052</t>
  </si>
  <si>
    <t>2016103114:19:19</t>
  </si>
  <si>
    <t>2016110413:51:06</t>
  </si>
  <si>
    <t>1067291</t>
  </si>
  <si>
    <t>2016110214:50:17</t>
  </si>
  <si>
    <t>2016110713:24:27</t>
  </si>
  <si>
    <t>1069551</t>
  </si>
  <si>
    <t>2016110410:07:16</t>
  </si>
  <si>
    <t>2016111010:14:23</t>
  </si>
  <si>
    <t>1069261</t>
  </si>
  <si>
    <t>2016110413:35:50</t>
  </si>
  <si>
    <t>2016111108:45:20</t>
  </si>
  <si>
    <t>2016110506:15:06</t>
  </si>
  <si>
    <t>2016110814:15:14</t>
  </si>
  <si>
    <r>
      <rPr>
        <sz val="9"/>
        <color rgb="FF333333"/>
        <rFont val="Times New Roman"/>
        <family val="1"/>
      </rPr>
      <t>34</t>
    </r>
    <r>
      <rPr>
        <sz val="9"/>
        <color rgb="FF333333"/>
        <rFont val="Microsoft YaHei Light"/>
        <family val="2"/>
        <charset val="134"/>
      </rPr>
      <t>岁</t>
    </r>
  </si>
  <si>
    <t>1069761</t>
  </si>
  <si>
    <t>2016110709:58:23</t>
  </si>
  <si>
    <t>2016111514:04:39</t>
  </si>
  <si>
    <t>1069996</t>
  </si>
  <si>
    <t>2016110914:49:24</t>
  </si>
  <si>
    <t>2016111509:18:04</t>
  </si>
  <si>
    <t>1065263</t>
  </si>
  <si>
    <t>2016110920:52:10</t>
  </si>
  <si>
    <t>2016111413:39:00</t>
  </si>
  <si>
    <t>1068152</t>
  </si>
  <si>
    <t>2016111109:39:49</t>
  </si>
  <si>
    <t>2016111613:09:52</t>
  </si>
  <si>
    <t>1068219</t>
  </si>
  <si>
    <t>2016111115:35:52</t>
  </si>
  <si>
    <t>2016111711:24:56</t>
  </si>
  <si>
    <t>1065488</t>
  </si>
  <si>
    <t>2016111313:44:48</t>
  </si>
  <si>
    <t>2016111808:36:17</t>
  </si>
  <si>
    <t>1065430</t>
  </si>
  <si>
    <t>2016111314:30:01</t>
  </si>
  <si>
    <t>2016111808:46:47</t>
  </si>
  <si>
    <t>1065491</t>
  </si>
  <si>
    <t>2016111314:42:25</t>
  </si>
  <si>
    <t>2016111813:06:52</t>
  </si>
  <si>
    <t>1065492</t>
  </si>
  <si>
    <t>2016111315:10:21</t>
  </si>
  <si>
    <t>2016111813:28:22</t>
  </si>
  <si>
    <t>1065437</t>
  </si>
  <si>
    <t>2016111315:32:35</t>
  </si>
  <si>
    <t>2016112008:49:51</t>
  </si>
  <si>
    <t>1065503</t>
  </si>
  <si>
    <t>2016111316:02:22</t>
  </si>
  <si>
    <t>2016111613:21:18</t>
  </si>
  <si>
    <t>1068287</t>
  </si>
  <si>
    <t>2016111414:07:36</t>
  </si>
  <si>
    <t>2016112113:20:01</t>
  </si>
  <si>
    <t>1068756</t>
  </si>
  <si>
    <t>2016111414:47:51</t>
  </si>
  <si>
    <t>2016112112:53:19</t>
  </si>
  <si>
    <t>1070055</t>
  </si>
  <si>
    <t>2016111516:07:30</t>
  </si>
  <si>
    <t>2016112010:08:18</t>
  </si>
  <si>
    <t>1068935</t>
  </si>
  <si>
    <t>2016111610:55:51</t>
  </si>
  <si>
    <t>2016112414:31:26</t>
  </si>
  <si>
    <t>1068954</t>
  </si>
  <si>
    <t>2016111613:44:40</t>
  </si>
  <si>
    <t>2016112413:18:54</t>
  </si>
  <si>
    <t>1072129</t>
  </si>
  <si>
    <t>2016111714:04:04</t>
  </si>
  <si>
    <t>2016112413:20:49</t>
  </si>
  <si>
    <t>1072132</t>
  </si>
  <si>
    <t>2016111714:32:03</t>
  </si>
  <si>
    <t>2016112509:04:38</t>
  </si>
  <si>
    <t>1070439</t>
  </si>
  <si>
    <t>2016111716:39:08</t>
  </si>
  <si>
    <t>2016112413:16:53</t>
  </si>
  <si>
    <t>1065674</t>
  </si>
  <si>
    <t>2016111719:14:58</t>
  </si>
  <si>
    <t>2016112413:04:11</t>
  </si>
  <si>
    <t>1065798</t>
  </si>
  <si>
    <t>2016112013:15:53</t>
  </si>
  <si>
    <t>2016112613:46:21</t>
  </si>
  <si>
    <t>1065855</t>
  </si>
  <si>
    <t>2016112016:09:24</t>
  </si>
  <si>
    <t>2016112413:53:35</t>
  </si>
  <si>
    <t>1065906</t>
  </si>
  <si>
    <t>2016112121:27:12</t>
  </si>
  <si>
    <t>2016120515:30:58</t>
  </si>
  <si>
    <t>1072681</t>
  </si>
  <si>
    <t>2016112209:10:42</t>
  </si>
  <si>
    <t>2016120913:38:01</t>
  </si>
  <si>
    <t>1070829</t>
  </si>
  <si>
    <t>2016112409:20:32</t>
  </si>
  <si>
    <t>2016120113:20:29</t>
  </si>
  <si>
    <t>1070846</t>
  </si>
  <si>
    <t>2016112413:30:04</t>
  </si>
  <si>
    <t>2016113013:24:23</t>
  </si>
  <si>
    <t>1070883</t>
  </si>
  <si>
    <t>2016112415:49:01</t>
  </si>
  <si>
    <t>2016113013:12:34</t>
  </si>
  <si>
    <t>1074045</t>
  </si>
  <si>
    <t>2016112520:59:30</t>
  </si>
  <si>
    <t>2016120113:09:16</t>
  </si>
  <si>
    <t>1074176</t>
  </si>
  <si>
    <t>2016112715:48:41</t>
  </si>
  <si>
    <t>2016120308:14:46</t>
  </si>
  <si>
    <t>1074236</t>
  </si>
  <si>
    <t>2016112716:12:05</t>
  </si>
  <si>
    <t>2016120309:05:22</t>
  </si>
  <si>
    <t>1071395</t>
  </si>
  <si>
    <t>2016112815:57:24</t>
  </si>
  <si>
    <t>2016113013:28:56</t>
  </si>
  <si>
    <t>1071442</t>
  </si>
  <si>
    <t>2016112911:43:51</t>
  </si>
  <si>
    <t>2016120313:31:50</t>
  </si>
  <si>
    <t>1073242</t>
  </si>
  <si>
    <t>2016113014:46:24</t>
  </si>
  <si>
    <t>2017012409:26:31</t>
  </si>
  <si>
    <t>1073055</t>
  </si>
  <si>
    <t>2016120111:31:05</t>
  </si>
  <si>
    <t>2017011013:06:32</t>
  </si>
  <si>
    <t>1073488</t>
  </si>
  <si>
    <t>2016120114:38:39</t>
  </si>
  <si>
    <t>2016120809:12:29</t>
  </si>
  <si>
    <t>1074591</t>
  </si>
  <si>
    <t>2016120411:19:05</t>
  </si>
  <si>
    <t>2016120914:12:53</t>
  </si>
  <si>
    <t>1074593</t>
  </si>
  <si>
    <t>2016120411:39:31</t>
  </si>
  <si>
    <t>2016120813:10:37</t>
  </si>
  <si>
    <t>1074552</t>
  </si>
  <si>
    <t>2016120412:47:17</t>
  </si>
  <si>
    <t>2016121614:02:24</t>
  </si>
  <si>
    <t>1074620</t>
  </si>
  <si>
    <t>2016120414:55:13</t>
  </si>
  <si>
    <t>2016121107:41:26</t>
  </si>
  <si>
    <t>1074623</t>
  </si>
  <si>
    <t>2016120415:24:36</t>
  </si>
  <si>
    <t>2016120913:43:42</t>
  </si>
  <si>
    <t>1095015</t>
  </si>
  <si>
    <t>2016120509:53:00</t>
  </si>
  <si>
    <t>2016121109:43:50</t>
  </si>
  <si>
    <t>1095054</t>
  </si>
  <si>
    <t>2016120513:17:12</t>
  </si>
  <si>
    <t>2016121108:55:57</t>
  </si>
  <si>
    <t>1073914</t>
  </si>
  <si>
    <t>2016120612:37:35</t>
  </si>
  <si>
    <t>2016121015:08:15</t>
  </si>
  <si>
    <t>1073944</t>
  </si>
  <si>
    <t>2016120614:48:11</t>
  </si>
  <si>
    <t>2016121213:02:52</t>
  </si>
  <si>
    <t>1074759</t>
  </si>
  <si>
    <t>2016120717:27:30</t>
  </si>
  <si>
    <t>2016121013:51:56</t>
  </si>
  <si>
    <t>1095655</t>
  </si>
  <si>
    <t>2016120915:08:04</t>
  </si>
  <si>
    <t>2016121313:22:34</t>
  </si>
  <si>
    <t>1095889</t>
  </si>
  <si>
    <t>2016120916:52:43</t>
  </si>
  <si>
    <t>2016121514:19:24</t>
  </si>
  <si>
    <t>1074943</t>
  </si>
  <si>
    <t>2016121109:49:29</t>
  </si>
  <si>
    <t>2016121709:29:59</t>
  </si>
  <si>
    <t>1074948</t>
  </si>
  <si>
    <t>2016121110:32:37</t>
  </si>
  <si>
    <t>2016121913:42:14</t>
  </si>
  <si>
    <t>1075004</t>
  </si>
  <si>
    <t>2016121115:26:13</t>
  </si>
  <si>
    <t>2016121513:09:04</t>
  </si>
  <si>
    <t>1075005</t>
  </si>
  <si>
    <t>2016121115:26:41</t>
  </si>
  <si>
    <t>2016121513:05:53</t>
  </si>
  <si>
    <t>1075013</t>
  </si>
  <si>
    <t>2016121115:56:21</t>
  </si>
  <si>
    <t>2016121513:38:11</t>
  </si>
  <si>
    <t>2016121117:01:09</t>
  </si>
  <si>
    <t>2016122816:40:29</t>
  </si>
  <si>
    <r>
      <rPr>
        <sz val="9"/>
        <color rgb="FF333333"/>
        <rFont val="Times New Roman"/>
        <family val="1"/>
      </rPr>
      <t>23</t>
    </r>
    <r>
      <rPr>
        <sz val="9"/>
        <color rgb="FF333333"/>
        <rFont val="Microsoft YaHei Light"/>
        <family val="2"/>
        <charset val="134"/>
      </rPr>
      <t>岁</t>
    </r>
  </si>
  <si>
    <t>1096310</t>
  </si>
  <si>
    <t>2016121211:16:39</t>
  </si>
  <si>
    <t>2016121913:29:51</t>
  </si>
  <si>
    <t>1096151</t>
  </si>
  <si>
    <t>2016121214:40:22</t>
  </si>
  <si>
    <t>2016121807:35:45</t>
  </si>
  <si>
    <r>
      <rPr>
        <sz val="9"/>
        <color rgb="FF333333"/>
        <rFont val="Times New Roman"/>
        <family val="1"/>
      </rPr>
      <t>60</t>
    </r>
    <r>
      <rPr>
        <sz val="9"/>
        <rFont val="Microsoft YaHei Light"/>
        <family val="2"/>
        <charset val="134"/>
      </rPr>
      <t>岁</t>
    </r>
  </si>
  <si>
    <t>1096511</t>
  </si>
  <si>
    <t>2016121215:34:55</t>
  </si>
  <si>
    <t>2016121915:27:02</t>
  </si>
  <si>
    <t>1096474</t>
  </si>
  <si>
    <t>2016121315:06:04</t>
  </si>
  <si>
    <t>2016121913:31:30</t>
  </si>
  <si>
    <t>1096771</t>
  </si>
  <si>
    <t>2016121414:00:08</t>
  </si>
  <si>
    <t>2016121713:27:52</t>
  </si>
  <si>
    <t>1096796</t>
  </si>
  <si>
    <t>2016121416:07:30</t>
  </si>
  <si>
    <t>2016122013:59:43</t>
  </si>
  <si>
    <t>1096667</t>
  </si>
  <si>
    <t>2016121508:09:45</t>
  </si>
  <si>
    <t>2016121714:26:10</t>
  </si>
  <si>
    <t>1096923</t>
  </si>
  <si>
    <t>2016121514:20:04</t>
  </si>
  <si>
    <t>2016122213:17:12</t>
  </si>
  <si>
    <t>1097186</t>
  </si>
  <si>
    <t>2016121616:00:30</t>
  </si>
  <si>
    <t>2016122113:23:23</t>
  </si>
  <si>
    <t>1075304</t>
  </si>
  <si>
    <t>2016121809:34:15</t>
  </si>
  <si>
    <t>2016122413:11:24</t>
  </si>
  <si>
    <t>1075342</t>
  </si>
  <si>
    <t>2016121813:39:24</t>
  </si>
  <si>
    <t>2016122408:54:54</t>
  </si>
  <si>
    <t>1075355</t>
  </si>
  <si>
    <t>2016121815:27:50</t>
  </si>
  <si>
    <t>2016122213:57:38</t>
  </si>
  <si>
    <t>1075365</t>
  </si>
  <si>
    <t>2016121817:32:57</t>
  </si>
  <si>
    <t>2016122313:25:43</t>
  </si>
  <si>
    <t>1097265</t>
  </si>
  <si>
    <t>2016121913:15:59</t>
  </si>
  <si>
    <t>2016122313:06:52</t>
  </si>
  <si>
    <t>1097731</t>
  </si>
  <si>
    <t>2016121914:02:14</t>
  </si>
  <si>
    <t>2016122714:31:53</t>
  </si>
  <si>
    <t>1075462</t>
  </si>
  <si>
    <t>2016122117:17:24</t>
  </si>
  <si>
    <t>2016122708:28:55</t>
  </si>
  <si>
    <t>1097983</t>
  </si>
  <si>
    <t>2016122213:22:20</t>
  </si>
  <si>
    <t>2016122913:33:31</t>
  </si>
  <si>
    <t>1083952</t>
  </si>
  <si>
    <t>2016122314:59:32</t>
  </si>
  <si>
    <t>2016122813:02:05</t>
  </si>
  <si>
    <t>1075627</t>
  </si>
  <si>
    <t>2016122508:34:28</t>
  </si>
  <si>
    <t>2016123108:17:36</t>
  </si>
  <si>
    <t>1075613</t>
  </si>
  <si>
    <t>2016122509:19:21</t>
  </si>
  <si>
    <t>2016123013:11:56</t>
  </si>
  <si>
    <t>1075616</t>
  </si>
  <si>
    <t>2016122510:24:57</t>
  </si>
  <si>
    <t>2016123108:48:06</t>
  </si>
  <si>
    <t>1075656</t>
  </si>
  <si>
    <t>2016122513:47:28</t>
  </si>
  <si>
    <t>2016123008:49:51</t>
  </si>
  <si>
    <t>1075657</t>
  </si>
  <si>
    <t>2016122513:56:16</t>
  </si>
  <si>
    <t>2017012014:13:32</t>
  </si>
  <si>
    <t>1075665</t>
  </si>
  <si>
    <t>2016122514:27:00</t>
  </si>
  <si>
    <t>2016123009:02:58</t>
  </si>
  <si>
    <t>1075677</t>
  </si>
  <si>
    <t>2016122514:55:51</t>
  </si>
  <si>
    <t>2016123008:52:16</t>
  </si>
  <si>
    <t>1075680</t>
  </si>
  <si>
    <t>2016122515:11:21</t>
  </si>
  <si>
    <t>2016123008:31:49</t>
  </si>
  <si>
    <t>1075682</t>
  </si>
  <si>
    <t>2016122515:17:25</t>
  </si>
  <si>
    <t>2016122915:56:09</t>
  </si>
  <si>
    <t>1075734</t>
  </si>
  <si>
    <t>2016122516:17:48</t>
  </si>
  <si>
    <t>2016123008:44:05</t>
  </si>
  <si>
    <t>1084376</t>
  </si>
  <si>
    <t>2016122809:37:57</t>
  </si>
  <si>
    <t>2017010410:00:44</t>
  </si>
  <si>
    <t>1084611</t>
  </si>
  <si>
    <t>2016122813:08:24</t>
  </si>
  <si>
    <t>2016123114:02:22</t>
  </si>
  <si>
    <t>1084800</t>
  </si>
  <si>
    <t>2016122816:14:30</t>
  </si>
  <si>
    <t>2017010313:33:57</t>
  </si>
  <si>
    <t>1084894</t>
  </si>
  <si>
    <t>2016123013:00:59</t>
  </si>
  <si>
    <t>2017010413:11:15</t>
  </si>
  <si>
    <t>1076012</t>
  </si>
  <si>
    <t>2017010115:22:53</t>
  </si>
  <si>
    <t>2017010613:33:06</t>
  </si>
  <si>
    <t>1085232</t>
  </si>
  <si>
    <t>2017010308:59:56</t>
  </si>
  <si>
    <t>2017012013:56:11</t>
  </si>
  <si>
    <t>1085860</t>
  </si>
  <si>
    <t>2017010314:31:56</t>
  </si>
  <si>
    <t>2017010713:44:09</t>
  </si>
  <si>
    <t>1085704</t>
  </si>
  <si>
    <t>2017010609:16:27</t>
  </si>
  <si>
    <t>2017011113:10:51</t>
  </si>
  <si>
    <t>1080104</t>
  </si>
  <si>
    <t>2017010611:50:19</t>
  </si>
  <si>
    <t>2017011208:21:53</t>
  </si>
  <si>
    <t>1080151</t>
  </si>
  <si>
    <t>2017010615:33:52</t>
  </si>
  <si>
    <t>2017011113:37:00</t>
  </si>
  <si>
    <t>1080292</t>
  </si>
  <si>
    <t>2017010616:22:59</t>
  </si>
  <si>
    <t>2017011013:25:07</t>
  </si>
  <si>
    <t>1080774</t>
  </si>
  <si>
    <t>2017011014:40:52</t>
  </si>
  <si>
    <t>2017011409:29:59</t>
  </si>
  <si>
    <t>1076483</t>
  </si>
  <si>
    <t>2017011019:35:05</t>
  </si>
  <si>
    <t>2017011313:28:43</t>
  </si>
  <si>
    <t>1081011</t>
  </si>
  <si>
    <t>2017011113:36:05</t>
  </si>
  <si>
    <t>2017011613:43:38</t>
  </si>
  <si>
    <t>1081018</t>
  </si>
  <si>
    <t>2017011114:01:54</t>
  </si>
  <si>
    <t>2017011613:02:26</t>
  </si>
  <si>
    <t>1080995</t>
  </si>
  <si>
    <t>2017011114:33:01</t>
  </si>
  <si>
    <t>2017011613:57:15</t>
  </si>
  <si>
    <t>1081558</t>
  </si>
  <si>
    <t>2017011313:48:16</t>
  </si>
  <si>
    <t>2017012608:31:39</t>
  </si>
  <si>
    <t>1081577</t>
  </si>
  <si>
    <t>2017011315:26:44</t>
  </si>
  <si>
    <t>2017011813:05:16</t>
  </si>
  <si>
    <t>1076692</t>
  </si>
  <si>
    <t>2017011510:37:11</t>
  </si>
  <si>
    <t>2017012108:03:55</t>
  </si>
  <si>
    <t>1076704</t>
  </si>
  <si>
    <t>2017011513:15:45</t>
  </si>
  <si>
    <t>2017012114:43:41</t>
  </si>
  <si>
    <t>1076708</t>
  </si>
  <si>
    <t>2017011513:57:43</t>
  </si>
  <si>
    <t>2017012108:04:55</t>
  </si>
  <si>
    <t>1076731</t>
  </si>
  <si>
    <t>2017011514:52:10</t>
  </si>
  <si>
    <t>2017011913:15:44</t>
  </si>
  <si>
    <t>1076759</t>
  </si>
  <si>
    <t>2017011516:44:56</t>
  </si>
  <si>
    <t>2017011915:16:59</t>
  </si>
  <si>
    <t>1082094</t>
  </si>
  <si>
    <t>2017011713:34:22</t>
  </si>
  <si>
    <t>2017012313:20:12</t>
  </si>
  <si>
    <t>1082767</t>
  </si>
  <si>
    <t>2017011816:30:40</t>
  </si>
  <si>
    <t>2017012112:40:14</t>
  </si>
  <si>
    <t>1082944</t>
  </si>
  <si>
    <t>2017011914:02:32</t>
  </si>
  <si>
    <t>2017012513:01:42</t>
  </si>
  <si>
    <t>1082966</t>
  </si>
  <si>
    <t>2017011915:12:20</t>
  </si>
  <si>
    <t>2017012508:06:20</t>
  </si>
  <si>
    <t>1082970</t>
  </si>
  <si>
    <t>2017011915:51:24</t>
  </si>
  <si>
    <t>2017012614:01:17</t>
  </si>
  <si>
    <t>1076908</t>
  </si>
  <si>
    <t>2017011917:18:37</t>
  </si>
  <si>
    <t>2017012413:32:33</t>
  </si>
  <si>
    <t>1086298</t>
  </si>
  <si>
    <t>2017012114:21:00</t>
  </si>
  <si>
    <t>2017012608:36:34</t>
  </si>
  <si>
    <t>1101458</t>
  </si>
  <si>
    <t>2017020211:09:41</t>
  </si>
  <si>
    <t>2017020613:05:39</t>
  </si>
  <si>
    <t>1101505</t>
  </si>
  <si>
    <t>2017020213:52:19</t>
  </si>
  <si>
    <t>2017020714:11:33</t>
  </si>
  <si>
    <t>1101536</t>
  </si>
  <si>
    <t>2017020220:10:44</t>
  </si>
  <si>
    <t>2017020708:09:47</t>
  </si>
  <si>
    <t>1101665</t>
  </si>
  <si>
    <t>2017020516:11:00</t>
  </si>
  <si>
    <t>2017020908:35:01</t>
  </si>
  <si>
    <t>1101711</t>
  </si>
  <si>
    <t>2017020516:17:20</t>
  </si>
  <si>
    <t>2017021009:35:19</t>
  </si>
  <si>
    <t>1088136</t>
  </si>
  <si>
    <t>2017020615:58:55</t>
  </si>
  <si>
    <t>2017021314:01:19</t>
  </si>
  <si>
    <t>1087750</t>
  </si>
  <si>
    <t>2017020616:08:33</t>
  </si>
  <si>
    <t>2017021013:10:21</t>
  </si>
  <si>
    <t>1088436</t>
  </si>
  <si>
    <t>2017020809:22:20</t>
  </si>
  <si>
    <t>2017021313:00:53</t>
  </si>
  <si>
    <t>1088275</t>
  </si>
  <si>
    <t>2017020813:29:56</t>
  </si>
  <si>
    <t>2017021513:11:18</t>
  </si>
  <si>
    <t>1088608</t>
  </si>
  <si>
    <t>2017020915:14:51</t>
  </si>
  <si>
    <t>2017021513:51:01</t>
  </si>
  <si>
    <t>1088584</t>
  </si>
  <si>
    <t>2017021010:23:43</t>
  </si>
  <si>
    <t>2017030110:32:25</t>
  </si>
  <si>
    <t>1101939</t>
  </si>
  <si>
    <t>2017021209:19:48</t>
  </si>
  <si>
    <t>2017021713:24:52</t>
  </si>
  <si>
    <t>1101956</t>
  </si>
  <si>
    <t>2017021214:14:47</t>
  </si>
  <si>
    <t>2017021909:33:53</t>
  </si>
  <si>
    <t>1102022</t>
  </si>
  <si>
    <t>2017021215:07:08</t>
  </si>
  <si>
    <t>2017021709:33:01</t>
  </si>
  <si>
    <t>1088779</t>
  </si>
  <si>
    <t>2017021313:40:29</t>
  </si>
  <si>
    <t>2017021809:35:34</t>
  </si>
  <si>
    <t>1089831</t>
  </si>
  <si>
    <t>2017021514:45:19</t>
  </si>
  <si>
    <t>2017022013:31:02</t>
  </si>
  <si>
    <t>1089635</t>
  </si>
  <si>
    <t>2017021515:58:30</t>
  </si>
  <si>
    <t>2017021812:55:49</t>
  </si>
  <si>
    <t>1089409</t>
  </si>
  <si>
    <t>2017021608:57:27</t>
  </si>
  <si>
    <t>2017022213:30:13</t>
  </si>
  <si>
    <t>1102377</t>
  </si>
  <si>
    <t>2017021912:08:48</t>
  </si>
  <si>
    <t>2017022713:37:18</t>
  </si>
  <si>
    <t>1102350</t>
  </si>
  <si>
    <t>2017021914:15:55</t>
  </si>
  <si>
    <t>2017022413:04:48</t>
  </si>
  <si>
    <t>1102351</t>
  </si>
  <si>
    <t>2017021914:16:28</t>
  </si>
  <si>
    <t>2017022608:13:36</t>
  </si>
  <si>
    <t>1102393</t>
  </si>
  <si>
    <t>2017021914:57:45</t>
  </si>
  <si>
    <t>2017022213:28:07</t>
  </si>
  <si>
    <t>1102407</t>
  </si>
  <si>
    <t>2017021915:30:57</t>
  </si>
  <si>
    <t>2017022313:10:29</t>
  </si>
  <si>
    <t>1090070</t>
  </si>
  <si>
    <t>2017022008:41:57</t>
  </si>
  <si>
    <t>2017022608:40:12</t>
  </si>
  <si>
    <t>1090831</t>
  </si>
  <si>
    <t>2017022114:17:10</t>
  </si>
  <si>
    <t>2017022713:11:31</t>
  </si>
  <si>
    <t>1090940</t>
  </si>
  <si>
    <t>2017022216:05:07</t>
  </si>
  <si>
    <t>2017022713:57:53</t>
  </si>
  <si>
    <t>1102586</t>
  </si>
  <si>
    <t>2017022420:56:12</t>
  </si>
  <si>
    <t>2017030114:29:25</t>
  </si>
  <si>
    <t>1102722</t>
  </si>
  <si>
    <t>2017022613:42:51</t>
  </si>
  <si>
    <t>2017030310:04:47</t>
  </si>
  <si>
    <t>1102724</t>
  </si>
  <si>
    <t>2017022614:19:07</t>
  </si>
  <si>
    <t>2017050810:07:57</t>
  </si>
  <si>
    <t>1102695</t>
  </si>
  <si>
    <t>2017022614:47:50</t>
  </si>
  <si>
    <t>2017030213:11:35</t>
  </si>
  <si>
    <t>1102736</t>
  </si>
  <si>
    <t>2017022615:25:00</t>
  </si>
  <si>
    <t>2017030409:03:49</t>
  </si>
  <si>
    <t>1102735</t>
  </si>
  <si>
    <t>2017022615:26:07</t>
  </si>
  <si>
    <t>2017030113:18:39</t>
  </si>
  <si>
    <t>1102700</t>
  </si>
  <si>
    <t>2017022615:53:30</t>
  </si>
  <si>
    <t>2017030308:28:10</t>
  </si>
  <si>
    <t>1092038</t>
  </si>
  <si>
    <t>2017022809:31:54</t>
  </si>
  <si>
    <t>2017030407:50:46</t>
  </si>
  <si>
    <t>1092314</t>
  </si>
  <si>
    <t>2017030113:32:35</t>
  </si>
  <si>
    <t>2017030412:57:02</t>
  </si>
  <si>
    <t>1092909</t>
  </si>
  <si>
    <t>2017030308:16:26</t>
  </si>
  <si>
    <t>2017030815:05:08</t>
  </si>
  <si>
    <t>1103059</t>
  </si>
  <si>
    <t>2017030516:16:25</t>
  </si>
  <si>
    <t>2017030913:02:26</t>
  </si>
  <si>
    <t>1103074</t>
  </si>
  <si>
    <t>2017030521:09:37</t>
  </si>
  <si>
    <t>2017031208:54:38</t>
  </si>
  <si>
    <t>1093246</t>
  </si>
  <si>
    <t>2017030713:50:07</t>
  </si>
  <si>
    <t>2017031113:38:33</t>
  </si>
  <si>
    <t>1093282</t>
  </si>
  <si>
    <t>2017030715:34:42</t>
  </si>
  <si>
    <t>2017031413:01:01</t>
  </si>
  <si>
    <t>1103134</t>
  </si>
  <si>
    <t>2017030717:26:29</t>
  </si>
  <si>
    <t>2017031314:27:58</t>
  </si>
  <si>
    <t>1077206</t>
  </si>
  <si>
    <t>2017030815:56:09</t>
  </si>
  <si>
    <t>2017031313:09:43</t>
  </si>
  <si>
    <t>1103387</t>
  </si>
  <si>
    <t>2017031211:18:03</t>
  </si>
  <si>
    <t>2017031808:56:53</t>
  </si>
  <si>
    <t>1103394</t>
  </si>
  <si>
    <t>2017031213:31:42</t>
  </si>
  <si>
    <t>2017031708:13:24</t>
  </si>
  <si>
    <t>1103401</t>
  </si>
  <si>
    <t>2017031214:19:00</t>
  </si>
  <si>
    <t>2017031713:17:35</t>
  </si>
  <si>
    <t>1103345</t>
  </si>
  <si>
    <t>2017031214:46:07</t>
  </si>
  <si>
    <t>2017031709:16:02</t>
  </si>
  <si>
    <t>1103416</t>
  </si>
  <si>
    <t>2017031216:14:03</t>
  </si>
  <si>
    <t>2017031809:08:53</t>
  </si>
  <si>
    <t>1077466</t>
  </si>
  <si>
    <t>2017031315:47:00</t>
  </si>
  <si>
    <t>2017032013:59:20</t>
  </si>
  <si>
    <t>1094810</t>
  </si>
  <si>
    <t>2017031713:25:43</t>
  </si>
  <si>
    <t>2017032113:06:05</t>
  </si>
  <si>
    <t>1094855</t>
  </si>
  <si>
    <t>2017031716:01:34</t>
  </si>
  <si>
    <t>2017032213:10:41</t>
  </si>
  <si>
    <t>1103685</t>
  </si>
  <si>
    <t>2017031909:42:21</t>
  </si>
  <si>
    <t>2017032313:59:14</t>
  </si>
  <si>
    <t>1103704</t>
  </si>
  <si>
    <t>2017031911:44:06</t>
  </si>
  <si>
    <t>2017032609:02:34</t>
  </si>
  <si>
    <t>1078002</t>
  </si>
  <si>
    <t>2017032013:28:31</t>
  </si>
  <si>
    <t>2017032508:49:09</t>
  </si>
  <si>
    <t>1078036</t>
  </si>
  <si>
    <t>2017032015:01:05</t>
  </si>
  <si>
    <t>2017032513:34:56</t>
  </si>
  <si>
    <t>1077948</t>
  </si>
  <si>
    <t>2017032113:28:07</t>
  </si>
  <si>
    <t>2017032513:15:10</t>
  </si>
  <si>
    <t>1078567</t>
  </si>
  <si>
    <t>2017032213:40:09</t>
  </si>
  <si>
    <t>2017032714:37:31</t>
  </si>
  <si>
    <t>1078566</t>
  </si>
  <si>
    <t>2017032213:48:19</t>
  </si>
  <si>
    <t>2017032712:32:44</t>
  </si>
  <si>
    <t>1078963</t>
  </si>
  <si>
    <t>2017032515:20:24</t>
  </si>
  <si>
    <t>2017033013:28:13</t>
  </si>
  <si>
    <t>1098092</t>
  </si>
  <si>
    <t>2017032610:23:14</t>
  </si>
  <si>
    <t>2017033113:18:59</t>
  </si>
  <si>
    <t>1098057</t>
  </si>
  <si>
    <t>2017032611:28:43</t>
  </si>
  <si>
    <t>2017033012:58:58</t>
  </si>
  <si>
    <t>1098062</t>
  </si>
  <si>
    <t>2017032613:09:54</t>
  </si>
  <si>
    <t>2017033107:44:28</t>
  </si>
  <si>
    <t>1098109</t>
  </si>
  <si>
    <t>2017032613:22:24</t>
  </si>
  <si>
    <t>2017033012:56:17</t>
  </si>
  <si>
    <t>1098140</t>
  </si>
  <si>
    <t>2017032614:06:02</t>
  </si>
  <si>
    <t>2017040113:19:25</t>
  </si>
  <si>
    <t>1098118</t>
  </si>
  <si>
    <t>2017032616:14:38</t>
  </si>
  <si>
    <t>2017033013:20:14</t>
  </si>
  <si>
    <t>1079598</t>
  </si>
  <si>
    <t>2017032813:33:33</t>
  </si>
  <si>
    <t>2017040409:47:28</t>
  </si>
  <si>
    <t>1079718</t>
  </si>
  <si>
    <t>2017032911:13:55</t>
  </si>
  <si>
    <t>2017040313:00:23</t>
  </si>
  <si>
    <t>1098292</t>
  </si>
  <si>
    <t>2017032917:09:41</t>
  </si>
  <si>
    <t>2017040313:03:22</t>
  </si>
  <si>
    <t>1079834</t>
  </si>
  <si>
    <t>2017033014:50:39</t>
  </si>
  <si>
    <t>2017051711:24:23</t>
  </si>
  <si>
    <t>1098453</t>
  </si>
  <si>
    <t>2017040214:55:13</t>
  </si>
  <si>
    <t>2017040809:18:46</t>
  </si>
  <si>
    <t>1098518</t>
  </si>
  <si>
    <t>2017040215:04:11</t>
  </si>
  <si>
    <t>2017040808:30:04</t>
  </si>
  <si>
    <t>1098461</t>
  </si>
  <si>
    <t>2017040216:40:32</t>
  </si>
  <si>
    <t>2017040713:14:07</t>
  </si>
  <si>
    <t>1098462</t>
  </si>
  <si>
    <t>2017040216:59:39</t>
  </si>
  <si>
    <t>2017040713:08:40</t>
  </si>
  <si>
    <t>1104682</t>
  </si>
  <si>
    <t>2017040514:12:28</t>
  </si>
  <si>
    <t>2017041313:21:11</t>
  </si>
  <si>
    <t>1105632</t>
  </si>
  <si>
    <t>2017040709:12:54</t>
  </si>
  <si>
    <t>2017041113:02:02</t>
  </si>
  <si>
    <t>1105649</t>
  </si>
  <si>
    <t>2017040712:23:27</t>
  </si>
  <si>
    <t>2017041113:17:18</t>
  </si>
  <si>
    <r>
      <rPr>
        <sz val="9"/>
        <color rgb="FF333333"/>
        <rFont val="Times New Roman"/>
        <family val="1"/>
      </rPr>
      <t>61</t>
    </r>
    <r>
      <rPr>
        <sz val="9"/>
        <rFont val="Microsoft YaHei Light"/>
        <family val="2"/>
        <charset val="134"/>
      </rPr>
      <t>岁</t>
    </r>
  </si>
  <si>
    <t>1098913</t>
  </si>
  <si>
    <t>2017040915:23:42</t>
  </si>
  <si>
    <t>2017041514:21:49</t>
  </si>
  <si>
    <t>1098933</t>
  </si>
  <si>
    <t>2017040915:24:36</t>
  </si>
  <si>
    <t>2017041413:25:29</t>
  </si>
  <si>
    <t>1098935</t>
  </si>
  <si>
    <t>2017040916:41:38</t>
  </si>
  <si>
    <t>2017041508:41:00</t>
  </si>
  <si>
    <t>1106221</t>
  </si>
  <si>
    <t>2017041016:32:16</t>
  </si>
  <si>
    <t>2017041510:09:36</t>
  </si>
  <si>
    <t>1107012</t>
  </si>
  <si>
    <t>2017041415:23:28</t>
  </si>
  <si>
    <t>2017041714:20:52</t>
  </si>
  <si>
    <t>1099274</t>
  </si>
  <si>
    <t>2017041611:28:58</t>
  </si>
  <si>
    <t>2017042113:33:57</t>
  </si>
  <si>
    <t>1099301</t>
  </si>
  <si>
    <t>2017041615:42:50</t>
  </si>
  <si>
    <t>2017042113:26:18</t>
  </si>
  <si>
    <t>1107355</t>
  </si>
  <si>
    <t>2017041715:13:44</t>
  </si>
  <si>
    <t>2017042309:24:17</t>
  </si>
  <si>
    <t>1107447</t>
  </si>
  <si>
    <t>2017041811:44:03</t>
  </si>
  <si>
    <t>2017042412:56:50</t>
  </si>
  <si>
    <t>1099510</t>
  </si>
  <si>
    <t>2017042020:11:58</t>
  </si>
  <si>
    <t>2017042512:59:02</t>
  </si>
  <si>
    <t>1108386</t>
  </si>
  <si>
    <t>2017042109:17:26</t>
  </si>
  <si>
    <t>2017042513:11:46</t>
  </si>
  <si>
    <t>1099662</t>
  </si>
  <si>
    <t>2017042314:44:54</t>
  </si>
  <si>
    <t>2017042808:55:49</t>
  </si>
  <si>
    <t>1108184</t>
  </si>
  <si>
    <t>2017042408:47:17</t>
  </si>
  <si>
    <t>2017042908:45:52</t>
  </si>
  <si>
    <t>1108186</t>
  </si>
  <si>
    <t>2017042408:48:39</t>
  </si>
  <si>
    <t>2017042613:21:05</t>
  </si>
  <si>
    <t>1108685</t>
  </si>
  <si>
    <t>2017042414:53:08</t>
  </si>
  <si>
    <t>2017050213:07:00</t>
  </si>
  <si>
    <t>1108294</t>
  </si>
  <si>
    <t>2017042415:27:57</t>
  </si>
  <si>
    <t>2017042909:30:21</t>
  </si>
  <si>
    <t>1109072</t>
  </si>
  <si>
    <t>2017042513:37:02</t>
  </si>
  <si>
    <t>2017042913:57:15</t>
  </si>
  <si>
    <t>1109407</t>
  </si>
  <si>
    <t>2017042609:00:14</t>
  </si>
  <si>
    <t>2017042913:30:33</t>
  </si>
  <si>
    <t>1109174</t>
  </si>
  <si>
    <t>2017042613:33:39</t>
  </si>
  <si>
    <t>2017042913:28:41</t>
  </si>
  <si>
    <t>1109543</t>
  </si>
  <si>
    <t>2017042809:00:10</t>
  </si>
  <si>
    <t>2017050513:05:02</t>
  </si>
  <si>
    <t>1109571</t>
  </si>
  <si>
    <t>2017042813:01:26</t>
  </si>
  <si>
    <t>2017050209:40:17</t>
  </si>
  <si>
    <t>1100078</t>
  </si>
  <si>
    <t>2017050114:12:59</t>
  </si>
  <si>
    <t>2017050513:16:36</t>
  </si>
  <si>
    <t>1110217</t>
  </si>
  <si>
    <t>2017050214:41:37</t>
  </si>
  <si>
    <t>2017050513:19:54</t>
  </si>
  <si>
    <t>2067806</t>
  </si>
  <si>
    <t>2017050215:05:08</t>
  </si>
  <si>
    <t>2017051111:50:58</t>
  </si>
  <si>
    <t>1110448</t>
  </si>
  <si>
    <t>2017050307:48:21</t>
  </si>
  <si>
    <t>2017050908:55:47</t>
  </si>
  <si>
    <t>1110266</t>
  </si>
  <si>
    <t>2017050309:17:30</t>
  </si>
  <si>
    <t>2017050613:30:57</t>
  </si>
  <si>
    <t>1109889</t>
  </si>
  <si>
    <t>2017050309:59:48</t>
  </si>
  <si>
    <t>2017050613:11:32</t>
  </si>
  <si>
    <t>1110340</t>
  </si>
  <si>
    <t>2017050314:36:11</t>
  </si>
  <si>
    <t>2017051013:17:33</t>
  </si>
  <si>
    <t>1110487</t>
  </si>
  <si>
    <t>2017050316:00:17</t>
  </si>
  <si>
    <t>2017050413:09:44</t>
  </si>
  <si>
    <t>1110634</t>
  </si>
  <si>
    <t>2017050416:09:54</t>
  </si>
  <si>
    <t>2017051013:05:34</t>
  </si>
  <si>
    <t>1111325</t>
  </si>
  <si>
    <t>2017050814:50:51</t>
  </si>
  <si>
    <t>2017051213:07:46</t>
  </si>
  <si>
    <t>1111716</t>
  </si>
  <si>
    <t>2017050814:55:28</t>
  </si>
  <si>
    <t>2017051213:09:38</t>
  </si>
  <si>
    <t>1100510</t>
  </si>
  <si>
    <t>2017050919:19:34</t>
  </si>
  <si>
    <t>2017051514:36:02</t>
  </si>
  <si>
    <t>1100516</t>
  </si>
  <si>
    <t>2017050920:20:28</t>
  </si>
  <si>
    <t>2017051513:47:39</t>
  </si>
  <si>
    <t>1111489</t>
  </si>
  <si>
    <t>2017051010:09:37</t>
  </si>
  <si>
    <t>2017051807:40:13</t>
  </si>
  <si>
    <t>1111650</t>
  </si>
  <si>
    <t>2017051013:30:11</t>
  </si>
  <si>
    <t>2017051708:50:58</t>
  </si>
  <si>
    <t>1111655</t>
  </si>
  <si>
    <t>2017051013:45:49</t>
  </si>
  <si>
    <t>2017051613:22:41</t>
  </si>
  <si>
    <t>1111864</t>
  </si>
  <si>
    <t>2017051014:09:53</t>
  </si>
  <si>
    <t>2017051612:59:45</t>
  </si>
  <si>
    <t>1111868</t>
  </si>
  <si>
    <t>2017051014:25:32</t>
  </si>
  <si>
    <t>2017051613:17:03</t>
  </si>
  <si>
    <t>1112304</t>
  </si>
  <si>
    <t>2017051213:37:28</t>
  </si>
  <si>
    <t>2017051813:01:01</t>
  </si>
  <si>
    <t>1112492</t>
  </si>
  <si>
    <t>2017051214:57:13</t>
  </si>
  <si>
    <t>2017051713:04:55</t>
  </si>
  <si>
    <t>1112334</t>
  </si>
  <si>
    <t>2017051216:06:47</t>
  </si>
  <si>
    <t>2017051713:01:26</t>
  </si>
  <si>
    <t>1116013</t>
  </si>
  <si>
    <t>2017051311:21:26</t>
  </si>
  <si>
    <t>2017052213:27:05</t>
  </si>
  <si>
    <t>1116242</t>
  </si>
  <si>
    <t>2017051614:08:05</t>
  </si>
  <si>
    <t>2017052108:54:25</t>
  </si>
  <si>
    <t>1112910</t>
  </si>
  <si>
    <t>2017051614:50:05</t>
  </si>
  <si>
    <t>2017052012:58:55</t>
  </si>
  <si>
    <t>1100884</t>
  </si>
  <si>
    <t>2017051620:21:08</t>
  </si>
  <si>
    <t>2017052013:02:31</t>
  </si>
  <si>
    <t>1116454</t>
  </si>
  <si>
    <t>2017051714:21:38</t>
  </si>
  <si>
    <t>2017052307:59:38</t>
  </si>
  <si>
    <t>1116558</t>
  </si>
  <si>
    <t>2017051714:32:49</t>
  </si>
  <si>
    <t>2017052213:03:24</t>
  </si>
  <si>
    <t>1100925</t>
  </si>
  <si>
    <t>2017051719:04:39</t>
  </si>
  <si>
    <t>2017052309:11:31</t>
  </si>
  <si>
    <t>1116801</t>
  </si>
  <si>
    <t>2017052013:51:22</t>
  </si>
  <si>
    <t>2017052709:06:52</t>
  </si>
  <si>
    <t>1113130</t>
  </si>
  <si>
    <t>2017052113:44:38</t>
  </si>
  <si>
    <t>2017052809:20:13</t>
  </si>
  <si>
    <t>1113152</t>
  </si>
  <si>
    <t>2017052114:38:59</t>
  </si>
  <si>
    <t>2017052513:22:14</t>
  </si>
  <si>
    <t>1113154</t>
  </si>
  <si>
    <t>2017052114:50:32</t>
  </si>
  <si>
    <t>2017052608:05:15</t>
  </si>
  <si>
    <t>1113145</t>
  </si>
  <si>
    <t>2017052117:15:08</t>
  </si>
  <si>
    <t>2017052613:17:06</t>
  </si>
  <si>
    <t>1117716</t>
  </si>
  <si>
    <t>2017052308:04:17</t>
  </si>
  <si>
    <t>2017052613:03:36</t>
  </si>
  <si>
    <t>1117513</t>
  </si>
  <si>
    <t>2017052312:36:56</t>
  </si>
  <si>
    <t>2017052712:40:00</t>
  </si>
  <si>
    <t>1117591</t>
  </si>
  <si>
    <t>2017052412:44:21</t>
  </si>
  <si>
    <t>2017052912:58:00</t>
  </si>
  <si>
    <t>1113318</t>
  </si>
  <si>
    <t>2017052420:00:31</t>
  </si>
  <si>
    <t>2017060110:29:08</t>
  </si>
  <si>
    <t>1118185</t>
  </si>
  <si>
    <t>2017052513:44:32</t>
  </si>
  <si>
    <t>2017053113:01:06</t>
  </si>
  <si>
    <t>1118405</t>
  </si>
  <si>
    <t>2017052615:24:45</t>
  </si>
  <si>
    <t>2017060314:58:55</t>
  </si>
  <si>
    <t>1118713</t>
  </si>
  <si>
    <t>2017052910:34:14</t>
  </si>
  <si>
    <t>2017060513:17:59</t>
  </si>
  <si>
    <t>2017052914:43:06</t>
  </si>
  <si>
    <t>2017060213:11:34</t>
  </si>
  <si>
    <r>
      <rPr>
        <sz val="9"/>
        <color rgb="FF333333"/>
        <rFont val="Times New Roman"/>
        <family val="1"/>
      </rPr>
      <t>43</t>
    </r>
    <r>
      <rPr>
        <sz val="9"/>
        <color rgb="FF333333"/>
        <rFont val="Microsoft YaHei Light"/>
        <family val="2"/>
        <charset val="134"/>
      </rPr>
      <t>岁</t>
    </r>
  </si>
  <si>
    <t>1119294</t>
  </si>
  <si>
    <t>2017053116:35:16</t>
  </si>
  <si>
    <t>2017060513:41:59</t>
  </si>
  <si>
    <t>1119591</t>
  </si>
  <si>
    <t>2017060212:11:39</t>
  </si>
  <si>
    <t>2017060909:13:10</t>
  </si>
  <si>
    <t>1113779</t>
  </si>
  <si>
    <t>2017060220:11:57</t>
  </si>
  <si>
    <t>2017062113:35:05</t>
  </si>
  <si>
    <t>1119864</t>
  </si>
  <si>
    <t>2017060608:47:14</t>
  </si>
  <si>
    <t>2017060914:21:02</t>
  </si>
  <si>
    <t>1120230</t>
  </si>
  <si>
    <t>2017060611:05:36</t>
  </si>
  <si>
    <t>2017061214:43:54</t>
  </si>
  <si>
    <t>1120428</t>
  </si>
  <si>
    <t>2017060709:29:18</t>
  </si>
  <si>
    <t>2017061108:30:43</t>
  </si>
  <si>
    <t>1114071</t>
  </si>
  <si>
    <t>2017060717:44:03</t>
  </si>
  <si>
    <t>2017061108:18:24</t>
  </si>
  <si>
    <t>1114322</t>
  </si>
  <si>
    <t>2017061115:40:06</t>
  </si>
  <si>
    <t>2017061413:28:02</t>
  </si>
  <si>
    <t>1114327</t>
  </si>
  <si>
    <t>2017061116:21:39</t>
  </si>
  <si>
    <t>2017061508:22:53</t>
  </si>
  <si>
    <t>1121634</t>
  </si>
  <si>
    <t>2017061309:16:37</t>
  </si>
  <si>
    <t>2017061913:29:10</t>
  </si>
  <si>
    <t>1114581</t>
  </si>
  <si>
    <t>2017061809:31:36</t>
  </si>
  <si>
    <t>2017062313:45:29</t>
  </si>
  <si>
    <t>1123065</t>
  </si>
  <si>
    <t>2017062015:40:08</t>
  </si>
  <si>
    <t>2017070113:37:47</t>
  </si>
  <si>
    <t>1114857</t>
  </si>
  <si>
    <t>2017062218:33:15</t>
  </si>
  <si>
    <t>2017071013:50:29</t>
  </si>
  <si>
    <t>1123580</t>
  </si>
  <si>
    <t>2017062416:26:39</t>
  </si>
  <si>
    <t>2017071408:02:28</t>
  </si>
  <si>
    <t>1115000</t>
  </si>
  <si>
    <t>2017062514:53:56</t>
  </si>
  <si>
    <t>2017082109:11:26</t>
  </si>
  <si>
    <t>1124395</t>
  </si>
  <si>
    <t>2017062714:44:30</t>
  </si>
  <si>
    <t>2017070713:51:31</t>
  </si>
  <si>
    <t>1115406</t>
  </si>
  <si>
    <t>2017070209:54:18</t>
  </si>
  <si>
    <t>2017070513:43:58</t>
  </si>
  <si>
    <t>1115407</t>
  </si>
  <si>
    <t>2017070209:54:48</t>
  </si>
  <si>
    <t>2017070708:19:58</t>
  </si>
  <si>
    <t>1115394</t>
  </si>
  <si>
    <t>2017070211:56:30</t>
  </si>
  <si>
    <t>2017070708:27:36</t>
  </si>
  <si>
    <t>1115702</t>
  </si>
  <si>
    <t>2017070907:57:54</t>
  </si>
  <si>
    <t>2017071413:47:39</t>
  </si>
  <si>
    <t>1115731</t>
  </si>
  <si>
    <t>2017070913:33:25</t>
  </si>
  <si>
    <t>2017071814:49:35</t>
  </si>
  <si>
    <t>1115748</t>
  </si>
  <si>
    <t>2017070916:53:42</t>
  </si>
  <si>
    <t>2017071511:09:55</t>
  </si>
  <si>
    <t>1127470</t>
  </si>
  <si>
    <t>2017071116:17:17</t>
  </si>
  <si>
    <t>2017071610:22:47</t>
  </si>
  <si>
    <t>1128319</t>
  </si>
  <si>
    <t>2017071315:12:56</t>
  </si>
  <si>
    <t>2017071813:38:37</t>
  </si>
  <si>
    <t>1128337</t>
  </si>
  <si>
    <t>2017071409:18:57</t>
  </si>
  <si>
    <t>2017071813:57:26</t>
  </si>
  <si>
    <t>1143015</t>
  </si>
  <si>
    <t>2017071420:38:21</t>
  </si>
  <si>
    <t>2017071913:26:32</t>
  </si>
  <si>
    <t>1143142</t>
  </si>
  <si>
    <t>2017071612:28:58</t>
  </si>
  <si>
    <t>2017072113:37:02</t>
  </si>
  <si>
    <t>1143162</t>
  </si>
  <si>
    <t>2017071616:08:56</t>
  </si>
  <si>
    <t>2017072013:55:40</t>
  </si>
  <si>
    <t>1143171</t>
  </si>
  <si>
    <t>2017071621:36:02</t>
  </si>
  <si>
    <t>2017071913:29:36</t>
  </si>
  <si>
    <t>1128242</t>
  </si>
  <si>
    <t>2017071814:19:16</t>
  </si>
  <si>
    <t>2017072214:26:22</t>
  </si>
  <si>
    <t>1129452</t>
  </si>
  <si>
    <t>2017071814:32:42</t>
  </si>
  <si>
    <t>2017072413:43:17</t>
  </si>
  <si>
    <t>1128821</t>
  </si>
  <si>
    <t>2017071815:37:41</t>
  </si>
  <si>
    <t>2017072212:43:03</t>
  </si>
  <si>
    <t>1128888</t>
  </si>
  <si>
    <t>2017071915:15:40</t>
  </si>
  <si>
    <t>2017072213:37:42</t>
  </si>
  <si>
    <t>1128947</t>
  </si>
  <si>
    <t>2017071915:52:50</t>
  </si>
  <si>
    <t>2017072713:34:16</t>
  </si>
  <si>
    <t>1143277</t>
  </si>
  <si>
    <t>2017071919:05:41</t>
  </si>
  <si>
    <t>2017072213:56:35</t>
  </si>
  <si>
    <t>1129090</t>
  </si>
  <si>
    <t>2017072114:00:47</t>
  </si>
  <si>
    <t>2017072613:54:28</t>
  </si>
  <si>
    <t>1143435</t>
  </si>
  <si>
    <t>2017072309:08:53</t>
  </si>
  <si>
    <t>2017072713:48:05</t>
  </si>
  <si>
    <t>1143395</t>
  </si>
  <si>
    <t>2017072310:54:42</t>
  </si>
  <si>
    <t>2017072808:05:06</t>
  </si>
  <si>
    <t>1143450</t>
  </si>
  <si>
    <t>2017072314:01:54</t>
  </si>
  <si>
    <t>2017072808:51:32</t>
  </si>
  <si>
    <t>1143475</t>
  </si>
  <si>
    <t>2017072314:10:12</t>
  </si>
  <si>
    <t>2017072613:33:09</t>
  </si>
  <si>
    <t>1143474</t>
  </si>
  <si>
    <t>2017072314:19:21</t>
  </si>
  <si>
    <t>2017072808:46:43</t>
  </si>
  <si>
    <t>1143409</t>
  </si>
  <si>
    <t>2017072314:38:11</t>
  </si>
  <si>
    <t>2017072613:50:24</t>
  </si>
  <si>
    <t>1143552</t>
  </si>
  <si>
    <t>2017072516:41:50</t>
  </si>
  <si>
    <t>2017072914:37:18</t>
  </si>
  <si>
    <t>1130419</t>
  </si>
  <si>
    <t>2017072613:46:05</t>
  </si>
  <si>
    <t>2017073008:44:17</t>
  </si>
  <si>
    <t>1130596</t>
  </si>
  <si>
    <t>2017072614:38:14</t>
  </si>
  <si>
    <t>2017073008:45:53</t>
  </si>
  <si>
    <t>1130930</t>
  </si>
  <si>
    <t>2017072614:47:16</t>
  </si>
  <si>
    <t>2017072914:29:47</t>
  </si>
  <si>
    <t>1131087</t>
  </si>
  <si>
    <t>2017072815:03:47</t>
  </si>
  <si>
    <t>2017080214:03:57</t>
  </si>
  <si>
    <t>1143750</t>
  </si>
  <si>
    <t>2017073009:09:08</t>
  </si>
  <si>
    <t>2017080313:34:54</t>
  </si>
  <si>
    <t>1143751</t>
  </si>
  <si>
    <t>2017073009:28:37</t>
  </si>
  <si>
    <t>2017080409:30:44</t>
  </si>
  <si>
    <t>1143757</t>
  </si>
  <si>
    <t>2017073011:26:55</t>
  </si>
  <si>
    <t>2017080813:38:56</t>
  </si>
  <si>
    <t>1131439</t>
  </si>
  <si>
    <t>2017073110:20:40</t>
  </si>
  <si>
    <t>2017080514:13:26</t>
  </si>
  <si>
    <t>1132042</t>
  </si>
  <si>
    <t>2017080115:44:28</t>
  </si>
  <si>
    <t>2017081413:35:51</t>
  </si>
  <si>
    <t>1132095</t>
  </si>
  <si>
    <t>2017080214:27:25</t>
  </si>
  <si>
    <t>2017081413:33:11</t>
  </si>
  <si>
    <t>1132815</t>
  </si>
  <si>
    <t>2017080409:11:24</t>
  </si>
  <si>
    <t>2017082214:40:44</t>
  </si>
  <si>
    <t>1132825</t>
  </si>
  <si>
    <t>2017080409:11:30</t>
  </si>
  <si>
    <t>2017081015:12:24</t>
  </si>
  <si>
    <t>1132585</t>
  </si>
  <si>
    <t>2017080415:11:06</t>
  </si>
  <si>
    <t>2017080913:33:33</t>
  </si>
  <si>
    <t>1144089</t>
  </si>
  <si>
    <t>2017080608:08:41</t>
  </si>
  <si>
    <t>2017080912:37:33</t>
  </si>
  <si>
    <t>1144116</t>
  </si>
  <si>
    <t>2017080614:32:53</t>
  </si>
  <si>
    <t>2017081113:59:18</t>
  </si>
  <si>
    <t>1144186</t>
  </si>
  <si>
    <t>2017080614:43:11</t>
  </si>
  <si>
    <t>2017081113:56:04</t>
  </si>
  <si>
    <t>1144187</t>
  </si>
  <si>
    <t>2017080615:26:50</t>
  </si>
  <si>
    <t>2017081308:28:02</t>
  </si>
  <si>
    <t>1144127</t>
  </si>
  <si>
    <t>2017080616:16:33</t>
  </si>
  <si>
    <t>2017081308:38:23</t>
  </si>
  <si>
    <t>1132680</t>
  </si>
  <si>
    <t>2017080709:10:44</t>
  </si>
  <si>
    <t>2017081113:57:37</t>
  </si>
  <si>
    <t>1132457</t>
  </si>
  <si>
    <t>2017080715:46:15</t>
  </si>
  <si>
    <t>2017081013:36:40</t>
  </si>
  <si>
    <t>1144250</t>
  </si>
  <si>
    <t>2017080722:04:58</t>
  </si>
  <si>
    <t>2017081208:51:50</t>
  </si>
  <si>
    <t>1133021</t>
  </si>
  <si>
    <t>2017080812:23:25</t>
  </si>
  <si>
    <t>2017081213:54:55</t>
  </si>
  <si>
    <t>1133715</t>
  </si>
  <si>
    <t>2017080913:17:55</t>
  </si>
  <si>
    <t>2017081213:57:04</t>
  </si>
  <si>
    <t>1133132</t>
  </si>
  <si>
    <t>2017080914:01:16</t>
  </si>
  <si>
    <t>2017081214:45:47</t>
  </si>
  <si>
    <t>1144521</t>
  </si>
  <si>
    <t>2017080919:00:38</t>
  </si>
  <si>
    <t>2017081213:42:59</t>
  </si>
  <si>
    <t>1144419</t>
  </si>
  <si>
    <t>2017081311:45:15</t>
  </si>
  <si>
    <t>2017081713:36:42</t>
  </si>
  <si>
    <t>1144470</t>
  </si>
  <si>
    <t>2017081312:20:09</t>
  </si>
  <si>
    <t>2017081614:38:12</t>
  </si>
  <si>
    <t>1144464</t>
  </si>
  <si>
    <t>2017081314:28:39</t>
  </si>
  <si>
    <t>2017081713:54:26</t>
  </si>
  <si>
    <t>1144569</t>
  </si>
  <si>
    <t>2017081315:33:57</t>
  </si>
  <si>
    <t>2017082010:38:26</t>
  </si>
  <si>
    <t>1144478</t>
  </si>
  <si>
    <t>2017081315:47:16</t>
  </si>
  <si>
    <t>2017081814:33:51</t>
  </si>
  <si>
    <t>1144570</t>
  </si>
  <si>
    <t>2017081316:10:55</t>
  </si>
  <si>
    <t>2017081813:36:43</t>
  </si>
  <si>
    <t>1134353</t>
  </si>
  <si>
    <t>2017081414:53:10</t>
  </si>
  <si>
    <t>2017082008:58:10</t>
  </si>
  <si>
    <t>1135020</t>
  </si>
  <si>
    <t>2017081609:39:59</t>
  </si>
  <si>
    <t>2017082308:33:20</t>
  </si>
  <si>
    <t>1135057</t>
  </si>
  <si>
    <t>2017081614:03:32</t>
  </si>
  <si>
    <t>2017082113:28:17</t>
  </si>
  <si>
    <t>1134845</t>
  </si>
  <si>
    <t>2017081708:08:17</t>
  </si>
  <si>
    <t>2017082814:55:26</t>
  </si>
  <si>
    <t>1135152</t>
  </si>
  <si>
    <t>2017081715:07:49</t>
  </si>
  <si>
    <t>2017082308:55:03</t>
  </si>
  <si>
    <t>1135259</t>
  </si>
  <si>
    <t>2017081815:47:27</t>
  </si>
  <si>
    <t>2017082408:23:21</t>
  </si>
  <si>
    <t>1144846</t>
  </si>
  <si>
    <t>2017082011:03:57</t>
  </si>
  <si>
    <t>2017082413:46:22</t>
  </si>
  <si>
    <t>1135759</t>
  </si>
  <si>
    <t>2017082209:11:50</t>
  </si>
  <si>
    <t>2017082613:57:55</t>
  </si>
  <si>
    <t>1136438</t>
  </si>
  <si>
    <t>2017082314:39:09</t>
  </si>
  <si>
    <t>2017082813:33:00</t>
  </si>
  <si>
    <t>1136733</t>
  </si>
  <si>
    <t>2017082414:49:07</t>
  </si>
  <si>
    <t>2017083013:32:44</t>
  </si>
  <si>
    <t>1145275</t>
  </si>
  <si>
    <t>2017082714:17:37</t>
  </si>
  <si>
    <t>2017090611:13:40</t>
  </si>
  <si>
    <t>1138429</t>
  </si>
  <si>
    <t>2017083114:21:05</t>
  </si>
  <si>
    <t>2017091113:37:39</t>
  </si>
  <si>
    <t>1138503</t>
  </si>
  <si>
    <t>2017090115:38:59</t>
  </si>
  <si>
    <t>2017090613:32:24</t>
  </si>
  <si>
    <t>1138357</t>
  </si>
  <si>
    <t>2017090116:24:55</t>
  </si>
  <si>
    <t>2017090513:39:59</t>
  </si>
  <si>
    <t>1145495</t>
  </si>
  <si>
    <t>2017090310:41:49</t>
  </si>
  <si>
    <t>2017090814:16:59</t>
  </si>
  <si>
    <t>1145499</t>
  </si>
  <si>
    <t>2017090313:46:47</t>
  </si>
  <si>
    <t>2017091113:34:31</t>
  </si>
  <si>
    <t>1145571</t>
  </si>
  <si>
    <t>2017090314:30:00</t>
  </si>
  <si>
    <t>2017090613:01:44</t>
  </si>
  <si>
    <t>1145579</t>
  </si>
  <si>
    <t>2017090315:40:51</t>
  </si>
  <si>
    <t>2017090813:31:57</t>
  </si>
  <si>
    <t>1145596</t>
  </si>
  <si>
    <t>2017090316:08:50</t>
  </si>
  <si>
    <t>2017090813:53:37</t>
  </si>
  <si>
    <t>1145599</t>
  </si>
  <si>
    <t>2017090316:37:58</t>
  </si>
  <si>
    <t>2017091008:39:36</t>
  </si>
  <si>
    <t>1137932</t>
  </si>
  <si>
    <t>2017090409:09:02</t>
  </si>
  <si>
    <t>2017091208:39:41</t>
  </si>
  <si>
    <t>1138864</t>
  </si>
  <si>
    <t>2017090414:25:41</t>
  </si>
  <si>
    <t>2017090814:11:04</t>
  </si>
  <si>
    <t>1139418</t>
  </si>
  <si>
    <t>2017090415:13:15</t>
  </si>
  <si>
    <t>2017091213:25:01</t>
  </si>
  <si>
    <t>1139055</t>
  </si>
  <si>
    <t>2017090615:22:46</t>
  </si>
  <si>
    <t>2017091208:28:34</t>
  </si>
  <si>
    <t>1139248</t>
  </si>
  <si>
    <t>2017090615:53:43</t>
  </si>
  <si>
    <t>2017091208:44:11</t>
  </si>
  <si>
    <t>1139719</t>
  </si>
  <si>
    <t>2017090714:37:39</t>
  </si>
  <si>
    <t>2017091213:30:43</t>
  </si>
  <si>
    <t>1145751</t>
  </si>
  <si>
    <t>2017090717:20:22</t>
  </si>
  <si>
    <t>2017092608:49:24</t>
  </si>
  <si>
    <t>1145746</t>
  </si>
  <si>
    <t>2017090718:01:34</t>
  </si>
  <si>
    <t>2017091213:49:36</t>
  </si>
  <si>
    <t>1139952</t>
  </si>
  <si>
    <t>2017091115:36:58</t>
  </si>
  <si>
    <t>2017091513:47:45</t>
  </si>
  <si>
    <t>1140060</t>
  </si>
  <si>
    <t>2017091220:54:51</t>
  </si>
  <si>
    <t>2017091614:56:57</t>
  </si>
  <si>
    <t>1146946</t>
  </si>
  <si>
    <t>2017091512:45:38</t>
  </si>
  <si>
    <t>2018010414:26:20</t>
  </si>
  <si>
    <t>1147261</t>
  </si>
  <si>
    <t>2017091515:30:11</t>
  </si>
  <si>
    <t>2017092013:56:33</t>
  </si>
  <si>
    <t>1140300</t>
  </si>
  <si>
    <t>2017091716:34:18</t>
  </si>
  <si>
    <t>2017092013:46:32</t>
  </si>
  <si>
    <t>1140395</t>
  </si>
  <si>
    <t>2017091717:18:39</t>
  </si>
  <si>
    <t>2017092213:48:40</t>
  </si>
  <si>
    <t>1140445</t>
  </si>
  <si>
    <t>2017091918:38:33</t>
  </si>
  <si>
    <t>2017092313:09:49</t>
  </si>
  <si>
    <t>1140661</t>
  </si>
  <si>
    <t>2017092415:14:00</t>
  </si>
  <si>
    <t>2017092913:48:35</t>
  </si>
  <si>
    <t>1140731</t>
  </si>
  <si>
    <t>2017092415:45:07</t>
  </si>
  <si>
    <t>2017092908:26:10</t>
  </si>
  <si>
    <t>1140755</t>
  </si>
  <si>
    <t>2017092416:03:24</t>
  </si>
  <si>
    <t>2017093008:29:47</t>
  </si>
  <si>
    <t>1140676</t>
  </si>
  <si>
    <t>2017092422:02:25</t>
  </si>
  <si>
    <t>2017092714:20:36</t>
  </si>
  <si>
    <t>1149438</t>
  </si>
  <si>
    <t>2017092509:18:28</t>
  </si>
  <si>
    <t>2017092913:37:00</t>
  </si>
  <si>
    <t>1149475</t>
  </si>
  <si>
    <t>2017092511:28:54</t>
  </si>
  <si>
    <t>2017101713:38:15</t>
  </si>
  <si>
    <t>1149307</t>
  </si>
  <si>
    <t>2017092716:34:28</t>
  </si>
  <si>
    <t>2017093013:35:58</t>
  </si>
  <si>
    <r>
      <rPr>
        <sz val="9"/>
        <color rgb="FF333333"/>
        <rFont val="Times New Roman"/>
        <family val="1"/>
      </rPr>
      <t>64</t>
    </r>
    <r>
      <rPr>
        <sz val="9"/>
        <rFont val="Microsoft YaHei Light"/>
        <family val="2"/>
        <charset val="134"/>
      </rPr>
      <t>岁</t>
    </r>
  </si>
  <si>
    <t>1150754</t>
  </si>
  <si>
    <t>2017100913:18:40</t>
  </si>
  <si>
    <t>2017101213:14:23</t>
  </si>
  <si>
    <t>1150907</t>
  </si>
  <si>
    <t>2017100916:40:52</t>
  </si>
  <si>
    <t>2017101213:26:44</t>
  </si>
  <si>
    <t>1156468</t>
  </si>
  <si>
    <t>2017101116:01:12</t>
  </si>
  <si>
    <t>2017101613:16:21</t>
  </si>
  <si>
    <t>1156169</t>
  </si>
  <si>
    <t>2017101211:03:34</t>
  </si>
  <si>
    <t>2017101713:58:44</t>
  </si>
  <si>
    <t>1156598</t>
  </si>
  <si>
    <t>2017101312:55:43</t>
  </si>
  <si>
    <t>2017102114:24:48</t>
  </si>
  <si>
    <t>1141924</t>
  </si>
  <si>
    <t>2017101513:50:14</t>
  </si>
  <si>
    <t>2017102013:05:22</t>
  </si>
  <si>
    <t>1158535</t>
  </si>
  <si>
    <t>2017102015:13:51</t>
  </si>
  <si>
    <t>2017102413:20:25</t>
  </si>
  <si>
    <t>1158225</t>
  </si>
  <si>
    <t>2017102108:06:07</t>
  </si>
  <si>
    <t>2017102513:06:25</t>
  </si>
  <si>
    <t>1142231</t>
  </si>
  <si>
    <t>2017102214:50:13</t>
  </si>
  <si>
    <t>2017102908:56:55</t>
  </si>
  <si>
    <t>1142282</t>
  </si>
  <si>
    <t>2017102215:02:40</t>
  </si>
  <si>
    <t>2017102713:20:14</t>
  </si>
  <si>
    <t>1142304</t>
  </si>
  <si>
    <t>2017102215:49:35</t>
  </si>
  <si>
    <t>2017102613:18:24</t>
  </si>
  <si>
    <t>1142295</t>
  </si>
  <si>
    <t>2017102215:58:09</t>
  </si>
  <si>
    <t>2017102910:20:17</t>
  </si>
  <si>
    <t>1142297</t>
  </si>
  <si>
    <t>2017102216:13:56</t>
  </si>
  <si>
    <t>2017102613:15:30</t>
  </si>
  <si>
    <t>1142303</t>
  </si>
  <si>
    <t>2017102217:24:27</t>
  </si>
  <si>
    <t>2017102708:57:17</t>
  </si>
  <si>
    <t>1158956</t>
  </si>
  <si>
    <t>2017102416:02:07</t>
  </si>
  <si>
    <t>2017110108:38:14</t>
  </si>
  <si>
    <t>1159039</t>
  </si>
  <si>
    <t>2017102512:48:09</t>
  </si>
  <si>
    <t>2017103013:13:48</t>
  </si>
  <si>
    <t>1159297</t>
  </si>
  <si>
    <t>2017102614:39:41</t>
  </si>
  <si>
    <t>2017110113:21:21</t>
  </si>
  <si>
    <t>1142605</t>
  </si>
  <si>
    <t>2017102909:57:36</t>
  </si>
  <si>
    <t>2017110113:44:52</t>
  </si>
  <si>
    <t>1142582</t>
  </si>
  <si>
    <t>2017102912:18:25</t>
  </si>
  <si>
    <t>2017110409:08:18</t>
  </si>
  <si>
    <t>1142649</t>
  </si>
  <si>
    <t>2017102914:06:39</t>
  </si>
  <si>
    <t>2017110113:40:22</t>
  </si>
  <si>
    <t>1142655</t>
  </si>
  <si>
    <t>2017102915:02:01</t>
  </si>
  <si>
    <t>2017110414:14:13</t>
  </si>
  <si>
    <t>1142690</t>
  </si>
  <si>
    <t>2017102916:13:12</t>
  </si>
  <si>
    <t>2017110413:59:59</t>
  </si>
  <si>
    <t>1142691</t>
  </si>
  <si>
    <t>2017102916:17:28</t>
  </si>
  <si>
    <t>2017110213:50:44</t>
  </si>
  <si>
    <t>1159894</t>
  </si>
  <si>
    <t>2017103107:52:16</t>
  </si>
  <si>
    <t>2017110413:12:47</t>
  </si>
  <si>
    <t>1160650</t>
  </si>
  <si>
    <t>2017110108:08:39</t>
  </si>
  <si>
    <t>2017110409:07:01</t>
  </si>
  <si>
    <t>1161313</t>
  </si>
  <si>
    <t>2017110115:50:50</t>
  </si>
  <si>
    <t>2017110909:04:02</t>
  </si>
  <si>
    <t>1142847</t>
  </si>
  <si>
    <t>2017110217:08:26</t>
  </si>
  <si>
    <t>2017110614:03:32</t>
  </si>
  <si>
    <t>1151033</t>
  </si>
  <si>
    <t>2017110514:50:24</t>
  </si>
  <si>
    <t>2017110813:07:03</t>
  </si>
  <si>
    <t>1151269</t>
  </si>
  <si>
    <t>2017111018:23:47</t>
  </si>
  <si>
    <t>2017111708:31:54</t>
  </si>
  <si>
    <t>1151405</t>
  </si>
  <si>
    <t>2017111208:35:46</t>
  </si>
  <si>
    <t>2017111713:06:22</t>
  </si>
  <si>
    <t>1151422</t>
  </si>
  <si>
    <t>2017111211:22:58</t>
  </si>
  <si>
    <t>2017111809:36:39</t>
  </si>
  <si>
    <t>1151350</t>
  </si>
  <si>
    <t>2017111215:32:27</t>
  </si>
  <si>
    <t>2017111709:21:03</t>
  </si>
  <si>
    <t>1151725</t>
  </si>
  <si>
    <t>2017111909:52:48</t>
  </si>
  <si>
    <t>2017112413:41:51</t>
  </si>
  <si>
    <t>1151750</t>
  </si>
  <si>
    <t>2017111914:55:30</t>
  </si>
  <si>
    <t>2017112410:27:28</t>
  </si>
  <si>
    <t>1165214</t>
  </si>
  <si>
    <t>2017112113:30:07</t>
  </si>
  <si>
    <t>2017112713:03:30</t>
  </si>
  <si>
    <t>1164791</t>
  </si>
  <si>
    <t>2017112115:28:58</t>
  </si>
  <si>
    <t>2017112509:17:13</t>
  </si>
  <si>
    <t>1151902</t>
  </si>
  <si>
    <t>2017112116:46:24</t>
  </si>
  <si>
    <t>2017112413:03:30</t>
  </si>
  <si>
    <t>1165880</t>
  </si>
  <si>
    <t>2017112413:34:31</t>
  </si>
  <si>
    <t>2017112913:07:43</t>
  </si>
  <si>
    <t>1166352</t>
  </si>
  <si>
    <t>2017112508:40:48</t>
  </si>
  <si>
    <t>2017112813:26:23</t>
  </si>
  <si>
    <t>2017112509:23:52</t>
  </si>
  <si>
    <t>2017120108:40:34</t>
  </si>
  <si>
    <r>
      <rPr>
        <sz val="9"/>
        <color rgb="FF333333"/>
        <rFont val="Times New Roman"/>
        <family val="1"/>
      </rPr>
      <t>13</t>
    </r>
    <r>
      <rPr>
        <sz val="9"/>
        <color rgb="FF333333"/>
        <rFont val="Microsoft YaHei Light"/>
        <family val="2"/>
        <charset val="134"/>
      </rPr>
      <t>岁</t>
    </r>
  </si>
  <si>
    <t>1152095</t>
  </si>
  <si>
    <t>2017112611:02:22</t>
  </si>
  <si>
    <t>2017120109:10:28</t>
  </si>
  <si>
    <t>1152106</t>
  </si>
  <si>
    <t>2017112613:13:02</t>
  </si>
  <si>
    <t>2017112913:21:49</t>
  </si>
  <si>
    <t>1152179</t>
  </si>
  <si>
    <t>2017112615:34:23</t>
  </si>
  <si>
    <t>2017112913:19:02</t>
  </si>
  <si>
    <t>1166450</t>
  </si>
  <si>
    <t>2017112710:54:55</t>
  </si>
  <si>
    <t>2017122410:32:24</t>
  </si>
  <si>
    <t>1166255</t>
  </si>
  <si>
    <t>2017112812:13:05</t>
  </si>
  <si>
    <t>2017120213:44:35</t>
  </si>
  <si>
    <t>1152549</t>
  </si>
  <si>
    <t>2017120316:00:10</t>
  </si>
  <si>
    <t>2017120812:49:59</t>
  </si>
  <si>
    <t>1152600</t>
  </si>
  <si>
    <t>2017120506:49:57</t>
  </si>
  <si>
    <t>2017121313:07:40</t>
  </si>
  <si>
    <t>1168653</t>
  </si>
  <si>
    <t>2017120813:49:18</t>
  </si>
  <si>
    <t>2017121513:09:13</t>
  </si>
  <si>
    <t>1169330</t>
  </si>
  <si>
    <t>2017121208:40:14</t>
  </si>
  <si>
    <t>2017121513:27:06</t>
  </si>
  <si>
    <t>1153248</t>
  </si>
  <si>
    <t>2017121715:07:23</t>
  </si>
  <si>
    <t>2017122213:13:07</t>
  </si>
  <si>
    <t>1170707</t>
  </si>
  <si>
    <t>2017121815:19:28</t>
  </si>
  <si>
    <t>2017122113:10:48</t>
  </si>
  <si>
    <t>1170871</t>
  </si>
  <si>
    <t>2017121915:59:19</t>
  </si>
  <si>
    <t>2017122408:28:50</t>
  </si>
  <si>
    <t>1172842</t>
  </si>
  <si>
    <t>2017122710:13:00</t>
  </si>
  <si>
    <t>2017123110:51:51</t>
  </si>
  <si>
    <t>1176030</t>
  </si>
  <si>
    <t>2017123112:59:55</t>
  </si>
  <si>
    <t>2018010813:14:42</t>
  </si>
  <si>
    <t>1174168</t>
  </si>
  <si>
    <t>2018010213:46:41</t>
  </si>
  <si>
    <t>2018010813:05:52</t>
  </si>
  <si>
    <t>1173349</t>
  </si>
  <si>
    <t>2018010214:38:04</t>
  </si>
  <si>
    <t>2018010513:19:50</t>
  </si>
  <si>
    <t>1175073</t>
  </si>
  <si>
    <t>2018010514:24:06</t>
  </si>
  <si>
    <t>2018011013:09:11</t>
  </si>
  <si>
    <t>1181052</t>
  </si>
  <si>
    <t>2018011009:36:06</t>
  </si>
  <si>
    <t>2018011309:08:35</t>
  </si>
  <si>
    <t>1181341</t>
  </si>
  <si>
    <t>2018011215:21:32</t>
  </si>
  <si>
    <t>2018011713:29:52</t>
  </si>
  <si>
    <t>1175957</t>
  </si>
  <si>
    <t>2018011216:09:32</t>
  </si>
  <si>
    <t>2018011808:30:45</t>
  </si>
  <si>
    <t>1176283</t>
  </si>
  <si>
    <t>2018011412:25:26</t>
  </si>
  <si>
    <t>2018011913:03:57</t>
  </si>
  <si>
    <t>1154513</t>
  </si>
  <si>
    <t>2018011720:20:55</t>
  </si>
  <si>
    <t>2018013013:24:49</t>
  </si>
  <si>
    <t>1182103</t>
  </si>
  <si>
    <t>2018011808:07:47</t>
  </si>
  <si>
    <t>2018012414:33:15</t>
  </si>
  <si>
    <t>1182112</t>
  </si>
  <si>
    <t>2018011809:13:28</t>
  </si>
  <si>
    <t>2018012214:03:01</t>
  </si>
  <si>
    <t>1154564</t>
  </si>
  <si>
    <t>2018011917:16:46</t>
  </si>
  <si>
    <t>2018012413:22:15</t>
  </si>
  <si>
    <t>1176410</t>
  </si>
  <si>
    <t>2018012114:04:21</t>
  </si>
  <si>
    <t>2018012614:11:40</t>
  </si>
  <si>
    <t>1176412</t>
  </si>
  <si>
    <t>2018012114:04:34</t>
  </si>
  <si>
    <t>2018012709:36:12</t>
  </si>
  <si>
    <t>1176409</t>
  </si>
  <si>
    <t>2018012114:04:38</t>
  </si>
  <si>
    <t>2018012413:10:52</t>
  </si>
  <si>
    <t>1176422</t>
  </si>
  <si>
    <t>2018012114:48:19</t>
  </si>
  <si>
    <t>2018012714:16:29</t>
  </si>
  <si>
    <t>1176430</t>
  </si>
  <si>
    <t>2018012115:07:36</t>
  </si>
  <si>
    <t>2018012608:24:25</t>
  </si>
  <si>
    <t>1176435</t>
  </si>
  <si>
    <t>2018012115:23:35</t>
  </si>
  <si>
    <t>2018012913:02:43</t>
  </si>
  <si>
    <t>1176439</t>
  </si>
  <si>
    <t>2018012115:48:18</t>
  </si>
  <si>
    <t>2018012711:31:44</t>
  </si>
  <si>
    <t>1176440</t>
  </si>
  <si>
    <t>2018012115:53:31</t>
  </si>
  <si>
    <t>2018012608:21:49</t>
  </si>
  <si>
    <t>1183681</t>
  </si>
  <si>
    <t>2018012415:28:12</t>
  </si>
  <si>
    <t>2018013014:36:35</t>
  </si>
  <si>
    <t>1176522</t>
  </si>
  <si>
    <t>2018012814:18:16</t>
  </si>
  <si>
    <t>2018013114:48:26</t>
  </si>
  <si>
    <t>1154898</t>
  </si>
  <si>
    <t>2018012817:04:46</t>
  </si>
  <si>
    <t>2018013113:37:03</t>
  </si>
  <si>
    <t>2075617</t>
  </si>
  <si>
    <t>2018012908:50:21</t>
  </si>
  <si>
    <t>2018020113:08:40</t>
  </si>
  <si>
    <t>1184853</t>
  </si>
  <si>
    <t>2018013014:33:48</t>
  </si>
  <si>
    <t>2018020310:57:38</t>
  </si>
  <si>
    <t>1184908</t>
  </si>
  <si>
    <t>2018013017:34:51</t>
  </si>
  <si>
    <t>2018020213:01:01</t>
  </si>
  <si>
    <t>1176700</t>
  </si>
  <si>
    <t>2018020413:52:25</t>
  </si>
  <si>
    <t>2018020912:59:05</t>
  </si>
  <si>
    <t>1176705</t>
  </si>
  <si>
    <t>2018020414:30:37</t>
  </si>
  <si>
    <t>2018020713:02:22</t>
  </si>
  <si>
    <t>1176726</t>
  </si>
  <si>
    <t>2018020416:16:05</t>
  </si>
  <si>
    <t>2018020714:00:04</t>
  </si>
  <si>
    <t>1176727</t>
  </si>
  <si>
    <t>2018020416:19:01</t>
  </si>
  <si>
    <t>2018020813:17:17</t>
  </si>
  <si>
    <t>1155187</t>
  </si>
  <si>
    <t>2018020517:16:12</t>
  </si>
  <si>
    <t>2018020813:33:18</t>
  </si>
  <si>
    <t>2018020608:55:03</t>
  </si>
  <si>
    <t>2018021009:37:00</t>
  </si>
  <si>
    <r>
      <rPr>
        <sz val="9"/>
        <color rgb="FF333333"/>
        <rFont val="Times New Roman"/>
        <family val="1"/>
      </rPr>
      <t>35</t>
    </r>
    <r>
      <rPr>
        <sz val="9"/>
        <color rgb="FF333333"/>
        <rFont val="Microsoft YaHei Light"/>
        <family val="2"/>
        <charset val="134"/>
      </rPr>
      <t>岁</t>
    </r>
  </si>
  <si>
    <t>1185760</t>
  </si>
  <si>
    <t>2018020614:46:31</t>
  </si>
  <si>
    <t>2018020913:11:00</t>
  </si>
  <si>
    <t>1188465</t>
  </si>
  <si>
    <t>2018022216:54:38</t>
  </si>
  <si>
    <t>2018022713:21:11</t>
  </si>
  <si>
    <t>1188208</t>
  </si>
  <si>
    <t>2018022310:26:13</t>
  </si>
  <si>
    <t>2018022713:24:07</t>
  </si>
  <si>
    <t>1193402</t>
  </si>
  <si>
    <t>2018022714:20:03</t>
  </si>
  <si>
    <t>2018030314:11:07</t>
  </si>
  <si>
    <t>1177044</t>
  </si>
  <si>
    <t>2018030414:10:07</t>
  </si>
  <si>
    <t>2018031213:12:07</t>
  </si>
  <si>
    <t>1177049</t>
  </si>
  <si>
    <t>2018030414:10:16</t>
  </si>
  <si>
    <t>2018030913:39:32</t>
  </si>
  <si>
    <t>1177058</t>
  </si>
  <si>
    <t>2018030415:21:16</t>
  </si>
  <si>
    <t>2018031009:34:38</t>
  </si>
  <si>
    <t>1177076</t>
  </si>
  <si>
    <t>2018030416:20:25</t>
  </si>
  <si>
    <t>2018031009:37:26</t>
  </si>
  <si>
    <t>1194620</t>
  </si>
  <si>
    <t>2018030509:44:39</t>
  </si>
  <si>
    <t>2018031014:45:04</t>
  </si>
  <si>
    <t>1189144</t>
  </si>
  <si>
    <t>2018030717:28:41</t>
  </si>
  <si>
    <t>2018031014:25:24</t>
  </si>
  <si>
    <t>1189172</t>
  </si>
  <si>
    <t>2018030720:49:10</t>
  </si>
  <si>
    <t>2018031313:46:41</t>
  </si>
  <si>
    <t>7025744</t>
  </si>
  <si>
    <t>2018030808:42:07</t>
  </si>
  <si>
    <t>2018031010:26:45</t>
  </si>
  <si>
    <t>1195326</t>
  </si>
  <si>
    <t>2018030816:30:19</t>
  </si>
  <si>
    <t>2018031313:35:40</t>
  </si>
  <si>
    <t>1195348</t>
  </si>
  <si>
    <t>2018030910:50:28</t>
  </si>
  <si>
    <t>2018031414:00:39</t>
  </si>
  <si>
    <t>1195975</t>
  </si>
  <si>
    <t>2018031215:16:55</t>
  </si>
  <si>
    <t>2018031808:44:52</t>
  </si>
  <si>
    <t>1196377</t>
  </si>
  <si>
    <t>2018031216:24:49</t>
  </si>
  <si>
    <t>2018031913:11:55</t>
  </si>
  <si>
    <t>1177294</t>
  </si>
  <si>
    <t>2018031816:13:31</t>
  </si>
  <si>
    <t>2018032113:42:41</t>
  </si>
  <si>
    <t>1177295</t>
  </si>
  <si>
    <t>2018031816:14:32</t>
  </si>
  <si>
    <t>2018032413:54:39</t>
  </si>
  <si>
    <t>1197484</t>
  </si>
  <si>
    <t>2018031912:04:09</t>
  </si>
  <si>
    <t>2018032314:00:52</t>
  </si>
  <si>
    <t>1197887</t>
  </si>
  <si>
    <t>2018032015:31:25</t>
  </si>
  <si>
    <t>2018032509:32:39</t>
  </si>
  <si>
    <t>1197943</t>
  </si>
  <si>
    <t>2018032113:41:29</t>
  </si>
  <si>
    <t>2018032613:27:53</t>
  </si>
  <si>
    <t>1198776</t>
  </si>
  <si>
    <t>2018032314:34:18</t>
  </si>
  <si>
    <t>2018032813:23:48</t>
  </si>
  <si>
    <t>1177249</t>
  </si>
  <si>
    <t>2018032510:14:52</t>
  </si>
  <si>
    <t>2018083114:38:05</t>
  </si>
  <si>
    <t>1177298</t>
  </si>
  <si>
    <t>2018032513:41:23</t>
  </si>
  <si>
    <t>2018033109:13:34</t>
  </si>
  <si>
    <t>1177303</t>
  </si>
  <si>
    <t>2018032513:50:41</t>
  </si>
  <si>
    <t>2018033013:44:08</t>
  </si>
  <si>
    <t>1177332</t>
  </si>
  <si>
    <t>2018032515:52:49</t>
  </si>
  <si>
    <t>2018033008:52:31</t>
  </si>
  <si>
    <t>1177334</t>
  </si>
  <si>
    <t>2018032515:58:13</t>
  </si>
  <si>
    <t>2018040213:28:14</t>
  </si>
  <si>
    <t>1177337</t>
  </si>
  <si>
    <t>2018032516:10:13</t>
  </si>
  <si>
    <t>2018032815:09:07</t>
  </si>
  <si>
    <t>1177338</t>
  </si>
  <si>
    <t>2018032516:18:04</t>
  </si>
  <si>
    <t>2018033109:15:33</t>
  </si>
  <si>
    <t>1189858</t>
  </si>
  <si>
    <t>2018032517:02:33</t>
  </si>
  <si>
    <t>2018032813:16:31</t>
  </si>
  <si>
    <t>1177386</t>
  </si>
  <si>
    <t>2018040111:06:48</t>
  </si>
  <si>
    <t>2018040615:28:42</t>
  </si>
  <si>
    <t>1177421</t>
  </si>
  <si>
    <t>2018040115:27:00</t>
  </si>
  <si>
    <t>2018041009:09:39</t>
  </si>
  <si>
    <t>1201355</t>
  </si>
  <si>
    <t>2018040614:35:03</t>
  </si>
  <si>
    <t>2018041113:21:04</t>
  </si>
  <si>
    <t>1177587</t>
  </si>
  <si>
    <t>2018040810:34:53</t>
  </si>
  <si>
    <t>2018041313:57:09</t>
  </si>
  <si>
    <t>1177542</t>
  </si>
  <si>
    <t>2018040814:54:08</t>
  </si>
  <si>
    <t>2018041409:30:46</t>
  </si>
  <si>
    <t>1177553</t>
  </si>
  <si>
    <t>2018040816:10:59</t>
  </si>
  <si>
    <t>2018041313:33:17</t>
  </si>
  <si>
    <t>1204225</t>
  </si>
  <si>
    <t>2018041014:05:38</t>
  </si>
  <si>
    <t>2018041314:01:09</t>
  </si>
  <si>
    <t>1201981</t>
  </si>
  <si>
    <t>2018041014:24:37</t>
  </si>
  <si>
    <t>2018041613:07:35</t>
  </si>
  <si>
    <t>1204269</t>
  </si>
  <si>
    <t>2018041107:54:44</t>
  </si>
  <si>
    <t>2018041509:22:57</t>
  </si>
  <si>
    <t>1204287</t>
  </si>
  <si>
    <t>2018041108:53:06</t>
  </si>
  <si>
    <t>2018041313:02:31</t>
  </si>
  <si>
    <t>1204288</t>
  </si>
  <si>
    <t>2018041108:53:11</t>
  </si>
  <si>
    <t>2018041414:20:59</t>
  </si>
  <si>
    <t>1202089</t>
  </si>
  <si>
    <t>2018041114:55:55</t>
  </si>
  <si>
    <t>2018041414:20:55</t>
  </si>
  <si>
    <t>1202966</t>
  </si>
  <si>
    <t>2018041314:18:12</t>
  </si>
  <si>
    <t>2018041808:49:54</t>
  </si>
  <si>
    <t>1202357</t>
  </si>
  <si>
    <t>2018041316:43:23</t>
  </si>
  <si>
    <t>2018041808:47:48</t>
  </si>
  <si>
    <t>2018041317:23:34</t>
  </si>
  <si>
    <t>2018041909:27:13</t>
  </si>
  <si>
    <r>
      <rPr>
        <sz val="9"/>
        <color rgb="FF333333"/>
        <rFont val="Times New Roman"/>
        <family val="1"/>
      </rPr>
      <t>24</t>
    </r>
    <r>
      <rPr>
        <sz val="9"/>
        <color rgb="FF333333"/>
        <rFont val="Microsoft YaHei Light"/>
        <family val="2"/>
        <charset val="134"/>
      </rPr>
      <t>岁</t>
    </r>
  </si>
  <si>
    <t>2018041609:58:00</t>
  </si>
  <si>
    <t>2018042213:06:43</t>
  </si>
  <si>
    <r>
      <rPr>
        <sz val="9"/>
        <color rgb="FF333333"/>
        <rFont val="Times New Roman"/>
        <family val="1"/>
      </rPr>
      <t>31</t>
    </r>
    <r>
      <rPr>
        <sz val="9"/>
        <color rgb="FF333333"/>
        <rFont val="Microsoft YaHei Light"/>
        <family val="2"/>
        <charset val="134"/>
      </rPr>
      <t>岁</t>
    </r>
  </si>
  <si>
    <t>1203413</t>
  </si>
  <si>
    <t>2018041615:48:44</t>
  </si>
  <si>
    <t>2018042013:54:13</t>
  </si>
  <si>
    <t>1190756</t>
  </si>
  <si>
    <t>2018041616:57:42</t>
  </si>
  <si>
    <t>2018041913:18:21</t>
  </si>
  <si>
    <t>1203145</t>
  </si>
  <si>
    <t>2018041617:28:41</t>
  </si>
  <si>
    <t>2018042013:33:26</t>
  </si>
  <si>
    <t>1203224</t>
  </si>
  <si>
    <t>2018041715:19:24</t>
  </si>
  <si>
    <t>2018042313:32:16</t>
  </si>
  <si>
    <t>1203227</t>
  </si>
  <si>
    <t>2018041715:31:27</t>
  </si>
  <si>
    <t>2018042313:08:02</t>
  </si>
  <si>
    <t>1203827</t>
  </si>
  <si>
    <t>2018041715:40:19</t>
  </si>
  <si>
    <t>2018042313:28:38</t>
  </si>
  <si>
    <t>1203234</t>
  </si>
  <si>
    <t>2018041716:27:30</t>
  </si>
  <si>
    <t>2018042313:14:35</t>
  </si>
  <si>
    <t>1203683</t>
  </si>
  <si>
    <t>2018041813:25:41</t>
  </si>
  <si>
    <t>2018042207:56:53</t>
  </si>
  <si>
    <t>1203272</t>
  </si>
  <si>
    <t>2018041814:43:38</t>
  </si>
  <si>
    <t>2018042114:22:57</t>
  </si>
  <si>
    <t>1177745</t>
  </si>
  <si>
    <t>2018042215:00:00</t>
  </si>
  <si>
    <t>2018042713:10:17</t>
  </si>
  <si>
    <t>1190966</t>
  </si>
  <si>
    <t>2018042217:02:31</t>
  </si>
  <si>
    <t>2018042708:37:40</t>
  </si>
  <si>
    <t>1206828</t>
  </si>
  <si>
    <t>2018042715:09:26</t>
  </si>
  <si>
    <t>2018050312:57:09</t>
  </si>
  <si>
    <t>1206697</t>
  </si>
  <si>
    <t>2018042809:34:46</t>
  </si>
  <si>
    <t>2018042910:56:11</t>
  </si>
  <si>
    <t>1191340</t>
  </si>
  <si>
    <t>2018050121:28:48</t>
  </si>
  <si>
    <t>2018050708:21:51</t>
  </si>
  <si>
    <t>1206575</t>
  </si>
  <si>
    <t>2018050208:50:53</t>
  </si>
  <si>
    <t>2018050514:25:42</t>
  </si>
  <si>
    <t>1207527</t>
  </si>
  <si>
    <t>2018050213:45:46</t>
  </si>
  <si>
    <t>2018050609:10:57</t>
  </si>
  <si>
    <t>1191378</t>
  </si>
  <si>
    <t>2018050220:07:36</t>
  </si>
  <si>
    <t>2018050513:41:36</t>
  </si>
  <si>
    <t>1208435</t>
  </si>
  <si>
    <t>2018050814:28:30</t>
  </si>
  <si>
    <t>2018051513:03:46</t>
  </si>
  <si>
    <t>1208436</t>
  </si>
  <si>
    <t>2018050814:30:14</t>
  </si>
  <si>
    <t>2018051413:00:34</t>
  </si>
  <si>
    <t>1191628</t>
  </si>
  <si>
    <t>2018050821:00:45</t>
  </si>
  <si>
    <t>2018051513:00:08</t>
  </si>
  <si>
    <t>1209377</t>
  </si>
  <si>
    <t>2018051110:56:06</t>
  </si>
  <si>
    <t>2018051708:41:49</t>
  </si>
  <si>
    <t>1209599</t>
  </si>
  <si>
    <t>2018051113:01:26</t>
  </si>
  <si>
    <t>2018051512:54:27</t>
  </si>
  <si>
    <t>1178059</t>
  </si>
  <si>
    <t>2018051313:40:37</t>
  </si>
  <si>
    <t>2018051612:59:35</t>
  </si>
  <si>
    <t>1209971</t>
  </si>
  <si>
    <t>2018051509:29:34</t>
  </si>
  <si>
    <t>2018051909:33:26</t>
  </si>
  <si>
    <t>2018051914:58:24</t>
  </si>
  <si>
    <t>2018060813:25:01</t>
  </si>
  <si>
    <r>
      <rPr>
        <sz val="9"/>
        <color rgb="FF333333"/>
        <rFont val="Times New Roman"/>
        <family val="1"/>
      </rPr>
      <t>28</t>
    </r>
    <r>
      <rPr>
        <sz val="9"/>
        <color rgb="FF333333"/>
        <rFont val="Microsoft YaHei Light"/>
        <family val="2"/>
        <charset val="134"/>
      </rPr>
      <t>岁</t>
    </r>
  </si>
  <si>
    <t>2018052014:21:53</t>
  </si>
  <si>
    <t>2018052414:02:09</t>
  </si>
  <si>
    <t>1178183</t>
  </si>
  <si>
    <t>2018052014:41:38</t>
  </si>
  <si>
    <t>2018052408:16:38</t>
  </si>
  <si>
    <t>1178184</t>
  </si>
  <si>
    <t>2018052014:49:32</t>
  </si>
  <si>
    <t>2018052513:31:03</t>
  </si>
  <si>
    <t>1178190</t>
  </si>
  <si>
    <t>2018052015:23:35</t>
  </si>
  <si>
    <t>2018052513:38:52</t>
  </si>
  <si>
    <t>1178287</t>
  </si>
  <si>
    <t>2018052713:36:36</t>
  </si>
  <si>
    <t>2018060209:18:15</t>
  </si>
  <si>
    <t>1213573</t>
  </si>
  <si>
    <t>2018053007:53:59</t>
  </si>
  <si>
    <t>2018060413:10:20</t>
  </si>
  <si>
    <t>1214098</t>
  </si>
  <si>
    <t>2018053015:17:49</t>
  </si>
  <si>
    <t>2018060412:56:57</t>
  </si>
  <si>
    <t>1192493</t>
  </si>
  <si>
    <t>2018053020:17:50</t>
  </si>
  <si>
    <t>2018060413:24:33</t>
  </si>
  <si>
    <t>1214883</t>
  </si>
  <si>
    <t>2018060416:21:21</t>
  </si>
  <si>
    <t>2018061610:16:48</t>
  </si>
  <si>
    <t>2018060609:45:30</t>
  </si>
  <si>
    <t>2018060909:49:42</t>
  </si>
  <si>
    <t>2018061013:30:43</t>
  </si>
  <si>
    <t>2018061513:44:41</t>
  </si>
  <si>
    <r>
      <rPr>
        <sz val="9"/>
        <color rgb="FF333333"/>
        <rFont val="Times New Roman"/>
        <family val="1"/>
      </rPr>
      <t>10</t>
    </r>
    <r>
      <rPr>
        <sz val="9"/>
        <color rgb="FF333333"/>
        <rFont val="Microsoft YaHei Light"/>
        <family val="2"/>
        <charset val="134"/>
      </rPr>
      <t>岁</t>
    </r>
  </si>
  <si>
    <t>1178530</t>
  </si>
  <si>
    <t>2018061014:59:15</t>
  </si>
  <si>
    <t>2018061214:08:06</t>
  </si>
  <si>
    <t>1178550</t>
  </si>
  <si>
    <t>2018061015:07:12</t>
  </si>
  <si>
    <t>2018061514:09:13</t>
  </si>
  <si>
    <t>0975152</t>
  </si>
  <si>
    <t>2018061109:05:37</t>
  </si>
  <si>
    <t>2018070213:32:06</t>
  </si>
  <si>
    <t>1215984</t>
  </si>
  <si>
    <t>2018061115:04:02</t>
  </si>
  <si>
    <t>2018062512:50:39</t>
  </si>
  <si>
    <t>1226719</t>
  </si>
  <si>
    <t>2018061913:52:08</t>
  </si>
  <si>
    <t>2018062513:33:40</t>
  </si>
  <si>
    <t>1178928</t>
  </si>
  <si>
    <t>2018062413:31:08</t>
  </si>
  <si>
    <t>2018062714:30:30</t>
  </si>
  <si>
    <t>1178894</t>
  </si>
  <si>
    <t>2018070113:09:38</t>
  </si>
  <si>
    <t>2018070413:38:34</t>
  </si>
  <si>
    <t>1178910</t>
  </si>
  <si>
    <t>2018070114:45:26</t>
  </si>
  <si>
    <t>2018070413:26:36</t>
  </si>
  <si>
    <t>2018070214:55:08</t>
  </si>
  <si>
    <t>2018070513:42:09</t>
  </si>
  <si>
    <t>1234009</t>
  </si>
  <si>
    <t>2018070216:10:26</t>
  </si>
  <si>
    <t>2018071111:04:53</t>
  </si>
  <si>
    <t>2018070317:16:20</t>
  </si>
  <si>
    <t>2018070809:19:16</t>
  </si>
  <si>
    <r>
      <rPr>
        <sz val="9"/>
        <color rgb="FF333333"/>
        <rFont val="Times New Roman"/>
        <family val="1"/>
      </rPr>
      <t>32</t>
    </r>
    <r>
      <rPr>
        <sz val="9"/>
        <color rgb="FF333333"/>
        <rFont val="Microsoft YaHei Light"/>
        <family val="2"/>
        <charset val="134"/>
      </rPr>
      <t>岁</t>
    </r>
  </si>
  <si>
    <t>1216815</t>
  </si>
  <si>
    <t>2018070416:58:12</t>
  </si>
  <si>
    <t>2018070913:33:41</t>
  </si>
  <si>
    <t>1178985</t>
  </si>
  <si>
    <t>2018070809:36:20</t>
  </si>
  <si>
    <t>2018071213:30:27</t>
  </si>
  <si>
    <t>1179024</t>
  </si>
  <si>
    <t>2018070813:55:08</t>
  </si>
  <si>
    <t>2018071114:05:50</t>
  </si>
  <si>
    <t>1179028</t>
  </si>
  <si>
    <t>2018070814:29:34</t>
  </si>
  <si>
    <t>2018071414:18:18</t>
  </si>
  <si>
    <t>1179071</t>
  </si>
  <si>
    <t>2018070815:02:44</t>
  </si>
  <si>
    <t>2018071313:42:11</t>
  </si>
  <si>
    <t>1179072</t>
  </si>
  <si>
    <t>2018070815:05:15</t>
  </si>
  <si>
    <t>2018071813:27:45</t>
  </si>
  <si>
    <t>1179076</t>
  </si>
  <si>
    <t>2018070815:42:25</t>
  </si>
  <si>
    <t>2018071213:36:46</t>
  </si>
  <si>
    <t>2018071012:14:52</t>
  </si>
  <si>
    <t>2018071813:54:57</t>
  </si>
  <si>
    <t>1236079</t>
  </si>
  <si>
    <t>2018071113:13:23</t>
  </si>
  <si>
    <t>2018071613:43:49</t>
  </si>
  <si>
    <t>1236528</t>
  </si>
  <si>
    <t>2018071315:58:24</t>
  </si>
  <si>
    <t>2018071814:50:57</t>
  </si>
  <si>
    <t>1236650</t>
  </si>
  <si>
    <t>2018071420:07:12</t>
  </si>
  <si>
    <t>2018071813:45:47</t>
  </si>
  <si>
    <t>1179143</t>
  </si>
  <si>
    <t>2018071515:52:33</t>
  </si>
  <si>
    <t>2018071913:58:13</t>
  </si>
  <si>
    <t>1217235</t>
  </si>
  <si>
    <t>2018071521:13:19</t>
  </si>
  <si>
    <t>2018071814:25:44</t>
  </si>
  <si>
    <t>2018071712:08:38</t>
  </si>
  <si>
    <t>2018072313:46:16</t>
  </si>
  <si>
    <r>
      <rPr>
        <sz val="9"/>
        <color rgb="FF333333"/>
        <rFont val="Times New Roman"/>
        <family val="1"/>
      </rPr>
      <t>37</t>
    </r>
    <r>
      <rPr>
        <sz val="9"/>
        <color rgb="FF333333"/>
        <rFont val="Microsoft YaHei Light"/>
        <family val="2"/>
        <charset val="134"/>
      </rPr>
      <t>岁</t>
    </r>
  </si>
  <si>
    <t>2018071815:34:02</t>
  </si>
  <si>
    <t>2018072314:07:42</t>
  </si>
  <si>
    <r>
      <rPr>
        <sz val="9"/>
        <color rgb="FF333333"/>
        <rFont val="Times New Roman"/>
        <family val="1"/>
      </rPr>
      <t>26</t>
    </r>
    <r>
      <rPr>
        <sz val="9"/>
        <color rgb="FF333333"/>
        <rFont val="Microsoft YaHei Light"/>
        <family val="2"/>
        <charset val="134"/>
      </rPr>
      <t>岁</t>
    </r>
  </si>
  <si>
    <t>2018071816:08:53</t>
  </si>
  <si>
    <t>2018072314:47:33</t>
  </si>
  <si>
    <r>
      <rPr>
        <sz val="9"/>
        <color rgb="FF333333"/>
        <rFont val="Times New Roman"/>
        <family val="1"/>
      </rPr>
      <t>22</t>
    </r>
    <r>
      <rPr>
        <sz val="9"/>
        <color rgb="FF333333"/>
        <rFont val="Microsoft YaHei Light"/>
        <family val="2"/>
        <charset val="134"/>
      </rPr>
      <t>岁</t>
    </r>
  </si>
  <si>
    <t>1179271</t>
  </si>
  <si>
    <t>2018072216:32:35</t>
  </si>
  <si>
    <t>2018072613:34:47</t>
  </si>
  <si>
    <t>1240048</t>
  </si>
  <si>
    <t>2018072314:56:51</t>
  </si>
  <si>
    <t>2018072713:55:59</t>
  </si>
  <si>
    <t>1217598</t>
  </si>
  <si>
    <t>2018072320:40:43</t>
  </si>
  <si>
    <t>2018072613:42:44</t>
  </si>
  <si>
    <t>1240363</t>
  </si>
  <si>
    <t>2018072515:47:04</t>
  </si>
  <si>
    <t>2018072814:56:08</t>
  </si>
  <si>
    <t>1240511</t>
  </si>
  <si>
    <t>2018072607:59:39</t>
  </si>
  <si>
    <t>2018072813:53:20</t>
  </si>
  <si>
    <t>2018072615:03:51</t>
  </si>
  <si>
    <t>2018080213:30:57</t>
  </si>
  <si>
    <r>
      <rPr>
        <sz val="9"/>
        <color rgb="FF333333"/>
        <rFont val="Times New Roman"/>
        <family val="1"/>
      </rPr>
      <t>18</t>
    </r>
    <r>
      <rPr>
        <sz val="9"/>
        <color rgb="FF333333"/>
        <rFont val="Microsoft YaHei Light"/>
        <family val="2"/>
        <charset val="134"/>
      </rPr>
      <t>岁</t>
    </r>
  </si>
  <si>
    <t>2018072909:42:21</t>
  </si>
  <si>
    <t>2018080309:28:52</t>
  </si>
  <si>
    <r>
      <rPr>
        <sz val="9"/>
        <color rgb="FF333333"/>
        <rFont val="Times New Roman"/>
        <family val="1"/>
      </rPr>
      <t>25</t>
    </r>
    <r>
      <rPr>
        <sz val="9"/>
        <color rgb="FF333333"/>
        <rFont val="Microsoft YaHei Light"/>
        <family val="2"/>
        <charset val="134"/>
      </rPr>
      <t>岁</t>
    </r>
  </si>
  <si>
    <t>1179362</t>
  </si>
  <si>
    <t>2018072911:33:08</t>
  </si>
  <si>
    <t>2018080313:39:16</t>
  </si>
  <si>
    <t>2018072914:25:28</t>
  </si>
  <si>
    <t>2018080208:51:31</t>
  </si>
  <si>
    <t>2018072915:00:23</t>
  </si>
  <si>
    <t>2018080208:54:37</t>
  </si>
  <si>
    <t>1179352</t>
  </si>
  <si>
    <t>2018072915:05:26</t>
  </si>
  <si>
    <t>2018080208:40:00</t>
  </si>
  <si>
    <t>1179361</t>
  </si>
  <si>
    <t>2018072915:43:57</t>
  </si>
  <si>
    <t>2018080409:43:38</t>
  </si>
  <si>
    <t>2018080113:32:51</t>
  </si>
  <si>
    <t>2018080813:42:34</t>
  </si>
  <si>
    <t>2018080115:03:18</t>
  </si>
  <si>
    <t>2018080613:39:53</t>
  </si>
  <si>
    <t>1217989</t>
  </si>
  <si>
    <t>2018080118:27:10</t>
  </si>
  <si>
    <t>2018080413:25:11</t>
  </si>
  <si>
    <t>1217993</t>
  </si>
  <si>
    <t>2018080119:15:48</t>
  </si>
  <si>
    <t>2018080508:30:03</t>
  </si>
  <si>
    <t>1239851</t>
  </si>
  <si>
    <t>2018080213:52:51</t>
  </si>
  <si>
    <t>2018080813:47:20</t>
  </si>
  <si>
    <t>1221153</t>
  </si>
  <si>
    <t>2018080213:52:59</t>
  </si>
  <si>
    <t>2018081613:34:56</t>
  </si>
  <si>
    <t>1221186</t>
  </si>
  <si>
    <t>2018080216:15:03</t>
  </si>
  <si>
    <t>2018080814:07:54</t>
  </si>
  <si>
    <t>1221366</t>
  </si>
  <si>
    <t>2018080313:58:30</t>
  </si>
  <si>
    <t>2018081113:41:12</t>
  </si>
  <si>
    <t>1179462</t>
  </si>
  <si>
    <t>2018080515:50:15</t>
  </si>
  <si>
    <t>2018080613:29:20</t>
  </si>
  <si>
    <t>2018080711:12:19</t>
  </si>
  <si>
    <t>2018081207:33:25</t>
  </si>
  <si>
    <t>2018080714:58:07</t>
  </si>
  <si>
    <t>2018080813:39:00</t>
  </si>
  <si>
    <r>
      <rPr>
        <sz val="9"/>
        <color rgb="FF333333"/>
        <rFont val="Times New Roman"/>
        <family val="1"/>
      </rPr>
      <t>39</t>
    </r>
    <r>
      <rPr>
        <sz val="9"/>
        <color rgb="FF333333"/>
        <rFont val="Microsoft YaHei Light"/>
        <family val="2"/>
        <charset val="134"/>
      </rPr>
      <t>岁</t>
    </r>
  </si>
  <si>
    <t>1221969</t>
  </si>
  <si>
    <t>2018080715:47:12</t>
  </si>
  <si>
    <t>2018081313:59:25</t>
  </si>
  <si>
    <t>1222909</t>
  </si>
  <si>
    <t>2018081014:16:24</t>
  </si>
  <si>
    <t>2018081611:16:04</t>
  </si>
  <si>
    <t>1218362</t>
  </si>
  <si>
    <t>2018081017:56:44</t>
  </si>
  <si>
    <t>2018081509:06:32</t>
  </si>
  <si>
    <t>1179481</t>
  </si>
  <si>
    <t>2018081208:37:35</t>
  </si>
  <si>
    <t>2018081708:22:41</t>
  </si>
  <si>
    <t>1179556</t>
  </si>
  <si>
    <t>2018081213:26:12</t>
  </si>
  <si>
    <t>2018081714:18:36</t>
  </si>
  <si>
    <t>1179587</t>
  </si>
  <si>
    <t>2018081214:40:40</t>
  </si>
  <si>
    <t>2018081713:34:59</t>
  </si>
  <si>
    <t>2018081215:15:08</t>
  </si>
  <si>
    <t>2018081908:39:54</t>
  </si>
  <si>
    <t>2018081417:01:28</t>
  </si>
  <si>
    <t>2018081908:39:46</t>
  </si>
  <si>
    <t>2018081513:48:41</t>
  </si>
  <si>
    <t>2018082014:07:29</t>
  </si>
  <si>
    <t>1223234</t>
  </si>
  <si>
    <t>2018081515:26:10</t>
  </si>
  <si>
    <t>2018081814:22:40</t>
  </si>
  <si>
    <t>2018081914:07:10</t>
  </si>
  <si>
    <t>2018082608:59:40</t>
  </si>
  <si>
    <r>
      <rPr>
        <sz val="9"/>
        <color rgb="FF333333"/>
        <rFont val="Times New Roman"/>
        <family val="1"/>
      </rPr>
      <t>19</t>
    </r>
    <r>
      <rPr>
        <sz val="9"/>
        <color rgb="FF333333"/>
        <rFont val="Microsoft YaHei Light"/>
        <family val="2"/>
        <charset val="134"/>
      </rPr>
      <t>岁</t>
    </r>
  </si>
  <si>
    <t>1179681</t>
  </si>
  <si>
    <t>2018081914:35:24</t>
  </si>
  <si>
    <t>2018082413:34:28</t>
  </si>
  <si>
    <t>1179663</t>
  </si>
  <si>
    <t>2018081914:47:33</t>
  </si>
  <si>
    <t>2018082713:37:14</t>
  </si>
  <si>
    <t>1179689</t>
  </si>
  <si>
    <t>2018081915:24:33</t>
  </si>
  <si>
    <t>2018082413:47:53</t>
  </si>
  <si>
    <t>1218734</t>
  </si>
  <si>
    <t>2018081916:37:10</t>
  </si>
  <si>
    <t>2018082413:49:35</t>
  </si>
  <si>
    <t>1218725</t>
  </si>
  <si>
    <t>2018081917:17:26</t>
  </si>
  <si>
    <t>2018090411:18:20</t>
  </si>
  <si>
    <t>2018082015:31:49</t>
  </si>
  <si>
    <t>2018082413:52:15</t>
  </si>
  <si>
    <t>7027521</t>
  </si>
  <si>
    <t>2018082108:44:57</t>
  </si>
  <si>
    <t>2018082309:30:52</t>
  </si>
  <si>
    <t>1230031</t>
  </si>
  <si>
    <t>2018082310:35:20</t>
  </si>
  <si>
    <t>2018083013:44:48</t>
  </si>
  <si>
    <t>2018082609:45:32</t>
  </si>
  <si>
    <t>2018083013:56:46</t>
  </si>
  <si>
    <r>
      <rPr>
        <sz val="9"/>
        <color rgb="FF333333"/>
        <rFont val="Times New Roman"/>
        <family val="1"/>
      </rPr>
      <t>42</t>
    </r>
    <r>
      <rPr>
        <sz val="9"/>
        <color rgb="FF333333"/>
        <rFont val="Microsoft YaHei Light"/>
        <family val="2"/>
        <charset val="134"/>
      </rPr>
      <t>岁</t>
    </r>
  </si>
  <si>
    <t>2018082718:48:07</t>
  </si>
  <si>
    <t>2018083114:15:07</t>
  </si>
  <si>
    <r>
      <rPr>
        <sz val="9"/>
        <color rgb="FF333333"/>
        <rFont val="Times New Roman"/>
        <family val="1"/>
      </rPr>
      <t>33</t>
    </r>
    <r>
      <rPr>
        <sz val="9"/>
        <color rgb="FF333333"/>
        <rFont val="Microsoft YaHei Light"/>
        <family val="2"/>
        <charset val="134"/>
      </rPr>
      <t>岁</t>
    </r>
  </si>
  <si>
    <t>1231348</t>
  </si>
  <si>
    <t>2018082915:32:29</t>
  </si>
  <si>
    <t>2018090114:01:29</t>
  </si>
  <si>
    <t>1231347</t>
  </si>
  <si>
    <t>2018082915:33:49</t>
  </si>
  <si>
    <t>2018091414:48:50</t>
  </si>
  <si>
    <t>2018083007:49:30</t>
  </si>
  <si>
    <t>2018090314:16:15</t>
  </si>
  <si>
    <t>1219287</t>
  </si>
  <si>
    <t>2018083119:36:48</t>
  </si>
  <si>
    <t>2018090313:52:29</t>
  </si>
  <si>
    <t>2018090115:56:41</t>
  </si>
  <si>
    <t>2018090811:09:02</t>
  </si>
  <si>
    <r>
      <rPr>
        <sz val="9"/>
        <color rgb="FF333333"/>
        <rFont val="Times New Roman"/>
        <family val="1"/>
      </rPr>
      <t>41</t>
    </r>
    <r>
      <rPr>
        <sz val="9"/>
        <color rgb="FF333333"/>
        <rFont val="Microsoft YaHei Light"/>
        <family val="2"/>
        <charset val="134"/>
      </rPr>
      <t>岁</t>
    </r>
  </si>
  <si>
    <t>1179859</t>
  </si>
  <si>
    <t>2018090214:56:27</t>
  </si>
  <si>
    <t>2018090614:01:42</t>
  </si>
  <si>
    <t>1179861</t>
  </si>
  <si>
    <t>2018090215:12:15</t>
  </si>
  <si>
    <t>2018090613:35:21</t>
  </si>
  <si>
    <t>1179876</t>
  </si>
  <si>
    <t>2018090216:20:47</t>
  </si>
  <si>
    <t>2018090613:41:13</t>
  </si>
  <si>
    <t>1179878</t>
  </si>
  <si>
    <t>2018090216:21:37</t>
  </si>
  <si>
    <t>2018090515:56:03</t>
  </si>
  <si>
    <t>1231961</t>
  </si>
  <si>
    <t>2018090411:37:31</t>
  </si>
  <si>
    <t>2018091015:00:56</t>
  </si>
  <si>
    <t>1231960</t>
  </si>
  <si>
    <t>2018090411:37:47</t>
  </si>
  <si>
    <t>2018090812:33:18</t>
  </si>
  <si>
    <t>2018090415:20:15</t>
  </si>
  <si>
    <t>2018091014:53:39</t>
  </si>
  <si>
    <t>1232518</t>
  </si>
  <si>
    <t>2018090416:36:51</t>
  </si>
  <si>
    <t>2018090813:56:32</t>
  </si>
  <si>
    <t>2018090416:37:03</t>
  </si>
  <si>
    <t>2018090814:53:42</t>
  </si>
  <si>
    <t>2018090710:29:59</t>
  </si>
  <si>
    <t>2018091213:33:19</t>
  </si>
  <si>
    <t>1241083</t>
  </si>
  <si>
    <t>2018090808:28:11</t>
  </si>
  <si>
    <t>2018091113:50:57</t>
  </si>
  <si>
    <t>2018090916:04:46</t>
  </si>
  <si>
    <t>2018091408:25:19</t>
  </si>
  <si>
    <r>
      <rPr>
        <sz val="9"/>
        <color rgb="FF333333"/>
        <rFont val="Times New Roman"/>
        <family val="1"/>
      </rPr>
      <t>38</t>
    </r>
    <r>
      <rPr>
        <sz val="9"/>
        <color rgb="FF333333"/>
        <rFont val="Microsoft YaHei Light"/>
        <family val="2"/>
        <charset val="134"/>
      </rPr>
      <t>岁</t>
    </r>
  </si>
  <si>
    <t>1241309</t>
  </si>
  <si>
    <t>2018091016:00:16</t>
  </si>
  <si>
    <t>2018091814:31:39</t>
  </si>
  <si>
    <t>1241314</t>
  </si>
  <si>
    <t>2018091016:11:00</t>
  </si>
  <si>
    <t>2018091413:44:07</t>
  </si>
  <si>
    <t>1241508</t>
  </si>
  <si>
    <t>2018091209:22:54</t>
  </si>
  <si>
    <t>2018091513:13:10</t>
  </si>
  <si>
    <t>1241596</t>
  </si>
  <si>
    <t>2018091308:12:36</t>
  </si>
  <si>
    <t>2018091514:55:12</t>
  </si>
  <si>
    <t>1242275</t>
  </si>
  <si>
    <t>2018091308:15:03</t>
  </si>
  <si>
    <t>2018091514:58:16</t>
  </si>
  <si>
    <t>2018091414:13:41</t>
  </si>
  <si>
    <t>2018091908:34:54</t>
  </si>
  <si>
    <r>
      <rPr>
        <sz val="9"/>
        <color rgb="FF333333"/>
        <rFont val="Times New Roman"/>
        <family val="1"/>
      </rPr>
      <t>45</t>
    </r>
    <r>
      <rPr>
        <sz val="9"/>
        <color rgb="FF333333"/>
        <rFont val="Microsoft YaHei Light"/>
        <family val="2"/>
        <charset val="134"/>
      </rPr>
      <t>岁</t>
    </r>
  </si>
  <si>
    <t>2018091615:20:56</t>
  </si>
  <si>
    <t>2018091915:12:11</t>
  </si>
  <si>
    <r>
      <rPr>
        <sz val="9"/>
        <color rgb="FF333333"/>
        <rFont val="Times New Roman"/>
        <family val="1"/>
      </rPr>
      <t>30</t>
    </r>
    <r>
      <rPr>
        <sz val="9"/>
        <color rgb="FF333333"/>
        <rFont val="Microsoft YaHei Light"/>
        <family val="2"/>
        <charset val="134"/>
      </rPr>
      <t>岁</t>
    </r>
  </si>
  <si>
    <t>2018091615:39:58</t>
  </si>
  <si>
    <t>2018092113:58:38</t>
  </si>
  <si>
    <r>
      <rPr>
        <sz val="9"/>
        <color rgb="FF333333"/>
        <rFont val="Times New Roman"/>
        <family val="1"/>
      </rPr>
      <t>44</t>
    </r>
    <r>
      <rPr>
        <sz val="9"/>
        <color rgb="FF333333"/>
        <rFont val="Microsoft YaHei Light"/>
        <family val="2"/>
        <charset val="134"/>
      </rPr>
      <t>岁</t>
    </r>
  </si>
  <si>
    <t>1180130</t>
  </si>
  <si>
    <t>2018091615:46:28</t>
  </si>
  <si>
    <t>2018092114:22:42</t>
  </si>
  <si>
    <t>2018091615:49:22</t>
  </si>
  <si>
    <t>2018092113:01:55</t>
  </si>
  <si>
    <t>1180133</t>
  </si>
  <si>
    <t>2018091615:56:07</t>
  </si>
  <si>
    <t>2018091913:29:03</t>
  </si>
  <si>
    <t>2018091616:18:44</t>
  </si>
  <si>
    <t>2018092113:16:38</t>
  </si>
  <si>
    <t>1180140</t>
  </si>
  <si>
    <t>2018091616:30:45</t>
  </si>
  <si>
    <t>2018091913:33:34</t>
  </si>
  <si>
    <t>1219910</t>
  </si>
  <si>
    <t>2018091617:01:27</t>
  </si>
  <si>
    <t>2018092113:11:20</t>
  </si>
  <si>
    <t>1242750</t>
  </si>
  <si>
    <t>2018091714:20:04</t>
  </si>
  <si>
    <t>2018092213:54:53</t>
  </si>
  <si>
    <t>2018091716:29:55</t>
  </si>
  <si>
    <t>2018092013:01:14</t>
  </si>
  <si>
    <t>2018091813:29:04</t>
  </si>
  <si>
    <t>2018092213:55:20</t>
  </si>
  <si>
    <r>
      <rPr>
        <sz val="9"/>
        <color rgb="FF333333"/>
        <rFont val="Times New Roman"/>
        <family val="1"/>
      </rPr>
      <t>50</t>
    </r>
    <r>
      <rPr>
        <sz val="9"/>
        <color rgb="FF333333"/>
        <rFont val="Microsoft YaHei Light"/>
        <family val="2"/>
        <charset val="134"/>
      </rPr>
      <t>岁</t>
    </r>
  </si>
  <si>
    <t>2018091914:02:08</t>
  </si>
  <si>
    <t>2018092513:41:09</t>
  </si>
  <si>
    <t>1248472</t>
  </si>
  <si>
    <t>2018091914:24:27</t>
  </si>
  <si>
    <t>2018092309:22:22</t>
  </si>
  <si>
    <t>1248569</t>
  </si>
  <si>
    <t>2018091914:30:07</t>
  </si>
  <si>
    <t>2018092309:07:38</t>
  </si>
  <si>
    <t>2018092108:59:42</t>
  </si>
  <si>
    <t>2018092813:55:10</t>
  </si>
  <si>
    <t>2018092109:25:02</t>
  </si>
  <si>
    <t>2018092813:16:04</t>
  </si>
  <si>
    <t>2018092115:20:25</t>
  </si>
  <si>
    <t>2018092813:45:37</t>
  </si>
  <si>
    <t>1220093</t>
  </si>
  <si>
    <t>2018092118:52:38</t>
  </si>
  <si>
    <t>2018092813:39:36</t>
  </si>
  <si>
    <t>2018092207:58:47</t>
  </si>
  <si>
    <t>2018092808:16:53</t>
  </si>
  <si>
    <r>
      <rPr>
        <sz val="9"/>
        <color rgb="FF333333"/>
        <rFont val="Times New Roman"/>
        <family val="1"/>
      </rPr>
      <t>36</t>
    </r>
    <r>
      <rPr>
        <sz val="9"/>
        <color rgb="FF333333"/>
        <rFont val="Microsoft YaHei Light"/>
        <family val="2"/>
        <charset val="134"/>
      </rPr>
      <t>岁</t>
    </r>
  </si>
  <si>
    <t>2018092208:03:16</t>
  </si>
  <si>
    <t>2018092714:35:20</t>
  </si>
  <si>
    <t>2018092208:27:15</t>
  </si>
  <si>
    <t>2018092808:40:53</t>
  </si>
  <si>
    <t>2018092416:56:06</t>
  </si>
  <si>
    <t>2018092814:43:13</t>
  </si>
  <si>
    <t>1249819</t>
  </si>
  <si>
    <t>2018092516:07:37</t>
  </si>
  <si>
    <t>2018092913:15:38</t>
  </si>
  <si>
    <t>2018092516:09:26</t>
  </si>
  <si>
    <t>2018092913:02:49</t>
  </si>
  <si>
    <t>1249872</t>
  </si>
  <si>
    <t>2018092614:32:06</t>
  </si>
  <si>
    <t>2018092914:13:32</t>
  </si>
  <si>
    <t>1180744</t>
  </si>
  <si>
    <t>2018100713:34:11</t>
  </si>
  <si>
    <t>2018101208:37:26</t>
  </si>
  <si>
    <t>2018100713:34:32</t>
  </si>
  <si>
    <t>2018101108:20:22</t>
  </si>
  <si>
    <t>1180710</t>
  </si>
  <si>
    <t>2018100714:09:10</t>
  </si>
  <si>
    <t>2018101213:18:01</t>
  </si>
  <si>
    <t>2018100714:47:09</t>
  </si>
  <si>
    <t>2018101213:16:29</t>
  </si>
  <si>
    <t>2018100715:18:53</t>
  </si>
  <si>
    <t>2018101113:05:33</t>
  </si>
  <si>
    <t>1251342</t>
  </si>
  <si>
    <t>2018100813:05:20</t>
  </si>
  <si>
    <t>2018101113:51:36</t>
  </si>
  <si>
    <t>2018100814:17:49</t>
  </si>
  <si>
    <t>2018101213:37:16</t>
  </si>
  <si>
    <t>1251768</t>
  </si>
  <si>
    <t>2018100916:15:24</t>
  </si>
  <si>
    <t>2018101514:28:57</t>
  </si>
  <si>
    <t>1251898</t>
  </si>
  <si>
    <t>2018101008:41:06</t>
  </si>
  <si>
    <t>2018101308:28:07</t>
  </si>
  <si>
    <t>2018101413:44:29</t>
  </si>
  <si>
    <t>2018102107:43:10</t>
  </si>
  <si>
    <t>2018101415:02:43</t>
  </si>
  <si>
    <t>2018101913:43:19</t>
  </si>
  <si>
    <t>2018101712:10:21</t>
  </si>
  <si>
    <t>2018102109:25:33</t>
  </si>
  <si>
    <t>2018101712:17:51</t>
  </si>
  <si>
    <t>2018102109:26:19</t>
  </si>
  <si>
    <r>
      <rPr>
        <sz val="9"/>
        <color rgb="FF333333"/>
        <rFont val="Times New Roman"/>
        <family val="1"/>
      </rPr>
      <t>40</t>
    </r>
    <r>
      <rPr>
        <sz val="9"/>
        <color rgb="FF333333"/>
        <rFont val="Microsoft YaHei Light"/>
        <family val="2"/>
        <charset val="134"/>
      </rPr>
      <t>岁</t>
    </r>
  </si>
  <si>
    <t>2018101715:55:32</t>
  </si>
  <si>
    <t>2018102213:27:14</t>
  </si>
  <si>
    <t>2018101808:04:26</t>
  </si>
  <si>
    <t>2018102108:27:53</t>
  </si>
  <si>
    <t>2018101908:30:36</t>
  </si>
  <si>
    <t>2018102413:26:27</t>
  </si>
  <si>
    <r>
      <rPr>
        <sz val="9"/>
        <color rgb="FF333333"/>
        <rFont val="Times New Roman"/>
        <family val="1"/>
      </rPr>
      <t>53</t>
    </r>
    <r>
      <rPr>
        <sz val="9"/>
        <color rgb="FF333333"/>
        <rFont val="Microsoft YaHei Light"/>
        <family val="2"/>
        <charset val="134"/>
      </rPr>
      <t>岁</t>
    </r>
  </si>
  <si>
    <t>2018102008:58:43</t>
  </si>
  <si>
    <t>2018102413:26:37</t>
  </si>
  <si>
    <t>1180923</t>
  </si>
  <si>
    <t>2018102110:22:08</t>
  </si>
  <si>
    <t>2018102613:05:42</t>
  </si>
  <si>
    <t>1180906</t>
  </si>
  <si>
    <t>2018102110:38:18</t>
  </si>
  <si>
    <t>2018102809:43:40</t>
  </si>
  <si>
    <t>2018102114:29:59</t>
  </si>
  <si>
    <t>2018102613:15:47</t>
  </si>
  <si>
    <t>2018102114:35:06</t>
  </si>
  <si>
    <t>2018102613:42:37</t>
  </si>
  <si>
    <r>
      <rPr>
        <sz val="9"/>
        <color rgb="FF333333"/>
        <rFont val="Times New Roman"/>
        <family val="1"/>
      </rPr>
      <t>46</t>
    </r>
    <r>
      <rPr>
        <sz val="9"/>
        <color rgb="FF333333"/>
        <rFont val="Microsoft YaHei Light"/>
        <family val="2"/>
        <charset val="134"/>
      </rPr>
      <t>岁</t>
    </r>
  </si>
  <si>
    <t>1180951</t>
  </si>
  <si>
    <t>2018102114:51:30</t>
  </si>
  <si>
    <t>2018102714:27:16</t>
  </si>
  <si>
    <t>1180971</t>
  </si>
  <si>
    <t>2018102115:55:40</t>
  </si>
  <si>
    <t>2018102413:56:55</t>
  </si>
  <si>
    <t>1254910</t>
  </si>
  <si>
    <t>2018102214:34:40</t>
  </si>
  <si>
    <t>2018102808:37:06</t>
  </si>
  <si>
    <t>1255319</t>
  </si>
  <si>
    <t>2018102414:42:26</t>
  </si>
  <si>
    <t>2018102808:29:04</t>
  </si>
  <si>
    <t>2018102415:22:16</t>
  </si>
  <si>
    <t>2018102808:12:09</t>
  </si>
  <si>
    <t>2018102508:35:22</t>
  </si>
  <si>
    <t>2018102914:05:44</t>
  </si>
  <si>
    <t>2018102811:46:06</t>
  </si>
  <si>
    <t>2018110213:22:26</t>
  </si>
  <si>
    <t>2018102812:25:15</t>
  </si>
  <si>
    <t>2018110212:57:03</t>
  </si>
  <si>
    <t>2018102815:09:03</t>
  </si>
  <si>
    <t>2018110310:23:31</t>
  </si>
  <si>
    <t>2018102815:23:50</t>
  </si>
  <si>
    <t>2018110309:34:07</t>
  </si>
  <si>
    <t>2018102815:24:02</t>
  </si>
  <si>
    <t>2018110214:45:30</t>
  </si>
  <si>
    <r>
      <rPr>
        <sz val="9"/>
        <color rgb="FF333333"/>
        <rFont val="Times New Roman"/>
        <family val="1"/>
      </rPr>
      <t>49</t>
    </r>
    <r>
      <rPr>
        <sz val="9"/>
        <color rgb="FF333333"/>
        <rFont val="Microsoft YaHei Light"/>
        <family val="2"/>
        <charset val="134"/>
      </rPr>
      <t>岁</t>
    </r>
  </si>
  <si>
    <t>2018102815:48:19</t>
  </si>
  <si>
    <t>2018110513:15:09</t>
  </si>
  <si>
    <t>2018102816:02:28</t>
  </si>
  <si>
    <t>2018110213:02:43</t>
  </si>
  <si>
    <r>
      <rPr>
        <sz val="9"/>
        <color rgb="FF333333"/>
        <rFont val="Times New Roman"/>
        <family val="1"/>
      </rPr>
      <t>21</t>
    </r>
    <r>
      <rPr>
        <sz val="9"/>
        <color rgb="FF333333"/>
        <rFont val="Microsoft YaHei Light"/>
        <family val="2"/>
        <charset val="134"/>
      </rPr>
      <t>岁</t>
    </r>
  </si>
  <si>
    <t>2018102817:43:58</t>
  </si>
  <si>
    <t>2018110308:44:05</t>
  </si>
  <si>
    <t>2018102919:25:53</t>
  </si>
  <si>
    <t>2018110213:37:09</t>
  </si>
  <si>
    <t>2018102919:30:50</t>
  </si>
  <si>
    <t>2018110213:10:12</t>
  </si>
  <si>
    <t>1243545</t>
  </si>
  <si>
    <t>2018102921:39:10</t>
  </si>
  <si>
    <t>2018111313:05:31</t>
  </si>
  <si>
    <t>2018103016:04:59</t>
  </si>
  <si>
    <t>2018110409:53:15</t>
  </si>
  <si>
    <t>2018110410:14:03</t>
  </si>
  <si>
    <t>2018111013:56:09</t>
  </si>
  <si>
    <r>
      <rPr>
        <sz val="9"/>
        <color rgb="FF333333"/>
        <rFont val="Times New Roman"/>
        <family val="1"/>
      </rPr>
      <t>15</t>
    </r>
    <r>
      <rPr>
        <sz val="9"/>
        <color rgb="FF333333"/>
        <rFont val="Microsoft YaHei Light"/>
        <family val="2"/>
        <charset val="134"/>
      </rPr>
      <t>岁</t>
    </r>
  </si>
  <si>
    <t>2018110413:54:26</t>
  </si>
  <si>
    <t>2018110913:06:33</t>
  </si>
  <si>
    <t>2018110414:53:31</t>
  </si>
  <si>
    <t>2018110713:26:50</t>
  </si>
  <si>
    <t>1257460</t>
  </si>
  <si>
    <t>2018110511:25:02</t>
  </si>
  <si>
    <t>2018112613:02:04</t>
  </si>
  <si>
    <t>2018110511:40:37</t>
  </si>
  <si>
    <t>2018111213:22:26</t>
  </si>
  <si>
    <r>
      <rPr>
        <sz val="9"/>
        <color rgb="FF333333"/>
        <rFont val="Times New Roman"/>
        <family val="1"/>
      </rPr>
      <t>52</t>
    </r>
    <r>
      <rPr>
        <sz val="9"/>
        <color rgb="FF333333"/>
        <rFont val="Microsoft YaHei Light"/>
        <family val="2"/>
        <charset val="134"/>
      </rPr>
      <t>岁</t>
    </r>
  </si>
  <si>
    <t>1257624</t>
  </si>
  <si>
    <t>2018110515:03:59</t>
  </si>
  <si>
    <t>2018110913:14:10</t>
  </si>
  <si>
    <t>2018110515:04:36</t>
  </si>
  <si>
    <t>2018111008:48:33</t>
  </si>
  <si>
    <t>1243812</t>
  </si>
  <si>
    <t>2018110517:36:51</t>
  </si>
  <si>
    <t>2018111213:01:56</t>
  </si>
  <si>
    <t>1257643</t>
  </si>
  <si>
    <t>2018110608:27:58</t>
  </si>
  <si>
    <t>2018111008:22:24</t>
  </si>
  <si>
    <t>1260913</t>
  </si>
  <si>
    <t>2018110614:15:05</t>
  </si>
  <si>
    <t>2018111013:15:45</t>
  </si>
  <si>
    <t>2018110713:49:50</t>
  </si>
  <si>
    <t>2018111013:47:09</t>
  </si>
  <si>
    <t>2018110715:33:24</t>
  </si>
  <si>
    <t>2018111109:26:22</t>
  </si>
  <si>
    <t>2018110718:17:45</t>
  </si>
  <si>
    <t>2018111014:34:57</t>
  </si>
  <si>
    <t>2018111114:02:04</t>
  </si>
  <si>
    <t>2018111613:35:50</t>
  </si>
  <si>
    <t>1258293</t>
  </si>
  <si>
    <t>2018111115:19:13</t>
  </si>
  <si>
    <t>2018111413:34:17</t>
  </si>
  <si>
    <t>1258310</t>
  </si>
  <si>
    <t>2018111116:25:48</t>
  </si>
  <si>
    <t>2018111510:26:33</t>
  </si>
  <si>
    <t>2018111315:49:34</t>
  </si>
  <si>
    <t>2018111714:17:46</t>
  </si>
  <si>
    <t>2018111317:13:17</t>
  </si>
  <si>
    <t>2018111713:19:41</t>
  </si>
  <si>
    <r>
      <rPr>
        <sz val="9"/>
        <color rgb="FF333333"/>
        <rFont val="Times New Roman"/>
        <family val="1"/>
      </rPr>
      <t>16</t>
    </r>
    <r>
      <rPr>
        <sz val="9"/>
        <color rgb="FF333333"/>
        <rFont val="Microsoft YaHei Light"/>
        <family val="2"/>
        <charset val="134"/>
      </rPr>
      <t>岁</t>
    </r>
  </si>
  <si>
    <t>1258958</t>
  </si>
  <si>
    <t>2018111414:23:24</t>
  </si>
  <si>
    <t>2018111713:21:54</t>
  </si>
  <si>
    <t>2018111514:33:42</t>
  </si>
  <si>
    <t>2018112109:16:50</t>
  </si>
  <si>
    <t>1259373</t>
  </si>
  <si>
    <t>2018111514:51:36</t>
  </si>
  <si>
    <t>2018112113:16:05</t>
  </si>
  <si>
    <t>1259410</t>
  </si>
  <si>
    <t>2018111609:38:56</t>
  </si>
  <si>
    <t>2018113013:36:50</t>
  </si>
  <si>
    <t>2018111614:52:15</t>
  </si>
  <si>
    <t>2018112808:29:52</t>
  </si>
  <si>
    <t>1259485</t>
  </si>
  <si>
    <t>2018111708:41:52</t>
  </si>
  <si>
    <t>2018112113:18:02</t>
  </si>
  <si>
    <t>1259929</t>
  </si>
  <si>
    <t>2018111810:15:24</t>
  </si>
  <si>
    <t>2018112408:35:46</t>
  </si>
  <si>
    <t>1260003</t>
  </si>
  <si>
    <t>2018111812:18:52</t>
  </si>
  <si>
    <t>2018112313:40:06</t>
  </si>
  <si>
    <t>2018111812:32:47</t>
  </si>
  <si>
    <t>2018112408:52:34</t>
  </si>
  <si>
    <t>2018111814:51:53</t>
  </si>
  <si>
    <t>2018112314:50:56</t>
  </si>
  <si>
    <t>1260020</t>
  </si>
  <si>
    <t>2018111815:27:35</t>
  </si>
  <si>
    <t>2018112413:17:34</t>
  </si>
  <si>
    <t>1259967</t>
  </si>
  <si>
    <t>2018111816:07:30</t>
  </si>
  <si>
    <t>2018112114:11:18</t>
  </si>
  <si>
    <t>1244417</t>
  </si>
  <si>
    <t>2018111816:53:19</t>
  </si>
  <si>
    <t>2018112313:36:10</t>
  </si>
  <si>
    <t>2018111823:29:31</t>
  </si>
  <si>
    <t>2018112508:27:45</t>
  </si>
  <si>
    <t>1260250</t>
  </si>
  <si>
    <t>2018111912:35:18</t>
  </si>
  <si>
    <t>2018122712:56:29</t>
  </si>
  <si>
    <t>2018112113:50:57</t>
  </si>
  <si>
    <t>2018112508:04:15</t>
  </si>
  <si>
    <r>
      <rPr>
        <sz val="9"/>
        <color rgb="FF333333"/>
        <rFont val="Times New Roman"/>
        <family val="1"/>
      </rPr>
      <t>55</t>
    </r>
    <r>
      <rPr>
        <sz val="9"/>
        <color rgb="FF333333"/>
        <rFont val="Microsoft YaHei Light"/>
        <family val="2"/>
        <charset val="134"/>
      </rPr>
      <t>岁</t>
    </r>
  </si>
  <si>
    <t>2018112114:33:42</t>
  </si>
  <si>
    <t>2018112214:40:24</t>
  </si>
  <si>
    <t>2018112116:12:40</t>
  </si>
  <si>
    <t>2018112508:30:33</t>
  </si>
  <si>
    <t>2018112208:30:54</t>
  </si>
  <si>
    <t>2018112509:16:18</t>
  </si>
  <si>
    <t>1261972</t>
  </si>
  <si>
    <t>2018112208:43:24</t>
  </si>
  <si>
    <t>2018112508:47:39</t>
  </si>
  <si>
    <t>2018112408:11:13</t>
  </si>
  <si>
    <t>2018112813:14:01</t>
  </si>
  <si>
    <t>2018112515:04:23</t>
  </si>
  <si>
    <t>2018113013:52:33</t>
  </si>
  <si>
    <t>2018112518:10:31</t>
  </si>
  <si>
    <t>2018120112:48:35</t>
  </si>
  <si>
    <t>2018112709:24:32</t>
  </si>
  <si>
    <t>2018113013:11:36</t>
  </si>
  <si>
    <t>2018112717:23:29</t>
  </si>
  <si>
    <t>2018120911:41:37</t>
  </si>
  <si>
    <t>2018113009:02:33</t>
  </si>
  <si>
    <t>2018120508:47:59</t>
  </si>
  <si>
    <t>1264254</t>
  </si>
  <si>
    <t>2018113012:55:38</t>
  </si>
  <si>
    <t>2018120509:39:33</t>
  </si>
  <si>
    <t>1262596</t>
  </si>
  <si>
    <t>2018120213:09:31</t>
  </si>
  <si>
    <t>2018120614:09:57</t>
  </si>
  <si>
    <t>1264810</t>
  </si>
  <si>
    <t>2018120214:37:06</t>
  </si>
  <si>
    <t>2018120513:38:45</t>
  </si>
  <si>
    <t>2018120215:31:56</t>
  </si>
  <si>
    <t>2018120513:34:55</t>
  </si>
  <si>
    <r>
      <rPr>
        <sz val="9"/>
        <color rgb="FF333333"/>
        <rFont val="Times New Roman"/>
        <family val="1"/>
      </rPr>
      <t>51</t>
    </r>
    <r>
      <rPr>
        <sz val="9"/>
        <color rgb="FF333333"/>
        <rFont val="Microsoft YaHei Light"/>
        <family val="2"/>
        <charset val="134"/>
      </rPr>
      <t>岁</t>
    </r>
  </si>
  <si>
    <t>2018120218:03:03</t>
  </si>
  <si>
    <t>2018120815:14:36</t>
  </si>
  <si>
    <t>2018120315:09:16</t>
  </si>
  <si>
    <t>2018120513:03:26</t>
  </si>
  <si>
    <r>
      <rPr>
        <sz val="9"/>
        <color rgb="FF333333"/>
        <rFont val="Times New Roman"/>
        <family val="1"/>
      </rPr>
      <t>48</t>
    </r>
    <r>
      <rPr>
        <sz val="9"/>
        <color rgb="FF333333"/>
        <rFont val="Microsoft YaHei Light"/>
        <family val="2"/>
        <charset val="134"/>
      </rPr>
      <t>岁</t>
    </r>
  </si>
  <si>
    <t>2018120409:52:20</t>
  </si>
  <si>
    <t>2018120713:09:37</t>
  </si>
  <si>
    <t>2018120415:40:33</t>
  </si>
  <si>
    <t>2018121013:33:57</t>
  </si>
  <si>
    <t>1265323</t>
  </si>
  <si>
    <t>2018120415:44:06</t>
  </si>
  <si>
    <t>2018121013:11:54</t>
  </si>
  <si>
    <t>1245114</t>
  </si>
  <si>
    <t>2018120421:22:06</t>
  </si>
  <si>
    <t>2018121013:50:06</t>
  </si>
  <si>
    <t>1266048</t>
  </si>
  <si>
    <t>2018120608:38:35</t>
  </si>
  <si>
    <t>2018121014:05:58</t>
  </si>
  <si>
    <t>2018120609:36:11</t>
  </si>
  <si>
    <t>2018122513:37:44</t>
  </si>
  <si>
    <t>2018120619:00:37</t>
  </si>
  <si>
    <t>2018121213:37:48</t>
  </si>
  <si>
    <t>1266523</t>
  </si>
  <si>
    <t>2018120715:20:32</t>
  </si>
  <si>
    <t>2018121113:28:15</t>
  </si>
  <si>
    <t>2018120913:21:32</t>
  </si>
  <si>
    <t>2018121408:25:16</t>
  </si>
  <si>
    <t>2018120914:55:28</t>
  </si>
  <si>
    <t>2018121408:19:43</t>
  </si>
  <si>
    <t>2018121015:40:38</t>
  </si>
  <si>
    <t>2018121413:07:08</t>
  </si>
  <si>
    <t>2018121017:09:15</t>
  </si>
  <si>
    <t>2018121413:28:31</t>
  </si>
  <si>
    <t>1267175</t>
  </si>
  <si>
    <t>2018121112:40:06</t>
  </si>
  <si>
    <t>2018121508:53:28</t>
  </si>
  <si>
    <t>2018121315:35:14</t>
  </si>
  <si>
    <t>2018121913:22:31</t>
  </si>
  <si>
    <t>1267659</t>
  </si>
  <si>
    <t>2018121415:05:44</t>
  </si>
  <si>
    <t>2018121909:42:29</t>
  </si>
  <si>
    <t>1266714</t>
  </si>
  <si>
    <t>2018121615:02:41</t>
  </si>
  <si>
    <t>2018122008:40:46</t>
  </si>
  <si>
    <t>2018121714:06:09</t>
  </si>
  <si>
    <t>2018121913:22:26</t>
  </si>
  <si>
    <t>1268512</t>
  </si>
  <si>
    <t>2018121715:38:44</t>
  </si>
  <si>
    <t>2018122013:57:25</t>
  </si>
  <si>
    <t>2018121814:54:08</t>
  </si>
  <si>
    <t>2018122209:39:19</t>
  </si>
  <si>
    <t>2018121912:21:30</t>
  </si>
  <si>
    <t>2018122508:30:41</t>
  </si>
  <si>
    <t>2018121915:00:46</t>
  </si>
  <si>
    <t>2018122412:28:27</t>
  </si>
  <si>
    <t>2018121915:15:37</t>
  </si>
  <si>
    <t>2018122413:03:09</t>
  </si>
  <si>
    <t>1269013</t>
  </si>
  <si>
    <t>2018122009:10:14</t>
  </si>
  <si>
    <t>2018122215:25:55</t>
  </si>
  <si>
    <t>1269749</t>
  </si>
  <si>
    <t>2018122315:58:28</t>
  </si>
  <si>
    <t>2018122713:20:37</t>
  </si>
  <si>
    <t>2018122316:13:48</t>
  </si>
  <si>
    <t>2018122913:10:16</t>
  </si>
  <si>
    <t>2018122316:25:36</t>
  </si>
  <si>
    <t>2019011415:33:55</t>
  </si>
  <si>
    <r>
      <rPr>
        <sz val="9"/>
        <color rgb="FF333333"/>
        <rFont val="Times New Roman"/>
        <family val="1"/>
      </rPr>
      <t>17</t>
    </r>
    <r>
      <rPr>
        <sz val="9"/>
        <color rgb="FF333333"/>
        <rFont val="Microsoft YaHei Light"/>
        <family val="2"/>
        <charset val="134"/>
      </rPr>
      <t>岁</t>
    </r>
  </si>
  <si>
    <t>2018122317:01:50</t>
  </si>
  <si>
    <t>2019010110:50:14</t>
  </si>
  <si>
    <t>2018122411:24:34</t>
  </si>
  <si>
    <t>2018122812:59:40</t>
  </si>
  <si>
    <t>2018122416:15:22</t>
  </si>
  <si>
    <t>2018122908:31:08</t>
  </si>
  <si>
    <t>2018122509:14:23</t>
  </si>
  <si>
    <t>2018123009:14:04</t>
  </si>
  <si>
    <t>2018122812:19:57</t>
  </si>
  <si>
    <t>2019010310:29:17</t>
  </si>
  <si>
    <t>2018122814:48:23</t>
  </si>
  <si>
    <t>2019010310:55:24</t>
  </si>
  <si>
    <t>2018122909:16:06</t>
  </si>
  <si>
    <t>2019010111:09:56</t>
  </si>
  <si>
    <t>2018123013:55:29</t>
  </si>
  <si>
    <t>2019010711:02:05</t>
  </si>
  <si>
    <t>2019010214:12:48</t>
  </si>
  <si>
    <t>2019010610:45:36</t>
  </si>
  <si>
    <t>2019010214:55:09</t>
  </si>
  <si>
    <t>2019010908:01:13</t>
  </si>
  <si>
    <t>2019010215:02:55</t>
  </si>
  <si>
    <t>2019010712:58:20</t>
  </si>
  <si>
    <t>2019010215:06:50</t>
  </si>
  <si>
    <t>2019010713:47:31</t>
  </si>
  <si>
    <t>2019010216:15:47</t>
  </si>
  <si>
    <t>2019010813:25:06</t>
  </si>
  <si>
    <t>1272529</t>
  </si>
  <si>
    <t>2019010308:46:18</t>
  </si>
  <si>
    <t>2019010512:59:08</t>
  </si>
  <si>
    <t>7028619</t>
  </si>
  <si>
    <t>2019010309:05:42</t>
  </si>
  <si>
    <t>2019010510:51:51</t>
  </si>
  <si>
    <t>2019010614:35:42</t>
  </si>
  <si>
    <t>2019011108:10:27</t>
  </si>
  <si>
    <t>2019010614:58:23</t>
  </si>
  <si>
    <t>2019011113:06:36</t>
  </si>
  <si>
    <t>2019010615:24:18</t>
  </si>
  <si>
    <t>2019011114:23:45</t>
  </si>
  <si>
    <t>1246511</t>
  </si>
  <si>
    <t>2019010616:58:21</t>
  </si>
  <si>
    <t>2019011113:33:20</t>
  </si>
  <si>
    <t>2019010618:52:57</t>
  </si>
  <si>
    <t>2019010913:52:39</t>
  </si>
  <si>
    <t>2019010812:04:53</t>
  </si>
  <si>
    <t>2019011412:58:26</t>
  </si>
  <si>
    <t>2019010816:07:24</t>
  </si>
  <si>
    <t>2019011213:11:51</t>
  </si>
  <si>
    <t>1273925</t>
  </si>
  <si>
    <t>2019010909:11:31</t>
  </si>
  <si>
    <t>2019011113:04:30</t>
  </si>
  <si>
    <t>2019010914:42:09</t>
  </si>
  <si>
    <t>2019011309:08:39</t>
  </si>
  <si>
    <t>2019010919:57:36</t>
  </si>
  <si>
    <t>2019011307:33:03</t>
  </si>
  <si>
    <t>2019011115:07:39</t>
  </si>
  <si>
    <t>2019011613:20:00</t>
  </si>
  <si>
    <t>1275580</t>
  </si>
  <si>
    <t>2019011210:08:53</t>
  </si>
  <si>
    <t>2019011609:36:22</t>
  </si>
  <si>
    <t>2019011315:43:36</t>
  </si>
  <si>
    <t>2019011913:27:08</t>
  </si>
  <si>
    <t>1275637</t>
  </si>
  <si>
    <t>2019011316:07:43</t>
  </si>
  <si>
    <t>2019011614:42:55</t>
  </si>
  <si>
    <t>2019011316:13:53</t>
  </si>
  <si>
    <t>2019011814:04:31</t>
  </si>
  <si>
    <t>1274686</t>
  </si>
  <si>
    <t>2019011408:40:04</t>
  </si>
  <si>
    <t>2019011613:50:39</t>
  </si>
  <si>
    <t>2019011511:52:48</t>
  </si>
  <si>
    <t>2019012112:59:37</t>
  </si>
  <si>
    <t>2019011513:29:42</t>
  </si>
  <si>
    <t>2019012113:15:09</t>
  </si>
  <si>
    <t>1275164</t>
  </si>
  <si>
    <t>2019011515:46:44</t>
  </si>
  <si>
    <t>2019011812:58:40</t>
  </si>
  <si>
    <t>2019011516:18:08</t>
  </si>
  <si>
    <t>2019011913:29:00</t>
  </si>
  <si>
    <t>2019011613:49:02</t>
  </si>
  <si>
    <t>2019012009:15:00</t>
  </si>
  <si>
    <t>1276020</t>
  </si>
  <si>
    <t>2019011615:36:44</t>
  </si>
  <si>
    <t>2019011812:22:29</t>
  </si>
  <si>
    <t>7028771</t>
  </si>
  <si>
    <t>2019011709:31:50</t>
  </si>
  <si>
    <t>2019011910:24:45</t>
  </si>
  <si>
    <t>2019011711:59:12</t>
  </si>
  <si>
    <t>2019012313:28:58</t>
  </si>
  <si>
    <t>2019011813:48:35</t>
  </si>
  <si>
    <t>2019012813:21:28</t>
  </si>
  <si>
    <t>2019011817:46:15</t>
  </si>
  <si>
    <t>2019012313:22:18</t>
  </si>
  <si>
    <t>1247014</t>
  </si>
  <si>
    <t>2019011819:24:41</t>
  </si>
  <si>
    <t>2019012215:59:43</t>
  </si>
  <si>
    <t>2019012010:27:40</t>
  </si>
  <si>
    <t>2019012514:21:15</t>
  </si>
  <si>
    <t>1247083</t>
  </si>
  <si>
    <t>2019012018:42:16</t>
  </si>
  <si>
    <t>2019012413:14:13</t>
  </si>
  <si>
    <t>2019012114:46:56</t>
  </si>
  <si>
    <t>2019012514:23:03</t>
  </si>
  <si>
    <t>2019012116:33:08</t>
  </si>
  <si>
    <t>2019012514:11:29</t>
  </si>
  <si>
    <t>1276943</t>
  </si>
  <si>
    <t>2019012209:20:36</t>
  </si>
  <si>
    <t>2019012515:11:07</t>
  </si>
  <si>
    <t>2019012215:35:59</t>
  </si>
  <si>
    <t>2019012608:42:06</t>
  </si>
  <si>
    <t>2019012216:24:14</t>
  </si>
  <si>
    <t>2019012612:50:27</t>
  </si>
  <si>
    <t>2019012314:33:46</t>
  </si>
  <si>
    <t>2019012708:14:13</t>
  </si>
  <si>
    <t>2019012315:19:07</t>
  </si>
  <si>
    <t>2019012812:58:56</t>
  </si>
  <si>
    <t>2019012409:29:19</t>
  </si>
  <si>
    <t>2019012708:24:14</t>
  </si>
  <si>
    <t>1277922</t>
  </si>
  <si>
    <t>2019012515:45:27</t>
  </si>
  <si>
    <t>2019013013:11:05</t>
  </si>
  <si>
    <t>2019012608:13:20</t>
  </si>
  <si>
    <t>2019013013:01:30</t>
  </si>
  <si>
    <t>1278344</t>
  </si>
  <si>
    <t>2019012609:44:54</t>
  </si>
  <si>
    <t>2019012915:17:21</t>
  </si>
  <si>
    <t>2019012612:50:38</t>
  </si>
  <si>
    <t>2019020707:57:50</t>
  </si>
  <si>
    <t>2019012714:00:28</t>
  </si>
  <si>
    <t>2019020114:45:13</t>
  </si>
  <si>
    <t>1276697</t>
  </si>
  <si>
    <t>2019012714:57:16</t>
  </si>
  <si>
    <t>2019013113:52:06</t>
  </si>
  <si>
    <t>2019012720:01:30</t>
  </si>
  <si>
    <t>2019013113:28:25</t>
  </si>
  <si>
    <t>2019021108:11:05</t>
  </si>
  <si>
    <t>2019021213:07:37</t>
  </si>
  <si>
    <t>2019021113:27:37</t>
  </si>
  <si>
    <t>2019021513:02:44</t>
  </si>
  <si>
    <t>2019021114:02:39</t>
  </si>
  <si>
    <t>2019021413:19:28</t>
  </si>
  <si>
    <t>1281537</t>
  </si>
  <si>
    <t>2019021215:01:29</t>
  </si>
  <si>
    <t>2019021613:46:41</t>
  </si>
  <si>
    <t>2019021215:25:16</t>
  </si>
  <si>
    <t>2019021813:08:32</t>
  </si>
  <si>
    <t>2019021314:07:17</t>
  </si>
  <si>
    <t>2019021708:44:07</t>
  </si>
  <si>
    <t>2019021314:11:04</t>
  </si>
  <si>
    <t>2019021815:08:13</t>
  </si>
  <si>
    <t>2019021314:40:22</t>
  </si>
  <si>
    <t>2019021708:28:16</t>
  </si>
  <si>
    <t>2019021316:11:59</t>
  </si>
  <si>
    <t>2019021708:08:47</t>
  </si>
  <si>
    <r>
      <rPr>
        <sz val="9"/>
        <color rgb="FF333333"/>
        <rFont val="Times New Roman"/>
        <family val="1"/>
      </rPr>
      <t>58</t>
    </r>
    <r>
      <rPr>
        <sz val="9"/>
        <color rgb="FF333333"/>
        <rFont val="Microsoft YaHei Light"/>
        <family val="2"/>
        <charset val="134"/>
      </rPr>
      <t>岁</t>
    </r>
  </si>
  <si>
    <t>2019021518:24:50</t>
  </si>
  <si>
    <t>2019022013:41:07</t>
  </si>
  <si>
    <t>1247974</t>
  </si>
  <si>
    <t>2019021521:11:36</t>
  </si>
  <si>
    <t>2019022013:11:24</t>
  </si>
  <si>
    <t>2019021609:15:41</t>
  </si>
  <si>
    <t>2019022013:22:24</t>
  </si>
  <si>
    <t>1280056</t>
  </si>
  <si>
    <t>2019021709:04:28</t>
  </si>
  <si>
    <t>2019021912:22:08</t>
  </si>
  <si>
    <t>2019021712:20:55</t>
  </si>
  <si>
    <t>2019022314:10:24</t>
  </si>
  <si>
    <t>2019021713:36:57</t>
  </si>
  <si>
    <t>2019022313:29:45</t>
  </si>
  <si>
    <t>2019021713:37:19</t>
  </si>
  <si>
    <t>2019022113:29:25</t>
  </si>
  <si>
    <t>2019021714:31:37</t>
  </si>
  <si>
    <t>2019022514:38:49</t>
  </si>
  <si>
    <t>2019021714:37:42</t>
  </si>
  <si>
    <t>2019022213:33:12</t>
  </si>
  <si>
    <t>2019021714:49:01</t>
  </si>
  <si>
    <t>2019022213:23:09</t>
  </si>
  <si>
    <t>2019021715:00:44</t>
  </si>
  <si>
    <t>2019022213:28:49</t>
  </si>
  <si>
    <t>2019021715:06:34</t>
  </si>
  <si>
    <t>2019022312:48:18</t>
  </si>
  <si>
    <t>2019021715:27:20</t>
  </si>
  <si>
    <t>2019022213:39:42</t>
  </si>
  <si>
    <t>2019021717:09:10</t>
  </si>
  <si>
    <t>2019022314:26:18</t>
  </si>
  <si>
    <t>2019021810:07:34</t>
  </si>
  <si>
    <t>2019022113:06:04</t>
  </si>
  <si>
    <t>2019021914:36:00</t>
  </si>
  <si>
    <t>2019022314:21:08</t>
  </si>
  <si>
    <t>2019022210:59:56</t>
  </si>
  <si>
    <t>2019022808:21:09</t>
  </si>
  <si>
    <t>2019022214:04:20</t>
  </si>
  <si>
    <t>2019022713:50:57</t>
  </si>
  <si>
    <t>2019022411:50:50</t>
  </si>
  <si>
    <t>2019030113:37:00</t>
  </si>
  <si>
    <t>2019022414:52:47</t>
  </si>
  <si>
    <t>2019022614:03:48</t>
  </si>
  <si>
    <t>2019022415:20:01</t>
  </si>
  <si>
    <t>2019030108:03:35</t>
  </si>
  <si>
    <t>2019022416:27:50</t>
  </si>
  <si>
    <t>2019030113:33:33</t>
  </si>
  <si>
    <t>2019022417:45:36</t>
  </si>
  <si>
    <t>2019022816:11:09</t>
  </si>
  <si>
    <t>2019022613:43:58</t>
  </si>
  <si>
    <t>2019030213:54:04</t>
  </si>
  <si>
    <t>2019022808:24:15</t>
  </si>
  <si>
    <t>2019030308:40:28</t>
  </si>
  <si>
    <t>1285788</t>
  </si>
  <si>
    <t>2019022813:58:50</t>
  </si>
  <si>
    <t>2019030612:33:13</t>
  </si>
  <si>
    <t>2019030115:00:00</t>
  </si>
  <si>
    <t>2019030815:08:12</t>
  </si>
  <si>
    <r>
      <rPr>
        <sz val="9"/>
        <color rgb="FF333333"/>
        <rFont val="Times New Roman"/>
        <family val="1"/>
      </rPr>
      <t>57</t>
    </r>
    <r>
      <rPr>
        <sz val="9"/>
        <color rgb="FF333333"/>
        <rFont val="Microsoft YaHei Light"/>
        <family val="2"/>
        <charset val="134"/>
      </rPr>
      <t>岁</t>
    </r>
  </si>
  <si>
    <t>2019030311:44:34</t>
  </si>
  <si>
    <t>2019030914:39:46</t>
  </si>
  <si>
    <t>2019030415:50:03</t>
  </si>
  <si>
    <t>2019030513:13:35</t>
  </si>
  <si>
    <t>1286644</t>
  </si>
  <si>
    <t>2019030508:05:40</t>
  </si>
  <si>
    <t>2019030813:04:08</t>
  </si>
  <si>
    <t>2019030514:01:36</t>
  </si>
  <si>
    <t>2019031113:28:49</t>
  </si>
  <si>
    <t>2019030516:07:19</t>
  </si>
  <si>
    <t>2019030913:46:41</t>
  </si>
  <si>
    <t>2019030814:48:18</t>
  </si>
  <si>
    <t>2019031312:22:06</t>
  </si>
  <si>
    <t>1289070</t>
  </si>
  <si>
    <t>2019031012:55:50</t>
  </si>
  <si>
    <t>2019031513:34:44</t>
  </si>
  <si>
    <t>2019031014:20:30</t>
  </si>
  <si>
    <t>2019031513:08:24</t>
  </si>
  <si>
    <t>2019031014:47:56</t>
  </si>
  <si>
    <t>2019031614:07:12</t>
  </si>
  <si>
    <t>1286721</t>
  </si>
  <si>
    <t>2019031015:53:56</t>
  </si>
  <si>
    <t>2019031312:16:24</t>
  </si>
  <si>
    <t>2019031016:24:29</t>
  </si>
  <si>
    <t>2019031608:52:09</t>
  </si>
  <si>
    <t>2019031016:25:17</t>
  </si>
  <si>
    <t>2019031609:37:30</t>
  </si>
  <si>
    <t>2019031019:49:13</t>
  </si>
  <si>
    <t>2019031312:27:06</t>
  </si>
  <si>
    <t>2019031114:29:36</t>
  </si>
  <si>
    <t>2019031313:36:51</t>
  </si>
  <si>
    <t>1289328</t>
  </si>
  <si>
    <t>2019031115:02:12</t>
  </si>
  <si>
    <t>2019031513:27:48</t>
  </si>
  <si>
    <t>2019031115:56:27</t>
  </si>
  <si>
    <t>2019031513:54:04</t>
  </si>
  <si>
    <t>1285423</t>
  </si>
  <si>
    <t>2019031218:09:49</t>
  </si>
  <si>
    <t>2019031513:01:00</t>
  </si>
  <si>
    <t>2019031415:44:10</t>
  </si>
  <si>
    <t>2019032012:53:55</t>
  </si>
  <si>
    <t>2019031514:27:37</t>
  </si>
  <si>
    <t>2019032014:31:10</t>
  </si>
  <si>
    <t>2019031607:53:37</t>
  </si>
  <si>
    <t>2019032013:56:49</t>
  </si>
  <si>
    <t>2019031711:34:31</t>
  </si>
  <si>
    <t>2019032313:09:18</t>
  </si>
  <si>
    <t>1290816</t>
  </si>
  <si>
    <t>2019031809:39:58</t>
  </si>
  <si>
    <t>2019032109:04:20</t>
  </si>
  <si>
    <t>2019031816:08:18</t>
  </si>
  <si>
    <t>2019032213:21:43</t>
  </si>
  <si>
    <t>2019031817:59:58</t>
  </si>
  <si>
    <t>2019032213:19:14</t>
  </si>
  <si>
    <t>2019032017:21:09</t>
  </si>
  <si>
    <t>2019032715:31:01</t>
  </si>
  <si>
    <t>2019032115:16:33</t>
  </si>
  <si>
    <t>2019032708:33:32</t>
  </si>
  <si>
    <t>2088095</t>
  </si>
  <si>
    <t>2019032210:09:06</t>
  </si>
  <si>
    <t>2019032710:22:36</t>
  </si>
  <si>
    <t>2019032413:57:34</t>
  </si>
  <si>
    <t>2019032913:20:41</t>
  </si>
  <si>
    <t>2019032415:16:35</t>
  </si>
  <si>
    <t>2019033013:07:54</t>
  </si>
  <si>
    <t>2019032415:35:11</t>
  </si>
  <si>
    <t>2019032810:35:30</t>
  </si>
  <si>
    <t>2019032416:16:20</t>
  </si>
  <si>
    <t>2019040208:37:30</t>
  </si>
  <si>
    <t>2019032417:14:39</t>
  </si>
  <si>
    <t>2019033013:13:05</t>
  </si>
  <si>
    <t>2019032515:07:19</t>
  </si>
  <si>
    <t>2019032914:29:52</t>
  </si>
  <si>
    <t>2019032614:51:20</t>
  </si>
  <si>
    <t>2019033009:45:24</t>
  </si>
  <si>
    <t>1291437</t>
  </si>
  <si>
    <t>2019032619:50:29</t>
  </si>
  <si>
    <t>2019033014:10:05</t>
  </si>
  <si>
    <t>2019032715:22:47</t>
  </si>
  <si>
    <t>2019033109:58:47</t>
  </si>
  <si>
    <t>2019032716:05:08</t>
  </si>
  <si>
    <t>2019033110:01:40</t>
  </si>
  <si>
    <t>2019032717:04:45</t>
  </si>
  <si>
    <t>2019040313:47:24</t>
  </si>
  <si>
    <r>
      <rPr>
        <sz val="9"/>
        <color rgb="FF333333"/>
        <rFont val="Times New Roman"/>
        <family val="1"/>
      </rPr>
      <t>8</t>
    </r>
    <r>
      <rPr>
        <sz val="9"/>
        <color rgb="FF333333"/>
        <rFont val="Microsoft YaHei Light"/>
        <family val="2"/>
        <charset val="134"/>
      </rPr>
      <t>岁</t>
    </r>
  </si>
  <si>
    <t>2019033008:16:28</t>
  </si>
  <si>
    <t>2019040408:38:17</t>
  </si>
  <si>
    <t>1293277</t>
  </si>
  <si>
    <t>2019033115:35:11</t>
  </si>
  <si>
    <t>2019040313:22:38</t>
  </si>
  <si>
    <t>1291654</t>
  </si>
  <si>
    <t>2019033117:33:26</t>
  </si>
  <si>
    <t>2019040413:08:03</t>
  </si>
  <si>
    <t>2019033119:52:24</t>
  </si>
  <si>
    <t>2019040413:19:39</t>
  </si>
  <si>
    <t>2019040114:26:39</t>
  </si>
  <si>
    <t>2019040509:28:10</t>
  </si>
  <si>
    <t>1295104</t>
  </si>
  <si>
    <t>2019040115:24:55</t>
  </si>
  <si>
    <t>2019040413:13:47</t>
  </si>
  <si>
    <t>2019040215:08:34</t>
  </si>
  <si>
    <t>2019040615:48:37</t>
  </si>
  <si>
    <t>2019040514:32:06</t>
  </si>
  <si>
    <t>2019041008:59:17</t>
  </si>
  <si>
    <t>2019040608:11:07</t>
  </si>
  <si>
    <t>2019041013:26:04</t>
  </si>
  <si>
    <t>2019040714:13:01</t>
  </si>
  <si>
    <t>2019041208:42:56</t>
  </si>
  <si>
    <t>1296992</t>
  </si>
  <si>
    <t>2019040716:02:56</t>
  </si>
  <si>
    <t>2019041013:03:43</t>
  </si>
  <si>
    <t>1295772</t>
  </si>
  <si>
    <t>2019040719:49:38</t>
  </si>
  <si>
    <t>2019041013:32:26</t>
  </si>
  <si>
    <t>1297170</t>
  </si>
  <si>
    <t>2019040813:39:53</t>
  </si>
  <si>
    <t>2019041113:24:41</t>
  </si>
  <si>
    <t>2019040912:13:41</t>
  </si>
  <si>
    <t>2019041513:39:03</t>
  </si>
  <si>
    <t>2019040915:26:47</t>
  </si>
  <si>
    <t>2019041513:28:41</t>
  </si>
  <si>
    <t>1297651</t>
  </si>
  <si>
    <t>2019041008:51:27</t>
  </si>
  <si>
    <t>2019041213:25:00</t>
  </si>
  <si>
    <t>1298735</t>
  </si>
  <si>
    <t>2019041115:29:29</t>
  </si>
  <si>
    <t>2019041713:24:03</t>
  </si>
  <si>
    <t>2019041115:59:00</t>
  </si>
  <si>
    <t>2019041713:10:58</t>
  </si>
  <si>
    <t>2019041707:53:09</t>
  </si>
  <si>
    <t>2019042015:01:00</t>
  </si>
  <si>
    <t>2019042115:03:47</t>
  </si>
  <si>
    <t>2019042614:36:37</t>
  </si>
  <si>
    <t>2019042314:15:15</t>
  </si>
  <si>
    <t>2019043013:21:22</t>
  </si>
  <si>
    <t>2019042316:03:46</t>
  </si>
  <si>
    <t>2019042808:55:02</t>
  </si>
  <si>
    <t>2019042317:37:20</t>
  </si>
  <si>
    <t>2019042808:24:41</t>
  </si>
  <si>
    <t>2019042407:48:59</t>
  </si>
  <si>
    <t>2019050514:12:04</t>
  </si>
  <si>
    <t>2019042416:08:15</t>
  </si>
  <si>
    <t>2019042810:18:46</t>
  </si>
  <si>
    <t>2019042515:25:47</t>
  </si>
  <si>
    <t>2019042712:19:02</t>
  </si>
  <si>
    <t>2019042613:21:57</t>
  </si>
  <si>
    <t>2019050109:54:53</t>
  </si>
  <si>
    <t>1303146</t>
  </si>
  <si>
    <t>2019042809:42:35</t>
  </si>
  <si>
    <t>2019050413:46:13</t>
  </si>
  <si>
    <t>2019050313:58:01</t>
  </si>
  <si>
    <t>2019050908:59:57</t>
  </si>
  <si>
    <t>2019050313:58:43</t>
  </si>
  <si>
    <t>2019050813:44:15</t>
  </si>
  <si>
    <t>2019050314:03:16</t>
  </si>
  <si>
    <t>2019050813:29:26</t>
  </si>
  <si>
    <t>2019050314:08:20</t>
  </si>
  <si>
    <t>2019050813:10:05</t>
  </si>
  <si>
    <t>2019050314:43:11</t>
  </si>
  <si>
    <t>2019050813:18:27</t>
  </si>
  <si>
    <t>2019050315:37:22</t>
  </si>
  <si>
    <t>2019050514:18:01</t>
  </si>
  <si>
    <t>1299673</t>
  </si>
  <si>
    <t>2019050316:00:29</t>
  </si>
  <si>
    <t>2019050908:50:53</t>
  </si>
  <si>
    <t>2019050614:15:40</t>
  </si>
  <si>
    <t>2019051110:02:52</t>
  </si>
  <si>
    <t>2019050814:01:59</t>
  </si>
  <si>
    <t>2019051014:07:30</t>
  </si>
  <si>
    <t>2019050814:28:05</t>
  </si>
  <si>
    <t>2019051809:59:37</t>
  </si>
  <si>
    <t>2019050815:12:16</t>
  </si>
  <si>
    <t>2019051213:33:59</t>
  </si>
  <si>
    <t>1305990</t>
  </si>
  <si>
    <t>2019050908:07:19</t>
  </si>
  <si>
    <t>2019051313:09:53</t>
  </si>
  <si>
    <t>2019051008:55:22</t>
  </si>
  <si>
    <t>2019051513:25:43</t>
  </si>
  <si>
    <t>2019051211:54:02</t>
  </si>
  <si>
    <t>2019051713:08:17</t>
  </si>
  <si>
    <t>2019051216:44:44</t>
  </si>
  <si>
    <t>2019051614:20:35</t>
  </si>
  <si>
    <t>2019051216:44:49</t>
  </si>
  <si>
    <t>2019051613:29:23</t>
  </si>
  <si>
    <t>2019051414:52:46</t>
  </si>
  <si>
    <t>2019052013:27:10</t>
  </si>
  <si>
    <t>1308611</t>
  </si>
  <si>
    <t>2019051513:56:56</t>
  </si>
  <si>
    <t>2019052013:52:57</t>
  </si>
  <si>
    <t>2019051514:04:30</t>
  </si>
  <si>
    <t>2019051909:18:12</t>
  </si>
  <si>
    <r>
      <rPr>
        <sz val="9"/>
        <color rgb="FF333333"/>
        <rFont val="Times New Roman"/>
        <family val="1"/>
      </rPr>
      <t>47</t>
    </r>
    <r>
      <rPr>
        <sz val="9"/>
        <color rgb="FF333333"/>
        <rFont val="Microsoft YaHei Light"/>
        <family val="2"/>
        <charset val="134"/>
      </rPr>
      <t>岁</t>
    </r>
  </si>
  <si>
    <t>2019051515:54:57</t>
  </si>
  <si>
    <t>2019051911:13:09</t>
  </si>
  <si>
    <t>2019051610:46:46</t>
  </si>
  <si>
    <t>2019052015:06:25</t>
  </si>
  <si>
    <t>1307670</t>
  </si>
  <si>
    <t>2019051615:21:18</t>
  </si>
  <si>
    <t>2019062210:32:36</t>
  </si>
  <si>
    <t>1309022</t>
  </si>
  <si>
    <t>2019051709:56:43</t>
  </si>
  <si>
    <t>2019051913:08:56</t>
  </si>
  <si>
    <t>1309356</t>
  </si>
  <si>
    <t>2019051914:50:29</t>
  </si>
  <si>
    <t>2019052313:01:51</t>
  </si>
  <si>
    <t>2019051915:14:55</t>
  </si>
  <si>
    <t>2019052313:03:58</t>
  </si>
  <si>
    <t>2019052013:41:21</t>
  </si>
  <si>
    <t>2019052713:00:55</t>
  </si>
  <si>
    <t>2019052020:13:53</t>
  </si>
  <si>
    <t>2019052913:27:07</t>
  </si>
  <si>
    <t>2019052508:09:10</t>
  </si>
  <si>
    <t>2019052813:49:03</t>
  </si>
  <si>
    <t>2019052515:46:45</t>
  </si>
  <si>
    <t>2019053113:25:03</t>
  </si>
  <si>
    <t>2019052609:33:38</t>
  </si>
  <si>
    <t>2019060113:03:52</t>
  </si>
  <si>
    <t>1309394</t>
  </si>
  <si>
    <t>2019052615:53:40</t>
  </si>
  <si>
    <t>2019052913:16:38</t>
  </si>
  <si>
    <t>2019052616:20:58</t>
  </si>
  <si>
    <t>2019060113:26:16</t>
  </si>
  <si>
    <t>1312549</t>
  </si>
  <si>
    <t>2019052911:17:03</t>
  </si>
  <si>
    <t>2019060114:14:11</t>
  </si>
  <si>
    <t>2019060108:10:43</t>
  </si>
  <si>
    <t>2019060608:54:26</t>
  </si>
  <si>
    <t>2019060108:15:59</t>
  </si>
  <si>
    <t>2019060609:37:16</t>
  </si>
  <si>
    <t>2019060309:33:31</t>
  </si>
  <si>
    <t>2019061214:07:15</t>
  </si>
  <si>
    <t>2019060415:37:23</t>
  </si>
  <si>
    <t>2019060907:54:41</t>
  </si>
  <si>
    <t>2019060608:08:43</t>
  </si>
  <si>
    <t>2019061408:43:51</t>
  </si>
  <si>
    <t>2019060613:48:05</t>
  </si>
  <si>
    <t>2019061213:13:21</t>
  </si>
  <si>
    <t>2019060714:26:07</t>
  </si>
  <si>
    <t>2019061213:15:22</t>
  </si>
  <si>
    <t>2019060715:28:38</t>
  </si>
  <si>
    <t>2019061214:24:21</t>
  </si>
  <si>
    <t>2019060715:39:34</t>
  </si>
  <si>
    <t>2019061213:18:04</t>
  </si>
  <si>
    <t>2019060913:25:04</t>
  </si>
  <si>
    <t>2019061413:22:54</t>
  </si>
  <si>
    <r>
      <rPr>
        <sz val="9"/>
        <color rgb="FF333333"/>
        <rFont val="Times New Roman"/>
        <family val="1"/>
      </rPr>
      <t>62</t>
    </r>
    <r>
      <rPr>
        <sz val="9"/>
        <color rgb="FF333333"/>
        <rFont val="Microsoft YaHei Light"/>
        <family val="2"/>
        <charset val="134"/>
      </rPr>
      <t>岁</t>
    </r>
  </si>
  <si>
    <t>1314578</t>
  </si>
  <si>
    <t>2019060915:34:04</t>
  </si>
  <si>
    <t>2019061514:08:52</t>
  </si>
  <si>
    <t>2019060916:23:00</t>
  </si>
  <si>
    <t>2019061213:46:53</t>
  </si>
  <si>
    <t>2019060916:23:14</t>
  </si>
  <si>
    <t>2019061413:07:58</t>
  </si>
  <si>
    <t>2019061011:13:13</t>
  </si>
  <si>
    <t>2019061609:41:30</t>
  </si>
  <si>
    <t>2019061211:43:40</t>
  </si>
  <si>
    <t>2019061514:30:25</t>
  </si>
  <si>
    <t>2019061314:38:25</t>
  </si>
  <si>
    <t>2019061914:46:32</t>
  </si>
  <si>
    <t>1316911</t>
  </si>
  <si>
    <t>2019061413:54:57</t>
  </si>
  <si>
    <t>2019061813:38:56</t>
  </si>
  <si>
    <t>2019061415:04:08</t>
  </si>
  <si>
    <t>2019061914:09:04</t>
  </si>
  <si>
    <t>2019061614:48:05</t>
  </si>
  <si>
    <t>2019062013:37:06</t>
  </si>
  <si>
    <t>2019061614:51:07</t>
  </si>
  <si>
    <t>2019062213:29:42</t>
  </si>
  <si>
    <t>2019061811:42:26</t>
  </si>
  <si>
    <t>2019062313:45:56</t>
  </si>
  <si>
    <t>2019061918:48:57</t>
  </si>
  <si>
    <t>2019062309:14:00</t>
  </si>
  <si>
    <t>1316158</t>
  </si>
  <si>
    <t>2019062017:41:59</t>
  </si>
  <si>
    <t>2019070215:08:39</t>
  </si>
  <si>
    <t>2019062118:44:50</t>
  </si>
  <si>
    <t>2019062713:41:28</t>
  </si>
  <si>
    <t>2019062312:54:02</t>
  </si>
  <si>
    <t>2019070208:04:24</t>
  </si>
  <si>
    <t>2019062315:54:47</t>
  </si>
  <si>
    <t>2019082714:36:47</t>
  </si>
  <si>
    <t>2019062316:16:28</t>
  </si>
  <si>
    <t>2019062714:31:08</t>
  </si>
  <si>
    <t>2019062317:36:14</t>
  </si>
  <si>
    <t>2019070213:33:42</t>
  </si>
  <si>
    <t>2019062814:19:31</t>
  </si>
  <si>
    <t>2019070314:07:31</t>
  </si>
  <si>
    <t>2019063013:46:25</t>
  </si>
  <si>
    <t>2019070613:25:29</t>
  </si>
  <si>
    <t>2019063015:12:00</t>
  </si>
  <si>
    <t>2019070613:27:44</t>
  </si>
  <si>
    <t>2019063016:26:33</t>
  </si>
  <si>
    <t>2019070613:31:00</t>
  </si>
  <si>
    <t>2019070109:31:51</t>
  </si>
  <si>
    <t>2019070814:49:12</t>
  </si>
  <si>
    <t>2019070110:25:20</t>
  </si>
  <si>
    <t>2019070613:39:11</t>
  </si>
  <si>
    <t>2019070114:34:46</t>
  </si>
  <si>
    <t>2019070514:48:22</t>
  </si>
  <si>
    <t>2019070114:41:40</t>
  </si>
  <si>
    <t>2019070514:30:50</t>
  </si>
  <si>
    <t>2019070122:40:23</t>
  </si>
  <si>
    <t>2019070614:58:54</t>
  </si>
  <si>
    <t>2019070214:19:13</t>
  </si>
  <si>
    <t>2019070713:42:52</t>
  </si>
  <si>
    <t>2019070315:38:40</t>
  </si>
  <si>
    <t>2019070709:53:24</t>
  </si>
  <si>
    <t>2019070413:50:28</t>
  </si>
  <si>
    <t>2019071213:31:03</t>
  </si>
  <si>
    <t>2019070514:35:35</t>
  </si>
  <si>
    <t>2019071013:39:58</t>
  </si>
  <si>
    <t>2019070515:27:31</t>
  </si>
  <si>
    <t>2019071013:50:35</t>
  </si>
  <si>
    <t>2019070516:01:43</t>
  </si>
  <si>
    <t>2019071013:53:06</t>
  </si>
  <si>
    <t>1323475</t>
  </si>
  <si>
    <t>2019070614:05:34</t>
  </si>
  <si>
    <t>2019071113:59:11</t>
  </si>
  <si>
    <t>2019070715:26:48</t>
  </si>
  <si>
    <t>2019071314:32:37</t>
  </si>
  <si>
    <t>2019070715:36:50</t>
  </si>
  <si>
    <t>2019071510:03:12</t>
  </si>
  <si>
    <t>2019070716:22:01</t>
  </si>
  <si>
    <t>2019071213:42:16</t>
  </si>
  <si>
    <t>0977442</t>
  </si>
  <si>
    <t>2019070814:44:34</t>
  </si>
  <si>
    <t>2019071214:03:08</t>
  </si>
  <si>
    <t>1323567</t>
  </si>
  <si>
    <t>2019070815:24:56</t>
  </si>
  <si>
    <t>2019071309:04:31</t>
  </si>
  <si>
    <t>2019070816:07:38</t>
  </si>
  <si>
    <t>2019071308:41:44</t>
  </si>
  <si>
    <t>2019070819:07:23</t>
  </si>
  <si>
    <t>2019071310:43:40</t>
  </si>
  <si>
    <t>2019070917:28:31</t>
  </si>
  <si>
    <t>2019071314:51:51</t>
  </si>
  <si>
    <t>2019070918:52:31</t>
  </si>
  <si>
    <t>2019071314:19:56</t>
  </si>
  <si>
    <t>2019071014:23:22</t>
  </si>
  <si>
    <t>2019071409:34:21</t>
  </si>
  <si>
    <t>2019071015:31:53</t>
  </si>
  <si>
    <t>2019071608:31:01</t>
  </si>
  <si>
    <t>2019071114:41:29</t>
  </si>
  <si>
    <t>2019071508:21:11</t>
  </si>
  <si>
    <t>2019071212:03:27</t>
  </si>
  <si>
    <t>2019071914:21:13</t>
  </si>
  <si>
    <t>2019071218:45:43</t>
  </si>
  <si>
    <t>2019071807:56:46</t>
  </si>
  <si>
    <t>2019071308:13:24</t>
  </si>
  <si>
    <t>2019071910:30:10</t>
  </si>
  <si>
    <t>2019071308:40:06</t>
  </si>
  <si>
    <t>2019071713:36:37</t>
  </si>
  <si>
    <t>2019071414:34:51</t>
  </si>
  <si>
    <t>2019071913:30:05</t>
  </si>
  <si>
    <t>1325626</t>
  </si>
  <si>
    <t>2019071415:53:46</t>
  </si>
  <si>
    <t>2019071914:30:40</t>
  </si>
  <si>
    <t>2019071510:16:04</t>
  </si>
  <si>
    <t>2019072009:14:29</t>
  </si>
  <si>
    <t>2019071516:04:18</t>
  </si>
  <si>
    <t>2019072108:28:16</t>
  </si>
  <si>
    <t>2019071616:13:08</t>
  </si>
  <si>
    <t>2019072109:16:31</t>
  </si>
  <si>
    <t>2019071616:24:14</t>
  </si>
  <si>
    <t>2019071913:33:52</t>
  </si>
  <si>
    <t>2019071718:33:48</t>
  </si>
  <si>
    <t>2019072108:51:44</t>
  </si>
  <si>
    <t>2019071814:41:02</t>
  </si>
  <si>
    <t>2019072514:00:41</t>
  </si>
  <si>
    <t>2019072008:08:20</t>
  </si>
  <si>
    <t>2019072514:02:34</t>
  </si>
  <si>
    <t>2019072116:33:15</t>
  </si>
  <si>
    <t>2019072713:34:11</t>
  </si>
  <si>
    <t>2019072213:42:18</t>
  </si>
  <si>
    <t>2019072708:48:25</t>
  </si>
  <si>
    <t>2019072214:02:37</t>
  </si>
  <si>
    <t>2019072811:33:25</t>
  </si>
  <si>
    <t>2019072214:16:10</t>
  </si>
  <si>
    <t>2019072708:46:32</t>
  </si>
  <si>
    <t>2019072413:48:20</t>
  </si>
  <si>
    <t>2019072614:00:32</t>
  </si>
  <si>
    <t>2019072509:46:40</t>
  </si>
  <si>
    <t>2019072809:55:44</t>
  </si>
  <si>
    <t>2019072511:16:22</t>
  </si>
  <si>
    <t>2019073013:59:36</t>
  </si>
  <si>
    <t>2019072613:46:09</t>
  </si>
  <si>
    <t>2019080108:24:43</t>
  </si>
  <si>
    <t>2019072814:01:58</t>
  </si>
  <si>
    <t>2019080209:28:35</t>
  </si>
  <si>
    <t>2019072816:06:01</t>
  </si>
  <si>
    <t>2019080208:48:02</t>
  </si>
  <si>
    <t>2019072816:26:09</t>
  </si>
  <si>
    <t>2019080113:56:06</t>
  </si>
  <si>
    <t>2019072817:39:11</t>
  </si>
  <si>
    <t>2019080113:29:01</t>
  </si>
  <si>
    <t>2019072819:54:26</t>
  </si>
  <si>
    <t>2019080213:39:35</t>
  </si>
  <si>
    <t>1351817</t>
  </si>
  <si>
    <t>2019072915:07:12</t>
  </si>
  <si>
    <t>2019080208:16:53</t>
  </si>
  <si>
    <t>2019072915:29:32</t>
  </si>
  <si>
    <t>2019080214:06:50</t>
  </si>
  <si>
    <t>2019073117:34:02</t>
  </si>
  <si>
    <t>2019080413:58:26</t>
  </si>
  <si>
    <t>1348982</t>
  </si>
  <si>
    <t>2019080217:39:47</t>
  </si>
  <si>
    <t>2019080613:36:30</t>
  </si>
  <si>
    <t>2019080414:47:05</t>
  </si>
  <si>
    <t>2019080914:43:00</t>
  </si>
  <si>
    <t>2019080414:48:25</t>
  </si>
  <si>
    <t>2019081009:40:13</t>
  </si>
  <si>
    <t>2019080415:58:43</t>
  </si>
  <si>
    <t>2019081009:16:17</t>
  </si>
  <si>
    <t>2019080416:01:05</t>
  </si>
  <si>
    <t>2019080914:39:02</t>
  </si>
  <si>
    <t>2019080416:20:54</t>
  </si>
  <si>
    <t>2019080914:06:47</t>
  </si>
  <si>
    <t>2019080416:21:10</t>
  </si>
  <si>
    <t>2019080908:11:46</t>
  </si>
  <si>
    <t>2019080416:59:54</t>
  </si>
  <si>
    <t>2019081009:23:53</t>
  </si>
  <si>
    <t>2019080515:18:58</t>
  </si>
  <si>
    <t>2019080914:55:09</t>
  </si>
  <si>
    <t>2019080515:49:04</t>
  </si>
  <si>
    <t>2019081208:51:51</t>
  </si>
  <si>
    <t>2019080516:41:50</t>
  </si>
  <si>
    <t>2019081208:13:31</t>
  </si>
  <si>
    <t>2019080614:55:28</t>
  </si>
  <si>
    <t>2019080913:48:26</t>
  </si>
  <si>
    <t>2019080716:27:43</t>
  </si>
  <si>
    <t>2019081413:33:07</t>
  </si>
  <si>
    <t>2019080809:01:31</t>
  </si>
  <si>
    <t>2019081109:40:15</t>
  </si>
  <si>
    <t>2019080814:43:59</t>
  </si>
  <si>
    <t>2019081314:19:33</t>
  </si>
  <si>
    <t>2019080815:03:16</t>
  </si>
  <si>
    <t>2019081508:40:53</t>
  </si>
  <si>
    <t>2019080914:11:00</t>
  </si>
  <si>
    <t>2019081508:09:15</t>
  </si>
  <si>
    <t>2019081112:46:07</t>
  </si>
  <si>
    <t>2019081514:00:22</t>
  </si>
  <si>
    <t>2019081114:11:36</t>
  </si>
  <si>
    <t>2019081513:38:01</t>
  </si>
  <si>
    <t>2019081114:52:17</t>
  </si>
  <si>
    <t>2019081613:56:01</t>
  </si>
  <si>
    <t>1349458</t>
  </si>
  <si>
    <t>2019081115:37:03</t>
  </si>
  <si>
    <t>2019081413:30:12</t>
  </si>
  <si>
    <t>2019081116:30:56</t>
  </si>
  <si>
    <t>2019081614:11:08</t>
  </si>
  <si>
    <t>2019081116:32:08</t>
  </si>
  <si>
    <t>2019081609:28:54</t>
  </si>
  <si>
    <t>2019081117:18:54</t>
  </si>
  <si>
    <t>2019081608:17:57</t>
  </si>
  <si>
    <t>2019081415:44:30</t>
  </si>
  <si>
    <t>2019081814:56:10</t>
  </si>
  <si>
    <t>2019081514:12:23</t>
  </si>
  <si>
    <t>2019082208:36:24</t>
  </si>
  <si>
    <t>2019081615:28:08</t>
  </si>
  <si>
    <t>2019082214:31:22</t>
  </si>
  <si>
    <t>1349778</t>
  </si>
  <si>
    <t>2019081814:17:44</t>
  </si>
  <si>
    <t>2019082809:11:09</t>
  </si>
  <si>
    <t>1331515</t>
  </si>
  <si>
    <t>2019081815:07:22</t>
  </si>
  <si>
    <t>2019082113:38:58</t>
  </si>
  <si>
    <t>1331502</t>
  </si>
  <si>
    <t>2019081815:17:36</t>
  </si>
  <si>
    <t>2019082208:53:29</t>
  </si>
  <si>
    <t>1331508</t>
  </si>
  <si>
    <t>2019081815:45:13</t>
  </si>
  <si>
    <t>2019081913:31:11</t>
  </si>
  <si>
    <t>1331926</t>
  </si>
  <si>
    <t>2019082008:47:19</t>
  </si>
  <si>
    <t>2019082514:13:32</t>
  </si>
  <si>
    <t>1331762</t>
  </si>
  <si>
    <t>2019082016:55:16</t>
  </si>
  <si>
    <t>2019082315:03:35</t>
  </si>
  <si>
    <t>1333153</t>
  </si>
  <si>
    <t>2019082315:45:38</t>
  </si>
  <si>
    <t>2019082713:35:56</t>
  </si>
  <si>
    <t>2019082317:01:12</t>
  </si>
  <si>
    <t>2019082713:38:55</t>
  </si>
  <si>
    <t>2019082514:49:46</t>
  </si>
  <si>
    <t>2019082914:18:46</t>
  </si>
  <si>
    <r>
      <rPr>
        <sz val="9"/>
        <color rgb="FF333333"/>
        <rFont val="Times New Roman"/>
        <family val="1"/>
      </rPr>
      <t>56</t>
    </r>
    <r>
      <rPr>
        <sz val="9"/>
        <color rgb="FF333333"/>
        <rFont val="Microsoft YaHei Light"/>
        <family val="2"/>
        <charset val="134"/>
      </rPr>
      <t>岁</t>
    </r>
  </si>
  <si>
    <t>2019082515:16:24</t>
  </si>
  <si>
    <t>2019082913:52:05</t>
  </si>
  <si>
    <t>2019082515:47:28</t>
  </si>
  <si>
    <t>2019082914:07:25</t>
  </si>
  <si>
    <t>1333921</t>
  </si>
  <si>
    <t>2019082516:01:12</t>
  </si>
  <si>
    <t>2019082913:46:41</t>
  </si>
  <si>
    <t>2019082516:32:07</t>
  </si>
  <si>
    <t>2019082714:23:26</t>
  </si>
  <si>
    <t>1334087</t>
  </si>
  <si>
    <t>2019082612:18:14</t>
  </si>
  <si>
    <t>2019102307:58:18</t>
  </si>
  <si>
    <t>1334097</t>
  </si>
  <si>
    <t>2019082613:07:53</t>
  </si>
  <si>
    <t>2019083008:20:40</t>
  </si>
  <si>
    <t>2019082717:37:00</t>
  </si>
  <si>
    <t>2019090309:05:09</t>
  </si>
  <si>
    <t>2019083009:11:36</t>
  </si>
  <si>
    <t>2019090114:28:16</t>
  </si>
  <si>
    <t>2019083015:00:09</t>
  </si>
  <si>
    <t>2019091210:19:11</t>
  </si>
  <si>
    <t>2019083016:16:48</t>
  </si>
  <si>
    <t>2019090413:39:01</t>
  </si>
  <si>
    <t>2019090112:28:29</t>
  </si>
  <si>
    <t>2019090714:18:46</t>
  </si>
  <si>
    <t>1335873</t>
  </si>
  <si>
    <t>2019090115:14:45</t>
  </si>
  <si>
    <t>2019090413:30:35</t>
  </si>
  <si>
    <t>2019090116:10:08</t>
  </si>
  <si>
    <t>2019090714:19:26</t>
  </si>
  <si>
    <t>2019090116:54:44</t>
  </si>
  <si>
    <t>2019090214:47:12</t>
  </si>
  <si>
    <t>1333495</t>
  </si>
  <si>
    <t>2019090117:04:14</t>
  </si>
  <si>
    <t>2019090412:57:33</t>
  </si>
  <si>
    <t>2019090117:07:41</t>
  </si>
  <si>
    <t>2019090714:19:39</t>
  </si>
  <si>
    <t>2019090209:53:18</t>
  </si>
  <si>
    <t>2019090913:58:20</t>
  </si>
  <si>
    <t>2019090213:54:06</t>
  </si>
  <si>
    <t>2019090613:31:59</t>
  </si>
  <si>
    <t>2019090214:56:44</t>
  </si>
  <si>
    <t>2019090709:08:21</t>
  </si>
  <si>
    <t>2019090215:10:08</t>
  </si>
  <si>
    <t>2019090714:09:47</t>
  </si>
  <si>
    <t>2019090215:34:38</t>
  </si>
  <si>
    <t>2019090614:04:33</t>
  </si>
  <si>
    <t>2019090316:14:20</t>
  </si>
  <si>
    <t>2019090913:28:08</t>
  </si>
  <si>
    <t>2019090414:59:36</t>
  </si>
  <si>
    <t>2019090807:54:53</t>
  </si>
  <si>
    <t>2019090615:27:40</t>
  </si>
  <si>
    <t>2019091114:00:29</t>
  </si>
  <si>
    <t>2019090616:18:14</t>
  </si>
  <si>
    <t>2019091213:30:29</t>
  </si>
  <si>
    <t>2019090616:26:48</t>
  </si>
  <si>
    <t>2019091013:27:55</t>
  </si>
  <si>
    <t>2019090617:12:37</t>
  </si>
  <si>
    <t>2019091113:19:47</t>
  </si>
  <si>
    <t>2019090813:05:53</t>
  </si>
  <si>
    <t>2019091408:12:53</t>
  </si>
  <si>
    <t>1338313</t>
  </si>
  <si>
    <t>2019090814:25:48</t>
  </si>
  <si>
    <t>2019091414:44:10</t>
  </si>
  <si>
    <t>2019090815:03:02</t>
  </si>
  <si>
    <t>2019091415:18:49</t>
  </si>
  <si>
    <t>2019090815:10:33</t>
  </si>
  <si>
    <t>2019091409:06:08</t>
  </si>
  <si>
    <t>2019090815:11:56</t>
  </si>
  <si>
    <t>2019091309:00:24</t>
  </si>
  <si>
    <t>2019090816:20:11</t>
  </si>
  <si>
    <t>2019091407:44:55</t>
  </si>
  <si>
    <t>2019090816:45:34</t>
  </si>
  <si>
    <t>2019091309:16:59</t>
  </si>
  <si>
    <t>2019090820:31:45</t>
  </si>
  <si>
    <t>2019091308:57:07</t>
  </si>
  <si>
    <t>2019090910:16:33</t>
  </si>
  <si>
    <t>2019091311:12:49</t>
  </si>
  <si>
    <t>2019090915:36:48</t>
  </si>
  <si>
    <t>2019091414:06:48</t>
  </si>
  <si>
    <t>2019091009:22:42</t>
  </si>
  <si>
    <t>2019091308:55:55</t>
  </si>
  <si>
    <t>2019091010:37:44</t>
  </si>
  <si>
    <t>2019091707:57:06</t>
  </si>
  <si>
    <t>2019091315:14:40</t>
  </si>
  <si>
    <t>2019092113:27:18</t>
  </si>
  <si>
    <t>2019091408:02:15</t>
  </si>
  <si>
    <t>2019091814:14:57</t>
  </si>
  <si>
    <t>2019091408:25:34</t>
  </si>
  <si>
    <t>2019091907:53:32</t>
  </si>
  <si>
    <t>1339383</t>
  </si>
  <si>
    <t>2019091514:17:52</t>
  </si>
  <si>
    <t>2019092013:05:28</t>
  </si>
  <si>
    <t>1339400</t>
  </si>
  <si>
    <t>2019091514:41:24</t>
  </si>
  <si>
    <t>2019091908:20:29</t>
  </si>
  <si>
    <t>2019091515:23:14</t>
  </si>
  <si>
    <t>2019092114:21:04</t>
  </si>
  <si>
    <t>2019091516:21:00</t>
  </si>
  <si>
    <t>2019092108:53:47</t>
  </si>
  <si>
    <t>2019091517:31:53</t>
  </si>
  <si>
    <t>2019092108:13:46</t>
  </si>
  <si>
    <t>1339600</t>
  </si>
  <si>
    <t>2019091609:48:32</t>
  </si>
  <si>
    <t>2019091909:03:08</t>
  </si>
  <si>
    <t>2019091614:50:32</t>
  </si>
  <si>
    <t>2019091813:33:01</t>
  </si>
  <si>
    <t>2019091615:36:53</t>
  </si>
  <si>
    <t>2019092114:32:29</t>
  </si>
  <si>
    <t>1340139</t>
  </si>
  <si>
    <t>2019091615:58:03</t>
  </si>
  <si>
    <t>2019092115:21:32</t>
  </si>
  <si>
    <t>2019091617:22:11</t>
  </si>
  <si>
    <t>2019092013:22:46</t>
  </si>
  <si>
    <t>2019091717:17:33</t>
  </si>
  <si>
    <t>2019092108:58:44</t>
  </si>
  <si>
    <t>2019091814:51:32</t>
  </si>
  <si>
    <t>2019092213:19:08</t>
  </si>
  <si>
    <t>2019091815:59:55</t>
  </si>
  <si>
    <t>2019092213:33:45</t>
  </si>
  <si>
    <t>2019091908:50:41</t>
  </si>
  <si>
    <t>2019092413:14:26</t>
  </si>
  <si>
    <t>1342058</t>
  </si>
  <si>
    <t>2019092015:47:56</t>
  </si>
  <si>
    <t>2019092514:19:19</t>
  </si>
  <si>
    <t>2019092016:20:32</t>
  </si>
  <si>
    <t>2019092413:35:50</t>
  </si>
  <si>
    <t>2019092114:27:44</t>
  </si>
  <si>
    <t>2019092713:07:12</t>
  </si>
  <si>
    <t>2019092210:25:44</t>
  </si>
  <si>
    <t>2019092813:32:54</t>
  </si>
  <si>
    <t>2019092213:10:21</t>
  </si>
  <si>
    <t>2019092808:59:13</t>
  </si>
  <si>
    <r>
      <rPr>
        <sz val="9"/>
        <color rgb="FF333333"/>
        <rFont val="Times New Roman"/>
        <family val="1"/>
      </rPr>
      <t>11</t>
    </r>
    <r>
      <rPr>
        <sz val="9"/>
        <color rgb="FF333333"/>
        <rFont val="Microsoft YaHei Light"/>
        <family val="2"/>
        <charset val="134"/>
      </rPr>
      <t>岁</t>
    </r>
  </si>
  <si>
    <t>2019092215:06:52</t>
  </si>
  <si>
    <t>2019092808:51:30</t>
  </si>
  <si>
    <t>1342353</t>
  </si>
  <si>
    <t>2019092215:16:58</t>
  </si>
  <si>
    <t>2019092813:15:35</t>
  </si>
  <si>
    <t>1339453</t>
  </si>
  <si>
    <t>2019092215:27:18</t>
  </si>
  <si>
    <t>2019092713:01:52</t>
  </si>
  <si>
    <t>1341008</t>
  </si>
  <si>
    <t>2019092216:22:15</t>
  </si>
  <si>
    <t>2019092513:48:05</t>
  </si>
  <si>
    <t>2019092216:51:25</t>
  </si>
  <si>
    <t>2019092814:20:07</t>
  </si>
  <si>
    <t>2019092217:20:48</t>
  </si>
  <si>
    <t>2019092613:21:43</t>
  </si>
  <si>
    <t>2019092314:51:41</t>
  </si>
  <si>
    <t>2019092713:29:54</t>
  </si>
  <si>
    <t>2019092315:21:29</t>
  </si>
  <si>
    <t>2019092714:15:02</t>
  </si>
  <si>
    <t>2019092410:05:58</t>
  </si>
  <si>
    <t>2019092913:05:01</t>
  </si>
  <si>
    <t>2019092416:09:33</t>
  </si>
  <si>
    <t>2019092813:53:45</t>
  </si>
  <si>
    <t>2019092416:31:17</t>
  </si>
  <si>
    <t>2019092813:49:28</t>
  </si>
  <si>
    <t>2019092417:56:30</t>
  </si>
  <si>
    <t>2019092815:13:27</t>
  </si>
  <si>
    <t>2019092514:18:46</t>
  </si>
  <si>
    <t>2019093008:52:10</t>
  </si>
  <si>
    <t>2019092514:32:35</t>
  </si>
  <si>
    <t>2019093013:04:52</t>
  </si>
  <si>
    <t>1343304</t>
  </si>
  <si>
    <t>2019092514:32:57</t>
  </si>
  <si>
    <t>2019092913:17:55</t>
  </si>
  <si>
    <t>2019092514:57:18</t>
  </si>
  <si>
    <t>2019092913:00:21</t>
  </si>
  <si>
    <t>1343319</t>
  </si>
  <si>
    <t>2019092515:39:30</t>
  </si>
  <si>
    <t>2019092913:01:33</t>
  </si>
  <si>
    <t>1341168</t>
  </si>
  <si>
    <t>2019092518:26:55</t>
  </si>
  <si>
    <t>2019092913:19:50</t>
  </si>
  <si>
    <t>2019092709:08:35</t>
  </si>
  <si>
    <t>2019093014:34:20</t>
  </si>
  <si>
    <t>0977968</t>
  </si>
  <si>
    <t>2019100419:53:11</t>
  </si>
  <si>
    <t>2019101013:39:29</t>
  </si>
  <si>
    <t>2019100713:26:42</t>
  </si>
  <si>
    <t>2019101413:23:20</t>
  </si>
  <si>
    <t>2019100714:11:11</t>
  </si>
  <si>
    <t>2019101413:26:31</t>
  </si>
  <si>
    <t>2019100815:48:05</t>
  </si>
  <si>
    <t>2019101113:42:03</t>
  </si>
  <si>
    <t>1345812</t>
  </si>
  <si>
    <t>2019100815:48:49</t>
  </si>
  <si>
    <t>2019101113:15:25</t>
  </si>
  <si>
    <t>2019100908:00:59</t>
  </si>
  <si>
    <t>2019101508:07:03</t>
  </si>
  <si>
    <t>2019101113:36:59</t>
  </si>
  <si>
    <t>2019101713:34:00</t>
  </si>
  <si>
    <t>2019101113:45:00</t>
  </si>
  <si>
    <t>2019101814:05:34</t>
  </si>
  <si>
    <t>2019101114:54:08</t>
  </si>
  <si>
    <t>2019101613:59:09</t>
  </si>
  <si>
    <t>2019101115:26:54</t>
  </si>
  <si>
    <t>2019101714:59:05</t>
  </si>
  <si>
    <t>2019101115:35:53</t>
  </si>
  <si>
    <t>2019101613:54:23</t>
  </si>
  <si>
    <t>2019101207:55:28</t>
  </si>
  <si>
    <t>2019101914:14:06</t>
  </si>
  <si>
    <t>2019101208:21:39</t>
  </si>
  <si>
    <t>2019101713:03:30</t>
  </si>
  <si>
    <t>2019101308:13:07</t>
  </si>
  <si>
    <t>2019112013:44:26</t>
  </si>
  <si>
    <t>2019101309:45:38</t>
  </si>
  <si>
    <t>2019102008:07:33</t>
  </si>
  <si>
    <t>1345467</t>
  </si>
  <si>
    <t>2019101311:14:19</t>
  </si>
  <si>
    <t>2019101713:09:40</t>
  </si>
  <si>
    <t>2019101312:01:57</t>
  </si>
  <si>
    <t>2019101913:54:26</t>
  </si>
  <si>
    <t>2019101313:32:01</t>
  </si>
  <si>
    <t>2019101913:16:41</t>
  </si>
  <si>
    <t>2019101315:44:37</t>
  </si>
  <si>
    <t>2019102110:30:05</t>
  </si>
  <si>
    <t>1347933</t>
  </si>
  <si>
    <t>2019101415:07:32</t>
  </si>
  <si>
    <t>2019101813:16:39</t>
  </si>
  <si>
    <t>1344106</t>
  </si>
  <si>
    <t>2019101417:10:19</t>
  </si>
  <si>
    <t>2019101909:31:50</t>
  </si>
  <si>
    <t>2019101514:29:47</t>
  </si>
  <si>
    <t>2019102009:58:03</t>
  </si>
  <si>
    <t>2019101615:07:55</t>
  </si>
  <si>
    <t>2019102213:25:27</t>
  </si>
  <si>
    <t>2019101615:41:03</t>
  </si>
  <si>
    <t>2019102113:02:44</t>
  </si>
  <si>
    <t>2019101616:29:23</t>
  </si>
  <si>
    <t>2019102113:00:44</t>
  </si>
  <si>
    <t>2019101714:00:04</t>
  </si>
  <si>
    <t>2019102215:20:08</t>
  </si>
  <si>
    <t>2019101715:21:26</t>
  </si>
  <si>
    <t>2019101913:49:55</t>
  </si>
  <si>
    <t>2019101810:40:58</t>
  </si>
  <si>
    <t>2019102613:34:01</t>
  </si>
  <si>
    <t>2019101813:34:44</t>
  </si>
  <si>
    <t>2019102313:14:10</t>
  </si>
  <si>
    <t>2019101815:39:32</t>
  </si>
  <si>
    <t>2019102313:07:46</t>
  </si>
  <si>
    <t>2019101815:44:24</t>
  </si>
  <si>
    <t>2019102412:59:18</t>
  </si>
  <si>
    <t>2019101815:56:21</t>
  </si>
  <si>
    <t>2019102313:45:48</t>
  </si>
  <si>
    <t>2019101909:05:25</t>
  </si>
  <si>
    <t>2019102113:15:31</t>
  </si>
  <si>
    <t>2019102013:43:43</t>
  </si>
  <si>
    <t>2019102614:28:50</t>
  </si>
  <si>
    <t>2019102014:31:31</t>
  </si>
  <si>
    <t>2019102615:23:44</t>
  </si>
  <si>
    <t>2019102016:00:14</t>
  </si>
  <si>
    <t>2019102614:19:51</t>
  </si>
  <si>
    <t>1347836</t>
  </si>
  <si>
    <t>2019102016:19:46</t>
  </si>
  <si>
    <t>2019102407:59:22</t>
  </si>
  <si>
    <t>2019102113:38:56</t>
  </si>
  <si>
    <t>2019102713:07:07</t>
  </si>
  <si>
    <t>2019102114:56:06</t>
  </si>
  <si>
    <t>2019102413:08:42</t>
  </si>
  <si>
    <t>1354759</t>
  </si>
  <si>
    <t>2019102115:23:03</t>
  </si>
  <si>
    <t>2019102513:14:56</t>
  </si>
  <si>
    <t>2019102415:17:49</t>
  </si>
  <si>
    <t>2019102908:08:55</t>
  </si>
  <si>
    <r>
      <rPr>
        <sz val="9"/>
        <color rgb="FF333333"/>
        <rFont val="Times New Roman"/>
        <family val="1"/>
      </rPr>
      <t>12</t>
    </r>
    <r>
      <rPr>
        <sz val="9"/>
        <color rgb="FF333333"/>
        <rFont val="Microsoft YaHei Light"/>
        <family val="2"/>
        <charset val="134"/>
      </rPr>
      <t>岁</t>
    </r>
  </si>
  <si>
    <t>2019102421:13:02</t>
  </si>
  <si>
    <t>2019102912:59:06</t>
  </si>
  <si>
    <t>1347023</t>
  </si>
  <si>
    <t>2019102520:13:40</t>
  </si>
  <si>
    <t>2019102913:30:54</t>
  </si>
  <si>
    <t>2019102713:55:18</t>
  </si>
  <si>
    <t>2019110112:54:55</t>
  </si>
  <si>
    <t>2019102714:34:50</t>
  </si>
  <si>
    <t>2019110213:57:51</t>
  </si>
  <si>
    <t>2019102715:16:12</t>
  </si>
  <si>
    <t>2019110112:52:29</t>
  </si>
  <si>
    <t>2019102715:23:40</t>
  </si>
  <si>
    <t>2019110112:49:47</t>
  </si>
  <si>
    <t>2019102715:28:39</t>
  </si>
  <si>
    <t>2019103114:53:40</t>
  </si>
  <si>
    <t>2019102716:37:14</t>
  </si>
  <si>
    <t>2019110114:16:31</t>
  </si>
  <si>
    <t>2019102812:52:25</t>
  </si>
  <si>
    <t>2019110112:39:39</t>
  </si>
  <si>
    <t>2019102815:19:29</t>
  </si>
  <si>
    <t>2019103113:17:19</t>
  </si>
  <si>
    <t>1356979</t>
  </si>
  <si>
    <t>2019102816:11:58</t>
  </si>
  <si>
    <t>2019103013:23:34</t>
  </si>
  <si>
    <t>2019102914:17:06</t>
  </si>
  <si>
    <t>2019120613:23:49</t>
  </si>
  <si>
    <t>2019102918:48:26</t>
  </si>
  <si>
    <t>2019110215:33:23</t>
  </si>
  <si>
    <t>2019103008:18:59</t>
  </si>
  <si>
    <t>2019110413:01:03</t>
  </si>
  <si>
    <t>1360527</t>
  </si>
  <si>
    <t>2019103013:04:51</t>
  </si>
  <si>
    <t>2019110309:08:54</t>
  </si>
  <si>
    <t>2019103108:16:36</t>
  </si>
  <si>
    <t>2019110413:29:41</t>
  </si>
  <si>
    <t>1358083</t>
  </si>
  <si>
    <t>2019103115:39:11</t>
  </si>
  <si>
    <t>2019110613:31:28</t>
  </si>
  <si>
    <t>2019103115:47:40</t>
  </si>
  <si>
    <t>2019110613:21:02</t>
  </si>
  <si>
    <t>2019110115:49:06</t>
  </si>
  <si>
    <t>2019110614:23:20</t>
  </si>
  <si>
    <t>1358191</t>
  </si>
  <si>
    <t>2019110115:57:11</t>
  </si>
  <si>
    <t>2019110513:33:22</t>
  </si>
  <si>
    <t>2019110313:07:27</t>
  </si>
  <si>
    <t>2019110713:06:26</t>
  </si>
  <si>
    <t>2019110315:07:02</t>
  </si>
  <si>
    <t>2019111410:57:09</t>
  </si>
  <si>
    <t>1357229</t>
  </si>
  <si>
    <t>2019110315:12:29</t>
  </si>
  <si>
    <t>2019110808:18:31</t>
  </si>
  <si>
    <t>2019110315:30:24</t>
  </si>
  <si>
    <t>2019110813:57:00</t>
  </si>
  <si>
    <t>2019110411:37:56</t>
  </si>
  <si>
    <t>2019110908:54:21</t>
  </si>
  <si>
    <t>2019110414:38:12</t>
  </si>
  <si>
    <t>2019110814:10:33</t>
  </si>
  <si>
    <t>2019110609:55:14</t>
  </si>
  <si>
    <t>2019111113:10:59</t>
  </si>
  <si>
    <t>2019110610:56:48</t>
  </si>
  <si>
    <t>2019111213:03:37</t>
  </si>
  <si>
    <t>2019110612:24:07</t>
  </si>
  <si>
    <t>2019111114:17:12</t>
  </si>
  <si>
    <t>2019110613:18:28</t>
  </si>
  <si>
    <t>2019111113:40:15</t>
  </si>
  <si>
    <t>2019110615:02:30</t>
  </si>
  <si>
    <t>2019111113:25:11</t>
  </si>
  <si>
    <t>1360652</t>
  </si>
  <si>
    <t>2019110615:35:12</t>
  </si>
  <si>
    <t>2019111013:17:13</t>
  </si>
  <si>
    <t>1360206</t>
  </si>
  <si>
    <t>2019110708:10:02</t>
  </si>
  <si>
    <t>2019111013:33:19</t>
  </si>
  <si>
    <t>1360733</t>
  </si>
  <si>
    <t>2019110715:33:53</t>
  </si>
  <si>
    <t>2019110913:33:53</t>
  </si>
  <si>
    <t>2019110715:57:09</t>
  </si>
  <si>
    <t>2019111412:59:02</t>
  </si>
  <si>
    <t>1360280</t>
  </si>
  <si>
    <t>2019110716:19:02</t>
  </si>
  <si>
    <t>2019111109:14:09</t>
  </si>
  <si>
    <t>1360788</t>
  </si>
  <si>
    <t>2019110812:06:18</t>
  </si>
  <si>
    <t>2019111608:57:35</t>
  </si>
  <si>
    <t>2019110814:16:41</t>
  </si>
  <si>
    <t>2019111414:28:42</t>
  </si>
  <si>
    <t>2019110816:07:04</t>
  </si>
  <si>
    <t>2019111513:20:03</t>
  </si>
  <si>
    <t>2019110821:21:35</t>
  </si>
  <si>
    <t>2019111513:45:31</t>
  </si>
  <si>
    <t>2019111014:46:39</t>
  </si>
  <si>
    <t>2019111711:44:06</t>
  </si>
  <si>
    <t>1361181</t>
  </si>
  <si>
    <t>2019111015:09:23</t>
  </si>
  <si>
    <t>2019111711:46:45</t>
  </si>
  <si>
    <t>1361184</t>
  </si>
  <si>
    <t>2019111015:42:05</t>
  </si>
  <si>
    <t>2019111514:32:50</t>
  </si>
  <si>
    <t>取内固定</t>
  </si>
  <si>
    <t>2019111108:56:05</t>
  </si>
  <si>
    <t>2019111614:40:01</t>
  </si>
  <si>
    <t>未手术</t>
  </si>
  <si>
    <t>1358728</t>
  </si>
  <si>
    <t>2019111123:13:48</t>
  </si>
  <si>
    <t>2019111613:06:12</t>
  </si>
  <si>
    <t>2019111215:57:58</t>
  </si>
  <si>
    <t>2019111907:59:51</t>
  </si>
  <si>
    <r>
      <rPr>
        <sz val="9"/>
        <color rgb="FF333333"/>
        <rFont val="Times New Roman"/>
        <family val="1"/>
      </rPr>
      <t>60</t>
    </r>
    <r>
      <rPr>
        <sz val="9"/>
        <color rgb="FF333333"/>
        <rFont val="Microsoft YaHei Light"/>
        <family val="2"/>
        <charset val="134"/>
      </rPr>
      <t>岁</t>
    </r>
  </si>
  <si>
    <t>1358752</t>
  </si>
  <si>
    <t>2019111218:40:52</t>
  </si>
  <si>
    <t>2019111808:17:20</t>
  </si>
  <si>
    <t>1358771</t>
  </si>
  <si>
    <t>2019111221:18:56</t>
  </si>
  <si>
    <t>2019111913:38:53</t>
  </si>
  <si>
    <t>2019111223:11:37</t>
  </si>
  <si>
    <t>2019111913:52:06</t>
  </si>
  <si>
    <t>2019111314:34:58</t>
  </si>
  <si>
    <t>2019111913:02:21</t>
  </si>
  <si>
    <t>2019111415:51:53</t>
  </si>
  <si>
    <t>2019112113:00:09</t>
  </si>
  <si>
    <r>
      <rPr>
        <sz val="9"/>
        <rFont val="宋体"/>
        <family val="3"/>
        <charset val="134"/>
      </rPr>
      <t>左膝</t>
    </r>
    <r>
      <rPr>
        <sz val="9"/>
        <rFont val="Times New Roman"/>
        <family val="1"/>
      </rPr>
      <t>ACL</t>
    </r>
    <r>
      <rPr>
        <sz val="9"/>
        <rFont val="宋体"/>
        <family val="3"/>
        <charset val="134"/>
      </rPr>
      <t>、</t>
    </r>
    <r>
      <rPr>
        <sz val="9"/>
        <rFont val="Times New Roman"/>
        <family val="1"/>
      </rPr>
      <t>MCL</t>
    </r>
    <r>
      <rPr>
        <sz val="9"/>
        <rFont val="宋体"/>
        <family val="3"/>
        <charset val="134"/>
      </rPr>
      <t>损伤</t>
    </r>
  </si>
  <si>
    <t>2019111512:53:31</t>
  </si>
  <si>
    <t>2019111913:53:33</t>
  </si>
  <si>
    <t>2019111515:36:00</t>
  </si>
  <si>
    <t>2019112213:24:33</t>
  </si>
  <si>
    <t>2019111519:21:41</t>
  </si>
  <si>
    <t>2019112309:38:12</t>
  </si>
  <si>
    <t>2019111714:16:43</t>
  </si>
  <si>
    <t>2019112308:42:08</t>
  </si>
  <si>
    <t>2019111714:47:39</t>
  </si>
  <si>
    <t>2019112409:05:32</t>
  </si>
  <si>
    <t>1363711</t>
  </si>
  <si>
    <t>2019111715:03:05</t>
  </si>
  <si>
    <t>2019112313:18:35</t>
  </si>
  <si>
    <t>2019111814:22:18</t>
  </si>
  <si>
    <t>2019112508:50:28</t>
  </si>
  <si>
    <t>2019111815:14:12</t>
  </si>
  <si>
    <t>2019112508:03:10</t>
  </si>
  <si>
    <t>2019111816:30:51</t>
  </si>
  <si>
    <t>2019112308:55:04</t>
  </si>
  <si>
    <t>2019111913:07:33</t>
  </si>
  <si>
    <t>2019112513:10:13</t>
  </si>
  <si>
    <t>2019111913:34:38</t>
  </si>
  <si>
    <t>2019112413:37:32</t>
  </si>
  <si>
    <t>2019111914:35:34</t>
  </si>
  <si>
    <t>2019112608:32:41</t>
  </si>
  <si>
    <t>2019111915:29:48</t>
  </si>
  <si>
    <t>2019112513:27:22</t>
  </si>
  <si>
    <t>左膝ACL MPFL</t>
  </si>
  <si>
    <t>2019112013:33:31</t>
  </si>
  <si>
    <t>2019112614:20:21</t>
  </si>
  <si>
    <t>2019112016:10:18</t>
  </si>
  <si>
    <t>2019112612:58:49</t>
  </si>
  <si>
    <t>1362528</t>
  </si>
  <si>
    <t>2019112018:14:34</t>
  </si>
  <si>
    <t>2019112707:37:37</t>
  </si>
  <si>
    <t>2019112116:52:58</t>
  </si>
  <si>
    <t>2019112713:10:57</t>
  </si>
  <si>
    <t>2019112216:14:08</t>
  </si>
  <si>
    <t>2019120616:09:41</t>
  </si>
  <si>
    <t>2019112216:17:32</t>
  </si>
  <si>
    <t>2019112713:16:59</t>
  </si>
  <si>
    <t>1365181</t>
  </si>
  <si>
    <t>2019112313:27:21</t>
  </si>
  <si>
    <t>2020011008:01:22</t>
  </si>
  <si>
    <t>粘连松解</t>
  </si>
  <si>
    <t>2019112313:39:28</t>
  </si>
  <si>
    <t>2019113014:44:32</t>
  </si>
  <si>
    <t>2019112314:26:47</t>
  </si>
  <si>
    <t>2019112813:24:45</t>
  </si>
  <si>
    <t>2019112315:01:27</t>
  </si>
  <si>
    <t>2019113013:45:08</t>
  </si>
  <si>
    <r>
      <rPr>
        <sz val="9"/>
        <rFont val="宋体"/>
        <family val="3"/>
        <charset val="134"/>
      </rPr>
      <t>右膝</t>
    </r>
    <r>
      <rPr>
        <sz val="9"/>
        <rFont val="Times New Roman"/>
        <family val="1"/>
      </rPr>
      <t>ACL MPFL</t>
    </r>
  </si>
  <si>
    <t>2019112414:39:54</t>
  </si>
  <si>
    <t>2019113013:30:11</t>
  </si>
  <si>
    <t>1363754</t>
  </si>
  <si>
    <t>2019112415:50:08</t>
  </si>
  <si>
    <t>2019112813:17:19</t>
  </si>
  <si>
    <t>2019112511:36:18</t>
  </si>
  <si>
    <t>2019120213:34:52</t>
  </si>
  <si>
    <r>
      <rPr>
        <sz val="9"/>
        <rFont val="宋体"/>
        <family val="3"/>
        <charset val="134"/>
      </rPr>
      <t>右膝</t>
    </r>
    <r>
      <rPr>
        <sz val="9"/>
        <rFont val="Times New Roman"/>
        <family val="1"/>
      </rPr>
      <t>ACL MCL</t>
    </r>
  </si>
  <si>
    <t>1366472</t>
  </si>
  <si>
    <t>2019112513:31:39</t>
  </si>
  <si>
    <t>2019112907:33:14</t>
  </si>
  <si>
    <t>骨折</t>
  </si>
  <si>
    <t>1366385</t>
  </si>
  <si>
    <t>2019112515:32:40</t>
  </si>
  <si>
    <t>2019120215:55:00</t>
  </si>
  <si>
    <t>2019112516:02:28</t>
  </si>
  <si>
    <t>2019113014:05:48</t>
  </si>
  <si>
    <t>1366882</t>
  </si>
  <si>
    <t>2019112615:30:03</t>
  </si>
  <si>
    <t>2019112912:48:06</t>
  </si>
  <si>
    <t>2019112616:16:49</t>
  </si>
  <si>
    <t>2019120214:42:26</t>
  </si>
  <si>
    <t>2019112813:56:16</t>
  </si>
  <si>
    <t>2019120214:31:16</t>
  </si>
  <si>
    <t>2019112814:54:57</t>
  </si>
  <si>
    <t>2019120408:23:58</t>
  </si>
  <si>
    <t>2019112817:12:43</t>
  </si>
  <si>
    <t>2019120413:03:16</t>
  </si>
  <si>
    <t>2019112913:35:59</t>
  </si>
  <si>
    <t>2019120213:30:16</t>
  </si>
  <si>
    <t>1367523</t>
  </si>
  <si>
    <t>2019112916:10:03</t>
  </si>
  <si>
    <t>2019120313:39:10</t>
  </si>
  <si>
    <t>1368038</t>
  </si>
  <si>
    <t>2019113015:20:00</t>
  </si>
  <si>
    <t>2019120413:24:29</t>
  </si>
  <si>
    <t>2019113018:03:47</t>
  </si>
  <si>
    <t>2019120513:16:29</t>
  </si>
  <si>
    <t>2019113021:05:57</t>
  </si>
  <si>
    <t>2019120313:49:39</t>
  </si>
  <si>
    <t>2019120114:23:39</t>
  </si>
  <si>
    <t>2019120809:36:58</t>
  </si>
  <si>
    <t>1363893</t>
  </si>
  <si>
    <t>2019120115:22:45</t>
  </si>
  <si>
    <t>2019120813:19:57</t>
  </si>
  <si>
    <t>2019120115:26:45</t>
  </si>
  <si>
    <t>2019120713:52:48</t>
  </si>
  <si>
    <t>2019120213:09:27</t>
  </si>
  <si>
    <t>2019120914:30:07</t>
  </si>
  <si>
    <t>1368661</t>
  </si>
  <si>
    <t>2019120216:00:46</t>
  </si>
  <si>
    <t>2019120714:09:39</t>
  </si>
  <si>
    <t>2019120216:01:00</t>
  </si>
  <si>
    <t>2019120813:28:23</t>
  </si>
  <si>
    <t>2019120217:20:35</t>
  </si>
  <si>
    <t>2019120813:14:57</t>
  </si>
  <si>
    <t>2019120313:28:54</t>
  </si>
  <si>
    <t>2019120811:11:07</t>
  </si>
  <si>
    <t>1365406</t>
  </si>
  <si>
    <t>2019120317:11:09</t>
  </si>
  <si>
    <t>2019121013:07:49</t>
  </si>
  <si>
    <t>骨折术后</t>
  </si>
  <si>
    <t>2019120317:44:11</t>
  </si>
  <si>
    <t>2019121013:49:26</t>
  </si>
  <si>
    <t>2019120318:14:24</t>
  </si>
  <si>
    <t>2019121015:09:33</t>
  </si>
  <si>
    <t>2019120409:36:36</t>
  </si>
  <si>
    <t>2019121207:56:43</t>
  </si>
  <si>
    <t>翻修</t>
  </si>
  <si>
    <t>2019120414:25:56</t>
  </si>
  <si>
    <t>2019121113:31:07</t>
  </si>
  <si>
    <t>2019120415:13:23</t>
  </si>
  <si>
    <t>2019121014:20:02</t>
  </si>
  <si>
    <t>2019120415:23:49</t>
  </si>
  <si>
    <t>2019120913:10:57</t>
  </si>
  <si>
    <t>2019120517:11:24</t>
  </si>
  <si>
    <t>2019121213:15:00</t>
  </si>
  <si>
    <t>1365505</t>
  </si>
  <si>
    <t>2019120519:18:54</t>
  </si>
  <si>
    <t>2019121213:21:36</t>
  </si>
  <si>
    <t>2019120718:13:13</t>
  </si>
  <si>
    <t>2019121513:48:32</t>
  </si>
  <si>
    <t>2019120813:54:28</t>
  </si>
  <si>
    <t>2019121413:54:18</t>
  </si>
  <si>
    <t>1368398</t>
  </si>
  <si>
    <t>2019120814:05:31</t>
  </si>
  <si>
    <t>2019121213:17:47</t>
  </si>
  <si>
    <t>2019120814:12:38</t>
  </si>
  <si>
    <t>2019121314:33:57</t>
  </si>
  <si>
    <t>髁间凹成形</t>
  </si>
  <si>
    <t>1365633</t>
  </si>
  <si>
    <t>2019120817:10:52</t>
  </si>
  <si>
    <t>2019121113:38:58</t>
  </si>
  <si>
    <t>2019120908:35:13</t>
  </si>
  <si>
    <t>2019121513:45:16</t>
  </si>
  <si>
    <t>2019120909:32:07</t>
  </si>
  <si>
    <t>2019121813:21:33</t>
  </si>
  <si>
    <t>2019120910:11:59</t>
  </si>
  <si>
    <t>2019121708:46:15</t>
  </si>
  <si>
    <t>0978336</t>
  </si>
  <si>
    <t>2019120915:14:21</t>
  </si>
  <si>
    <t>2019121813:23:46</t>
  </si>
  <si>
    <t>术后感染</t>
  </si>
  <si>
    <t>2019121008:01:53</t>
  </si>
  <si>
    <t>2019121609:34:27</t>
  </si>
  <si>
    <t>2019121010:29:30</t>
  </si>
  <si>
    <t>2019121713:22:39</t>
  </si>
  <si>
    <t>2019121014:58:05</t>
  </si>
  <si>
    <t>2019121509:46:38</t>
  </si>
  <si>
    <t>2019121015:35:57</t>
  </si>
  <si>
    <t>2019122113:44:27</t>
  </si>
  <si>
    <t>2019121214:58:22</t>
  </si>
  <si>
    <t>2019121713:45:54</t>
  </si>
  <si>
    <t>右膝ACL MPFL</t>
  </si>
  <si>
    <t>2019121309:10:53</t>
  </si>
  <si>
    <t>2019122613:59:33</t>
  </si>
  <si>
    <t>1372630</t>
  </si>
  <si>
    <t>2019121316:19:50</t>
  </si>
  <si>
    <t>2019121813:16:26</t>
  </si>
  <si>
    <t>ACL刺激增强</t>
  </si>
  <si>
    <t>1372631</t>
  </si>
  <si>
    <t>2019121316:19:57</t>
  </si>
  <si>
    <t>2019122013:06:03</t>
  </si>
  <si>
    <t>1372730</t>
  </si>
  <si>
    <t>2019121408:57:03</t>
  </si>
  <si>
    <t>2019121913:05:00</t>
  </si>
  <si>
    <t>2019121413:19:55</t>
  </si>
  <si>
    <t>2019121813:28:48</t>
  </si>
  <si>
    <t>1373124</t>
  </si>
  <si>
    <t>2019121517:04:33</t>
  </si>
  <si>
    <t>2019122013:29:29</t>
  </si>
  <si>
    <t>2019121517:39:07</t>
  </si>
  <si>
    <t>2019122209:31:49</t>
  </si>
  <si>
    <t>2019121520:08:13</t>
  </si>
  <si>
    <t>2019122213:42:34</t>
  </si>
  <si>
    <t>2019121608:43:27</t>
  </si>
  <si>
    <t>2019122309:44:51</t>
  </si>
  <si>
    <t>2019121614:22:02</t>
  </si>
  <si>
    <t>2019122014:08:24</t>
  </si>
  <si>
    <r>
      <rPr>
        <sz val="9"/>
        <rFont val="Times New Roman"/>
        <family val="1"/>
      </rPr>
      <t>ACL</t>
    </r>
    <r>
      <rPr>
        <sz val="9"/>
        <rFont val="宋体"/>
        <family val="3"/>
        <charset val="134"/>
      </rPr>
      <t>囊肿</t>
    </r>
  </si>
  <si>
    <t>1373633</t>
  </si>
  <si>
    <t>2019121619:32:30</t>
  </si>
  <si>
    <t>2019122109:32:36</t>
  </si>
  <si>
    <t>2019121712:44:32</t>
  </si>
  <si>
    <t>2019122413:45:20</t>
  </si>
  <si>
    <t>2019121714:26:10</t>
  </si>
  <si>
    <t>2019122309:03:41</t>
  </si>
  <si>
    <t>2019121715:19:35</t>
  </si>
  <si>
    <t>2019122407:59:13</t>
  </si>
  <si>
    <t>2019121715:55:31</t>
  </si>
  <si>
    <t>2019122313:06:54</t>
  </si>
  <si>
    <t>2019121719:07:57</t>
  </si>
  <si>
    <t>2019122313:12:05</t>
  </si>
  <si>
    <t>2019121720:44:43</t>
  </si>
  <si>
    <t>2019122213:46:59</t>
  </si>
  <si>
    <t>2019121913:26:16</t>
  </si>
  <si>
    <t>2019122408:22:06</t>
  </si>
  <si>
    <t>2019121919:24:35</t>
  </si>
  <si>
    <t>2019122509:55:43</t>
  </si>
  <si>
    <t>2019122007:55:08</t>
  </si>
  <si>
    <t>2019122613:48:31</t>
  </si>
  <si>
    <t>2019122015:16:25</t>
  </si>
  <si>
    <t>2019122613:37:14</t>
  </si>
  <si>
    <t>2019122113:42:12</t>
  </si>
  <si>
    <t>2019122813:55:11</t>
  </si>
  <si>
    <t>2019122213:15:36</t>
  </si>
  <si>
    <t>2019122814:17:45</t>
  </si>
  <si>
    <t>1375613</t>
  </si>
  <si>
    <t>2019122213:46:11</t>
  </si>
  <si>
    <t>2019122909:30:23</t>
  </si>
  <si>
    <t>2019122213:59:24</t>
  </si>
  <si>
    <t>2019122814:42:02</t>
  </si>
  <si>
    <r>
      <rPr>
        <sz val="9"/>
        <rFont val="Times New Roman"/>
        <family val="1"/>
      </rPr>
      <t>ACL</t>
    </r>
    <r>
      <rPr>
        <sz val="9"/>
        <rFont val="宋体"/>
        <family val="3"/>
        <charset val="134"/>
      </rPr>
      <t>止点骨折</t>
    </r>
  </si>
  <si>
    <t>2019122215:00:36</t>
  </si>
  <si>
    <t>2019122714:32:30</t>
  </si>
  <si>
    <t>2019122215:45:57</t>
  </si>
  <si>
    <t>2019122814:19:12</t>
  </si>
  <si>
    <t>2019122315:25:20</t>
  </si>
  <si>
    <t>2019122713:47:43</t>
  </si>
  <si>
    <t>2019122316:21:56</t>
  </si>
  <si>
    <t>2019122913:18:00</t>
  </si>
  <si>
    <t>2019122317:50:43</t>
  </si>
  <si>
    <t>2019122810:13:03</t>
  </si>
  <si>
    <t>2019122416:01:18</t>
  </si>
  <si>
    <t>2019123013:25:48</t>
  </si>
  <si>
    <t>2019122614:26:26</t>
  </si>
  <si>
    <t>2020010513:47:01</t>
  </si>
  <si>
    <t>2019122615:04:12</t>
  </si>
  <si>
    <t>2020010213:28:33</t>
  </si>
  <si>
    <t>2019122615:36:23</t>
  </si>
  <si>
    <t>2020010313:04:58</t>
  </si>
  <si>
    <t>2019122615:52:45</t>
  </si>
  <si>
    <t>2020010513:02:27</t>
  </si>
  <si>
    <t>2019122615:59:30</t>
  </si>
  <si>
    <t>2019122813:16:54</t>
  </si>
  <si>
    <r>
      <rPr>
        <sz val="9"/>
        <rFont val="Times New Roman"/>
        <family val="1"/>
      </rPr>
      <t>PCL</t>
    </r>
    <r>
      <rPr>
        <sz val="9"/>
        <rFont val="宋体"/>
        <family val="3"/>
        <charset val="134"/>
      </rPr>
      <t>重建</t>
    </r>
  </si>
  <si>
    <t>2019122715:28:10</t>
  </si>
  <si>
    <t>2020010213:15:34</t>
  </si>
  <si>
    <t>2019122715:39:30</t>
  </si>
  <si>
    <t>2020010508:43:01</t>
  </si>
  <si>
    <t>2019122812:20:23</t>
  </si>
  <si>
    <t>2020010510:01:02</t>
  </si>
  <si>
    <t>2019122814:21:35</t>
  </si>
  <si>
    <t>2020010413:06:31</t>
  </si>
  <si>
    <t>2019122814:23:27</t>
  </si>
  <si>
    <t>2020010414:07:34</t>
  </si>
  <si>
    <t>2019122913:42:57</t>
  </si>
  <si>
    <t>2020010614:06:57</t>
  </si>
  <si>
    <t>2019122914:22:53</t>
  </si>
  <si>
    <t>2020010614:59:55</t>
  </si>
  <si>
    <t>2019122914:37:10</t>
  </si>
  <si>
    <t>2020010413:57:33</t>
  </si>
  <si>
    <t>2019122917:53:48</t>
  </si>
  <si>
    <t>2020010308:48:44</t>
  </si>
  <si>
    <t>2019123010:02:29</t>
  </si>
  <si>
    <t>2020010508:35:31</t>
  </si>
  <si>
    <t>2019123115:51:29</t>
  </si>
  <si>
    <t>2020010613:18:11</t>
  </si>
  <si>
    <t>2019123121:19:26</t>
  </si>
  <si>
    <t>2020010909:28:18</t>
  </si>
  <si>
    <r>
      <rPr>
        <sz val="9"/>
        <color indexed="8"/>
        <rFont val="Microsoft YaHei Light"/>
        <family val="2"/>
        <charset val="134"/>
      </rPr>
      <t>住院号</t>
    </r>
  </si>
  <si>
    <r>
      <rPr>
        <sz val="9"/>
        <color indexed="8"/>
        <rFont val="Microsoft YaHei Light"/>
        <family val="2"/>
        <charset val="134"/>
      </rPr>
      <t>性别</t>
    </r>
  </si>
  <si>
    <r>
      <rPr>
        <sz val="9"/>
        <color indexed="8"/>
        <rFont val="Microsoft YaHei Light"/>
        <family val="2"/>
        <charset val="134"/>
      </rPr>
      <t>入区日期</t>
    </r>
  </si>
  <si>
    <r>
      <rPr>
        <sz val="9"/>
        <color indexed="8"/>
        <rFont val="Microsoft YaHei Light"/>
        <family val="2"/>
        <charset val="134"/>
      </rPr>
      <t>出院时间</t>
    </r>
  </si>
  <si>
    <r>
      <rPr>
        <sz val="9"/>
        <color indexed="8"/>
        <rFont val="Microsoft YaHei Light"/>
        <family val="2"/>
        <charset val="134"/>
      </rPr>
      <t>年龄</t>
    </r>
  </si>
  <si>
    <r>
      <rPr>
        <sz val="9"/>
        <color indexed="8"/>
        <rFont val="Microsoft YaHei Light"/>
        <family val="2"/>
        <charset val="134"/>
      </rPr>
      <t>影像号</t>
    </r>
  </si>
  <si>
    <r>
      <rPr>
        <sz val="9"/>
        <color indexed="8"/>
        <rFont val="Times New Roman"/>
        <family val="1"/>
      </rPr>
      <t xml:space="preserve"> MRI</t>
    </r>
    <r>
      <rPr>
        <sz val="9"/>
        <color rgb="FF000000"/>
        <rFont val="Microsoft YaHei Light"/>
        <family val="2"/>
        <charset val="134"/>
      </rPr>
      <t>数量</t>
    </r>
  </si>
  <si>
    <r>
      <rPr>
        <sz val="9"/>
        <color indexed="8"/>
        <rFont val="Times New Roman"/>
        <family val="1"/>
      </rPr>
      <t>CT</t>
    </r>
    <r>
      <rPr>
        <sz val="9"/>
        <color rgb="FF000000"/>
        <rFont val="Microsoft YaHei Light"/>
        <family val="2"/>
        <charset val="134"/>
      </rPr>
      <t>数量</t>
    </r>
  </si>
  <si>
    <r>
      <rPr>
        <sz val="9"/>
        <color indexed="8"/>
        <rFont val="Microsoft YaHei Light"/>
        <family val="2"/>
        <charset val="134"/>
      </rPr>
      <t>脱敏</t>
    </r>
  </si>
  <si>
    <r>
      <rPr>
        <sz val="10"/>
        <rFont val="Microsoft YaHei Light"/>
        <family val="2"/>
        <charset val="134"/>
      </rPr>
      <t>是否有</t>
    </r>
    <r>
      <rPr>
        <sz val="10"/>
        <rFont val="Times New Roman"/>
        <family val="1"/>
      </rPr>
      <t>MRI</t>
    </r>
  </si>
  <si>
    <r>
      <rPr>
        <sz val="10"/>
        <rFont val="Microsoft YaHei Light"/>
        <family val="2"/>
        <charset val="134"/>
      </rPr>
      <t>是否有</t>
    </r>
    <r>
      <rPr>
        <sz val="10"/>
        <rFont val="Times New Roman"/>
        <family val="1"/>
      </rPr>
      <t>CT</t>
    </r>
  </si>
  <si>
    <r>
      <rPr>
        <sz val="9"/>
        <color rgb="FF333333"/>
        <rFont val="Microsoft YaHei Light"/>
        <family val="2"/>
        <charset val="134"/>
      </rPr>
      <t>同时有</t>
    </r>
    <r>
      <rPr>
        <sz val="9"/>
        <color indexed="63"/>
        <rFont val="Times New Roman"/>
        <family val="1"/>
      </rPr>
      <t>MRI</t>
    </r>
    <r>
      <rPr>
        <sz val="9"/>
        <color rgb="FF333333"/>
        <rFont val="Microsoft YaHei Light"/>
        <family val="2"/>
        <charset val="134"/>
      </rPr>
      <t>和</t>
    </r>
    <r>
      <rPr>
        <sz val="9"/>
        <color indexed="63"/>
        <rFont val="Times New Roman"/>
        <family val="1"/>
      </rPr>
      <t>CT</t>
    </r>
  </si>
  <si>
    <r>
      <rPr>
        <sz val="9"/>
        <color indexed="63"/>
        <rFont val="Microsoft YaHei Light"/>
        <family val="2"/>
        <charset val="134"/>
      </rPr>
      <t>备注</t>
    </r>
  </si>
  <si>
    <r>
      <rPr>
        <sz val="9"/>
        <color indexed="63"/>
        <rFont val="Microsoft YaHei Light"/>
        <family val="2"/>
        <charset val="134"/>
      </rPr>
      <t>男</t>
    </r>
  </si>
  <si>
    <t>2020010115:28:16</t>
  </si>
  <si>
    <t>2020010614:37:30</t>
  </si>
  <si>
    <r>
      <rPr>
        <sz val="9"/>
        <color indexed="63"/>
        <rFont val="Times New Roman"/>
        <family val="1"/>
      </rPr>
      <t>23</t>
    </r>
    <r>
      <rPr>
        <sz val="9"/>
        <color indexed="63"/>
        <rFont val="Microsoft YaHei Light"/>
        <family val="2"/>
        <charset val="134"/>
      </rPr>
      <t>岁</t>
    </r>
  </si>
  <si>
    <r>
      <rPr>
        <sz val="9"/>
        <color indexed="63"/>
        <rFont val="Microsoft YaHei Light"/>
        <family val="2"/>
        <charset val="134"/>
      </rPr>
      <t>女</t>
    </r>
  </si>
  <si>
    <t>2020010221:01:15</t>
  </si>
  <si>
    <t>2020010709:40:15</t>
  </si>
  <si>
    <r>
      <rPr>
        <sz val="9"/>
        <color indexed="63"/>
        <rFont val="Times New Roman"/>
        <family val="1"/>
      </rPr>
      <t>36</t>
    </r>
    <r>
      <rPr>
        <sz val="9"/>
        <color indexed="63"/>
        <rFont val="Microsoft YaHei Light"/>
        <family val="2"/>
        <charset val="134"/>
      </rPr>
      <t>岁</t>
    </r>
  </si>
  <si>
    <t>2020010318:45:32</t>
  </si>
  <si>
    <t>2020010908:56:35</t>
  </si>
  <si>
    <r>
      <rPr>
        <sz val="9"/>
        <color indexed="63"/>
        <rFont val="Times New Roman"/>
        <family val="1"/>
      </rPr>
      <t>26</t>
    </r>
    <r>
      <rPr>
        <sz val="9"/>
        <color indexed="63"/>
        <rFont val="Microsoft YaHei Light"/>
        <family val="2"/>
        <charset val="134"/>
      </rPr>
      <t>岁</t>
    </r>
  </si>
  <si>
    <t>2020010514:21:49</t>
  </si>
  <si>
    <t>2020011114:21:39</t>
  </si>
  <si>
    <r>
      <rPr>
        <sz val="9"/>
        <color indexed="63"/>
        <rFont val="Times New Roman"/>
        <family val="1"/>
      </rPr>
      <t>19</t>
    </r>
    <r>
      <rPr>
        <sz val="9"/>
        <color indexed="63"/>
        <rFont val="Microsoft YaHei Light"/>
        <family val="2"/>
        <charset val="134"/>
      </rPr>
      <t>岁</t>
    </r>
  </si>
  <si>
    <t>2020010516:40:45</t>
  </si>
  <si>
    <t>2020011009:21:44</t>
  </si>
  <si>
    <r>
      <rPr>
        <sz val="9"/>
        <color indexed="63"/>
        <rFont val="Times New Roman"/>
        <family val="1"/>
      </rPr>
      <t>25</t>
    </r>
    <r>
      <rPr>
        <sz val="9"/>
        <color indexed="63"/>
        <rFont val="Microsoft YaHei Light"/>
        <family val="2"/>
        <charset val="134"/>
      </rPr>
      <t>岁</t>
    </r>
  </si>
  <si>
    <t>2020010814:56:32</t>
  </si>
  <si>
    <t>2020011313:16:20</t>
  </si>
  <si>
    <r>
      <rPr>
        <sz val="9"/>
        <color indexed="63"/>
        <rFont val="Times New Roman"/>
        <family val="1"/>
      </rPr>
      <t>38</t>
    </r>
    <r>
      <rPr>
        <sz val="9"/>
        <color indexed="63"/>
        <rFont val="Microsoft YaHei Light"/>
        <family val="2"/>
        <charset val="134"/>
      </rPr>
      <t>岁</t>
    </r>
  </si>
  <si>
    <t>2020010909:28:00</t>
  </si>
  <si>
    <t>2020011313:17:58</t>
  </si>
  <si>
    <t>2020010917:51:01</t>
  </si>
  <si>
    <t>2020011613:22:03</t>
  </si>
  <si>
    <r>
      <rPr>
        <sz val="9"/>
        <color indexed="63"/>
        <rFont val="Times New Roman"/>
        <family val="1"/>
      </rPr>
      <t>24</t>
    </r>
    <r>
      <rPr>
        <sz val="9"/>
        <color indexed="63"/>
        <rFont val="Microsoft YaHei Light"/>
        <family val="2"/>
        <charset val="134"/>
      </rPr>
      <t>岁</t>
    </r>
  </si>
  <si>
    <t>2020011008:55:43</t>
  </si>
  <si>
    <t>2020011513:31:21</t>
  </si>
  <si>
    <t>2020011115:11:33</t>
  </si>
  <si>
    <t>2020011814:04:34</t>
  </si>
  <si>
    <r>
      <rPr>
        <sz val="9"/>
        <color indexed="63"/>
        <rFont val="Times New Roman"/>
        <family val="1"/>
      </rPr>
      <t>17</t>
    </r>
    <r>
      <rPr>
        <sz val="9"/>
        <color indexed="63"/>
        <rFont val="Microsoft YaHei Light"/>
        <family val="2"/>
        <charset val="134"/>
      </rPr>
      <t>岁</t>
    </r>
  </si>
  <si>
    <t>2020011214:31:36</t>
  </si>
  <si>
    <t>2020011814:23:52</t>
  </si>
  <si>
    <r>
      <rPr>
        <sz val="9"/>
        <color indexed="63"/>
        <rFont val="Times New Roman"/>
        <family val="1"/>
      </rPr>
      <t>18</t>
    </r>
    <r>
      <rPr>
        <sz val="9"/>
        <color indexed="63"/>
        <rFont val="Microsoft YaHei Light"/>
        <family val="2"/>
        <charset val="134"/>
      </rPr>
      <t>岁</t>
    </r>
  </si>
  <si>
    <t>2020011214:31:25</t>
  </si>
  <si>
    <t>2020011613:35:47</t>
  </si>
  <si>
    <r>
      <rPr>
        <sz val="9"/>
        <color indexed="63"/>
        <rFont val="Times New Roman"/>
        <family val="1"/>
      </rPr>
      <t>20</t>
    </r>
    <r>
      <rPr>
        <sz val="9"/>
        <color indexed="63"/>
        <rFont val="Microsoft YaHei Light"/>
        <family val="2"/>
        <charset val="134"/>
      </rPr>
      <t>岁</t>
    </r>
  </si>
  <si>
    <t>2020011214:42:48</t>
  </si>
  <si>
    <t>2020011613:22:59</t>
  </si>
  <si>
    <t>2020011215:25:30</t>
  </si>
  <si>
    <t>2020011613:55:49</t>
  </si>
  <si>
    <r>
      <rPr>
        <sz val="9"/>
        <color indexed="63"/>
        <rFont val="Times New Roman"/>
        <family val="1"/>
      </rPr>
      <t>16</t>
    </r>
    <r>
      <rPr>
        <sz val="9"/>
        <color indexed="63"/>
        <rFont val="Microsoft YaHei Light"/>
        <family val="2"/>
        <charset val="134"/>
      </rPr>
      <t>岁</t>
    </r>
  </si>
  <si>
    <t>2020011215:59:10</t>
  </si>
  <si>
    <t>2020011909:09:51</t>
  </si>
  <si>
    <t>2020011313:47:36</t>
  </si>
  <si>
    <t>2020011713:31:04</t>
  </si>
  <si>
    <r>
      <rPr>
        <sz val="9"/>
        <color indexed="63"/>
        <rFont val="Times New Roman"/>
        <family val="1"/>
      </rPr>
      <t>21</t>
    </r>
    <r>
      <rPr>
        <sz val="9"/>
        <color indexed="63"/>
        <rFont val="Microsoft YaHei Light"/>
        <family val="2"/>
        <charset val="134"/>
      </rPr>
      <t>岁</t>
    </r>
  </si>
  <si>
    <t>2020011315:07:37</t>
  </si>
  <si>
    <t>2020011814:33:17</t>
  </si>
  <si>
    <t>2020011416:17:58</t>
  </si>
  <si>
    <t>2020011814:34:59</t>
  </si>
  <si>
    <t>2020011514:35:16</t>
  </si>
  <si>
    <t>2020012313:17:43</t>
  </si>
  <si>
    <r>
      <rPr>
        <sz val="9"/>
        <color indexed="63"/>
        <rFont val="Times New Roman"/>
        <family val="1"/>
      </rPr>
      <t>32</t>
    </r>
    <r>
      <rPr>
        <sz val="9"/>
        <color indexed="63"/>
        <rFont val="Microsoft YaHei Light"/>
        <family val="2"/>
        <charset val="134"/>
      </rPr>
      <t>岁</t>
    </r>
  </si>
  <si>
    <t>2020011616:06:00</t>
  </si>
  <si>
    <t>2020012308:36:34</t>
  </si>
  <si>
    <t>2020011617:09:49</t>
  </si>
  <si>
    <t>2020012214:50:55</t>
  </si>
  <si>
    <r>
      <rPr>
        <sz val="9"/>
        <color indexed="63"/>
        <rFont val="Times New Roman"/>
        <family val="1"/>
      </rPr>
      <t>22</t>
    </r>
    <r>
      <rPr>
        <sz val="9"/>
        <color indexed="63"/>
        <rFont val="Microsoft YaHei Light"/>
        <family val="2"/>
        <charset val="134"/>
      </rPr>
      <t>岁</t>
    </r>
  </si>
  <si>
    <t>2020011908:15:58</t>
  </si>
  <si>
    <t>2020012313:29:19</t>
  </si>
  <si>
    <t>2020031614:29:55</t>
  </si>
  <si>
    <t>2020032113:38:01</t>
  </si>
  <si>
    <r>
      <rPr>
        <sz val="9"/>
        <color indexed="63"/>
        <rFont val="Times New Roman"/>
        <family val="1"/>
      </rPr>
      <t>40</t>
    </r>
    <r>
      <rPr>
        <sz val="9"/>
        <color indexed="63"/>
        <rFont val="Microsoft YaHei Light"/>
        <family val="2"/>
        <charset val="134"/>
      </rPr>
      <t>岁</t>
    </r>
  </si>
  <si>
    <t>2020031910:48:04</t>
  </si>
  <si>
    <t>2020032613:14:01</t>
  </si>
  <si>
    <r>
      <rPr>
        <sz val="9"/>
        <color indexed="63"/>
        <rFont val="Times New Roman"/>
        <family val="1"/>
      </rPr>
      <t>35</t>
    </r>
    <r>
      <rPr>
        <sz val="9"/>
        <color indexed="63"/>
        <rFont val="Microsoft YaHei Light"/>
        <family val="2"/>
        <charset val="134"/>
      </rPr>
      <t>岁</t>
    </r>
  </si>
  <si>
    <t>2020032213:51:59</t>
  </si>
  <si>
    <t>2020032808:40:21</t>
  </si>
  <si>
    <r>
      <rPr>
        <sz val="9"/>
        <color indexed="63"/>
        <rFont val="Times New Roman"/>
        <family val="1"/>
      </rPr>
      <t>37</t>
    </r>
    <r>
      <rPr>
        <sz val="9"/>
        <color indexed="63"/>
        <rFont val="Microsoft YaHei Light"/>
        <family val="2"/>
        <charset val="134"/>
      </rPr>
      <t>岁</t>
    </r>
  </si>
  <si>
    <t>2020032214:00:24</t>
  </si>
  <si>
    <t>2020032813:23:45</t>
  </si>
  <si>
    <r>
      <rPr>
        <sz val="9"/>
        <color indexed="63"/>
        <rFont val="Times New Roman"/>
        <family val="1"/>
      </rPr>
      <t>61</t>
    </r>
    <r>
      <rPr>
        <sz val="9"/>
        <color indexed="63"/>
        <rFont val="Microsoft YaHei Light"/>
        <family val="2"/>
        <charset val="134"/>
      </rPr>
      <t>岁</t>
    </r>
  </si>
  <si>
    <t>2020032214:32:55</t>
  </si>
  <si>
    <t>2020032808:54:42</t>
  </si>
  <si>
    <t>2020032214:46:24</t>
  </si>
  <si>
    <t>2020032813:38:06</t>
  </si>
  <si>
    <t>2020032215:04:49</t>
  </si>
  <si>
    <t>2020032813:42:48</t>
  </si>
  <si>
    <r>
      <rPr>
        <sz val="9"/>
        <color indexed="63"/>
        <rFont val="Times New Roman"/>
        <family val="1"/>
      </rPr>
      <t>60</t>
    </r>
    <r>
      <rPr>
        <sz val="9"/>
        <color indexed="63"/>
        <rFont val="Microsoft YaHei Light"/>
        <family val="2"/>
        <charset val="134"/>
      </rPr>
      <t>岁</t>
    </r>
  </si>
  <si>
    <t>2020032215:36:09</t>
  </si>
  <si>
    <t>2020032814:44:17</t>
  </si>
  <si>
    <r>
      <rPr>
        <sz val="9"/>
        <color indexed="63"/>
        <rFont val="Times New Roman"/>
        <family val="1"/>
      </rPr>
      <t>31</t>
    </r>
    <r>
      <rPr>
        <sz val="9"/>
        <color indexed="63"/>
        <rFont val="Microsoft YaHei Light"/>
        <family val="2"/>
        <charset val="134"/>
      </rPr>
      <t>岁</t>
    </r>
  </si>
  <si>
    <t>2020032314:11:55</t>
  </si>
  <si>
    <t>2020033113:14:53</t>
  </si>
  <si>
    <r>
      <rPr>
        <sz val="9"/>
        <color indexed="63"/>
        <rFont val="Times New Roman"/>
        <family val="1"/>
      </rPr>
      <t>51</t>
    </r>
    <r>
      <rPr>
        <sz val="9"/>
        <color indexed="63"/>
        <rFont val="Microsoft YaHei Light"/>
        <family val="2"/>
        <charset val="134"/>
      </rPr>
      <t>岁</t>
    </r>
  </si>
  <si>
    <t>2020032314:59:33</t>
  </si>
  <si>
    <t>2020040113:57:05</t>
  </si>
  <si>
    <t>2020032320:01:19</t>
  </si>
  <si>
    <t>2020032813:26:07</t>
  </si>
  <si>
    <t>2020032320:26:19</t>
  </si>
  <si>
    <t>2020033010:40:30</t>
  </si>
  <si>
    <r>
      <rPr>
        <sz val="9"/>
        <color indexed="63"/>
        <rFont val="Times New Roman"/>
        <family val="1"/>
      </rPr>
      <t>15</t>
    </r>
    <r>
      <rPr>
        <sz val="9"/>
        <color indexed="63"/>
        <rFont val="Microsoft YaHei Light"/>
        <family val="2"/>
        <charset val="134"/>
      </rPr>
      <t>岁</t>
    </r>
  </si>
  <si>
    <t>2020032408:46:33</t>
  </si>
  <si>
    <t>2020033013:15:06</t>
  </si>
  <si>
    <r>
      <rPr>
        <sz val="9"/>
        <color indexed="63"/>
        <rFont val="Times New Roman"/>
        <family val="1"/>
      </rPr>
      <t>30</t>
    </r>
    <r>
      <rPr>
        <sz val="9"/>
        <color indexed="63"/>
        <rFont val="Microsoft YaHei Light"/>
        <family val="2"/>
        <charset val="134"/>
      </rPr>
      <t>岁</t>
    </r>
  </si>
  <si>
    <t>2020032415:58:00</t>
  </si>
  <si>
    <t>2020033112:39:56</t>
  </si>
  <si>
    <t>2020032614:27:28</t>
  </si>
  <si>
    <t>2020040710:11:16</t>
  </si>
  <si>
    <r>
      <rPr>
        <sz val="9"/>
        <color indexed="63"/>
        <rFont val="Times New Roman"/>
        <family val="1"/>
      </rPr>
      <t>29</t>
    </r>
    <r>
      <rPr>
        <sz val="9"/>
        <color indexed="63"/>
        <rFont val="Microsoft YaHei Light"/>
        <family val="2"/>
        <charset val="134"/>
      </rPr>
      <t>岁</t>
    </r>
  </si>
  <si>
    <t>2020032813:58:23</t>
  </si>
  <si>
    <t>2020033013:26:49</t>
  </si>
  <si>
    <t>2020032911:44:01</t>
  </si>
  <si>
    <t>2020040408:05:38</t>
  </si>
  <si>
    <t>2020032913:59:26</t>
  </si>
  <si>
    <t>2020040812:31:21</t>
  </si>
  <si>
    <r>
      <rPr>
        <sz val="9"/>
        <color indexed="63"/>
        <rFont val="Times New Roman"/>
        <family val="1"/>
      </rPr>
      <t>50</t>
    </r>
    <r>
      <rPr>
        <sz val="9"/>
        <color indexed="63"/>
        <rFont val="Microsoft YaHei Light"/>
        <family val="2"/>
        <charset val="134"/>
      </rPr>
      <t>岁</t>
    </r>
  </si>
  <si>
    <t>2020032915:22:55</t>
  </si>
  <si>
    <t>2020040410:45:45</t>
  </si>
  <si>
    <r>
      <rPr>
        <sz val="9"/>
        <color indexed="63"/>
        <rFont val="Times New Roman"/>
        <family val="1"/>
      </rPr>
      <t>27</t>
    </r>
    <r>
      <rPr>
        <sz val="9"/>
        <color indexed="63"/>
        <rFont val="Microsoft YaHei Light"/>
        <family val="2"/>
        <charset val="134"/>
      </rPr>
      <t>岁</t>
    </r>
  </si>
  <si>
    <t>2020033010:47:22</t>
  </si>
  <si>
    <t>2020040609:35:16</t>
  </si>
  <si>
    <r>
      <rPr>
        <sz val="9"/>
        <color indexed="63"/>
        <rFont val="Times New Roman"/>
        <family val="1"/>
      </rPr>
      <t>28</t>
    </r>
    <r>
      <rPr>
        <sz val="9"/>
        <color indexed="63"/>
        <rFont val="Microsoft YaHei Light"/>
        <family val="2"/>
        <charset val="134"/>
      </rPr>
      <t>岁</t>
    </r>
  </si>
  <si>
    <t>2020033016:44:44</t>
  </si>
  <si>
    <t>2020040809:09:35</t>
  </si>
  <si>
    <t>2020033115:44:58</t>
  </si>
  <si>
    <t>2020040509:27:56</t>
  </si>
  <si>
    <r>
      <rPr>
        <sz val="9"/>
        <color indexed="63"/>
        <rFont val="Times New Roman"/>
        <family val="1"/>
      </rPr>
      <t>33</t>
    </r>
    <r>
      <rPr>
        <sz val="9"/>
        <color indexed="63"/>
        <rFont val="Microsoft YaHei Light"/>
        <family val="2"/>
        <charset val="134"/>
      </rPr>
      <t>岁</t>
    </r>
  </si>
  <si>
    <t>2020040114:19:14</t>
  </si>
  <si>
    <t>2020040813:16:12</t>
  </si>
  <si>
    <t>2020040218:23:19</t>
  </si>
  <si>
    <t>2020041108:47:36</t>
  </si>
  <si>
    <r>
      <rPr>
        <sz val="9"/>
        <color indexed="63"/>
        <rFont val="Times New Roman"/>
        <family val="1"/>
      </rPr>
      <t>43</t>
    </r>
    <r>
      <rPr>
        <sz val="9"/>
        <color indexed="63"/>
        <rFont val="Microsoft YaHei Light"/>
        <family val="2"/>
        <charset val="134"/>
      </rPr>
      <t>岁</t>
    </r>
  </si>
  <si>
    <t>2020040308:14:14</t>
  </si>
  <si>
    <t>2020061710:55:39</t>
  </si>
  <si>
    <t>2020040610:11:30</t>
  </si>
  <si>
    <t>2020041209:37:57</t>
  </si>
  <si>
    <r>
      <rPr>
        <sz val="9"/>
        <color indexed="63"/>
        <rFont val="Times New Roman"/>
        <family val="1"/>
      </rPr>
      <t>48</t>
    </r>
    <r>
      <rPr>
        <sz val="9"/>
        <color indexed="63"/>
        <rFont val="Microsoft YaHei Light"/>
        <family val="2"/>
        <charset val="134"/>
      </rPr>
      <t>岁</t>
    </r>
  </si>
  <si>
    <t>2020040612:03:20</t>
  </si>
  <si>
    <t>2020041213:24:27</t>
  </si>
  <si>
    <t>2020040614:45:40</t>
  </si>
  <si>
    <t>2020041208:53:56</t>
  </si>
  <si>
    <t>2020040720:37:09</t>
  </si>
  <si>
    <t>2020041209:40:30</t>
  </si>
  <si>
    <r>
      <rPr>
        <sz val="9"/>
        <color indexed="63"/>
        <rFont val="Microsoft YaHei Light"/>
        <family val="2"/>
        <charset val="134"/>
      </rPr>
      <t>取内固定</t>
    </r>
  </si>
  <si>
    <t>2020040815:43:29</t>
  </si>
  <si>
    <t>2020041413:36:30</t>
  </si>
  <si>
    <r>
      <rPr>
        <sz val="9"/>
        <color indexed="63"/>
        <rFont val="Times New Roman"/>
        <family val="1"/>
      </rPr>
      <t>49</t>
    </r>
    <r>
      <rPr>
        <sz val="9"/>
        <color indexed="63"/>
        <rFont val="Microsoft YaHei Light"/>
        <family val="2"/>
        <charset val="134"/>
      </rPr>
      <t>岁</t>
    </r>
  </si>
  <si>
    <t>2020040914:58:22</t>
  </si>
  <si>
    <t>2020041514:35:46</t>
  </si>
  <si>
    <t>2020040916:16:08</t>
  </si>
  <si>
    <t>2020041613:26:32</t>
  </si>
  <si>
    <t>2020041113:09:30</t>
  </si>
  <si>
    <t>2020041808:15:33</t>
  </si>
  <si>
    <r>
      <rPr>
        <sz val="9"/>
        <color indexed="63"/>
        <rFont val="Microsoft YaHei Light"/>
        <family val="2"/>
        <charset val="134"/>
      </rPr>
      <t>翻修</t>
    </r>
  </si>
  <si>
    <t>1396258</t>
  </si>
  <si>
    <t>2020041113:24:32</t>
  </si>
  <si>
    <t>2020041813:44:59</t>
  </si>
  <si>
    <t>2020041214:36:31</t>
  </si>
  <si>
    <t>2020041807:52:03</t>
  </si>
  <si>
    <t>2020041214:42:45</t>
  </si>
  <si>
    <t>2020041907:48:55</t>
  </si>
  <si>
    <r>
      <rPr>
        <sz val="9"/>
        <color indexed="63"/>
        <rFont val="Times New Roman"/>
        <family val="1"/>
      </rPr>
      <t>53</t>
    </r>
    <r>
      <rPr>
        <sz val="9"/>
        <color indexed="63"/>
        <rFont val="Microsoft YaHei Light"/>
        <family val="2"/>
        <charset val="134"/>
      </rPr>
      <t>岁</t>
    </r>
  </si>
  <si>
    <t>2020041221:31:55</t>
  </si>
  <si>
    <t>2020061711:05:10</t>
  </si>
  <si>
    <t>2020041316:08:57</t>
  </si>
  <si>
    <t>2020042013:41:48</t>
  </si>
  <si>
    <t>2020041316:33:20</t>
  </si>
  <si>
    <t>2020042013:30:26</t>
  </si>
  <si>
    <t>2020041416:27:06</t>
  </si>
  <si>
    <t>2020042014:15:30</t>
  </si>
  <si>
    <t>2020041523:48:20</t>
  </si>
  <si>
    <t>2020042907:51:56</t>
  </si>
  <si>
    <r>
      <rPr>
        <sz val="9"/>
        <color indexed="63"/>
        <rFont val="Times New Roman"/>
        <family val="1"/>
      </rPr>
      <t>41</t>
    </r>
    <r>
      <rPr>
        <sz val="9"/>
        <color indexed="63"/>
        <rFont val="Microsoft YaHei Light"/>
        <family val="2"/>
        <charset val="134"/>
      </rPr>
      <t>岁</t>
    </r>
  </si>
  <si>
    <t>2020041613:41:39</t>
  </si>
  <si>
    <t>2020042313:15:23</t>
  </si>
  <si>
    <t>2020041710:07:24</t>
  </si>
  <si>
    <t>2020042212:31:17</t>
  </si>
  <si>
    <t>2020041711:07:24</t>
  </si>
  <si>
    <t>2020042213:13:57</t>
  </si>
  <si>
    <t>2020041714:04:30</t>
  </si>
  <si>
    <t>2020042513:34:57</t>
  </si>
  <si>
    <t>2020041714:57:16</t>
  </si>
  <si>
    <t>2020042513:53:47</t>
  </si>
  <si>
    <t>2020041814:10:55</t>
  </si>
  <si>
    <t>2020042513:28:01</t>
  </si>
  <si>
    <t>2020041814:31:17</t>
  </si>
  <si>
    <t>2020042508:28:51</t>
  </si>
  <si>
    <t>2020041814:29:13</t>
  </si>
  <si>
    <t>2020042312:51:22</t>
  </si>
  <si>
    <r>
      <rPr>
        <sz val="9"/>
        <color indexed="63"/>
        <rFont val="Times New Roman"/>
        <family val="1"/>
      </rPr>
      <t>39</t>
    </r>
    <r>
      <rPr>
        <sz val="9"/>
        <color indexed="63"/>
        <rFont val="Microsoft YaHei Light"/>
        <family val="2"/>
        <charset val="134"/>
      </rPr>
      <t>岁</t>
    </r>
  </si>
  <si>
    <t>2020042011:04:35</t>
  </si>
  <si>
    <t>2020042608:36:36</t>
  </si>
  <si>
    <t>2020042012:58:11</t>
  </si>
  <si>
    <t>2020042708:16:34</t>
  </si>
  <si>
    <t>2020042114:11:18</t>
  </si>
  <si>
    <t>2020042914:30:00</t>
  </si>
  <si>
    <r>
      <rPr>
        <sz val="9"/>
        <color indexed="63"/>
        <rFont val="Times New Roman"/>
        <family val="1"/>
      </rPr>
      <t>46</t>
    </r>
    <r>
      <rPr>
        <sz val="9"/>
        <color indexed="63"/>
        <rFont val="Microsoft YaHei Light"/>
        <family val="2"/>
        <charset val="134"/>
      </rPr>
      <t>岁</t>
    </r>
  </si>
  <si>
    <t>MRI*2</t>
  </si>
  <si>
    <t>2020042115:52:34</t>
  </si>
  <si>
    <t>2020042714:25:28</t>
  </si>
  <si>
    <t>2020042310:42:13</t>
  </si>
  <si>
    <t>2020043015:20:54</t>
  </si>
  <si>
    <t>2020042315:40:12</t>
  </si>
  <si>
    <t>2020043014:50:54</t>
  </si>
  <si>
    <t>2020042315:45:46</t>
  </si>
  <si>
    <t>2020043014:16:14</t>
  </si>
  <si>
    <t>2020042318:07:10</t>
  </si>
  <si>
    <t>2020043015:19:43</t>
  </si>
  <si>
    <t>1399780</t>
  </si>
  <si>
    <t>2020042413:30:43</t>
  </si>
  <si>
    <t>2020043015:12:47</t>
  </si>
  <si>
    <t>1400218</t>
  </si>
  <si>
    <t>2020042609:42:47</t>
  </si>
  <si>
    <t>2020050207:57:05</t>
  </si>
  <si>
    <t>1400399</t>
  </si>
  <si>
    <t>2020042616:04:18</t>
  </si>
  <si>
    <t>2020050108:40:34</t>
  </si>
  <si>
    <t>1400578</t>
  </si>
  <si>
    <t>2020042712:03:50</t>
  </si>
  <si>
    <t>2020050708:16:06</t>
  </si>
  <si>
    <r>
      <rPr>
        <sz val="9"/>
        <color indexed="63"/>
        <rFont val="Times New Roman"/>
        <family val="1"/>
      </rPr>
      <t>CT*2</t>
    </r>
    <r>
      <rPr>
        <sz val="9"/>
        <color indexed="63"/>
        <rFont val="Microsoft YaHei Light"/>
        <family val="2"/>
        <charset val="134"/>
      </rPr>
      <t>、</t>
    </r>
    <r>
      <rPr>
        <sz val="9"/>
        <color indexed="63"/>
        <rFont val="Times New Roman"/>
        <family val="1"/>
      </rPr>
      <t>MRI*2</t>
    </r>
  </si>
  <si>
    <t>1400594</t>
  </si>
  <si>
    <t>2020042713:31:45</t>
  </si>
  <si>
    <t>2020050615:10:28</t>
  </si>
  <si>
    <t>1400701</t>
  </si>
  <si>
    <t>2020042715:01:28</t>
  </si>
  <si>
    <t>2020050613:10:13</t>
  </si>
  <si>
    <t>1400711</t>
  </si>
  <si>
    <t>2020042715:28:21</t>
  </si>
  <si>
    <t>2020050309:50:22</t>
  </si>
  <si>
    <t>1400715</t>
  </si>
  <si>
    <t>2020042715:31:06</t>
  </si>
  <si>
    <t>2020050309:43:39</t>
  </si>
  <si>
    <t>1400746</t>
  </si>
  <si>
    <t>2020042716:01:48</t>
  </si>
  <si>
    <t>2020060113:33:54</t>
  </si>
  <si>
    <t>MRI*3</t>
  </si>
  <si>
    <t>1400955</t>
  </si>
  <si>
    <t>2020042814:18:29</t>
  </si>
  <si>
    <t>2020050612:38:23</t>
  </si>
  <si>
    <r>
      <rPr>
        <sz val="9"/>
        <color indexed="63"/>
        <rFont val="Times New Roman"/>
        <family val="1"/>
      </rPr>
      <t>55</t>
    </r>
    <r>
      <rPr>
        <sz val="9"/>
        <color indexed="63"/>
        <rFont val="Microsoft YaHei Light"/>
        <family val="2"/>
        <charset val="134"/>
      </rPr>
      <t>岁</t>
    </r>
  </si>
  <si>
    <t>1401822</t>
  </si>
  <si>
    <t>2020050413:56:36</t>
  </si>
  <si>
    <t>2020051013:16:52</t>
  </si>
  <si>
    <t>1401833</t>
  </si>
  <si>
    <t>2020050414:46:01</t>
  </si>
  <si>
    <t>2020051013:18:19</t>
  </si>
  <si>
    <t>1402032</t>
  </si>
  <si>
    <t>2020050514:50:28</t>
  </si>
  <si>
    <t>2020051313:42:26</t>
  </si>
  <si>
    <t>1402045</t>
  </si>
  <si>
    <t>2020050515:29:18</t>
  </si>
  <si>
    <t>2020051114:33:25</t>
  </si>
  <si>
    <t>1402055</t>
  </si>
  <si>
    <t>2020050516:01:15</t>
  </si>
  <si>
    <t>2020051116:09:11</t>
  </si>
  <si>
    <t>1402067</t>
  </si>
  <si>
    <t>2020050518:25:31</t>
  </si>
  <si>
    <t>2020050813:47:53</t>
  </si>
  <si>
    <t>1402079</t>
  </si>
  <si>
    <t>2020050519:37:24</t>
  </si>
  <si>
    <t>2020051113:48:07</t>
  </si>
  <si>
    <t>1402113</t>
  </si>
  <si>
    <t>2020050608:11:06</t>
  </si>
  <si>
    <t>2020051113:43:14</t>
  </si>
  <si>
    <r>
      <rPr>
        <sz val="9"/>
        <color indexed="63"/>
        <rFont val="Times New Roman"/>
        <family val="1"/>
      </rPr>
      <t>8</t>
    </r>
    <r>
      <rPr>
        <sz val="9"/>
        <color indexed="63"/>
        <rFont val="Microsoft YaHei Light"/>
        <family val="2"/>
        <charset val="134"/>
      </rPr>
      <t>岁</t>
    </r>
  </si>
  <si>
    <t>1402498</t>
  </si>
  <si>
    <t>2020050619:13:17</t>
  </si>
  <si>
    <t>2020051213:46:53</t>
  </si>
  <si>
    <r>
      <rPr>
        <sz val="9"/>
        <color indexed="63"/>
        <rFont val="Times New Roman"/>
        <family val="1"/>
      </rPr>
      <t>34</t>
    </r>
    <r>
      <rPr>
        <sz val="9"/>
        <color indexed="63"/>
        <rFont val="Microsoft YaHei Light"/>
        <family val="2"/>
        <charset val="134"/>
      </rPr>
      <t>岁</t>
    </r>
  </si>
  <si>
    <t>1402867</t>
  </si>
  <si>
    <t>2020050719:51:45</t>
  </si>
  <si>
    <t>2020051115:12:04</t>
  </si>
  <si>
    <t>2020050720:31:10</t>
  </si>
  <si>
    <t>2020051213:28:21</t>
  </si>
  <si>
    <t>2020050814:38:45</t>
  </si>
  <si>
    <t>2020051314:19:58</t>
  </si>
  <si>
    <t>2020050815:17:50</t>
  </si>
  <si>
    <t>2020051514:34:30</t>
  </si>
  <si>
    <t>2020050819:02:20</t>
  </si>
  <si>
    <t>2020051514:05:03</t>
  </si>
  <si>
    <t>2020051014:10:50</t>
  </si>
  <si>
    <t>2020051608:43:22</t>
  </si>
  <si>
    <t>2020051412:56:27</t>
  </si>
  <si>
    <t>2020052013:48:15</t>
  </si>
  <si>
    <t>2020051419:17:59</t>
  </si>
  <si>
    <t>2020052213:25:40</t>
  </si>
  <si>
    <t>2020051419:30:31</t>
  </si>
  <si>
    <t>2020052113:36:12</t>
  </si>
  <si>
    <t>2020051714:45:34</t>
  </si>
  <si>
    <t>2020052313:12:54</t>
  </si>
  <si>
    <t>2020051813:55:25</t>
  </si>
  <si>
    <t>2020052413:58:23</t>
  </si>
  <si>
    <r>
      <rPr>
        <sz val="9"/>
        <color indexed="63"/>
        <rFont val="Times New Roman"/>
        <family val="1"/>
      </rPr>
      <t>44</t>
    </r>
    <r>
      <rPr>
        <sz val="9"/>
        <color indexed="63"/>
        <rFont val="Microsoft YaHei Light"/>
        <family val="2"/>
        <charset val="134"/>
      </rPr>
      <t>岁</t>
    </r>
  </si>
  <si>
    <t>2020051814:36:48</t>
  </si>
  <si>
    <t>2020052513:31:43</t>
  </si>
  <si>
    <t>2020051915:49:37</t>
  </si>
  <si>
    <t>2020052614:08:38</t>
  </si>
  <si>
    <t>2020051921:58:33</t>
  </si>
  <si>
    <t>2020052413:20:06</t>
  </si>
  <si>
    <t>2020052009:26:16</t>
  </si>
  <si>
    <t>2020052613:12:30</t>
  </si>
  <si>
    <t>2020052114:05:54</t>
  </si>
  <si>
    <t>2020053008:48:27</t>
  </si>
  <si>
    <r>
      <rPr>
        <sz val="9"/>
        <color indexed="63"/>
        <rFont val="Times New Roman"/>
        <family val="1"/>
      </rPr>
      <t>45</t>
    </r>
    <r>
      <rPr>
        <sz val="9"/>
        <color indexed="63"/>
        <rFont val="Microsoft YaHei Light"/>
        <family val="2"/>
        <charset val="134"/>
      </rPr>
      <t>岁</t>
    </r>
  </si>
  <si>
    <t>2020052114:22:59</t>
  </si>
  <si>
    <t>2020052913:46:14</t>
  </si>
  <si>
    <t>2020052114:54:47</t>
  </si>
  <si>
    <t>2020052913:39:28</t>
  </si>
  <si>
    <t>2020052115:00:22</t>
  </si>
  <si>
    <t>2020052812:48:15</t>
  </si>
  <si>
    <t>2020052115:14:17</t>
  </si>
  <si>
    <t>2020052713:28:07</t>
  </si>
  <si>
    <t>2020052214:52:23</t>
  </si>
  <si>
    <t>2020052713:15:17</t>
  </si>
  <si>
    <t>2020052215:29:07</t>
  </si>
  <si>
    <t>2020053113:16:21</t>
  </si>
  <si>
    <t>2020052216:11:47</t>
  </si>
  <si>
    <t>2020053113:23:29</t>
  </si>
  <si>
    <t>2020052415:03:55</t>
  </si>
  <si>
    <t>2020053109:47:21</t>
  </si>
  <si>
    <t>2020052415:09:03</t>
  </si>
  <si>
    <t>2020052810:25:03</t>
  </si>
  <si>
    <t>2020052514:40:55</t>
  </si>
  <si>
    <t>2020060113:27:58</t>
  </si>
  <si>
    <t>2020052613:47:53</t>
  </si>
  <si>
    <t>2020060213:32:29</t>
  </si>
  <si>
    <t>2020052620:20:06</t>
  </si>
  <si>
    <t>2020060113:17:11</t>
  </si>
  <si>
    <t>2020052720:16:45</t>
  </si>
  <si>
    <t>2020060112:53:15</t>
  </si>
  <si>
    <t>2020052720:38:01</t>
  </si>
  <si>
    <t>2020060113:28:46</t>
  </si>
  <si>
    <t>2020052722:30:18</t>
  </si>
  <si>
    <t>2020060112:23:32</t>
  </si>
  <si>
    <t>2020052813:25:23</t>
  </si>
  <si>
    <t>2020060413:00:43</t>
  </si>
  <si>
    <t>2020052813:52:11</t>
  </si>
  <si>
    <t>2020060413:02:49</t>
  </si>
  <si>
    <t>2020052815:08:25</t>
  </si>
  <si>
    <t>2020060312:58:23</t>
  </si>
  <si>
    <t>2020053114:22:24</t>
  </si>
  <si>
    <t>2020060709:17:38</t>
  </si>
  <si>
    <t>2020053116:46:19</t>
  </si>
  <si>
    <t>2020060513:48:46</t>
  </si>
  <si>
    <t>2020060109:19:20</t>
  </si>
  <si>
    <t>2020060813:53:32</t>
  </si>
  <si>
    <t>2020060110:57:21</t>
  </si>
  <si>
    <t>2020060812:41:08</t>
  </si>
  <si>
    <r>
      <rPr>
        <sz val="9"/>
        <color indexed="63"/>
        <rFont val="Times New Roman"/>
        <family val="1"/>
      </rPr>
      <t>42</t>
    </r>
    <r>
      <rPr>
        <sz val="9"/>
        <color indexed="63"/>
        <rFont val="Microsoft YaHei Light"/>
        <family val="2"/>
        <charset val="134"/>
      </rPr>
      <t>岁</t>
    </r>
  </si>
  <si>
    <t>2020060114:58:11</t>
  </si>
  <si>
    <t>2020060812:51:29</t>
  </si>
  <si>
    <t>2020060114:56:41</t>
  </si>
  <si>
    <t>2020060813:31:13</t>
  </si>
  <si>
    <t>2020060115:33:07</t>
  </si>
  <si>
    <t>2020060512:59:44</t>
  </si>
  <si>
    <t>2020060115:17:25</t>
  </si>
  <si>
    <t>2020060708:49:50</t>
  </si>
  <si>
    <r>
      <rPr>
        <sz val="9"/>
        <color indexed="63"/>
        <rFont val="Times New Roman"/>
        <family val="1"/>
      </rPr>
      <t>56</t>
    </r>
    <r>
      <rPr>
        <sz val="9"/>
        <color indexed="63"/>
        <rFont val="Microsoft YaHei Light"/>
        <family val="2"/>
        <charset val="134"/>
      </rPr>
      <t>岁</t>
    </r>
  </si>
  <si>
    <t>2020060119:58:12</t>
  </si>
  <si>
    <t>2020060813:51:14</t>
  </si>
  <si>
    <t>2020060207:49:23</t>
  </si>
  <si>
    <t>2020060814:06:22</t>
  </si>
  <si>
    <t>2020060313:53:13</t>
  </si>
  <si>
    <t>2020060813:36:48</t>
  </si>
  <si>
    <t>2020060316:06:52</t>
  </si>
  <si>
    <t>2020061013:54:32</t>
  </si>
  <si>
    <r>
      <rPr>
        <sz val="9"/>
        <color indexed="63"/>
        <rFont val="Times New Roman"/>
        <family val="1"/>
      </rPr>
      <t>59</t>
    </r>
    <r>
      <rPr>
        <sz val="9"/>
        <color indexed="63"/>
        <rFont val="Microsoft YaHei Light"/>
        <family val="2"/>
        <charset val="134"/>
      </rPr>
      <t>岁</t>
    </r>
  </si>
  <si>
    <t>2020060320:15:03</t>
  </si>
  <si>
    <t>2020060813:36:33</t>
  </si>
  <si>
    <t>2020060513:52:28</t>
  </si>
  <si>
    <t>2020061113:41:59</t>
  </si>
  <si>
    <t>2020060612:11:57</t>
  </si>
  <si>
    <t>2020061313:33:20</t>
  </si>
  <si>
    <t>2020060613:38:25</t>
  </si>
  <si>
    <t>2020061314:00:35</t>
  </si>
  <si>
    <t>2020060615:30:24</t>
  </si>
  <si>
    <t>2020061214:22:52</t>
  </si>
  <si>
    <t>2020060712:40:45</t>
  </si>
  <si>
    <t>2020061409:19:19</t>
  </si>
  <si>
    <t>2020060713:12:10</t>
  </si>
  <si>
    <t>2020061411:01:48</t>
  </si>
  <si>
    <t>2020060715:40:21</t>
  </si>
  <si>
    <t>2020061310:01:26</t>
  </si>
  <si>
    <t>2020060718:10:57</t>
  </si>
  <si>
    <t>2020061313:33:47</t>
  </si>
  <si>
    <t>2020060813:34:14</t>
  </si>
  <si>
    <t>2020061513:23:38</t>
  </si>
  <si>
    <t>2020060813:49:15</t>
  </si>
  <si>
    <t>2020061513:20:21</t>
  </si>
  <si>
    <t>2020060815:08:44</t>
  </si>
  <si>
    <t>2020061409:24:04</t>
  </si>
  <si>
    <t>2020060815:47:59</t>
  </si>
  <si>
    <t>2020061513:45:41</t>
  </si>
  <si>
    <t>2020061016:20:52</t>
  </si>
  <si>
    <t>2020061513:43:43</t>
  </si>
  <si>
    <t>2020061016:35:08</t>
  </si>
  <si>
    <t>2020061713:07:16</t>
  </si>
  <si>
    <t>2020061020:03:58</t>
  </si>
  <si>
    <t>2020061613:01:51</t>
  </si>
  <si>
    <t>2020061108:44:18</t>
  </si>
  <si>
    <t>2020061514:02:36</t>
  </si>
  <si>
    <t>2020061114:52:12</t>
  </si>
  <si>
    <t>2020061813:50:13</t>
  </si>
  <si>
    <t>2020061115:18:03</t>
  </si>
  <si>
    <t>2020061813:52:37</t>
  </si>
  <si>
    <t>2020061314:39:57</t>
  </si>
  <si>
    <t>2020062013:58:02</t>
  </si>
  <si>
    <t>2020061317:09:02</t>
  </si>
  <si>
    <t>2020062213:48:13</t>
  </si>
  <si>
    <t>2020061410:09:44</t>
  </si>
  <si>
    <t>2020061809:50:43</t>
  </si>
  <si>
    <t>2020061417:44:18</t>
  </si>
  <si>
    <t>2020062013:11:04</t>
  </si>
  <si>
    <t>2020061418:37:42</t>
  </si>
  <si>
    <t>2020061714:58:00</t>
  </si>
  <si>
    <t>2020061513:47:30</t>
  </si>
  <si>
    <t>2020062213:54:52</t>
  </si>
  <si>
    <t>2020061513:43:53</t>
  </si>
  <si>
    <t>2020062213:46:33</t>
  </si>
  <si>
    <t>2020061513:59:15</t>
  </si>
  <si>
    <t>2020062213:50:16</t>
  </si>
  <si>
    <t>2020061514:54:25</t>
  </si>
  <si>
    <t>2020062114:55:49</t>
  </si>
  <si>
    <t>2020061515:08:02</t>
  </si>
  <si>
    <t>2020062213:55:04</t>
  </si>
  <si>
    <t>2020061619:40:12</t>
  </si>
  <si>
    <t>2020063013:22:01</t>
  </si>
  <si>
    <t>2020061818:42:39</t>
  </si>
  <si>
    <t>2020062514:01:45</t>
  </si>
  <si>
    <t>2020061819:04:20</t>
  </si>
  <si>
    <t>2020070209:53:00</t>
  </si>
  <si>
    <t>2020061915:15:52</t>
  </si>
  <si>
    <t>2020062610:10:15</t>
  </si>
  <si>
    <t>2020061920:38:29</t>
  </si>
  <si>
    <t>2020062614:09:38</t>
  </si>
  <si>
    <t>2020062015:19:12</t>
  </si>
  <si>
    <t>2020062611:09:12</t>
  </si>
  <si>
    <t>2020062114:04:24</t>
  </si>
  <si>
    <t>2020062609:13:22</t>
  </si>
  <si>
    <t>2020062114:04:43</t>
  </si>
  <si>
    <t>2020062714:11:27</t>
  </si>
  <si>
    <t>2020062116:11:04</t>
  </si>
  <si>
    <t>2020062813:25:40</t>
  </si>
  <si>
    <t>2020062213:25:13</t>
  </si>
  <si>
    <t>2020062914:00:48</t>
  </si>
  <si>
    <t>2020062309:22:31</t>
  </si>
  <si>
    <t>2020070113:47:35</t>
  </si>
  <si>
    <t>2020062317:44:53</t>
  </si>
  <si>
    <t>2020063013:15:45</t>
  </si>
  <si>
    <t>2020062420:40:13</t>
  </si>
  <si>
    <t>2020070213:26:32</t>
  </si>
  <si>
    <t>2020062520:20:34</t>
  </si>
  <si>
    <t>2020070107:47:31</t>
  </si>
  <si>
    <t>2020062521:43:13</t>
  </si>
  <si>
    <t>2020070609:36:01</t>
  </si>
  <si>
    <t>2020062614:29:48</t>
  </si>
  <si>
    <t>2020070314:05:57</t>
  </si>
  <si>
    <t>2020062711:41:08</t>
  </si>
  <si>
    <t>2020070313:52:53</t>
  </si>
  <si>
    <t>2020062715:49:17</t>
  </si>
  <si>
    <t>2020070313:10:16</t>
  </si>
  <si>
    <r>
      <rPr>
        <sz val="9"/>
        <color indexed="63"/>
        <rFont val="Microsoft YaHei Light"/>
        <family val="2"/>
        <charset val="134"/>
      </rPr>
      <t>胫骨平台骨折</t>
    </r>
  </si>
  <si>
    <t>2020062810:04:41</t>
  </si>
  <si>
    <t>2020070613:02:09</t>
  </si>
  <si>
    <t>2020062815:50:44</t>
  </si>
  <si>
    <t>2020070612:59:45</t>
  </si>
  <si>
    <t>2020062821:15:55</t>
  </si>
  <si>
    <t>2020070513:54:55</t>
  </si>
  <si>
    <t>2020062907:55:32</t>
  </si>
  <si>
    <t>2020070413:25:28</t>
  </si>
  <si>
    <t>2020062907:54:51</t>
  </si>
  <si>
    <t>2020071113:09:59</t>
  </si>
  <si>
    <t>2020062908:45:02</t>
  </si>
  <si>
    <t>2020070213:09:56</t>
  </si>
  <si>
    <t>2020062913:30:15</t>
  </si>
  <si>
    <t>2020070413:38:29</t>
  </si>
  <si>
    <r>
      <rPr>
        <sz val="9"/>
        <color indexed="63"/>
        <rFont val="Times New Roman"/>
        <family val="1"/>
      </rPr>
      <t>52</t>
    </r>
    <r>
      <rPr>
        <sz val="9"/>
        <color indexed="63"/>
        <rFont val="Microsoft YaHei Light"/>
        <family val="2"/>
        <charset val="134"/>
      </rPr>
      <t>岁</t>
    </r>
  </si>
  <si>
    <t>2020062913:43:19</t>
  </si>
  <si>
    <t>2020070614:32:04</t>
  </si>
  <si>
    <t>2020062914:03:41</t>
  </si>
  <si>
    <t>2020070612:52:47</t>
  </si>
  <si>
    <t>2020063011:17:58</t>
  </si>
  <si>
    <t>2020070707:47:31</t>
  </si>
  <si>
    <t>2020063017:46:51</t>
  </si>
  <si>
    <t>2020070713:19:01</t>
  </si>
  <si>
    <t>2020063018:42:52</t>
  </si>
  <si>
    <t>2020070614:18:19</t>
  </si>
  <si>
    <t>2020063019:59:27</t>
  </si>
  <si>
    <t>2020070513:56:47</t>
  </si>
  <si>
    <t>2020070120:58:20</t>
  </si>
  <si>
    <t>2020070614:26:37</t>
  </si>
  <si>
    <t>2020070315:08:03</t>
  </si>
  <si>
    <t>2020071014:34:41</t>
  </si>
  <si>
    <t>2020070319:55:46</t>
  </si>
  <si>
    <t>2020070908:24:51</t>
  </si>
  <si>
    <t>2020070417:17:44</t>
  </si>
  <si>
    <t>2020071113:44:24</t>
  </si>
  <si>
    <t>2020070417:23:17</t>
  </si>
  <si>
    <t>2020071113:50:59</t>
  </si>
  <si>
    <t>2020070510:27:05</t>
  </si>
  <si>
    <t>2020071210:10:04</t>
  </si>
  <si>
    <t>2020070511:26:13</t>
  </si>
  <si>
    <t>2020071114:57:21</t>
  </si>
  <si>
    <t>2020070515:09:51</t>
  </si>
  <si>
    <t>2020071109:58:23</t>
  </si>
  <si>
    <t>2020070516:40:30</t>
  </si>
  <si>
    <t>2020071014:42:01</t>
  </si>
  <si>
    <t>2020070517:13:19</t>
  </si>
  <si>
    <t>2020071207:52:26</t>
  </si>
  <si>
    <t>2020070522:11:03</t>
  </si>
  <si>
    <t>2020070914:01:59</t>
  </si>
  <si>
    <t>2020070612:36:03</t>
  </si>
  <si>
    <t>2020071313:57:47</t>
  </si>
  <si>
    <t>2020070614:19:49</t>
  </si>
  <si>
    <t>2020071313:45:45</t>
  </si>
  <si>
    <t>2020070614:49:51</t>
  </si>
  <si>
    <t>2020071213:38:38</t>
  </si>
  <si>
    <t>2020070617:05:27</t>
  </si>
  <si>
    <t>2020071314:02:38</t>
  </si>
  <si>
    <t>2020070619:06:33</t>
  </si>
  <si>
    <t>2020071313:59:19</t>
  </si>
  <si>
    <t>2020070713:18:23</t>
  </si>
  <si>
    <t>2020071512:58:29</t>
  </si>
  <si>
    <t>2020070716:20:03</t>
  </si>
  <si>
    <t>2020071213:51:47</t>
  </si>
  <si>
    <t>2020070815:11:05</t>
  </si>
  <si>
    <t>2020071213:35:29</t>
  </si>
  <si>
    <t>2020070815:43:57</t>
  </si>
  <si>
    <t>2020071313:45:49</t>
  </si>
  <si>
    <t>2020070818:54:38</t>
  </si>
  <si>
    <t>2020071314:00:45</t>
  </si>
  <si>
    <t>2020070820:29:30</t>
  </si>
  <si>
    <t>2020071313:45:04</t>
  </si>
  <si>
    <t>2020071017:25:36</t>
  </si>
  <si>
    <t>2020071810:34:19</t>
  </si>
  <si>
    <t>2020071115:23:03</t>
  </si>
  <si>
    <t>2020071808:59:01</t>
  </si>
  <si>
    <t>2020071119:18:26</t>
  </si>
  <si>
    <t>2020072509:34:49</t>
  </si>
  <si>
    <t>2020071119:25:28</t>
  </si>
  <si>
    <t>2020071813:38:48</t>
  </si>
  <si>
    <t>2020071121:51:27</t>
  </si>
  <si>
    <t>2020071814:14:24</t>
  </si>
  <si>
    <t>2020071210:47:58</t>
  </si>
  <si>
    <t>2020071713:41:33</t>
  </si>
  <si>
    <t>2020071212:59:44</t>
  </si>
  <si>
    <t>2020071909:25:09</t>
  </si>
  <si>
    <t>2020071213:24:08</t>
  </si>
  <si>
    <t>2020071909:12:34</t>
  </si>
  <si>
    <t>2020071215:11:03</t>
  </si>
  <si>
    <t>2020071909:10:23</t>
  </si>
  <si>
    <t>2020071314:01:58</t>
  </si>
  <si>
    <t>2020071910:49:33</t>
  </si>
  <si>
    <r>
      <rPr>
        <sz val="9"/>
        <color indexed="63"/>
        <rFont val="Times New Roman"/>
        <family val="1"/>
      </rPr>
      <t>47</t>
    </r>
    <r>
      <rPr>
        <sz val="9"/>
        <color indexed="63"/>
        <rFont val="Microsoft YaHei Light"/>
        <family val="2"/>
        <charset val="134"/>
      </rPr>
      <t>岁</t>
    </r>
  </si>
  <si>
    <t>2020071314:57:48</t>
  </si>
  <si>
    <t>2020071910:25:41</t>
  </si>
  <si>
    <t>2020071315:27:20</t>
  </si>
  <si>
    <t>2020072113:39:55</t>
  </si>
  <si>
    <t>2020071419:45:31</t>
  </si>
  <si>
    <t>2020072013:40:48</t>
  </si>
  <si>
    <t>2020071509:39:11</t>
  </si>
  <si>
    <t>2020072113:18:39</t>
  </si>
  <si>
    <t>2020071512:30:33</t>
  </si>
  <si>
    <t>2020072008:03:30</t>
  </si>
  <si>
    <t>2020071514:23:03</t>
  </si>
  <si>
    <t>2020072113:15:36</t>
  </si>
  <si>
    <t>2020071615:57:06</t>
  </si>
  <si>
    <t>2020081713:52:39</t>
  </si>
  <si>
    <t>2020071713:54:45</t>
  </si>
  <si>
    <t>2020072213:20:17</t>
  </si>
  <si>
    <t>2020071716:12:18</t>
  </si>
  <si>
    <t>2020072213:42:38</t>
  </si>
  <si>
    <t>2020071910:33:16</t>
  </si>
  <si>
    <t>2020072312:37:53</t>
  </si>
  <si>
    <t>2020071910:50:12</t>
  </si>
  <si>
    <t>2020072610:36:57</t>
  </si>
  <si>
    <t>2020071912:17:14</t>
  </si>
  <si>
    <t>2020072313:33:10</t>
  </si>
  <si>
    <t>2020071912:47:17</t>
  </si>
  <si>
    <t>2020072613:34:27</t>
  </si>
  <si>
    <t>2020071913:30:57</t>
  </si>
  <si>
    <t>2020072713:00:24</t>
  </si>
  <si>
    <t>2020071913:36:11</t>
  </si>
  <si>
    <t>2020072713:29:36</t>
  </si>
  <si>
    <t>2020071914:44:30</t>
  </si>
  <si>
    <t>2020072714:34:29</t>
  </si>
  <si>
    <t>2020071915:09:47</t>
  </si>
  <si>
    <t>2020072512:49:55</t>
  </si>
  <si>
    <t>2020072015:08:19</t>
  </si>
  <si>
    <t>2020072709:08:47</t>
  </si>
  <si>
    <t>2020072219:15:21</t>
  </si>
  <si>
    <t>2020072713:25:52</t>
  </si>
  <si>
    <t>2020072320:41:38</t>
  </si>
  <si>
    <t>2020072913:37:02</t>
  </si>
  <si>
    <t>2020072411:12:08</t>
  </si>
  <si>
    <t>2020080113:33:56</t>
  </si>
  <si>
    <t>2020072417:19:14</t>
  </si>
  <si>
    <t>2020072913:42:23</t>
  </si>
  <si>
    <t>2020072613:12:10</t>
  </si>
  <si>
    <t>2020080314:32:46</t>
  </si>
  <si>
    <t>2020072615:05:31</t>
  </si>
  <si>
    <t>2020080113:31:46</t>
  </si>
  <si>
    <t>2020072615:42:23</t>
  </si>
  <si>
    <t>2020080114:16:11</t>
  </si>
  <si>
    <t>2020072616:12:48</t>
  </si>
  <si>
    <t>2020073108:15:43</t>
  </si>
  <si>
    <r>
      <rPr>
        <sz val="9"/>
        <color indexed="63"/>
        <rFont val="Times New Roman"/>
        <family val="1"/>
      </rPr>
      <t>63</t>
    </r>
    <r>
      <rPr>
        <sz val="9"/>
        <color indexed="63"/>
        <rFont val="Microsoft YaHei Light"/>
        <family val="2"/>
        <charset val="134"/>
      </rPr>
      <t>岁</t>
    </r>
  </si>
  <si>
    <t>2020072713:11:19</t>
  </si>
  <si>
    <t>2020080415:15:25</t>
  </si>
  <si>
    <t>2020072713:25:12</t>
  </si>
  <si>
    <t>2020080314:05:58</t>
  </si>
  <si>
    <t>2020072714:35:53</t>
  </si>
  <si>
    <t>2020080313:02:10</t>
  </si>
  <si>
    <t>2020072718:39:52</t>
  </si>
  <si>
    <t>2020080314:15:51</t>
  </si>
  <si>
    <t>2020072914:40:04</t>
  </si>
  <si>
    <t>2020080209:04:45</t>
  </si>
  <si>
    <t>2020073016:18:50</t>
  </si>
  <si>
    <t>2020080608:03:27</t>
  </si>
  <si>
    <t>2020080116:10:05</t>
  </si>
  <si>
    <t>2020080814:05:37</t>
  </si>
  <si>
    <t>2020080118:45:01</t>
  </si>
  <si>
    <t>2020080812:57:20</t>
  </si>
  <si>
    <t>2020080209:39:22</t>
  </si>
  <si>
    <t>2020080812:47:26</t>
  </si>
  <si>
    <t>2020080209:39:16</t>
  </si>
  <si>
    <t>2020080708:00:14</t>
  </si>
  <si>
    <t>2020080214:59:15</t>
  </si>
  <si>
    <t>2020080812:50:17</t>
  </si>
  <si>
    <r>
      <rPr>
        <sz val="9"/>
        <color indexed="63"/>
        <rFont val="Times New Roman"/>
        <family val="1"/>
      </rPr>
      <t>11</t>
    </r>
    <r>
      <rPr>
        <sz val="9"/>
        <color indexed="63"/>
        <rFont val="Microsoft YaHei Light"/>
        <family val="2"/>
        <charset val="134"/>
      </rPr>
      <t>岁</t>
    </r>
  </si>
  <si>
    <t>2020080216:11:52</t>
  </si>
  <si>
    <t>2020080708:00:15</t>
  </si>
  <si>
    <t>2020080216:54:34</t>
  </si>
  <si>
    <t>2020080713:19:24</t>
  </si>
  <si>
    <t>2020080217:01:32</t>
  </si>
  <si>
    <t>2020081014:17:15</t>
  </si>
  <si>
    <t>2020080218:47:20</t>
  </si>
  <si>
    <t>2020080707:57:24</t>
  </si>
  <si>
    <t>2020080312:43:37</t>
  </si>
  <si>
    <t>2020081008:26:57</t>
  </si>
  <si>
    <t>2020080314:25:08</t>
  </si>
  <si>
    <t>2020081014:17:53</t>
  </si>
  <si>
    <t>2020080408:12:24</t>
  </si>
  <si>
    <t>2020080613:10:36</t>
  </si>
  <si>
    <t>2020080515:34:18</t>
  </si>
  <si>
    <t>2020081107:51:22</t>
  </si>
  <si>
    <t>2020080614:35:53</t>
  </si>
  <si>
    <t>2020081213:21:19</t>
  </si>
  <si>
    <t>2020080709:59:33</t>
  </si>
  <si>
    <t>2020081213:21:31</t>
  </si>
  <si>
    <t>2020080714:17:58</t>
  </si>
  <si>
    <t>2020081212:59:45</t>
  </si>
  <si>
    <t>2020080715:21:29</t>
  </si>
  <si>
    <t>2020081408:03:14</t>
  </si>
  <si>
    <t>2020080814:24:15</t>
  </si>
  <si>
    <t>2020081512:21:37</t>
  </si>
  <si>
    <t>2020080817:18:34</t>
  </si>
  <si>
    <t>2020081512:36:18</t>
  </si>
  <si>
    <t>2020080818:05:39</t>
  </si>
  <si>
    <t>2020081608:13:48</t>
  </si>
  <si>
    <r>
      <rPr>
        <sz val="9"/>
        <color indexed="63"/>
        <rFont val="Times New Roman"/>
        <family val="1"/>
      </rPr>
      <t>14</t>
    </r>
    <r>
      <rPr>
        <sz val="9"/>
        <color indexed="63"/>
        <rFont val="Microsoft YaHei Light"/>
        <family val="2"/>
        <charset val="134"/>
      </rPr>
      <t>岁</t>
    </r>
  </si>
  <si>
    <t>2020080820:55:41</t>
  </si>
  <si>
    <t>2020081614:04:36</t>
  </si>
  <si>
    <t>2020080912:54:04</t>
  </si>
  <si>
    <t>2020081412:59:37</t>
  </si>
  <si>
    <t>2020080914:57:28</t>
  </si>
  <si>
    <t>2020081608:13:01</t>
  </si>
  <si>
    <t>2020080915:12:12</t>
  </si>
  <si>
    <t>2020081609:29:35</t>
  </si>
  <si>
    <t>2020080916:59:16</t>
  </si>
  <si>
    <t>2020081413:05:22</t>
  </si>
  <si>
    <t>2020081013:35:52</t>
  </si>
  <si>
    <t>2020081713:44:31</t>
  </si>
  <si>
    <t>2020081014:39:23</t>
  </si>
  <si>
    <t>2020081713:38:47</t>
  </si>
  <si>
    <t>2020081112:56:27</t>
  </si>
  <si>
    <t>2020081512:43:06</t>
  </si>
  <si>
    <t>2020081218:36:16</t>
  </si>
  <si>
    <t>2020081713:07:08</t>
  </si>
  <si>
    <t>2020081314:47:55</t>
  </si>
  <si>
    <t>2020081913:13:55</t>
  </si>
  <si>
    <t>2020081408:18:13</t>
  </si>
  <si>
    <t>2020082108:21:41</t>
  </si>
  <si>
    <t>2020081412:54:13</t>
  </si>
  <si>
    <t>2020081913:32:38</t>
  </si>
  <si>
    <t>2020081413:05:38</t>
  </si>
  <si>
    <t>2020081913:02:57</t>
  </si>
  <si>
    <r>
      <rPr>
        <sz val="9"/>
        <color indexed="63"/>
        <rFont val="Times New Roman"/>
        <family val="1"/>
      </rPr>
      <t>13</t>
    </r>
    <r>
      <rPr>
        <sz val="9"/>
        <color indexed="63"/>
        <rFont val="Microsoft YaHei Light"/>
        <family val="2"/>
        <charset val="134"/>
      </rPr>
      <t>岁</t>
    </r>
  </si>
  <si>
    <t>2020081415:26:09</t>
  </si>
  <si>
    <t>2020081913:31:53</t>
  </si>
  <si>
    <t>2020081417:38:23</t>
  </si>
  <si>
    <t>2020082113:17:05</t>
  </si>
  <si>
    <t>2020081512:06:58</t>
  </si>
  <si>
    <t>2020082213:52:05</t>
  </si>
  <si>
    <t>2020081515:59:15</t>
  </si>
  <si>
    <t>2020082214:22:30</t>
  </si>
  <si>
    <t>2020081518:50:39</t>
  </si>
  <si>
    <t>2020082113:54:52</t>
  </si>
  <si>
    <t>2020081612:25:23</t>
  </si>
  <si>
    <t>2020082414:49:56</t>
  </si>
  <si>
    <t>2020081610:51:31</t>
  </si>
  <si>
    <t>2020082213:16:52</t>
  </si>
  <si>
    <t>2020081613:27:07</t>
  </si>
  <si>
    <t>2020082414:49:20</t>
  </si>
  <si>
    <t>2020081613:26:49</t>
  </si>
  <si>
    <t>2020082309:35:41</t>
  </si>
  <si>
    <t>2020081614:14:32</t>
  </si>
  <si>
    <t>2020082108:07:01</t>
  </si>
  <si>
    <r>
      <rPr>
        <sz val="9"/>
        <color indexed="63"/>
        <rFont val="Times New Roman"/>
        <family val="1"/>
      </rPr>
      <t>58</t>
    </r>
    <r>
      <rPr>
        <sz val="9"/>
        <color indexed="63"/>
        <rFont val="Microsoft YaHei Light"/>
        <family val="2"/>
        <charset val="134"/>
      </rPr>
      <t>岁</t>
    </r>
  </si>
  <si>
    <t>2020081614:16:11</t>
  </si>
  <si>
    <t>2020082108:04:32</t>
  </si>
  <si>
    <t>2020081617:14:52</t>
  </si>
  <si>
    <t>2020082114:48:16</t>
  </si>
  <si>
    <t>2020081620:56:53</t>
  </si>
  <si>
    <t>2020082209:26:10</t>
  </si>
  <si>
    <t>2020081713:21:14</t>
  </si>
  <si>
    <t>2020082412:47:09</t>
  </si>
  <si>
    <t>2020081713:54:01</t>
  </si>
  <si>
    <t>2020082413:37:52</t>
  </si>
  <si>
    <t>2020081716:11:18</t>
  </si>
  <si>
    <t>2020082313:59:06</t>
  </si>
  <si>
    <t>2020081915:30:42</t>
  </si>
  <si>
    <t>2020082713:15:43</t>
  </si>
  <si>
    <t>2020081922:36:48</t>
  </si>
  <si>
    <t>2020082415:36:39</t>
  </si>
  <si>
    <t>2020082015:49:50</t>
  </si>
  <si>
    <t>2020082912:43:06</t>
  </si>
  <si>
    <t>2020082015:56:30</t>
  </si>
  <si>
    <t>2020082713:05:56</t>
  </si>
  <si>
    <t>2020082115:05:45</t>
  </si>
  <si>
    <t>2020082613:57:17</t>
  </si>
  <si>
    <t>2020082115:37:00</t>
  </si>
  <si>
    <t>2020082613:32:14</t>
  </si>
  <si>
    <t>2020082117:03:10</t>
  </si>
  <si>
    <t>2020083113:48:44</t>
  </si>
  <si>
    <t>2020082117:44:36</t>
  </si>
  <si>
    <t>2020082612:37:20</t>
  </si>
  <si>
    <t>2020082119:40:42</t>
  </si>
  <si>
    <t>2020082613:56:37</t>
  </si>
  <si>
    <t>2020082214:45:54</t>
  </si>
  <si>
    <t>2020082913:41:24</t>
  </si>
  <si>
    <t>2020082215:52:42</t>
  </si>
  <si>
    <t>2020082912:47:42</t>
  </si>
  <si>
    <t>2020082217:25:06</t>
  </si>
  <si>
    <t>2020083014:51:30</t>
  </si>
  <si>
    <t>2020082413:51:09</t>
  </si>
  <si>
    <t>2020083113:12:23</t>
  </si>
  <si>
    <t>2020082414:16:32</t>
  </si>
  <si>
    <t>2020082813:26:10</t>
  </si>
  <si>
    <t>2020082514:18:24</t>
  </si>
  <si>
    <t>2020090108:37:38</t>
  </si>
  <si>
    <t>1435833</t>
  </si>
  <si>
    <t>2020082518:49:48</t>
  </si>
  <si>
    <t>2020083014:55:09</t>
  </si>
  <si>
    <t>1436239</t>
  </si>
  <si>
    <t>2020082619:34:38</t>
  </si>
  <si>
    <t>2020083013:39:29</t>
  </si>
  <si>
    <t>1436516</t>
  </si>
  <si>
    <t>2020082715:21:04</t>
  </si>
  <si>
    <t>2020090613:13:46</t>
  </si>
  <si>
    <t>1436534</t>
  </si>
  <si>
    <t>2020082715:52:17</t>
  </si>
  <si>
    <t>2020090314:04:58</t>
  </si>
  <si>
    <t>1436888</t>
  </si>
  <si>
    <t>2020082817:56:21</t>
  </si>
  <si>
    <t>2020090213:29:28</t>
  </si>
  <si>
    <t>1437109</t>
  </si>
  <si>
    <t>2020082915:09:49</t>
  </si>
  <si>
    <t>2020090513:17:25</t>
  </si>
  <si>
    <t>1437124</t>
  </si>
  <si>
    <t>2020082915:36:35</t>
  </si>
  <si>
    <t>2020090513:09:33</t>
  </si>
  <si>
    <t>1437180</t>
  </si>
  <si>
    <t>2020082922:41:33</t>
  </si>
  <si>
    <t>2020090513:19:48</t>
  </si>
  <si>
    <t>1437274</t>
  </si>
  <si>
    <t>2020083013:28:51</t>
  </si>
  <si>
    <t>2020090609:08:00</t>
  </si>
  <si>
    <t>1437299</t>
  </si>
  <si>
    <t>2020083014:37:09</t>
  </si>
  <si>
    <t>2020090613:55:49</t>
  </si>
  <si>
    <t>1437332</t>
  </si>
  <si>
    <t>2020083016:52:20</t>
  </si>
  <si>
    <t>2020090508:38:36</t>
  </si>
  <si>
    <t>1437346</t>
  </si>
  <si>
    <t>2020083019:00:03</t>
  </si>
  <si>
    <t>2020090508:58:09</t>
  </si>
  <si>
    <t>1437566</t>
  </si>
  <si>
    <t>2020083113:10:12</t>
  </si>
  <si>
    <t>2020090614:20:24</t>
  </si>
  <si>
    <t>1437584</t>
  </si>
  <si>
    <t>2020083113:52:17</t>
  </si>
  <si>
    <t>2020090614:14:09</t>
  </si>
  <si>
    <t>1437699</t>
  </si>
  <si>
    <t>2020083116:14:34</t>
  </si>
  <si>
    <t>2020090613:40:44</t>
  </si>
  <si>
    <t>1437729</t>
  </si>
  <si>
    <t>2020083119:33:39</t>
  </si>
  <si>
    <t>2020090609:12:24</t>
  </si>
  <si>
    <t>1437733</t>
  </si>
  <si>
    <t>2020083119:58:40</t>
  </si>
  <si>
    <t>2020090613:15:05</t>
  </si>
  <si>
    <t>1438129</t>
  </si>
  <si>
    <t>2020090213:28:04</t>
  </si>
  <si>
    <t>2020092113:23:14</t>
  </si>
  <si>
    <t>1439315</t>
  </si>
  <si>
    <t>2020090516:27:47</t>
  </si>
  <si>
    <t>2020091414:23:06</t>
  </si>
  <si>
    <t>1439330</t>
  </si>
  <si>
    <t>2020090517:23:50</t>
  </si>
  <si>
    <t>2020091208:28:25</t>
  </si>
  <si>
    <t>1439333</t>
  </si>
  <si>
    <t>2020090517:31:22</t>
  </si>
  <si>
    <t>2020090913:48:57</t>
  </si>
  <si>
    <t>1439475</t>
  </si>
  <si>
    <t>2020090614:40:57</t>
  </si>
  <si>
    <t>2020091309:07:05</t>
  </si>
  <si>
    <t>CT*2</t>
  </si>
  <si>
    <t>1439494</t>
  </si>
  <si>
    <t>2020090615:15:58</t>
  </si>
  <si>
    <t>2020091307:07:33</t>
  </si>
  <si>
    <t>1439507</t>
  </si>
  <si>
    <t>2020090616:12:01</t>
  </si>
  <si>
    <t>2020091414:07:11</t>
  </si>
  <si>
    <t>1439508</t>
  </si>
  <si>
    <t>2020090616:12:12</t>
  </si>
  <si>
    <t>2020091212:54:12</t>
  </si>
  <si>
    <t>1439514</t>
  </si>
  <si>
    <t>2020090616:40:02</t>
  </si>
  <si>
    <t>2020091309:37:24</t>
  </si>
  <si>
    <t>2020090715:43:01</t>
  </si>
  <si>
    <t>2020091413:49:22</t>
  </si>
  <si>
    <t>1439898</t>
  </si>
  <si>
    <t>2020090716:27:36</t>
  </si>
  <si>
    <t>2020091314:24:12</t>
  </si>
  <si>
    <t>2020090815:17:49</t>
  </si>
  <si>
    <t>2020091513:02:29</t>
  </si>
  <si>
    <t>1440269</t>
  </si>
  <si>
    <t>2020090821:06:16</t>
  </si>
  <si>
    <t>2020091414:21:15</t>
  </si>
  <si>
    <t>2020090921:52:31</t>
  </si>
  <si>
    <t>2020091408:22:38</t>
  </si>
  <si>
    <t>1440599</t>
  </si>
  <si>
    <t>2020090917:22:02</t>
  </si>
  <si>
    <t>2020091407:45:49</t>
  </si>
  <si>
    <t>1440603</t>
  </si>
  <si>
    <t>2020090917:45:15</t>
  </si>
  <si>
    <t>2020091408:13:37</t>
  </si>
  <si>
    <t>1440888</t>
  </si>
  <si>
    <t>2020091014:49:51</t>
  </si>
  <si>
    <t>2020091712:17:15</t>
  </si>
  <si>
    <t>1441221</t>
  </si>
  <si>
    <t>2020091114:36:18</t>
  </si>
  <si>
    <t>2020091613:44:22</t>
  </si>
  <si>
    <t>1441230</t>
  </si>
  <si>
    <t>2020091114:47:45</t>
  </si>
  <si>
    <t>2020091612:48:29</t>
  </si>
  <si>
    <t>1441265</t>
  </si>
  <si>
    <t>2020091115:24:31</t>
  </si>
  <si>
    <t>2020091912:39:05</t>
  </si>
  <si>
    <t>1441316</t>
  </si>
  <si>
    <t>2020091119:09:08</t>
  </si>
  <si>
    <t>2020091908:18:51</t>
  </si>
  <si>
    <t>1441500</t>
  </si>
  <si>
    <t>2020091215:02:28</t>
  </si>
  <si>
    <t>2020091912:40:32</t>
  </si>
  <si>
    <t>2020091217:08:07</t>
  </si>
  <si>
    <t>2020091914:12:11</t>
  </si>
  <si>
    <t>1441662</t>
  </si>
  <si>
    <t>2020091314:00:13</t>
  </si>
  <si>
    <t>2020092008:18:03</t>
  </si>
  <si>
    <t>2020091314:12:39</t>
  </si>
  <si>
    <t>2020092013:12:32</t>
  </si>
  <si>
    <t>1441671</t>
  </si>
  <si>
    <t>2020091314:04:15</t>
  </si>
  <si>
    <t>2020092008:52:43</t>
  </si>
  <si>
    <t>1441673</t>
  </si>
  <si>
    <t>2020091314:12:25</t>
  </si>
  <si>
    <t>2020092009:28:52</t>
  </si>
  <si>
    <t>1441711</t>
  </si>
  <si>
    <t>2020091316:17:21</t>
  </si>
  <si>
    <t>2020092008:26:59</t>
  </si>
  <si>
    <t>1441985</t>
  </si>
  <si>
    <t>2020091413:38:14</t>
  </si>
  <si>
    <t>2020092008:44:28</t>
  </si>
  <si>
    <t>1442037</t>
  </si>
  <si>
    <t>2020091414:31:53</t>
  </si>
  <si>
    <t>2020092112:03:50</t>
  </si>
  <si>
    <t>1442158</t>
  </si>
  <si>
    <t>2020091420:42:45</t>
  </si>
  <si>
    <t>1442434</t>
  </si>
  <si>
    <t>2020091515:09:04</t>
  </si>
  <si>
    <t>2020092213:37:00</t>
  </si>
  <si>
    <t>2020091615:12:30</t>
  </si>
  <si>
    <t>2020092011:04:32</t>
  </si>
  <si>
    <r>
      <rPr>
        <sz val="9"/>
        <color indexed="63"/>
        <rFont val="Microsoft YaHei Light"/>
        <family val="2"/>
        <charset val="134"/>
      </rPr>
      <t>伤口愈合不良</t>
    </r>
  </si>
  <si>
    <t>1442882</t>
  </si>
  <si>
    <t>2020091618:12:35</t>
  </si>
  <si>
    <t>2020092013:34:28</t>
  </si>
  <si>
    <t>1442898</t>
  </si>
  <si>
    <t>2020091619:40:24</t>
  </si>
  <si>
    <t>2020092308:25:39</t>
  </si>
  <si>
    <t>2020091620:04:38</t>
  </si>
  <si>
    <t>2020092108:40:23</t>
  </si>
  <si>
    <t>1442901</t>
  </si>
  <si>
    <t>2020091620:20:58</t>
  </si>
  <si>
    <t>2020092108:43:46</t>
  </si>
  <si>
    <t>1443060</t>
  </si>
  <si>
    <t>2020091711:27:16</t>
  </si>
  <si>
    <t>2020091812:19:06</t>
  </si>
  <si>
    <t>1443267</t>
  </si>
  <si>
    <t>2020091717:05:21</t>
  </si>
  <si>
    <t>2020092413:42:45</t>
  </si>
  <si>
    <t>1443269</t>
  </si>
  <si>
    <t>2020091717:17:36</t>
  </si>
  <si>
    <t>2020092413:25:22</t>
  </si>
  <si>
    <t>1443775</t>
  </si>
  <si>
    <t>2020091914:19:28</t>
  </si>
  <si>
    <t>2020092613:43:47</t>
  </si>
  <si>
    <t>1443784</t>
  </si>
  <si>
    <t>2020091914:33:23</t>
  </si>
  <si>
    <t>2020092613:21:11</t>
  </si>
  <si>
    <t>1443805</t>
  </si>
  <si>
    <t>2020091915:06:48</t>
  </si>
  <si>
    <t>2020092614:07:19</t>
  </si>
  <si>
    <t>1443823</t>
  </si>
  <si>
    <t>2020091915:43:49</t>
  </si>
  <si>
    <t>2020092609:30:37</t>
  </si>
  <si>
    <t>1443876</t>
  </si>
  <si>
    <t>2020091921:02:37</t>
  </si>
  <si>
    <t>2020092612:29:55</t>
  </si>
  <si>
    <t>1443959</t>
  </si>
  <si>
    <t>2020092013:55:28</t>
  </si>
  <si>
    <t>2020093014:25:02</t>
  </si>
  <si>
    <r>
      <rPr>
        <sz val="9"/>
        <color indexed="63"/>
        <rFont val="Times New Roman"/>
        <family val="1"/>
      </rPr>
      <t>69</t>
    </r>
    <r>
      <rPr>
        <sz val="9"/>
        <color indexed="63"/>
        <rFont val="Microsoft YaHei Light"/>
        <family val="2"/>
        <charset val="134"/>
      </rPr>
      <t>岁</t>
    </r>
  </si>
  <si>
    <t>1443974</t>
  </si>
  <si>
    <t>2020092014:28:10</t>
  </si>
  <si>
    <t>2020092714:31:23</t>
  </si>
  <si>
    <t>1443995</t>
  </si>
  <si>
    <t>2020092015:13:52</t>
  </si>
  <si>
    <t>2020092413:48:09</t>
  </si>
  <si>
    <t>1443997</t>
  </si>
  <si>
    <t>2020092015:19:18</t>
  </si>
  <si>
    <t>2020092608:30:03</t>
  </si>
  <si>
    <t>1444004</t>
  </si>
  <si>
    <t>2020092015:39:39</t>
  </si>
  <si>
    <t>2020092612:28:35</t>
  </si>
  <si>
    <t>2020092115:53:35</t>
  </si>
  <si>
    <t>2020092913:51:06</t>
  </si>
  <si>
    <t>2020092115:17:18</t>
  </si>
  <si>
    <t>2020092914:20:26</t>
  </si>
  <si>
    <t>1444526</t>
  </si>
  <si>
    <t>2020092209:25:14</t>
  </si>
  <si>
    <t>2020092813:38:44</t>
  </si>
  <si>
    <t>1444771</t>
  </si>
  <si>
    <t>2020092216:25:21</t>
  </si>
  <si>
    <t>2020092713:46:29</t>
  </si>
  <si>
    <t>1445121</t>
  </si>
  <si>
    <t>2020092316:38:17</t>
  </si>
  <si>
    <t>2020092813:29:30</t>
  </si>
  <si>
    <t>1445240</t>
  </si>
  <si>
    <t>2020092409:05:56</t>
  </si>
  <si>
    <t>2020100110:54:02</t>
  </si>
  <si>
    <t>1445416</t>
  </si>
  <si>
    <t>2020092414:37:49</t>
  </si>
  <si>
    <t>2020093013:37:18</t>
  </si>
  <si>
    <t>1445444</t>
  </si>
  <si>
    <t>2020092415:33:06</t>
  </si>
  <si>
    <t>2020100109:21:50</t>
  </si>
  <si>
    <t>1445798</t>
  </si>
  <si>
    <t>2020092514:46:57</t>
  </si>
  <si>
    <t>2020100109:14:10</t>
  </si>
  <si>
    <t>1445808</t>
  </si>
  <si>
    <t>2020092514:37:57</t>
  </si>
  <si>
    <t>2020092813:42:42</t>
  </si>
  <si>
    <t>1445855</t>
  </si>
  <si>
    <t>2020092515:42:58</t>
  </si>
  <si>
    <t>2020093014:20:23</t>
  </si>
  <si>
    <t>1445894</t>
  </si>
  <si>
    <t>2020092518:19:34</t>
  </si>
  <si>
    <t>2020101413:15:14</t>
  </si>
  <si>
    <t>1445985</t>
  </si>
  <si>
    <t>2020092609:57:31</t>
  </si>
  <si>
    <t>2020100208:51:02</t>
  </si>
  <si>
    <t>1446060</t>
  </si>
  <si>
    <t>2020092613:41:46</t>
  </si>
  <si>
    <t>2020100307:54:33</t>
  </si>
  <si>
    <t>1446081</t>
  </si>
  <si>
    <t>2020092614:28:37</t>
  </si>
  <si>
    <t>2020100108:05:59</t>
  </si>
  <si>
    <t>1446093</t>
  </si>
  <si>
    <t>2020092615:07:07</t>
  </si>
  <si>
    <t>2020100608:59:32</t>
  </si>
  <si>
    <t>1446112</t>
  </si>
  <si>
    <t>2020092615:24:57</t>
  </si>
  <si>
    <t>2020100309:57:21</t>
  </si>
  <si>
    <t>1446126</t>
  </si>
  <si>
    <t>2020092616:09:25</t>
  </si>
  <si>
    <t>2020100311:06:24</t>
  </si>
  <si>
    <t>1446131</t>
  </si>
  <si>
    <t>2020092617:07:03</t>
  </si>
  <si>
    <t>2020100409:18:58</t>
  </si>
  <si>
    <t>1446423</t>
  </si>
  <si>
    <t>2020092714:41:29</t>
  </si>
  <si>
    <t>2020100110:30:38</t>
  </si>
  <si>
    <t>1447141</t>
  </si>
  <si>
    <t>2020092916:33:44</t>
  </si>
  <si>
    <t>2020101312:53:41</t>
  </si>
  <si>
    <r>
      <rPr>
        <sz val="9"/>
        <color indexed="63"/>
        <rFont val="Times New Roman"/>
        <family val="1"/>
      </rPr>
      <t>12</t>
    </r>
    <r>
      <rPr>
        <sz val="9"/>
        <color indexed="63"/>
        <rFont val="Microsoft YaHei Light"/>
        <family val="2"/>
        <charset val="134"/>
      </rPr>
      <t>岁</t>
    </r>
  </si>
  <si>
    <t>1447644</t>
  </si>
  <si>
    <t>2020100419:46:30</t>
  </si>
  <si>
    <t>2020101213:39:40</t>
  </si>
  <si>
    <t>1447650</t>
  </si>
  <si>
    <t>2020100410:48:29</t>
  </si>
  <si>
    <t>2020101213:26:19</t>
  </si>
  <si>
    <t>1447676</t>
  </si>
  <si>
    <t>2020100413:36:16</t>
  </si>
  <si>
    <t>2020101313:07:32</t>
  </si>
  <si>
    <t>1447677</t>
  </si>
  <si>
    <t>2020100413:40:24</t>
  </si>
  <si>
    <t>2020101213:49:52</t>
  </si>
  <si>
    <t>1447685</t>
  </si>
  <si>
    <t>2020100414:30:58</t>
  </si>
  <si>
    <t>2020102014:15:22</t>
  </si>
  <si>
    <t>1447708</t>
  </si>
  <si>
    <t>2020100417:04:10</t>
  </si>
  <si>
    <t>2020101313:00:41</t>
  </si>
  <si>
    <t>1447852</t>
  </si>
  <si>
    <t>2020100518:36:43</t>
  </si>
  <si>
    <t>2020101407:44:09</t>
  </si>
  <si>
    <t>1448164</t>
  </si>
  <si>
    <t>2020100808:47:28</t>
  </si>
  <si>
    <t>2020101607:38:23</t>
  </si>
  <si>
    <t>1448309</t>
  </si>
  <si>
    <t>2020100816:31:24</t>
  </si>
  <si>
    <t>2020101610:02:55</t>
  </si>
  <si>
    <t>1448313</t>
  </si>
  <si>
    <t>2020100816:33:59</t>
  </si>
  <si>
    <t>2020101314:14:30</t>
  </si>
  <si>
    <t>1448341</t>
  </si>
  <si>
    <t>2020100821:20:56</t>
  </si>
  <si>
    <t>2020101514:30:29</t>
  </si>
  <si>
    <t>1448357</t>
  </si>
  <si>
    <t>2020100908:01:24</t>
  </si>
  <si>
    <t>2020101513:01:28</t>
  </si>
  <si>
    <t>1448653</t>
  </si>
  <si>
    <t>2020100920:06:14</t>
  </si>
  <si>
    <t>2020110613:12:46</t>
  </si>
  <si>
    <t>1449151</t>
  </si>
  <si>
    <t>2020101108:54:19</t>
  </si>
  <si>
    <t>2020101808:12:09</t>
  </si>
  <si>
    <t>1449240</t>
  </si>
  <si>
    <t>2020101113:59:35</t>
  </si>
  <si>
    <t>2020101809:39:22</t>
  </si>
  <si>
    <t>1449246</t>
  </si>
  <si>
    <t>2020101114:07:48</t>
  </si>
  <si>
    <t>2020101513:49:23</t>
  </si>
  <si>
    <t>1449278</t>
  </si>
  <si>
    <t>2020101115:48:07</t>
  </si>
  <si>
    <t>2020101713:42:16</t>
  </si>
  <si>
    <t>1449296</t>
  </si>
  <si>
    <t>2020101120:01:45</t>
  </si>
  <si>
    <t>2020101808:35:31</t>
  </si>
  <si>
    <t>1449364</t>
  </si>
  <si>
    <t>2020101208:41:11</t>
  </si>
  <si>
    <t>2020101513:21:34</t>
  </si>
  <si>
    <t>1449454</t>
  </si>
  <si>
    <t>2020101209:52:17</t>
  </si>
  <si>
    <t>2020101808:52:31</t>
  </si>
  <si>
    <t>1449612</t>
  </si>
  <si>
    <t>2020101213:52:00</t>
  </si>
  <si>
    <t>2020101810:53:12</t>
  </si>
  <si>
    <t>1449667</t>
  </si>
  <si>
    <t>2020101214:34:55</t>
  </si>
  <si>
    <t>2020101808:53:34</t>
  </si>
  <si>
    <t>1449717</t>
  </si>
  <si>
    <t>2020101215:48:44</t>
  </si>
  <si>
    <t>2020101908:10:52</t>
  </si>
  <si>
    <t>1450052</t>
  </si>
  <si>
    <t>2020101314:36:44</t>
  </si>
  <si>
    <t>2020101907:45:08</t>
  </si>
  <si>
    <t>1450328</t>
  </si>
  <si>
    <t>2020101413:37:28</t>
  </si>
  <si>
    <t>2020102013:38:07</t>
  </si>
  <si>
    <t>1450465</t>
  </si>
  <si>
    <t>2020101416:17:24</t>
  </si>
  <si>
    <t>2020101913:47:43</t>
  </si>
  <si>
    <t>1451108</t>
  </si>
  <si>
    <t>2020101614:09:45</t>
  </si>
  <si>
    <t>2020102113:58:47</t>
  </si>
  <si>
    <t>1451145</t>
  </si>
  <si>
    <t>2020101615:05:50</t>
  </si>
  <si>
    <t>2020102113:50:10</t>
  </si>
  <si>
    <t>1451438</t>
  </si>
  <si>
    <t>2020101715:41:07</t>
  </si>
  <si>
    <t>2020102213:35:51</t>
  </si>
  <si>
    <t>1451472</t>
  </si>
  <si>
    <t>2020101718:43:22</t>
  </si>
  <si>
    <t>2020102413:27:52</t>
  </si>
  <si>
    <t>1451489</t>
  </si>
  <si>
    <t>2020101720:14:24</t>
  </si>
  <si>
    <t>2020102409:37:09</t>
  </si>
  <si>
    <t>1451524</t>
  </si>
  <si>
    <t>2020101808:09:27</t>
  </si>
  <si>
    <t>2020102508:59:27</t>
  </si>
  <si>
    <t>1451606</t>
  </si>
  <si>
    <t>2020101814:16:22</t>
  </si>
  <si>
    <t>2020102508:45:29</t>
  </si>
  <si>
    <t>1451622</t>
  </si>
  <si>
    <t>2020101814:52:09</t>
  </si>
  <si>
    <t>2020102508:49:24</t>
  </si>
  <si>
    <t>1451630</t>
  </si>
  <si>
    <t>2020101815:03:03</t>
  </si>
  <si>
    <t>2020102308:51:57</t>
  </si>
  <si>
    <t>1451632</t>
  </si>
  <si>
    <t>2020101815:06:26</t>
  </si>
  <si>
    <t>2020102413:52:29</t>
  </si>
  <si>
    <t>1451636</t>
  </si>
  <si>
    <t>2020101815:29:30</t>
  </si>
  <si>
    <t>2020102413:32:10</t>
  </si>
  <si>
    <t>1451673</t>
  </si>
  <si>
    <t>2020101817:52:59</t>
  </si>
  <si>
    <t>2020102510:56:31</t>
  </si>
  <si>
    <t>1451920</t>
  </si>
  <si>
    <t>2020101913:30:04</t>
  </si>
  <si>
    <t>2020102509:12:35</t>
  </si>
  <si>
    <r>
      <rPr>
        <sz val="9"/>
        <color indexed="63"/>
        <rFont val="Times New Roman"/>
        <family val="1"/>
      </rPr>
      <t>57</t>
    </r>
    <r>
      <rPr>
        <sz val="9"/>
        <color indexed="63"/>
        <rFont val="Microsoft YaHei Light"/>
        <family val="2"/>
        <charset val="134"/>
      </rPr>
      <t>岁</t>
    </r>
  </si>
  <si>
    <t>1452028</t>
  </si>
  <si>
    <t>2020101916:14:56</t>
  </si>
  <si>
    <t>2020102613:45:34</t>
  </si>
  <si>
    <t>2020101918:40:45</t>
  </si>
  <si>
    <t>2020102513:49:31</t>
  </si>
  <si>
    <t>2020102114:42:25</t>
  </si>
  <si>
    <t>2020102612:36:20</t>
  </si>
  <si>
    <t>1452791</t>
  </si>
  <si>
    <t>2020102116:01:30</t>
  </si>
  <si>
    <t>2020102713:24:54</t>
  </si>
  <si>
    <t>2020102214:54:15</t>
  </si>
  <si>
    <t>2020111013:33:03</t>
  </si>
  <si>
    <t>2020102314:16:36</t>
  </si>
  <si>
    <t>2020102912:04:48</t>
  </si>
  <si>
    <t>2020102318:13:11</t>
  </si>
  <si>
    <t>2020103113:52:56</t>
  </si>
  <si>
    <t>2020102318:57:26</t>
  </si>
  <si>
    <t>2020103108:24:03</t>
  </si>
  <si>
    <t>1453701</t>
  </si>
  <si>
    <t>2020102410:29:02</t>
  </si>
  <si>
    <t>2020102709:48:55</t>
  </si>
  <si>
    <t>1453781</t>
  </si>
  <si>
    <t>2020102414:28:10</t>
  </si>
  <si>
    <t>2020103113:52:37</t>
  </si>
  <si>
    <t>1453784</t>
  </si>
  <si>
    <t>2020102414:27:59</t>
  </si>
  <si>
    <t>2020102813:16:13</t>
  </si>
  <si>
    <t>1453991</t>
  </si>
  <si>
    <t>2020102515:05:08</t>
  </si>
  <si>
    <t>2020103012:53:08</t>
  </si>
  <si>
    <t>1454027</t>
  </si>
  <si>
    <t>2020102519:12:30</t>
  </si>
  <si>
    <t>2020103008:10:19</t>
  </si>
  <si>
    <t>1455467</t>
  </si>
  <si>
    <t>2020102914:40:02</t>
  </si>
  <si>
    <t>2020110507:38:50</t>
  </si>
  <si>
    <t>1455708</t>
  </si>
  <si>
    <t>2020103010:21:33</t>
  </si>
  <si>
    <t>2020110413:28:49</t>
  </si>
  <si>
    <t>1456113</t>
  </si>
  <si>
    <t>2020103114:09:05</t>
  </si>
  <si>
    <t>2020110809:45:00</t>
  </si>
  <si>
    <t>1456150</t>
  </si>
  <si>
    <t>2020103115:42:31</t>
  </si>
  <si>
    <t>2020110809:43:43</t>
  </si>
  <si>
    <t>1456184</t>
  </si>
  <si>
    <t>2020103118:12:19</t>
  </si>
  <si>
    <t>2020110709:13:03</t>
  </si>
  <si>
    <t>1456280</t>
  </si>
  <si>
    <t>2020110111:45:38</t>
  </si>
  <si>
    <t>2020110809:16:51</t>
  </si>
  <si>
    <t>1456287</t>
  </si>
  <si>
    <t>2020110112:29:43</t>
  </si>
  <si>
    <t>2020110808:46:15</t>
  </si>
  <si>
    <t>1456309</t>
  </si>
  <si>
    <t>2020110113:37:52</t>
  </si>
  <si>
    <t>2020110407:42:42</t>
  </si>
  <si>
    <t>1456617</t>
  </si>
  <si>
    <t>2020110213:47:56</t>
  </si>
  <si>
    <t>2021011914:08:06</t>
  </si>
  <si>
    <t>1457089</t>
  </si>
  <si>
    <t>2020110315:45:53</t>
  </si>
  <si>
    <t>2020110808:34:26</t>
  </si>
  <si>
    <t>1457455</t>
  </si>
  <si>
    <t>2020110416:03:16</t>
  </si>
  <si>
    <t>2020110912:20:09</t>
  </si>
  <si>
    <t>2020110416:02:01</t>
  </si>
  <si>
    <t>2020111712:54:01</t>
  </si>
  <si>
    <t>1457469</t>
  </si>
  <si>
    <t>2020110416:32:06</t>
  </si>
  <si>
    <t>2020111008:28:16</t>
  </si>
  <si>
    <t>1457481</t>
  </si>
  <si>
    <t>2020110418:18:50</t>
  </si>
  <si>
    <t>2020111113:01:20</t>
  </si>
  <si>
    <t>1457502</t>
  </si>
  <si>
    <t>2020110420:18:11</t>
  </si>
  <si>
    <t>2020110912:38:21</t>
  </si>
  <si>
    <t>1457802</t>
  </si>
  <si>
    <t>2020110514:28:08</t>
  </si>
  <si>
    <t>2020111209:19:56</t>
  </si>
  <si>
    <t>1457863</t>
  </si>
  <si>
    <t>2020110516:09:58</t>
  </si>
  <si>
    <t>2020110714:43:35</t>
  </si>
  <si>
    <t>1458075</t>
  </si>
  <si>
    <t>2020110613:33:05</t>
  </si>
  <si>
    <t>2020111613:21:22</t>
  </si>
  <si>
    <t>1458149</t>
  </si>
  <si>
    <t>2020110615:24:18</t>
  </si>
  <si>
    <t>2020111412:42:35</t>
  </si>
  <si>
    <t>1458151</t>
  </si>
  <si>
    <t>2020110615:36:53</t>
  </si>
  <si>
    <t>2020111413:07:51</t>
  </si>
  <si>
    <t>1458155</t>
  </si>
  <si>
    <t>2020110615:38:16</t>
  </si>
  <si>
    <t>2020111212:52:41</t>
  </si>
  <si>
    <r>
      <rPr>
        <sz val="9"/>
        <color indexed="63"/>
        <rFont val="Microsoft YaHei Light"/>
        <family val="2"/>
        <charset val="134"/>
      </rPr>
      <t>止点撕脱</t>
    </r>
  </si>
  <si>
    <t>1458402</t>
  </si>
  <si>
    <t>2020110714:22:24</t>
  </si>
  <si>
    <t>2020120415:00:30</t>
  </si>
  <si>
    <t>1458454</t>
  </si>
  <si>
    <t>2020110715:19:14</t>
  </si>
  <si>
    <t>2020111412:49:51</t>
  </si>
  <si>
    <t>1458602</t>
  </si>
  <si>
    <t>2020110811:29:16</t>
  </si>
  <si>
    <t>2020111413:35:46</t>
  </si>
  <si>
    <t>1458617</t>
  </si>
  <si>
    <t>2020110812:44:14</t>
  </si>
  <si>
    <t>2020111508:30:00</t>
  </si>
  <si>
    <t>1458642</t>
  </si>
  <si>
    <t>2020110814:15:48</t>
  </si>
  <si>
    <t>2020111513:07:18</t>
  </si>
  <si>
    <t>1458644</t>
  </si>
  <si>
    <t>2020110814:22:48</t>
  </si>
  <si>
    <t>2020111213:47:28</t>
  </si>
  <si>
    <t>1458649</t>
  </si>
  <si>
    <t>2020110814:32:55</t>
  </si>
  <si>
    <t>2020111507:50:11</t>
  </si>
  <si>
    <t>1458655</t>
  </si>
  <si>
    <t>2020110814:48:51</t>
  </si>
  <si>
    <t>2020111514:02:35</t>
  </si>
  <si>
    <t>1458677</t>
  </si>
  <si>
    <t>2020110817:12:31</t>
  </si>
  <si>
    <t>2020111509:08:40</t>
  </si>
  <si>
    <t>1459000</t>
  </si>
  <si>
    <t>2020110914:04:40</t>
  </si>
  <si>
    <t>2020111608:52:54</t>
  </si>
  <si>
    <t>1459024</t>
  </si>
  <si>
    <t>2020110916:08:09</t>
  </si>
  <si>
    <t>2020111613:08:00</t>
  </si>
  <si>
    <t>1459102</t>
  </si>
  <si>
    <t>2020110916:08:28</t>
  </si>
  <si>
    <t>2020111612:45:40</t>
  </si>
  <si>
    <t>1459128</t>
  </si>
  <si>
    <t>2020110917:58:54</t>
  </si>
  <si>
    <t>2020111613:26:06</t>
  </si>
  <si>
    <t>1459134</t>
  </si>
  <si>
    <t>2020110918:37:08</t>
  </si>
  <si>
    <t>2020111513:04:53</t>
  </si>
  <si>
    <t>1459503</t>
  </si>
  <si>
    <t>2020111018:19:57</t>
  </si>
  <si>
    <t>2020111613:39:39</t>
  </si>
  <si>
    <t>1459784</t>
  </si>
  <si>
    <t>2020111114:41:44</t>
  </si>
  <si>
    <t>2020111807:37:00</t>
  </si>
  <si>
    <t>1460241</t>
  </si>
  <si>
    <t>2020111216:16:18</t>
  </si>
  <si>
    <t>2020111913:09:17</t>
  </si>
  <si>
    <t>1460806</t>
  </si>
  <si>
    <t>2020111416:06:49</t>
  </si>
  <si>
    <t>2020112208:26:26</t>
  </si>
  <si>
    <t>1460835</t>
  </si>
  <si>
    <t>2020111418:55:48</t>
  </si>
  <si>
    <t>2020112113:04:34</t>
  </si>
  <si>
    <t>1460956</t>
  </si>
  <si>
    <t>2020111513:14:33</t>
  </si>
  <si>
    <t>2020112208:10:35</t>
  </si>
  <si>
    <t>1460965</t>
  </si>
  <si>
    <t>2020111513:52:10</t>
  </si>
  <si>
    <t>2020112113:27:07</t>
  </si>
  <si>
    <t>1460977</t>
  </si>
  <si>
    <t>2020111514:35:00</t>
  </si>
  <si>
    <t>2020112113:03:25</t>
  </si>
  <si>
    <t>1461019</t>
  </si>
  <si>
    <t>2020111516:44:35</t>
  </si>
  <si>
    <t>2020112313:15:20</t>
  </si>
  <si>
    <t>1461361</t>
  </si>
  <si>
    <t>2020111614:30:55</t>
  </si>
  <si>
    <t>2020112213:07:50</t>
  </si>
  <si>
    <t>1461408</t>
  </si>
  <si>
    <t>2020111615:07:40</t>
  </si>
  <si>
    <t>2020112812:28:17</t>
  </si>
  <si>
    <t>1461426</t>
  </si>
  <si>
    <t>2020111615:28:29</t>
  </si>
  <si>
    <t>2020112213:03:56</t>
  </si>
  <si>
    <t>1461458</t>
  </si>
  <si>
    <t>2020111616:21:47</t>
  </si>
  <si>
    <t>2020112308:27:54</t>
  </si>
  <si>
    <t>1461474</t>
  </si>
  <si>
    <t>2020111618:09:34</t>
  </si>
  <si>
    <t>2020111912:50:09</t>
  </si>
  <si>
    <r>
      <rPr>
        <sz val="9"/>
        <color indexed="63"/>
        <rFont val="Microsoft YaHei Light"/>
        <family val="2"/>
        <charset val="134"/>
      </rPr>
      <t>膝关节脱位</t>
    </r>
    <r>
      <rPr>
        <sz val="9"/>
        <color indexed="63"/>
        <rFont val="Times New Roman"/>
        <family val="1"/>
      </rPr>
      <t xml:space="preserve"> MRI*3</t>
    </r>
  </si>
  <si>
    <t>1461807</t>
  </si>
  <si>
    <t>2020111716:16:01</t>
  </si>
  <si>
    <t>2020112313:53:04</t>
  </si>
  <si>
    <t>1461826</t>
  </si>
  <si>
    <t>2020111717:51:16</t>
  </si>
  <si>
    <t>2020112213:03:27</t>
  </si>
  <si>
    <t>1462150</t>
  </si>
  <si>
    <t>2020111816:18:36</t>
  </si>
  <si>
    <t>2020112407:58:01</t>
  </si>
  <si>
    <t>1462168</t>
  </si>
  <si>
    <t>2020111817:18:55</t>
  </si>
  <si>
    <t>2020112312:14:23</t>
  </si>
  <si>
    <r>
      <rPr>
        <sz val="9"/>
        <color indexed="63"/>
        <rFont val="Microsoft YaHei Light"/>
        <family val="2"/>
        <charset val="134"/>
      </rPr>
      <t>多发</t>
    </r>
  </si>
  <si>
    <t>1462173</t>
  </si>
  <si>
    <t>2020111817:35:46</t>
  </si>
  <si>
    <t>2020112312:26:43</t>
  </si>
  <si>
    <t>1462361</t>
  </si>
  <si>
    <t>2020111912:27:03</t>
  </si>
  <si>
    <t>2020112610:21:53</t>
  </si>
  <si>
    <t>1462752</t>
  </si>
  <si>
    <t>2020112014:19:31</t>
  </si>
  <si>
    <t>2020112110:47:51</t>
  </si>
  <si>
    <t>1463084</t>
  </si>
  <si>
    <t>2020112116:02:54</t>
  </si>
  <si>
    <t>2020112813:47:12</t>
  </si>
  <si>
    <t>1463221</t>
  </si>
  <si>
    <t>2020112211:59:02</t>
  </si>
  <si>
    <t>2020112712:33:29</t>
  </si>
  <si>
    <t>1463233</t>
  </si>
  <si>
    <t>2020112213:14:15</t>
  </si>
  <si>
    <t>2020112713:35:44</t>
  </si>
  <si>
    <t>1463239</t>
  </si>
  <si>
    <t>2020112213:22:41</t>
  </si>
  <si>
    <t>2020112713:18:20</t>
  </si>
  <si>
    <t>1463259</t>
  </si>
  <si>
    <t>2020112214:18:13</t>
  </si>
  <si>
    <t>2020112713:40:44</t>
  </si>
  <si>
    <t>1463417</t>
  </si>
  <si>
    <t>2020112308:52:32</t>
  </si>
  <si>
    <t>2020112808:27:26</t>
  </si>
  <si>
    <t>1463590</t>
  </si>
  <si>
    <t>2020112313:43:26</t>
  </si>
  <si>
    <t>2020113013:18:10</t>
  </si>
  <si>
    <t>1463662</t>
  </si>
  <si>
    <t>2020112314:47:37</t>
  </si>
  <si>
    <t>2020112908:09:42</t>
  </si>
  <si>
    <t>1463753</t>
  </si>
  <si>
    <t>2020112316:38:18</t>
  </si>
  <si>
    <t>2020120108:55:04</t>
  </si>
  <si>
    <r>
      <rPr>
        <sz val="9"/>
        <color indexed="63"/>
        <rFont val="Microsoft YaHei Light"/>
        <family val="2"/>
        <charset val="134"/>
      </rPr>
      <t>停刀</t>
    </r>
  </si>
  <si>
    <t>1463784</t>
  </si>
  <si>
    <t>2020112321:14:53</t>
  </si>
  <si>
    <t>2020120207:39:53</t>
  </si>
  <si>
    <t>1463927</t>
  </si>
  <si>
    <t>2020112414:03:39</t>
  </si>
  <si>
    <t>2020113013:10:26</t>
  </si>
  <si>
    <t>1464027</t>
  </si>
  <si>
    <t>2020112414:42:39</t>
  </si>
  <si>
    <t>2020113011:08:02</t>
  </si>
  <si>
    <t>1464066</t>
  </si>
  <si>
    <t>2020112415:32:08</t>
  </si>
  <si>
    <t>2020112909:51:17</t>
  </si>
  <si>
    <t>1464303</t>
  </si>
  <si>
    <t>2020112513:23:28</t>
  </si>
  <si>
    <t>2020113013:27:18</t>
  </si>
  <si>
    <t>1464496</t>
  </si>
  <si>
    <t>2020112521:23:16</t>
  </si>
  <si>
    <t>2020113015:05:58</t>
  </si>
  <si>
    <t>1464715</t>
  </si>
  <si>
    <t>2020112613:49:17</t>
  </si>
  <si>
    <t>2020120313:34:43</t>
  </si>
  <si>
    <t>1464738</t>
  </si>
  <si>
    <t>2020112614:18:21</t>
  </si>
  <si>
    <t>2020120213:48:05</t>
  </si>
  <si>
    <t>1464755</t>
  </si>
  <si>
    <t>2020112614:24:50</t>
  </si>
  <si>
    <t>2020120312:31:37</t>
  </si>
  <si>
    <t>1464777</t>
  </si>
  <si>
    <t>2020112614:44:15</t>
  </si>
  <si>
    <t>2020120313:50:46</t>
  </si>
  <si>
    <t>1465108</t>
  </si>
  <si>
    <t>2020112714:57:24</t>
  </si>
  <si>
    <t>2020120213:59:27</t>
  </si>
  <si>
    <t>1465145</t>
  </si>
  <si>
    <t>2020112715:58:01</t>
  </si>
  <si>
    <t>2020120314:34:40</t>
  </si>
  <si>
    <t>1465408</t>
  </si>
  <si>
    <t>2020112817:47:45</t>
  </si>
  <si>
    <t>2020120509:05:32</t>
  </si>
  <si>
    <t>1465533</t>
  </si>
  <si>
    <t>2020112914:03:25</t>
  </si>
  <si>
    <t>2020120608:00:44</t>
  </si>
  <si>
    <t>1465550</t>
  </si>
  <si>
    <t>2020112915:13:58</t>
  </si>
  <si>
    <t>2020120712:36:53</t>
  </si>
  <si>
    <t>1465570</t>
  </si>
  <si>
    <t>2020112915:56:38</t>
  </si>
  <si>
    <t>2020120609:09:27</t>
  </si>
  <si>
    <t>1465891</t>
  </si>
  <si>
    <t>2020113014:33:20</t>
  </si>
  <si>
    <t>2020120714:06:28</t>
  </si>
  <si>
    <t>1466108</t>
  </si>
  <si>
    <t>2020120114:04:31</t>
  </si>
  <si>
    <t>2020120713:18:13</t>
  </si>
  <si>
    <t>1466203</t>
  </si>
  <si>
    <t>2020120114:02:31</t>
  </si>
  <si>
    <t>2020120713:42:07</t>
  </si>
  <si>
    <t>1466412</t>
  </si>
  <si>
    <t>2020120208:38:55</t>
  </si>
  <si>
    <t>2020120508:57:51</t>
  </si>
  <si>
    <t>1466535</t>
  </si>
  <si>
    <t>2020120213:58:11</t>
  </si>
  <si>
    <t>2020120813:45:35</t>
  </si>
  <si>
    <t>1467637</t>
  </si>
  <si>
    <t>2020120514:24:48</t>
  </si>
  <si>
    <t>2020121112:28:21</t>
  </si>
  <si>
    <t>1467639</t>
  </si>
  <si>
    <t>2020120514:31:18</t>
  </si>
  <si>
    <t>2020120907:41:39</t>
  </si>
  <si>
    <t>1467674</t>
  </si>
  <si>
    <t>2020120515:34:29</t>
  </si>
  <si>
    <t>2020121208:36:22</t>
  </si>
  <si>
    <t>1467817</t>
  </si>
  <si>
    <t>2020120612:57:58</t>
  </si>
  <si>
    <t>2020121012:47:45</t>
  </si>
  <si>
    <t>1467824</t>
  </si>
  <si>
    <t>2020120613:54:55</t>
  </si>
  <si>
    <t>2020121209:06:32</t>
  </si>
  <si>
    <t>1467844</t>
  </si>
  <si>
    <t>2020120614:58:03</t>
  </si>
  <si>
    <t>2020121208:47:21</t>
  </si>
  <si>
    <t>1467863</t>
  </si>
  <si>
    <t>2020120615:46:10</t>
  </si>
  <si>
    <t>2020121308:10:53</t>
  </si>
  <si>
    <t>1467907</t>
  </si>
  <si>
    <t>2020120622:23:43</t>
  </si>
  <si>
    <t>2020120912:45:45</t>
  </si>
  <si>
    <t>1468222</t>
  </si>
  <si>
    <t>2020120714:41:12</t>
  </si>
  <si>
    <t>2020121407:44:18</t>
  </si>
  <si>
    <t>1468246</t>
  </si>
  <si>
    <t>2020120714:59:01</t>
  </si>
  <si>
    <t>2020121408:00:53</t>
  </si>
  <si>
    <t>1468285</t>
  </si>
  <si>
    <t>2020120716:24:47</t>
  </si>
  <si>
    <t>2020121310:35:10</t>
  </si>
  <si>
    <t>1468287</t>
  </si>
  <si>
    <t>2020120719:07:11</t>
  </si>
  <si>
    <t>2020121308:32:32</t>
  </si>
  <si>
    <t>1468558</t>
  </si>
  <si>
    <t>2020120814:03:47</t>
  </si>
  <si>
    <t>2020121313:28:47</t>
  </si>
  <si>
    <t>1468623</t>
  </si>
  <si>
    <t>2020120814:48:52</t>
  </si>
  <si>
    <t>2020121307:55:10</t>
  </si>
  <si>
    <t>1468639</t>
  </si>
  <si>
    <t>2020120815:02:14</t>
  </si>
  <si>
    <t>2020121209:07:42</t>
  </si>
  <si>
    <t>1468669</t>
  </si>
  <si>
    <t>2020120815:25:13</t>
  </si>
  <si>
    <t>2020121409:05:35</t>
  </si>
  <si>
    <t>1468709</t>
  </si>
  <si>
    <t>2020120816:12:30</t>
  </si>
  <si>
    <t>2020121209:58:34</t>
  </si>
  <si>
    <t>1469089</t>
  </si>
  <si>
    <t>2020120916:38:04</t>
  </si>
  <si>
    <t>2020121309:28:45</t>
  </si>
  <si>
    <t>1469711</t>
  </si>
  <si>
    <t>2020121114:26:33</t>
  </si>
  <si>
    <t>2020121908:39:53</t>
  </si>
  <si>
    <t>1469786</t>
  </si>
  <si>
    <t>2020121116:49:51</t>
  </si>
  <si>
    <t>2020121609:46:50</t>
  </si>
  <si>
    <t>1469903</t>
  </si>
  <si>
    <t>2020121210:16:24</t>
  </si>
  <si>
    <t>2020121713:30:09</t>
  </si>
  <si>
    <t>1470003</t>
  </si>
  <si>
    <t>2020121214:39:24</t>
  </si>
  <si>
    <t>2020121908:47:34</t>
  </si>
  <si>
    <t>1470199</t>
  </si>
  <si>
    <t>2020121314:30:22</t>
  </si>
  <si>
    <t>2020121912:56:24</t>
  </si>
  <si>
    <t>1470201</t>
  </si>
  <si>
    <t>2020121314:48:28</t>
  </si>
  <si>
    <t>2020122108:20:02</t>
  </si>
  <si>
    <t>1470236</t>
  </si>
  <si>
    <t>2020121316:44:22</t>
  </si>
  <si>
    <t>2020121513:45:48</t>
  </si>
  <si>
    <t>1470244</t>
  </si>
  <si>
    <t>2020121317:58:02</t>
  </si>
  <si>
    <t>2020121913:09:37</t>
  </si>
  <si>
    <t>1470633</t>
  </si>
  <si>
    <t>2020121416:03:49</t>
  </si>
  <si>
    <t>2020122008:51:47</t>
  </si>
  <si>
    <t>1470675</t>
  </si>
  <si>
    <t>2020121418:24:48</t>
  </si>
  <si>
    <t>2020122008:14:21</t>
  </si>
  <si>
    <t>1470680</t>
  </si>
  <si>
    <t>2020121419:37:24</t>
  </si>
  <si>
    <t>2020123013:14:30</t>
  </si>
  <si>
    <t>1470735</t>
  </si>
  <si>
    <t>2020121508:50:01</t>
  </si>
  <si>
    <t>2020121711:55:39</t>
  </si>
  <si>
    <t>1471170</t>
  </si>
  <si>
    <t>2020121611:05:55</t>
  </si>
  <si>
    <t>2020121813:51:35</t>
  </si>
  <si>
    <t>1471207</t>
  </si>
  <si>
    <t>2020121613:10:35</t>
  </si>
  <si>
    <t>2020122413:19:07</t>
  </si>
  <si>
    <t>1471232</t>
  </si>
  <si>
    <t>2020121613:37:41</t>
  </si>
  <si>
    <t>2020122207:57:11</t>
  </si>
  <si>
    <t>1471244</t>
  </si>
  <si>
    <t>2020121613:58:57</t>
  </si>
  <si>
    <t>2020122210:47:20</t>
  </si>
  <si>
    <t>1471251</t>
  </si>
  <si>
    <t>2020121614:43:37</t>
  </si>
  <si>
    <t>2020122208:31:52</t>
  </si>
  <si>
    <r>
      <rPr>
        <sz val="9"/>
        <color indexed="63"/>
        <rFont val="Times New Roman"/>
        <family val="1"/>
      </rPr>
      <t>MRI*2</t>
    </r>
    <r>
      <rPr>
        <sz val="9"/>
        <color indexed="63"/>
        <rFont val="Microsoft YaHei Light"/>
        <family val="2"/>
        <charset val="134"/>
      </rPr>
      <t>、</t>
    </r>
    <r>
      <rPr>
        <sz val="9"/>
        <color indexed="63"/>
        <rFont val="Times New Roman"/>
        <family val="1"/>
      </rPr>
      <t>CT*2</t>
    </r>
  </si>
  <si>
    <t>1471296</t>
  </si>
  <si>
    <t>2020121614:46:45</t>
  </si>
  <si>
    <t>2020122213:32:47</t>
  </si>
  <si>
    <t>1471305</t>
  </si>
  <si>
    <t>2020121615:08:49</t>
  </si>
  <si>
    <t>2020122608:36:21</t>
  </si>
  <si>
    <t>1471621</t>
  </si>
  <si>
    <t>2020121714:21:34</t>
  </si>
  <si>
    <t>2020122312:43:29</t>
  </si>
  <si>
    <t>1471665</t>
  </si>
  <si>
    <t>2020121714:26:47</t>
  </si>
  <si>
    <t>2020122613:50:24</t>
  </si>
  <si>
    <t>1471728</t>
  </si>
  <si>
    <t>2020121715:37:04</t>
  </si>
  <si>
    <t>2020122413:27:06</t>
  </si>
  <si>
    <t>1471940</t>
  </si>
  <si>
    <t>2020121813:28:16</t>
  </si>
  <si>
    <t>2020122613:40:48</t>
  </si>
  <si>
    <t>1472007</t>
  </si>
  <si>
    <t>2020121814:44:39</t>
  </si>
  <si>
    <t>2020122613:40:24</t>
  </si>
  <si>
    <t>1472017</t>
  </si>
  <si>
    <t>2020121815:20:26</t>
  </si>
  <si>
    <t>2020122313:32:10</t>
  </si>
  <si>
    <t>1472056</t>
  </si>
  <si>
    <t>2020121816:09:43</t>
  </si>
  <si>
    <t>2020122413:50:25</t>
  </si>
  <si>
    <t>1472100</t>
  </si>
  <si>
    <t>2020121820:51:56</t>
  </si>
  <si>
    <t>2020122308:36:04</t>
  </si>
  <si>
    <t>1472297</t>
  </si>
  <si>
    <t>2020121915:28:59</t>
  </si>
  <si>
    <t>2020122709:38:46</t>
  </si>
  <si>
    <t>1472303</t>
  </si>
  <si>
    <t>2020121915:49:43</t>
  </si>
  <si>
    <t>2020122708:44:56</t>
  </si>
  <si>
    <t>1472365</t>
  </si>
  <si>
    <t>2020121922:50:04</t>
  </si>
  <si>
    <t>2020122613:02:10</t>
  </si>
  <si>
    <t>1472512</t>
  </si>
  <si>
    <t>2020122015:56:04</t>
  </si>
  <si>
    <t>2020122413:48:45</t>
  </si>
  <si>
    <t>1472526</t>
  </si>
  <si>
    <t>2020122016:40:49</t>
  </si>
  <si>
    <t>2020122509:13:22</t>
  </si>
  <si>
    <t>1472530</t>
  </si>
  <si>
    <t>2020122017:18:57</t>
  </si>
  <si>
    <t>2020122613:58:16</t>
  </si>
  <si>
    <t>1472880</t>
  </si>
  <si>
    <t>2020122115:23:17</t>
  </si>
  <si>
    <t>2020122613:03:13</t>
  </si>
  <si>
    <t>1473159</t>
  </si>
  <si>
    <t>2020122217:21:40</t>
  </si>
  <si>
    <t>2020122707:37:22</t>
  </si>
  <si>
    <t>1473212</t>
  </si>
  <si>
    <t>2020122214:54:05</t>
  </si>
  <si>
    <t>2020122609:59:17</t>
  </si>
  <si>
    <t>1473217</t>
  </si>
  <si>
    <t>2020122214:58:21</t>
  </si>
  <si>
    <t>2020122709:08:28</t>
  </si>
  <si>
    <t>1473227</t>
  </si>
  <si>
    <t>2020122215:14:10</t>
  </si>
  <si>
    <t>2020122710:58:54</t>
  </si>
  <si>
    <t>1473275</t>
  </si>
  <si>
    <t>2020122215:57:21</t>
  </si>
  <si>
    <t>2020122610:02:19</t>
  </si>
  <si>
    <t>1473694</t>
  </si>
  <si>
    <t>2020122318:53:24</t>
  </si>
  <si>
    <t>2020122908:06:58</t>
  </si>
  <si>
    <t>1473700</t>
  </si>
  <si>
    <t>2020122319:20:58</t>
  </si>
  <si>
    <t>2020123013:07:01</t>
  </si>
  <si>
    <t>1473706</t>
  </si>
  <si>
    <t>2020122320:04:51</t>
  </si>
  <si>
    <t>2020123008:16:44</t>
  </si>
  <si>
    <t>1474075</t>
  </si>
  <si>
    <t>2020122416:19:59</t>
  </si>
  <si>
    <t>2020123014:26:29</t>
  </si>
  <si>
    <t>1474362</t>
  </si>
  <si>
    <t>2020122515:13:07</t>
  </si>
  <si>
    <t>2021010109:52:40</t>
  </si>
  <si>
    <t>1474396</t>
  </si>
  <si>
    <t>2020122515:54:22</t>
  </si>
  <si>
    <t>2020123012:47:03</t>
  </si>
  <si>
    <t>1474604</t>
  </si>
  <si>
    <t>2020122614:22:24</t>
  </si>
  <si>
    <t>2021010208:31:06</t>
  </si>
  <si>
    <t>1474617</t>
  </si>
  <si>
    <t>2020122614:43:19</t>
  </si>
  <si>
    <t>2021010308:02:52</t>
  </si>
  <si>
    <t>1474871</t>
  </si>
  <si>
    <t>2020122722:02:12</t>
  </si>
  <si>
    <t>2021010209:43:07</t>
  </si>
  <si>
    <t>1475274</t>
  </si>
  <si>
    <t>2020122818:54:32</t>
  </si>
  <si>
    <t>2021010309:00:24</t>
  </si>
  <si>
    <t>1475588</t>
  </si>
  <si>
    <t>2020122915:52:48</t>
  </si>
  <si>
    <t>2021010209:15:31</t>
  </si>
  <si>
    <t>1475627</t>
  </si>
  <si>
    <t>2020122918:06:36</t>
  </si>
  <si>
    <t>2021010408:56:51</t>
  </si>
  <si>
    <t>1475862</t>
  </si>
  <si>
    <t>2020123014:19:21</t>
  </si>
  <si>
    <t>2021010713:26:56</t>
  </si>
  <si>
    <t>1475933</t>
  </si>
  <si>
    <t>2020123015:48:30</t>
  </si>
  <si>
    <t>2021010712:51:20</t>
  </si>
  <si>
    <t>1475970</t>
  </si>
  <si>
    <t>2020123018:54:54</t>
  </si>
  <si>
    <t>2021010714:27:45</t>
  </si>
  <si>
    <t>1476067</t>
  </si>
  <si>
    <t>2020123111:02:11</t>
  </si>
  <si>
    <t>2021010513:10:19</t>
  </si>
  <si>
    <t>1476245</t>
  </si>
  <si>
    <t>2020123120:36:56</t>
  </si>
  <si>
    <t>2021010612:27:52</t>
  </si>
  <si>
    <r>
      <rPr>
        <sz val="9"/>
        <color indexed="63"/>
        <rFont val="Microsoft YaHei Light"/>
        <family val="2"/>
        <charset val="134"/>
      </rPr>
      <t>胫骨骨折</t>
    </r>
  </si>
  <si>
    <t>1476515</t>
  </si>
  <si>
    <t>2021010213:44:53</t>
  </si>
  <si>
    <t>2021010907:53:25</t>
  </si>
  <si>
    <t>1476524</t>
  </si>
  <si>
    <t>2021010214:41:23</t>
  </si>
  <si>
    <t>2021010809:12:27</t>
  </si>
  <si>
    <t>1476527</t>
  </si>
  <si>
    <t>2021010214:41:45</t>
  </si>
  <si>
    <t>2021010807:53:21</t>
  </si>
  <si>
    <t>1476538</t>
  </si>
  <si>
    <t>2021010214:56:45</t>
  </si>
  <si>
    <t>2021010714:24:22</t>
  </si>
  <si>
    <t>1476563</t>
  </si>
  <si>
    <t>2021010216:08:49</t>
  </si>
  <si>
    <t>2021010914:43:45</t>
  </si>
  <si>
    <t>1476664</t>
  </si>
  <si>
    <t>2021010310:16:19</t>
  </si>
  <si>
    <t>2021010812:46:38</t>
  </si>
  <si>
    <t>1476753</t>
  </si>
  <si>
    <t>2021010315:28:09</t>
  </si>
  <si>
    <t>2021010813:27:48</t>
  </si>
  <si>
    <t>1476859</t>
  </si>
  <si>
    <t>2021010413:52:41</t>
  </si>
  <si>
    <t>2021011008:47:23</t>
  </si>
  <si>
    <r>
      <rPr>
        <sz val="9"/>
        <color indexed="63"/>
        <rFont val="Times New Roman"/>
        <family val="1"/>
      </rPr>
      <t>64</t>
    </r>
    <r>
      <rPr>
        <sz val="9"/>
        <color indexed="63"/>
        <rFont val="Microsoft YaHei Light"/>
        <family val="2"/>
        <charset val="134"/>
      </rPr>
      <t>岁</t>
    </r>
  </si>
  <si>
    <t>1477371</t>
  </si>
  <si>
    <t>2021010513:34:36</t>
  </si>
  <si>
    <t>2021011008:27:34</t>
  </si>
  <si>
    <t>1477476</t>
  </si>
  <si>
    <t>2021010515:09:06</t>
  </si>
  <si>
    <t>2021011009:04:41</t>
  </si>
  <si>
    <t>1477562</t>
  </si>
  <si>
    <t>2021010519:38:47</t>
  </si>
  <si>
    <t>2021011009:11:51</t>
  </si>
  <si>
    <t>1477692</t>
  </si>
  <si>
    <t>2021010612:01:35</t>
  </si>
  <si>
    <t>2021011108:49:15</t>
  </si>
  <si>
    <t>1477795</t>
  </si>
  <si>
    <t>2021010614:30:40</t>
  </si>
  <si>
    <t>2021011213:42:43</t>
  </si>
  <si>
    <t>1478191</t>
  </si>
  <si>
    <t>2021010714:12:32</t>
  </si>
  <si>
    <t>2021011313:10:27</t>
  </si>
  <si>
    <t>1478203</t>
  </si>
  <si>
    <t>2021010714:12:44</t>
  </si>
  <si>
    <t>2021011707:53:09</t>
  </si>
  <si>
    <t>1478607</t>
  </si>
  <si>
    <t>2021010816:25:01</t>
  </si>
  <si>
    <t>2021011413:41:56</t>
  </si>
  <si>
    <t>1478666</t>
  </si>
  <si>
    <t>2021010822:46:45</t>
  </si>
  <si>
    <t>2021011312:40:45</t>
  </si>
  <si>
    <t>1478836</t>
  </si>
  <si>
    <t>2021010914:27:36</t>
  </si>
  <si>
    <t>2021011613:25:57</t>
  </si>
  <si>
    <t>1478859</t>
  </si>
  <si>
    <t>2021010915:12:31</t>
  </si>
  <si>
    <t>2021011613:38:02</t>
  </si>
  <si>
    <t>1478892</t>
  </si>
  <si>
    <t>2021010916:41:39</t>
  </si>
  <si>
    <t>2021011613:25:37</t>
  </si>
  <si>
    <t>1478910</t>
  </si>
  <si>
    <t>2021010918:08:11</t>
  </si>
  <si>
    <t>2021011709:06:15</t>
  </si>
  <si>
    <t>1478929</t>
  </si>
  <si>
    <t>2021010920:29:00</t>
  </si>
  <si>
    <t>2021011613:28:59</t>
  </si>
  <si>
    <t>1479011</t>
  </si>
  <si>
    <t>2021011012:54:43</t>
  </si>
  <si>
    <t>2021011707:48:50</t>
  </si>
  <si>
    <r>
      <rPr>
        <sz val="9"/>
        <color indexed="63"/>
        <rFont val="Times New Roman"/>
        <family val="1"/>
      </rPr>
      <t>65</t>
    </r>
    <r>
      <rPr>
        <sz val="9"/>
        <color indexed="63"/>
        <rFont val="Microsoft YaHei Light"/>
        <family val="2"/>
        <charset val="134"/>
      </rPr>
      <t>岁</t>
    </r>
  </si>
  <si>
    <t>1479023</t>
  </si>
  <si>
    <t>2021011013:54:31</t>
  </si>
  <si>
    <t>2021011708:34:17</t>
  </si>
  <si>
    <t>1479051</t>
  </si>
  <si>
    <t>2021011015:17:16</t>
  </si>
  <si>
    <t>2021011709:04:30</t>
  </si>
  <si>
    <t>1479052</t>
  </si>
  <si>
    <t>2021011015:17:50</t>
  </si>
  <si>
    <t>2021011508:31:07</t>
  </si>
  <si>
    <t>1479077</t>
  </si>
  <si>
    <t>2021011017:28:12</t>
  </si>
  <si>
    <t>2021011213:03:21</t>
  </si>
  <si>
    <t>1479084</t>
  </si>
  <si>
    <t>2021011018:31:07</t>
  </si>
  <si>
    <t>2021011707:57:39</t>
  </si>
  <si>
    <t>1479088</t>
  </si>
  <si>
    <t>2021011019:40:55</t>
  </si>
  <si>
    <t>2021011413:01:23</t>
  </si>
  <si>
    <t>1479462</t>
  </si>
  <si>
    <t>2021011115:43:47</t>
  </si>
  <si>
    <t>2021011707:34:58</t>
  </si>
  <si>
    <t>1479500</t>
  </si>
  <si>
    <t>2021011118:22:15</t>
  </si>
  <si>
    <t>2021011708:53:25</t>
  </si>
  <si>
    <t>1480029</t>
  </si>
  <si>
    <t>2021011312:12:52</t>
  </si>
  <si>
    <t>2021011712:36:37</t>
  </si>
  <si>
    <t>1480493</t>
  </si>
  <si>
    <t>2021011413:57:03</t>
  </si>
  <si>
    <t>2021012112:54:03</t>
  </si>
  <si>
    <t>1480670</t>
  </si>
  <si>
    <t>2021011509:36:40</t>
  </si>
  <si>
    <t>2021012112:49:16</t>
  </si>
  <si>
    <t>1480756</t>
  </si>
  <si>
    <t>2021011513:06:04</t>
  </si>
  <si>
    <t>2021012113:00:31</t>
  </si>
  <si>
    <t>1480764</t>
  </si>
  <si>
    <t>2021011513:16:03</t>
  </si>
  <si>
    <t>2021012113:10:30</t>
  </si>
  <si>
    <t>1480896</t>
  </si>
  <si>
    <t>2021011516:12:10</t>
  </si>
  <si>
    <t>2021012013:59:07</t>
  </si>
  <si>
    <t>1481074</t>
  </si>
  <si>
    <t>2021011613:08:34</t>
  </si>
  <si>
    <t>2021011913:46:26</t>
  </si>
  <si>
    <r>
      <rPr>
        <sz val="9"/>
        <color indexed="63"/>
        <rFont val="Microsoft YaHei Light"/>
        <family val="2"/>
        <charset val="134"/>
      </rPr>
      <t>胫骨平台骨折、</t>
    </r>
    <r>
      <rPr>
        <sz val="9"/>
        <color indexed="63"/>
        <rFont val="Times New Roman"/>
        <family val="1"/>
      </rPr>
      <t>MRI*3</t>
    </r>
    <r>
      <rPr>
        <sz val="9"/>
        <color indexed="63"/>
        <rFont val="Microsoft YaHei Light"/>
        <family val="2"/>
        <charset val="134"/>
      </rPr>
      <t>、</t>
    </r>
    <r>
      <rPr>
        <sz val="9"/>
        <color indexed="63"/>
        <rFont val="Times New Roman"/>
        <family val="1"/>
      </rPr>
      <t>CT*5</t>
    </r>
  </si>
  <si>
    <t>1481080</t>
  </si>
  <si>
    <t>2021011613:23:53</t>
  </si>
  <si>
    <t>2021012808:55:55</t>
  </si>
  <si>
    <t>1481166</t>
  </si>
  <si>
    <t>2021011617:46:02</t>
  </si>
  <si>
    <t>2021011914:45:10</t>
  </si>
  <si>
    <r>
      <rPr>
        <sz val="9"/>
        <color indexed="63"/>
        <rFont val="Times New Roman"/>
        <family val="1"/>
      </rPr>
      <t>MRI*2</t>
    </r>
    <r>
      <rPr>
        <sz val="9"/>
        <color indexed="63"/>
        <rFont val="Microsoft YaHei Light"/>
        <family val="2"/>
        <charset val="134"/>
      </rPr>
      <t>未存</t>
    </r>
  </si>
  <si>
    <t>1481252</t>
  </si>
  <si>
    <t>2021011710:56:19</t>
  </si>
  <si>
    <t>2021012408:28:23</t>
  </si>
  <si>
    <t>1481295</t>
  </si>
  <si>
    <t>2021011714:01:52</t>
  </si>
  <si>
    <t>2021012313:49:51</t>
  </si>
  <si>
    <t>1481321</t>
  </si>
  <si>
    <t>2021011715:17:39</t>
  </si>
  <si>
    <t>2021012409:18:44</t>
  </si>
  <si>
    <t>1481354</t>
  </si>
  <si>
    <t>2021011717:15:47</t>
  </si>
  <si>
    <t>2021012409:33:11</t>
  </si>
  <si>
    <t>2021011719:06:06</t>
  </si>
  <si>
    <t>2021012308:12:56</t>
  </si>
  <si>
    <t>1482085</t>
  </si>
  <si>
    <t>2021011916:04:09</t>
  </si>
  <si>
    <t>2021012413:33:52</t>
  </si>
  <si>
    <t>1482118</t>
  </si>
  <si>
    <t>2021011917:12:43</t>
  </si>
  <si>
    <t>2021012408:44:31</t>
  </si>
  <si>
    <t>1482121</t>
  </si>
  <si>
    <t>2021011917:21:08</t>
  </si>
  <si>
    <t>2021012409:16:01</t>
  </si>
  <si>
    <t>1482398</t>
  </si>
  <si>
    <t>2021012014:25:26</t>
  </si>
  <si>
    <t>2021012413:04:13</t>
  </si>
  <si>
    <t>1482499</t>
  </si>
  <si>
    <t>2021012018:40:49</t>
  </si>
  <si>
    <t>2021012413:06:05</t>
  </si>
  <si>
    <t>1482783</t>
  </si>
  <si>
    <t>2021012114:42:30</t>
  </si>
  <si>
    <t>2021012713:04:26</t>
  </si>
  <si>
    <t>1482845</t>
  </si>
  <si>
    <t>2021012116:56:41</t>
  </si>
  <si>
    <t>2021012812:51:02</t>
  </si>
  <si>
    <t>1482943</t>
  </si>
  <si>
    <t>2021012209:06:30</t>
  </si>
  <si>
    <t>2021020113:47:02</t>
  </si>
  <si>
    <t>2021012214:52:48</t>
  </si>
  <si>
    <t>2021021012:29:03</t>
  </si>
  <si>
    <t>1483120</t>
  </si>
  <si>
    <t>2021012215:14:22</t>
  </si>
  <si>
    <t>2021012713:24:58</t>
  </si>
  <si>
    <t>1483122</t>
  </si>
  <si>
    <t>2021012215:33:47</t>
  </si>
  <si>
    <t>2021012912:59:54</t>
  </si>
  <si>
    <t>1483170</t>
  </si>
  <si>
    <t>2021012218:17:16</t>
  </si>
  <si>
    <t>2021012713:23:29</t>
  </si>
  <si>
    <t>1483393</t>
  </si>
  <si>
    <t>2021012315:33:25</t>
  </si>
  <si>
    <t>2021013013:27:04</t>
  </si>
  <si>
    <t>1483547</t>
  </si>
  <si>
    <t>2021012413:57:24</t>
  </si>
  <si>
    <t>2021012909:24:54</t>
  </si>
  <si>
    <t>1483555</t>
  </si>
  <si>
    <t>2021012414:31:10</t>
  </si>
  <si>
    <t>2021013008:20:57</t>
  </si>
  <si>
    <t>1483573</t>
  </si>
  <si>
    <t>2021012415:16:43</t>
  </si>
  <si>
    <t>2021013108:31:15</t>
  </si>
  <si>
    <t>1483574</t>
  </si>
  <si>
    <t>2021012415:25:13</t>
  </si>
  <si>
    <t>2021013108:56:04</t>
  </si>
  <si>
    <t>1483580</t>
  </si>
  <si>
    <t>2021012415:48:13</t>
  </si>
  <si>
    <t>2021012715:12:55</t>
  </si>
  <si>
    <t>1483593</t>
  </si>
  <si>
    <t>2021012418:11:43</t>
  </si>
  <si>
    <t>2021012912:57:04</t>
  </si>
  <si>
    <t>1483937</t>
  </si>
  <si>
    <t>2021012514:51:36</t>
  </si>
  <si>
    <t>2021013108:27:57</t>
  </si>
  <si>
    <t>1484321</t>
  </si>
  <si>
    <t>2021012615:28:47</t>
  </si>
  <si>
    <t>2021012913:12:44</t>
  </si>
  <si>
    <t>1484357</t>
  </si>
  <si>
    <t>2021012616:12:20</t>
  </si>
  <si>
    <t>2021013108:57:16</t>
  </si>
  <si>
    <t>1484359</t>
  </si>
  <si>
    <t>2021012616:17:51</t>
  </si>
  <si>
    <t>2021013110:00:00</t>
  </si>
  <si>
    <t>1484388</t>
  </si>
  <si>
    <t>2021012618:44:41</t>
  </si>
  <si>
    <t>2021012914:22:20</t>
  </si>
  <si>
    <t>1484409</t>
  </si>
  <si>
    <t>2021012623:46:53</t>
  </si>
  <si>
    <t>2021052812:05:20</t>
  </si>
  <si>
    <t>1484536</t>
  </si>
  <si>
    <t>2021012712:04:23</t>
  </si>
  <si>
    <t>2021013113:09:16</t>
  </si>
  <si>
    <t>1484617</t>
  </si>
  <si>
    <t>2021012714:49:18</t>
  </si>
  <si>
    <t>2021013108:21:12</t>
  </si>
  <si>
    <t>1484674</t>
  </si>
  <si>
    <t>2021012715:51:48</t>
  </si>
  <si>
    <t>2021020208:16:29</t>
  </si>
  <si>
    <t>1484681</t>
  </si>
  <si>
    <t>2021012716:08:50</t>
  </si>
  <si>
    <t>2021020209:06:16</t>
  </si>
  <si>
    <t>1484712</t>
  </si>
  <si>
    <t>2021012719:23:52</t>
  </si>
  <si>
    <t>2021013113:00:16</t>
  </si>
  <si>
    <t>1485072</t>
  </si>
  <si>
    <t>2021012817:19:40</t>
  </si>
  <si>
    <t>2021020313:28:58</t>
  </si>
  <si>
    <t>1485295</t>
  </si>
  <si>
    <t>2021012914:16:30</t>
  </si>
  <si>
    <t>2021020413:02:53</t>
  </si>
  <si>
    <t>1485304</t>
  </si>
  <si>
    <t>2021012914:16:42</t>
  </si>
  <si>
    <t>2021020413:10:25</t>
  </si>
  <si>
    <t>1485371</t>
  </si>
  <si>
    <t>2021012915:42:12</t>
  </si>
  <si>
    <t>2021020413:00:54</t>
  </si>
  <si>
    <t>1485392</t>
  </si>
  <si>
    <t>2021012916:11:02</t>
  </si>
  <si>
    <t>2021020308:29:49</t>
  </si>
  <si>
    <r>
      <rPr>
        <sz val="9"/>
        <color indexed="63"/>
        <rFont val="Microsoft YaHei Light"/>
        <family val="2"/>
        <charset val="134"/>
      </rPr>
      <t>取</t>
    </r>
    <r>
      <rPr>
        <sz val="9"/>
        <color indexed="63"/>
        <rFont val="Times New Roman"/>
        <family val="1"/>
      </rPr>
      <t>IF</t>
    </r>
  </si>
  <si>
    <t>1485408</t>
  </si>
  <si>
    <t>2021012919:27:43</t>
  </si>
  <si>
    <t>2021020613:11:25</t>
  </si>
  <si>
    <t>1485446</t>
  </si>
  <si>
    <t>2021013008:18:54</t>
  </si>
  <si>
    <t>2021020412:34:16</t>
  </si>
  <si>
    <t>1485590</t>
  </si>
  <si>
    <t>2021013015:01:42</t>
  </si>
  <si>
    <t>2021020613:37:39</t>
  </si>
  <si>
    <t>1485604</t>
  </si>
  <si>
    <t>2021013016:01:15</t>
  </si>
  <si>
    <t>2021020514:29:05</t>
  </si>
  <si>
    <t>1485737</t>
  </si>
  <si>
    <t>2021013114:10:12</t>
  </si>
  <si>
    <t>2021020907:37:56</t>
  </si>
  <si>
    <t>1485744</t>
  </si>
  <si>
    <t>2021013114:16:27</t>
  </si>
  <si>
    <t>2021020514:40:09</t>
  </si>
  <si>
    <t>1485760</t>
  </si>
  <si>
    <t>2021013115:04:34</t>
  </si>
  <si>
    <t>2021020508:37:02</t>
  </si>
  <si>
    <t>1485781</t>
  </si>
  <si>
    <t>2021013116:39:35</t>
  </si>
  <si>
    <t>2021020313:15:10</t>
  </si>
  <si>
    <t>1485788</t>
  </si>
  <si>
    <t>2021013117:01:10</t>
  </si>
  <si>
    <t>2021020509:16:00</t>
  </si>
  <si>
    <t>1485801</t>
  </si>
  <si>
    <t>2021013119:12:39</t>
  </si>
  <si>
    <t>2021020312:47:14</t>
  </si>
  <si>
    <t>1485807</t>
  </si>
  <si>
    <t>2021013121:12:12</t>
  </si>
  <si>
    <t>2021020311:59:49</t>
  </si>
  <si>
    <t>1486121</t>
  </si>
  <si>
    <t>2021020114:55:06</t>
  </si>
  <si>
    <t>2021020612:58:52</t>
  </si>
  <si>
    <t>1486137</t>
  </si>
  <si>
    <t>2021020115:19:18</t>
  </si>
  <si>
    <t>2021020613:22:26</t>
  </si>
  <si>
    <t>1486165</t>
  </si>
  <si>
    <t>2021020116:05:19</t>
  </si>
  <si>
    <t>2021020508:19:10</t>
  </si>
  <si>
    <t>1486535</t>
  </si>
  <si>
    <t>2021020307:50:31</t>
  </si>
  <si>
    <t>2021020613:42:05</t>
  </si>
  <si>
    <t>1486632</t>
  </si>
  <si>
    <t>2021020312:02:53</t>
  </si>
  <si>
    <t>2021021010:03:50</t>
  </si>
  <si>
    <t>1486669</t>
  </si>
  <si>
    <t>2021020311:55:41</t>
  </si>
  <si>
    <t>2021020807:43:54</t>
  </si>
  <si>
    <t>1486786</t>
  </si>
  <si>
    <t>2021020315:33:43</t>
  </si>
  <si>
    <t>2021020907:53:23</t>
  </si>
  <si>
    <t>1486916</t>
  </si>
  <si>
    <t>2021020408:49:00</t>
  </si>
  <si>
    <t>2021020807:55:56</t>
  </si>
  <si>
    <t>1486937</t>
  </si>
  <si>
    <t>2021020409:27:52</t>
  </si>
  <si>
    <t>2021020808:24:58</t>
  </si>
  <si>
    <t>1487060</t>
  </si>
  <si>
    <t>2021020413:50:27</t>
  </si>
  <si>
    <t>2021021012:49:28</t>
  </si>
  <si>
    <t>1487062</t>
  </si>
  <si>
    <t>2021020413:50:20</t>
  </si>
  <si>
    <t>2021021012:39:16</t>
  </si>
  <si>
    <t>1487089</t>
  </si>
  <si>
    <t>2021020414:55:22</t>
  </si>
  <si>
    <t>2021021012:20:26</t>
  </si>
  <si>
    <t>1487179</t>
  </si>
  <si>
    <t>2021020420:30:48</t>
  </si>
  <si>
    <t>2021021012:32:40</t>
  </si>
  <si>
    <t>1487358</t>
  </si>
  <si>
    <t>2021020513:35:09</t>
  </si>
  <si>
    <t>2021021008:26:47</t>
  </si>
  <si>
    <t>1487450</t>
  </si>
  <si>
    <t>2021020515:33:30</t>
  </si>
  <si>
    <t>2021021013:30:24</t>
  </si>
  <si>
    <t>1487687</t>
  </si>
  <si>
    <t>2021020619:57:08</t>
  </si>
  <si>
    <t>2021021013:27:52</t>
  </si>
  <si>
    <t>1489102</t>
  </si>
  <si>
    <t>2021021713:18:38</t>
  </si>
  <si>
    <t>2021022410:17:45</t>
  </si>
  <si>
    <r>
      <rPr>
        <sz val="9"/>
        <color indexed="63"/>
        <rFont val="Times New Roman"/>
        <family val="1"/>
      </rPr>
      <t>7</t>
    </r>
    <r>
      <rPr>
        <sz val="9"/>
        <color indexed="63"/>
        <rFont val="Microsoft YaHei Light"/>
        <family val="2"/>
        <charset val="134"/>
      </rPr>
      <t>岁</t>
    </r>
  </si>
  <si>
    <t>1489111</t>
  </si>
  <si>
    <t>2021021713:40:58</t>
  </si>
  <si>
    <t>2021022407:45:19</t>
  </si>
  <si>
    <t>1489139</t>
  </si>
  <si>
    <t>2021021714:45:15</t>
  </si>
  <si>
    <t>2021022311:13:46</t>
  </si>
  <si>
    <t>1489448</t>
  </si>
  <si>
    <t>2021021813:46:47</t>
  </si>
  <si>
    <t>2021022512:37:08</t>
  </si>
  <si>
    <t>1489503</t>
  </si>
  <si>
    <t>2021021815:16:40</t>
  </si>
  <si>
    <t>2021022512:37:03</t>
  </si>
  <si>
    <t>1489626</t>
  </si>
  <si>
    <t>2021021907:58:33</t>
  </si>
  <si>
    <t>2021022312:34:55</t>
  </si>
  <si>
    <t>1489911</t>
  </si>
  <si>
    <t>2021021914:43:32</t>
  </si>
  <si>
    <t>2021022613:00:43</t>
  </si>
  <si>
    <t>1489943</t>
  </si>
  <si>
    <t>2021021919:00:54</t>
  </si>
  <si>
    <t>2021022514:15:50</t>
  </si>
  <si>
    <t>1490017</t>
  </si>
  <si>
    <t>2021022008:08:01</t>
  </si>
  <si>
    <t>2021022613:42:10</t>
  </si>
  <si>
    <t>1490250</t>
  </si>
  <si>
    <t>2021022016:10:56</t>
  </si>
  <si>
    <t>2021022708:04:34</t>
  </si>
  <si>
    <t>1490295</t>
  </si>
  <si>
    <t>2021022108:23:59</t>
  </si>
  <si>
    <t>2021022708:36:20</t>
  </si>
  <si>
    <t>1490336</t>
  </si>
  <si>
    <t>2021022110:23:05</t>
  </si>
  <si>
    <t>2021022708:35:23</t>
  </si>
  <si>
    <t>1490411</t>
  </si>
  <si>
    <t>2021022115:00:29</t>
  </si>
  <si>
    <t>2021022613:12:45</t>
  </si>
  <si>
    <t>1490432</t>
  </si>
  <si>
    <t>2021022116:34:03</t>
  </si>
  <si>
    <t>2021022808:46:46</t>
  </si>
  <si>
    <t>1490454</t>
  </si>
  <si>
    <t>2021022120:14:56</t>
  </si>
  <si>
    <t>2021022809:32:52</t>
  </si>
  <si>
    <t>1491180</t>
  </si>
  <si>
    <t>2021022316:07:49</t>
  </si>
  <si>
    <t>2021030112:30:32</t>
  </si>
  <si>
    <t>1491216</t>
  </si>
  <si>
    <t>2021022321:50:03</t>
  </si>
  <si>
    <t>2021030112:59:24</t>
  </si>
  <si>
    <t>1491552</t>
  </si>
  <si>
    <t>2021022416:00:17</t>
  </si>
  <si>
    <t>2021030609:56:28</t>
  </si>
  <si>
    <t>1491589</t>
  </si>
  <si>
    <t>2021022418:53:26</t>
  </si>
  <si>
    <t>2021030207:59:27</t>
  </si>
  <si>
    <t>1491774</t>
  </si>
  <si>
    <t>2021022513:08:30</t>
  </si>
  <si>
    <t>2021030313:18:23</t>
  </si>
  <si>
    <t>1491902</t>
  </si>
  <si>
    <t>2021022515:58:11</t>
  </si>
  <si>
    <t>2021030509:41:20</t>
  </si>
  <si>
    <t>1491913</t>
  </si>
  <si>
    <t>2021022516:17:48</t>
  </si>
  <si>
    <t>2021030513:30:15</t>
  </si>
  <si>
    <t>1492202</t>
  </si>
  <si>
    <t>2021022614:32:21</t>
  </si>
  <si>
    <t>2021030308:14:07</t>
  </si>
  <si>
    <t>1492295</t>
  </si>
  <si>
    <t>2021022621:23:07</t>
  </si>
  <si>
    <t>2021030809:34:36</t>
  </si>
  <si>
    <t>1492374</t>
  </si>
  <si>
    <t>2021022709:45:27</t>
  </si>
  <si>
    <t>2021022815:01:50</t>
  </si>
  <si>
    <t>1492472</t>
  </si>
  <si>
    <t>2021022714:21:10</t>
  </si>
  <si>
    <t>2021030609:10:17</t>
  </si>
  <si>
    <t>1492476</t>
  </si>
  <si>
    <t>2021022714:30:29</t>
  </si>
  <si>
    <t>2021030612:39:04</t>
  </si>
  <si>
    <t>1492488</t>
  </si>
  <si>
    <t>2021022715:19:59</t>
  </si>
  <si>
    <t>2021030713:37:28</t>
  </si>
  <si>
    <t>1492625</t>
  </si>
  <si>
    <t>2021022812:21:30</t>
  </si>
  <si>
    <t>2021030509:00:43</t>
  </si>
  <si>
    <t>1492630</t>
  </si>
  <si>
    <t>2021022812:47:00</t>
  </si>
  <si>
    <t>2021030612:36:30</t>
  </si>
  <si>
    <t>1492686</t>
  </si>
  <si>
    <t>2021022815:27:42</t>
  </si>
  <si>
    <t>2021030613:36:22</t>
  </si>
  <si>
    <t>1493022</t>
  </si>
  <si>
    <t>2021030114:30:19</t>
  </si>
  <si>
    <t>2021030709:05:48</t>
  </si>
  <si>
    <t>1493115</t>
  </si>
  <si>
    <t>2021030117:32:44</t>
  </si>
  <si>
    <t>2021030610:01:15</t>
  </si>
  <si>
    <t>1493368</t>
  </si>
  <si>
    <t>2021030214:10:13</t>
  </si>
  <si>
    <t>2021030709:46:13</t>
  </si>
  <si>
    <t>1493434</t>
  </si>
  <si>
    <t>2021030215:18:06</t>
  </si>
  <si>
    <t>2021030708:24:42</t>
  </si>
  <si>
    <t>1493479</t>
  </si>
  <si>
    <t>2021030216:26:00</t>
  </si>
  <si>
    <t>2021030708:40:36</t>
  </si>
  <si>
    <t>1493514</t>
  </si>
  <si>
    <t>2021030220:46:41</t>
  </si>
  <si>
    <t>2021030713:32:33</t>
  </si>
  <si>
    <t>1493795</t>
  </si>
  <si>
    <t>2021030315:12:46</t>
  </si>
  <si>
    <t>2021030709:00:48</t>
  </si>
  <si>
    <t>1494202</t>
  </si>
  <si>
    <t>2021030415:24:31</t>
  </si>
  <si>
    <t>2021031112:58:16</t>
  </si>
  <si>
    <t>1494226</t>
  </si>
  <si>
    <t>2021030415:49:51</t>
  </si>
  <si>
    <t>2021031213:36:05</t>
  </si>
  <si>
    <t>1494266</t>
  </si>
  <si>
    <t>2021030419:53:50</t>
  </si>
  <si>
    <t>2021031012:26:19</t>
  </si>
  <si>
    <t>1494564</t>
  </si>
  <si>
    <t>2021030516:01:21</t>
  </si>
  <si>
    <t>2021031112:36:55</t>
  </si>
  <si>
    <t>1494693</t>
  </si>
  <si>
    <t>2021030610:13:54</t>
  </si>
  <si>
    <t>2021031207:55:35</t>
  </si>
  <si>
    <t>1494749</t>
  </si>
  <si>
    <t>2021030613:28:03</t>
  </si>
  <si>
    <t>2021031308:57:38</t>
  </si>
  <si>
    <t>1494784</t>
  </si>
  <si>
    <t>2021030614:23:24</t>
  </si>
  <si>
    <t>2021031612:57:51</t>
  </si>
  <si>
    <t>1494802</t>
  </si>
  <si>
    <t>2021030615:19:13</t>
  </si>
  <si>
    <t>2021031014:14:14</t>
  </si>
  <si>
    <t>1494806</t>
  </si>
  <si>
    <t>2021030615:19:24</t>
  </si>
  <si>
    <t>2021031413:12:41</t>
  </si>
  <si>
    <t>1494972</t>
  </si>
  <si>
    <t>2021030714:05:50</t>
  </si>
  <si>
    <t>2021031212:47:03</t>
  </si>
  <si>
    <t>1494989</t>
  </si>
  <si>
    <t>2021030715:14:52</t>
  </si>
  <si>
    <t>2021031608:12:26</t>
  </si>
  <si>
    <t>1494997</t>
  </si>
  <si>
    <t>2021030715:37:49</t>
  </si>
  <si>
    <t>2021031208:07:21</t>
  </si>
  <si>
    <t>1495038</t>
  </si>
  <si>
    <t>2021030720:49:48</t>
  </si>
  <si>
    <t>2021031210:05:05</t>
  </si>
  <si>
    <t>1495672</t>
  </si>
  <si>
    <t>2021030913:21:16</t>
  </si>
  <si>
    <t>2021031408:18:47</t>
  </si>
  <si>
    <t>1495792</t>
  </si>
  <si>
    <t>2021030915:11:49</t>
  </si>
  <si>
    <t>2021031408:07:34</t>
  </si>
  <si>
    <t>1495872</t>
  </si>
  <si>
    <t>2021030921:17:57</t>
  </si>
  <si>
    <t>2021031512:46:54</t>
  </si>
  <si>
    <t>1496214</t>
  </si>
  <si>
    <t>2021031015:44:16</t>
  </si>
  <si>
    <t>2021031410:13:52</t>
  </si>
  <si>
    <t>1496329</t>
  </si>
  <si>
    <t>2021031108:53:18</t>
  </si>
  <si>
    <t>2021031310:09:46</t>
  </si>
  <si>
    <r>
      <rPr>
        <sz val="9"/>
        <color indexed="63"/>
        <rFont val="Microsoft YaHei Light"/>
        <family val="2"/>
        <charset val="134"/>
      </rPr>
      <t>因外踝骨折入院</t>
    </r>
  </si>
  <si>
    <t>1496883</t>
  </si>
  <si>
    <t>2021031214:17:18</t>
  </si>
  <si>
    <t>2021031812:36:15</t>
  </si>
  <si>
    <t>1497265</t>
  </si>
  <si>
    <t>2021031316:39:37</t>
  </si>
  <si>
    <t>2021032009:58:19</t>
  </si>
  <si>
    <t>1497277</t>
  </si>
  <si>
    <t>2021031317:25:34</t>
  </si>
  <si>
    <t>2021032008:25:51</t>
  </si>
  <si>
    <t>1497422</t>
  </si>
  <si>
    <t>2021031414:08:00</t>
  </si>
  <si>
    <t>2021032014:02:10</t>
  </si>
  <si>
    <t>1497465</t>
  </si>
  <si>
    <t>2021031417:18:50</t>
  </si>
  <si>
    <t>2021031813:10:42</t>
  </si>
  <si>
    <t>1497762</t>
  </si>
  <si>
    <t>2021031513:59:18</t>
  </si>
  <si>
    <t>2021032212:42:11</t>
  </si>
  <si>
    <t>1497797</t>
  </si>
  <si>
    <t>2021031514:21:04</t>
  </si>
  <si>
    <t>2021032013:05:58</t>
  </si>
  <si>
    <t>1497837</t>
  </si>
  <si>
    <t>2021031515:12:20</t>
  </si>
  <si>
    <t>2021032108:25:32</t>
  </si>
  <si>
    <t>1498107</t>
  </si>
  <si>
    <t>2021031613:37:57</t>
  </si>
  <si>
    <t>2021032213:07:13</t>
  </si>
  <si>
    <t>1498263</t>
  </si>
  <si>
    <t>2021031616:44:07</t>
  </si>
  <si>
    <t>2021032108:53:27</t>
  </si>
  <si>
    <t>1498290</t>
  </si>
  <si>
    <t>2021031619:26:20</t>
  </si>
  <si>
    <t>2021032509:50:33</t>
  </si>
  <si>
    <t>1498441</t>
  </si>
  <si>
    <t>2021031712:26:31</t>
  </si>
  <si>
    <t>2021032113:04:01</t>
  </si>
  <si>
    <t>1498835</t>
  </si>
  <si>
    <t>2021031814:11:21</t>
  </si>
  <si>
    <t>2021032413:21:20</t>
  </si>
  <si>
    <t>1498922</t>
  </si>
  <si>
    <t>2021031814:11:31</t>
  </si>
  <si>
    <t>2021032413:30:12</t>
  </si>
  <si>
    <t>1499666</t>
  </si>
  <si>
    <t>2021032014:56:40</t>
  </si>
  <si>
    <t>2021032712:33:32</t>
  </si>
  <si>
    <t>2021032015:53:06</t>
  </si>
  <si>
    <t>2021032708:31:41</t>
  </si>
  <si>
    <t>1499700</t>
  </si>
  <si>
    <t>2021032016:25:32</t>
  </si>
  <si>
    <t>2021032314:07:12</t>
  </si>
  <si>
    <t>1499820</t>
  </si>
  <si>
    <t>2021032111:40:07</t>
  </si>
  <si>
    <t>2021032809:50:36</t>
  </si>
  <si>
    <t>1499833</t>
  </si>
  <si>
    <t>2021032113:08:38</t>
  </si>
  <si>
    <t>2021032914:18:54</t>
  </si>
  <si>
    <t>1499847</t>
  </si>
  <si>
    <t>2021032113:49:11</t>
  </si>
  <si>
    <t>2021032712:30:38</t>
  </si>
  <si>
    <t>1500371</t>
  </si>
  <si>
    <t>2021032222:16:44</t>
  </si>
  <si>
    <t>2021032808:48:20</t>
  </si>
  <si>
    <t>1500678</t>
  </si>
  <si>
    <t>2021032315:16:31</t>
  </si>
  <si>
    <t>2021032808:23:34</t>
  </si>
  <si>
    <t>1500687</t>
  </si>
  <si>
    <t>2021032315:25:09</t>
  </si>
  <si>
    <t>2021032807:41:22</t>
  </si>
  <si>
    <t>1500766</t>
  </si>
  <si>
    <t>2021032321:30:13</t>
  </si>
  <si>
    <t>2021032809:34:24</t>
  </si>
  <si>
    <t>1501091</t>
  </si>
  <si>
    <t>2021032415:58:46</t>
  </si>
  <si>
    <t>2021032813:42:21</t>
  </si>
  <si>
    <t>1501151</t>
  </si>
  <si>
    <t>2021032420:25:12</t>
  </si>
  <si>
    <t>2021032813:21:18</t>
  </si>
  <si>
    <t>1501157</t>
  </si>
  <si>
    <t>2021032422:19:01</t>
  </si>
  <si>
    <t>2021032814:46:54</t>
  </si>
  <si>
    <t>1501752</t>
  </si>
  <si>
    <t>2021032614:31:34</t>
  </si>
  <si>
    <t>2021033113:19:43</t>
  </si>
  <si>
    <t>1502056</t>
  </si>
  <si>
    <t>2021032714:31:26</t>
  </si>
  <si>
    <t>2021040213:09:38</t>
  </si>
  <si>
    <t>1502111</t>
  </si>
  <si>
    <t>2021032716:07:05</t>
  </si>
  <si>
    <t>2021040213:17:57</t>
  </si>
  <si>
    <t>1502118</t>
  </si>
  <si>
    <t>2021032716:26:29</t>
  </si>
  <si>
    <t>2021040313:05:28</t>
  </si>
  <si>
    <t>1502238</t>
  </si>
  <si>
    <t>2021032811:54:34</t>
  </si>
  <si>
    <t>2021040408:03:42</t>
  </si>
  <si>
    <t>1502368</t>
  </si>
  <si>
    <t>2021032822:23:32</t>
  </si>
  <si>
    <t>2021040410:14:11</t>
  </si>
  <si>
    <r>
      <rPr>
        <sz val="9"/>
        <color indexed="63"/>
        <rFont val="Times New Roman"/>
        <family val="1"/>
      </rPr>
      <t>ACLR</t>
    </r>
    <r>
      <rPr>
        <sz val="9"/>
        <color indexed="63"/>
        <rFont val="Microsoft YaHei Light"/>
        <family val="2"/>
        <charset val="134"/>
      </rPr>
      <t>后行</t>
    </r>
    <r>
      <rPr>
        <sz val="9"/>
        <color indexed="63"/>
        <rFont val="Times New Roman"/>
        <family val="1"/>
      </rPr>
      <t>PCLR</t>
    </r>
  </si>
  <si>
    <t>1502670</t>
  </si>
  <si>
    <t>2021032915:03:23</t>
  </si>
  <si>
    <t>2021052816:19:17</t>
  </si>
  <si>
    <t>1502733</t>
  </si>
  <si>
    <t>2021032915:33:31</t>
  </si>
  <si>
    <t>2021040612:53:18</t>
  </si>
  <si>
    <t>1503386</t>
  </si>
  <si>
    <t>2021033113:31:46</t>
  </si>
  <si>
    <t>2021040612:55:03</t>
  </si>
  <si>
    <t>1503466</t>
  </si>
  <si>
    <t>2021033114:51:15</t>
  </si>
  <si>
    <t>2021040513:05:58</t>
  </si>
  <si>
    <t>1503525</t>
  </si>
  <si>
    <t>2021033116:25:08</t>
  </si>
  <si>
    <t>2021040612:38:42</t>
  </si>
  <si>
    <t>1503561</t>
  </si>
  <si>
    <t>2021033119:39:09</t>
  </si>
  <si>
    <t>2021040608:12:23</t>
  </si>
  <si>
    <t>1503578</t>
  </si>
  <si>
    <t>2021033121:38:18</t>
  </si>
  <si>
    <t>2021040608:23:27</t>
  </si>
  <si>
    <t>1504165</t>
  </si>
  <si>
    <t>2021040214:31:40</t>
  </si>
  <si>
    <t>2021040913:00:09</t>
  </si>
  <si>
    <t>1504180</t>
  </si>
  <si>
    <t>2021040215:10:00</t>
  </si>
  <si>
    <t>2021040913:18:30</t>
  </si>
  <si>
    <t>1504229</t>
  </si>
  <si>
    <t>2021040217:17:30</t>
  </si>
  <si>
    <t>2021041009:24:59</t>
  </si>
  <si>
    <t>1504392</t>
  </si>
  <si>
    <t>2021040314:45:23</t>
  </si>
  <si>
    <t>2021041009:41:04</t>
  </si>
  <si>
    <t>1504402</t>
  </si>
  <si>
    <t>2021040315:29:48</t>
  </si>
  <si>
    <t>2021041008:38:22</t>
  </si>
  <si>
    <t>1504525</t>
  </si>
  <si>
    <t>2021040414:17:10</t>
  </si>
  <si>
    <t>2021041012:47:24</t>
  </si>
  <si>
    <t>1504530</t>
  </si>
  <si>
    <t>2021040414:29:24</t>
  </si>
  <si>
    <t>2021041113:49:55</t>
  </si>
  <si>
    <t xml:space="preserve">5055871
</t>
  </si>
  <si>
    <t>1504543</t>
  </si>
  <si>
    <t>2021040415:34:51</t>
  </si>
  <si>
    <t>2021040907:54:10</t>
  </si>
  <si>
    <t>1504544</t>
  </si>
  <si>
    <t>2021040415:48:39</t>
  </si>
  <si>
    <t>2021041012:37:22</t>
  </si>
  <si>
    <t>1504567</t>
  </si>
  <si>
    <t>2021040417:38:26</t>
  </si>
  <si>
    <t>2021040813:03:59</t>
  </si>
  <si>
    <t>1504740</t>
  </si>
  <si>
    <t>2021040514:42:19</t>
  </si>
  <si>
    <t>2021040912:55:23</t>
  </si>
  <si>
    <t>1504745</t>
  </si>
  <si>
    <t>2021040515:04:39</t>
  </si>
  <si>
    <t>2021041010:25:28</t>
  </si>
  <si>
    <t>1504759</t>
  </si>
  <si>
    <t>2021040516:06:12</t>
  </si>
  <si>
    <t>2021041109:08:37</t>
  </si>
  <si>
    <t>1505114</t>
  </si>
  <si>
    <t>2021040614:04:03</t>
  </si>
  <si>
    <t>2021041213:36:08</t>
  </si>
  <si>
    <t>1505120</t>
  </si>
  <si>
    <t>2021040614:04:17</t>
  </si>
  <si>
    <t>2021041109:18:59</t>
  </si>
  <si>
    <t>1505274</t>
  </si>
  <si>
    <t>2021040617:19:45</t>
  </si>
  <si>
    <t>2021041212:59:24</t>
  </si>
  <si>
    <t>1505507</t>
  </si>
  <si>
    <t>2021040715:42:24</t>
  </si>
  <si>
    <t>2021041113:41:36</t>
  </si>
  <si>
    <t>1505585</t>
  </si>
  <si>
    <t>2021040714:32:50</t>
  </si>
  <si>
    <t>2021041213:06:11</t>
  </si>
  <si>
    <t>1506028</t>
  </si>
  <si>
    <t>2021040814:35:56</t>
  </si>
  <si>
    <t>2021041412:50:11</t>
  </si>
  <si>
    <t>1506416</t>
  </si>
  <si>
    <t>2021040914:57:20</t>
  </si>
  <si>
    <t>2021041912:25:43</t>
  </si>
  <si>
    <t>1506650</t>
  </si>
  <si>
    <t>2021041012:34:02</t>
  </si>
  <si>
    <t>2021041913:46:09</t>
  </si>
  <si>
    <t>1506714</t>
  </si>
  <si>
    <t>2021041014:32:49</t>
  </si>
  <si>
    <t>2021041708:06:25</t>
  </si>
  <si>
    <t>1506737</t>
  </si>
  <si>
    <t>2021041015:15:34</t>
  </si>
  <si>
    <t>2021041312:52:53</t>
  </si>
  <si>
    <t>1506738</t>
  </si>
  <si>
    <t>2021041015:15:43</t>
  </si>
  <si>
    <t>2021041708:41:35</t>
  </si>
  <si>
    <t>1506759</t>
  </si>
  <si>
    <t>2021041016:08:14</t>
  </si>
  <si>
    <t>2021041314:11:50</t>
  </si>
  <si>
    <t>1506921</t>
  </si>
  <si>
    <t>2021041113:04:03</t>
  </si>
  <si>
    <t>2021041607:33:27</t>
  </si>
  <si>
    <t>1506962</t>
  </si>
  <si>
    <t>2021041114:46:24</t>
  </si>
  <si>
    <t>2021041607:27:37</t>
  </si>
  <si>
    <t>1506987</t>
  </si>
  <si>
    <t>2021041116:24:16</t>
  </si>
  <si>
    <t>2021041912:24:49</t>
  </si>
  <si>
    <t>1507287</t>
  </si>
  <si>
    <t>2021041213:09:48</t>
  </si>
  <si>
    <t>2021042008:52:11</t>
  </si>
  <si>
    <t>1507485</t>
  </si>
  <si>
    <t>2021041219:25:00</t>
  </si>
  <si>
    <t>2021041713:17:24</t>
  </si>
  <si>
    <t>1507821</t>
  </si>
  <si>
    <t>2021041315:43:10</t>
  </si>
  <si>
    <t>2021042009:06:36</t>
  </si>
  <si>
    <t>1508223</t>
  </si>
  <si>
    <t>2021041415:23:16</t>
  </si>
  <si>
    <t>2021042108:27:44</t>
  </si>
  <si>
    <t>1508980</t>
  </si>
  <si>
    <t>2021041615:03:43</t>
  </si>
  <si>
    <t>2021042408:39:46</t>
  </si>
  <si>
    <t>1509048</t>
  </si>
  <si>
    <t>2021041617:33:20</t>
  </si>
  <si>
    <t>2021042110:10:20</t>
  </si>
  <si>
    <t>1509242</t>
  </si>
  <si>
    <t>2021041713:40:12</t>
  </si>
  <si>
    <t>2021042408:52:56</t>
  </si>
  <si>
    <t>1509277</t>
  </si>
  <si>
    <t>2021041714:39:44</t>
  </si>
  <si>
    <t>2021042015:33:21</t>
  </si>
  <si>
    <t>1509311</t>
  </si>
  <si>
    <t>2021041715:51:00</t>
  </si>
  <si>
    <t>2021042408:38:59</t>
  </si>
  <si>
    <t>1509347</t>
  </si>
  <si>
    <t>2021041718:14:47</t>
  </si>
  <si>
    <t>2021042407:54:34</t>
  </si>
  <si>
    <t>1509480</t>
  </si>
  <si>
    <t>2021041813:35:33</t>
  </si>
  <si>
    <t>2021042501:10:15</t>
  </si>
  <si>
    <t>1509500</t>
  </si>
  <si>
    <t>2021041814:20:41</t>
  </si>
  <si>
    <t>2021042009:18:55</t>
  </si>
  <si>
    <t>1509512</t>
  </si>
  <si>
    <t>2021041814:41:06</t>
  </si>
  <si>
    <t>2021042308:20:36</t>
  </si>
  <si>
    <t>1509531</t>
  </si>
  <si>
    <t>2021041815:50:59</t>
  </si>
  <si>
    <t>2021042513:00:34</t>
  </si>
  <si>
    <t>1509560</t>
  </si>
  <si>
    <t>2021041820:04:18</t>
  </si>
  <si>
    <t>2021042506:21:28</t>
  </si>
  <si>
    <t>1509872</t>
  </si>
  <si>
    <t>2021041914:23:38</t>
  </si>
  <si>
    <t>2021042507:50:11</t>
  </si>
  <si>
    <t>1510432</t>
  </si>
  <si>
    <t>2021042020:33:21</t>
  </si>
  <si>
    <t>2021042514:17:10</t>
  </si>
  <si>
    <t>1510789</t>
  </si>
  <si>
    <t>2021042115:20:04</t>
  </si>
  <si>
    <t>2021042513:40:12</t>
  </si>
  <si>
    <t>1510790</t>
  </si>
  <si>
    <t>2021042115:20:11</t>
  </si>
  <si>
    <t>2021042513:08:02</t>
  </si>
  <si>
    <t>1510797</t>
  </si>
  <si>
    <t>2021042115:27:20</t>
  </si>
  <si>
    <t>2021042513:11:32</t>
  </si>
  <si>
    <t>1511661</t>
  </si>
  <si>
    <t>2021042319:48:24</t>
  </si>
  <si>
    <t>2021042912:21:06</t>
  </si>
  <si>
    <t>1511848</t>
  </si>
  <si>
    <t>2021042414:08:15</t>
  </si>
  <si>
    <t>2021042907:47:58</t>
  </si>
  <si>
    <t>1511857</t>
  </si>
  <si>
    <t>2021042414:17:41</t>
  </si>
  <si>
    <t>2021042908:30:16</t>
  </si>
  <si>
    <t>1511917</t>
  </si>
  <si>
    <t>2021042416:52:01</t>
  </si>
  <si>
    <t>2021050108:39:22</t>
  </si>
  <si>
    <t>1511923</t>
  </si>
  <si>
    <t>2021042417:18:59</t>
  </si>
  <si>
    <t>2021042613:33:38</t>
  </si>
  <si>
    <t>1512071</t>
  </si>
  <si>
    <t>2021042510:11:45</t>
  </si>
  <si>
    <t>2021050108:18:01</t>
  </si>
  <si>
    <t>1512118</t>
  </si>
  <si>
    <t>2021042512:23:39</t>
  </si>
  <si>
    <t>2021050208:56:44</t>
  </si>
  <si>
    <t>1512183</t>
  </si>
  <si>
    <t>2021042514:07:03</t>
  </si>
  <si>
    <t>2021050109:06:23</t>
  </si>
  <si>
    <t>1512185</t>
  </si>
  <si>
    <t>2021042514:06:54</t>
  </si>
  <si>
    <t>2021050210:02:25</t>
  </si>
  <si>
    <r>
      <rPr>
        <sz val="9"/>
        <color indexed="63"/>
        <rFont val="Microsoft YaHei Light"/>
        <family val="2"/>
        <charset val="134"/>
      </rPr>
      <t>清创</t>
    </r>
  </si>
  <si>
    <t>1512230</t>
  </si>
  <si>
    <t>2021042515:08:56</t>
  </si>
  <si>
    <t>2021042815:02:43</t>
  </si>
  <si>
    <t>1512232</t>
  </si>
  <si>
    <t>2021042515:08:26</t>
  </si>
  <si>
    <t>2021042812:51:21</t>
  </si>
  <si>
    <t>1512258</t>
  </si>
  <si>
    <t>2021042515:43:46</t>
  </si>
  <si>
    <t>2021050109:21:12</t>
  </si>
  <si>
    <t>1512268</t>
  </si>
  <si>
    <t>2021042515:59:03</t>
  </si>
  <si>
    <t>2021050612:56:14</t>
  </si>
  <si>
    <t>1512319</t>
  </si>
  <si>
    <t>2021042521:40:50</t>
  </si>
  <si>
    <t>2021042908:20:39</t>
  </si>
  <si>
    <t>1512639</t>
  </si>
  <si>
    <t>2021042614:19:04</t>
  </si>
  <si>
    <t>2021050109:04:28</t>
  </si>
  <si>
    <t>1512652</t>
  </si>
  <si>
    <t>2021042614:39:35</t>
  </si>
  <si>
    <t>2021050108:10:09</t>
  </si>
  <si>
    <t>1513030</t>
  </si>
  <si>
    <t>2021042714:48:37</t>
  </si>
  <si>
    <t>2021050207:36:22</t>
  </si>
  <si>
    <t>1513415</t>
  </si>
  <si>
    <t>2021042813:42:20</t>
  </si>
  <si>
    <t>2021050208:15:57</t>
  </si>
  <si>
    <t>1513440</t>
  </si>
  <si>
    <t>2021042813:58:16</t>
  </si>
  <si>
    <t>2021050307:52:28</t>
  </si>
  <si>
    <r>
      <rPr>
        <sz val="9"/>
        <color indexed="63"/>
        <rFont val="Times New Roman"/>
        <family val="1"/>
      </rPr>
      <t>68</t>
    </r>
    <r>
      <rPr>
        <sz val="9"/>
        <color indexed="63"/>
        <rFont val="Microsoft YaHei Light"/>
        <family val="2"/>
        <charset val="134"/>
      </rPr>
      <t>岁</t>
    </r>
  </si>
  <si>
    <t>1513531</t>
  </si>
  <si>
    <t>2021042815:59:53</t>
  </si>
  <si>
    <t>2021050608:00:21</t>
  </si>
  <si>
    <t>1513575</t>
  </si>
  <si>
    <t>2021042820:04:32</t>
  </si>
  <si>
    <t>2021050210:27:23</t>
  </si>
  <si>
    <t>1513797</t>
  </si>
  <si>
    <t>2021042913:29:11</t>
  </si>
  <si>
    <t>2021050812:50:06</t>
  </si>
  <si>
    <t>1514312</t>
  </si>
  <si>
    <t>2021050210:50:45</t>
  </si>
  <si>
    <t>2021050808:00:59</t>
  </si>
  <si>
    <t>1514548</t>
  </si>
  <si>
    <t>2021050407:32:07</t>
  </si>
  <si>
    <t>2021051013:32:23</t>
  </si>
  <si>
    <t>1514646</t>
  </si>
  <si>
    <t>2021050413:52:08</t>
  </si>
  <si>
    <t>2021050812:32:43</t>
  </si>
  <si>
    <t>1514657</t>
  </si>
  <si>
    <t>2021050414:31:45</t>
  </si>
  <si>
    <t>2021050809:32:25</t>
  </si>
  <si>
    <t>1514673</t>
  </si>
  <si>
    <t>2021050415:04:10</t>
  </si>
  <si>
    <t>2021051013:31:43</t>
  </si>
  <si>
    <t>2021050415:15:10</t>
  </si>
  <si>
    <t>2021051413:19:12</t>
  </si>
  <si>
    <t>2021050415:33:11</t>
  </si>
  <si>
    <t>2021052014:50:58</t>
  </si>
  <si>
    <t>2021050510:39:17</t>
  </si>
  <si>
    <t>2021050913:24:22</t>
  </si>
  <si>
    <t>2021050514:41:47</t>
  </si>
  <si>
    <t>2021051112:07:30</t>
  </si>
  <si>
    <r>
      <rPr>
        <sz val="9"/>
        <color indexed="63"/>
        <rFont val="Microsoft YaHei Light"/>
        <family val="2"/>
        <charset val="134"/>
      </rPr>
      <t>左膝</t>
    </r>
    <r>
      <rPr>
        <sz val="9"/>
        <color indexed="63"/>
        <rFont val="Times New Roman"/>
        <family val="1"/>
      </rPr>
      <t>ACL MPFL</t>
    </r>
  </si>
  <si>
    <t>2021050515:40:47</t>
  </si>
  <si>
    <t>2021050913:18:17</t>
  </si>
  <si>
    <t>2021050515:41:31</t>
  </si>
  <si>
    <t>2021051108:42:46</t>
  </si>
  <si>
    <t>2021050515:57:48</t>
  </si>
  <si>
    <t>2021050913:05:03</t>
  </si>
  <si>
    <t>2021050520:58:38</t>
  </si>
  <si>
    <t>2021050913:16:10</t>
  </si>
  <si>
    <t>2021050614:33:09</t>
  </si>
  <si>
    <t>2021051313:41:49</t>
  </si>
  <si>
    <t>2021050616:31:31</t>
  </si>
  <si>
    <t>2021051112:29:35</t>
  </si>
  <si>
    <t>2021050711:50:59</t>
  </si>
  <si>
    <t>2021051213:14:03</t>
  </si>
  <si>
    <t>2021050809:11:17</t>
  </si>
  <si>
    <t>2021051412:42:10</t>
  </si>
  <si>
    <t>2021050810:33:01</t>
  </si>
  <si>
    <t>2021051414:50:09</t>
  </si>
  <si>
    <t>2021050813:26:59</t>
  </si>
  <si>
    <t>2021051413:07:59</t>
  </si>
  <si>
    <t>2021050814:31:27</t>
  </si>
  <si>
    <t>2021051413:10:09</t>
  </si>
  <si>
    <t>2021050908:50:11</t>
  </si>
  <si>
    <t>2021051308:52:00</t>
  </si>
  <si>
    <t>2021050912:46:14</t>
  </si>
  <si>
    <t>2021051609:02:06</t>
  </si>
  <si>
    <t>2021050913:25:10</t>
  </si>
  <si>
    <t>2021051413:31:07</t>
  </si>
  <si>
    <t>2021050914:03:17</t>
  </si>
  <si>
    <t>2021051313:20:54</t>
  </si>
  <si>
    <t>2021050915:05:09</t>
  </si>
  <si>
    <t>2021051513:37:20</t>
  </si>
  <si>
    <t>2021051013:19:37</t>
  </si>
  <si>
    <t>2021051608:59:15</t>
  </si>
  <si>
    <t>2021051014:15:24</t>
  </si>
  <si>
    <t>2021051608:52:55</t>
  </si>
  <si>
    <t>2021051014:42:41</t>
  </si>
  <si>
    <t>2021051608:40:14</t>
  </si>
  <si>
    <t>2021051114:14:26</t>
  </si>
  <si>
    <t>2021051607:54:37</t>
  </si>
  <si>
    <t>2021051118:41:06</t>
  </si>
  <si>
    <t>2021051609:48:43</t>
  </si>
  <si>
    <t>2021051209:59:33</t>
  </si>
  <si>
    <t>2021051607:58:23</t>
  </si>
  <si>
    <t>2021051215:47:19</t>
  </si>
  <si>
    <t>2021051614:24:37</t>
  </si>
  <si>
    <t>2021051215:02:14</t>
  </si>
  <si>
    <t>2021051613:02:40</t>
  </si>
  <si>
    <t>2021051314:54:22</t>
  </si>
  <si>
    <t>2021051907:35:30</t>
  </si>
  <si>
    <t>2021051413:46:26</t>
  </si>
  <si>
    <t>2021051913:37:43</t>
  </si>
  <si>
    <t>2021051614:05:30</t>
  </si>
  <si>
    <t>2021052308:48:10</t>
  </si>
  <si>
    <t>2021051614:30:53</t>
  </si>
  <si>
    <t>2021052013:23:12</t>
  </si>
  <si>
    <t>2021051614:46:57</t>
  </si>
  <si>
    <t>2021052012:17:43</t>
  </si>
  <si>
    <t>2021051617:30:17</t>
  </si>
  <si>
    <t>2021052208:33:09</t>
  </si>
  <si>
    <t>2021051715:58:37</t>
  </si>
  <si>
    <t>2021052209:00:12</t>
  </si>
  <si>
    <t>2021051815:44:21</t>
  </si>
  <si>
    <t>2021052208:14:40</t>
  </si>
  <si>
    <t>2021051815:52:41</t>
  </si>
  <si>
    <t>2021052209:15:42</t>
  </si>
  <si>
    <t>2021051817:18:29</t>
  </si>
  <si>
    <t>2021052412:59:44</t>
  </si>
  <si>
    <t>2021051914:24:51</t>
  </si>
  <si>
    <t>2021052313:05:18</t>
  </si>
  <si>
    <t>2021052008:54:22</t>
  </si>
  <si>
    <t>2021052413:19:14</t>
  </si>
  <si>
    <t>2021052015:14:21</t>
  </si>
  <si>
    <t>2021052612:36:55</t>
  </si>
  <si>
    <t>2021052115:07:55</t>
  </si>
  <si>
    <t>2021052512:14:14</t>
  </si>
  <si>
    <t>2021052115:32:26</t>
  </si>
  <si>
    <t>2021052708:34:38</t>
  </si>
  <si>
    <t>2021052217:41:28</t>
  </si>
  <si>
    <t>2021052813:31:16</t>
  </si>
  <si>
    <t>2021052208:19:55</t>
  </si>
  <si>
    <t>2021052613:12:43</t>
  </si>
  <si>
    <t>2021052214:57:41</t>
  </si>
  <si>
    <t>2021052913:37:27</t>
  </si>
  <si>
    <t>2021052219:25:48</t>
  </si>
  <si>
    <t>2021053008:31:33</t>
  </si>
  <si>
    <t>2021052313:01:48</t>
  </si>
  <si>
    <t>2021052913:37:38</t>
  </si>
  <si>
    <t>2021052314:43:59</t>
  </si>
  <si>
    <t>2021052908:55:15</t>
  </si>
  <si>
    <t>2021052412:58:21</t>
  </si>
  <si>
    <t>2021053113:09:30</t>
  </si>
  <si>
    <t>2021052515:54:27</t>
  </si>
  <si>
    <t>2021053112:41:33</t>
  </si>
  <si>
    <t>2021052612:20:06</t>
  </si>
  <si>
    <t>2021053013:27:04</t>
  </si>
  <si>
    <t>2021052616:35:28</t>
  </si>
  <si>
    <t>2021053013:22:33</t>
  </si>
  <si>
    <t>2021052623:15:39</t>
  </si>
  <si>
    <t>2021053013:28:33</t>
  </si>
  <si>
    <t>2021052714:00:21</t>
  </si>
  <si>
    <t>2021060313:06:04</t>
  </si>
  <si>
    <t>2021052716:20:53</t>
  </si>
  <si>
    <t>2021060207:11:26</t>
  </si>
  <si>
    <t>2021052808:53:07</t>
  </si>
  <si>
    <t>2021060109:22:07</t>
  </si>
  <si>
    <r>
      <rPr>
        <sz val="9"/>
        <color indexed="63"/>
        <rFont val="Microsoft YaHei Light"/>
        <family val="2"/>
        <charset val="134"/>
      </rPr>
      <t>粘连松解</t>
    </r>
  </si>
  <si>
    <t>2021052814:53:11</t>
  </si>
  <si>
    <t>2021060212:55:03</t>
  </si>
  <si>
    <t>1523842</t>
  </si>
  <si>
    <t>2021052820:52:57</t>
  </si>
  <si>
    <t>2021060113:47:35</t>
  </si>
  <si>
    <t>2021052910:26:05</t>
  </si>
  <si>
    <t>2021060408:56:35</t>
  </si>
  <si>
    <t>2021052916:08:34</t>
  </si>
  <si>
    <t>2021060313:55:34</t>
  </si>
  <si>
    <t>2021053012:43:04</t>
  </si>
  <si>
    <t>2021060313:41:00</t>
  </si>
  <si>
    <t>2021053014:35:10</t>
  </si>
  <si>
    <t>2021060308:29:59</t>
  </si>
  <si>
    <t>2021053014:53:17</t>
  </si>
  <si>
    <t>2021060609:03:29</t>
  </si>
  <si>
    <t>2021053016:12:08</t>
  </si>
  <si>
    <t>2021060212:42:29</t>
  </si>
  <si>
    <t>2021053019:51:20</t>
  </si>
  <si>
    <t>2021060313:05:07</t>
  </si>
  <si>
    <t>2021053116:33:13</t>
  </si>
  <si>
    <t>2021060311:34:52</t>
  </si>
  <si>
    <t>2021053116:50:22</t>
  </si>
  <si>
    <t>2021060807:32:32</t>
  </si>
  <si>
    <t>2021060119:45:52</t>
  </si>
  <si>
    <t>2021060615:09:16</t>
  </si>
  <si>
    <t>2021060113:25:23</t>
  </si>
  <si>
    <t>2021060608:22:03</t>
  </si>
  <si>
    <r>
      <rPr>
        <sz val="9"/>
        <color indexed="63"/>
        <rFont val="Microsoft YaHei Light"/>
        <family val="2"/>
        <charset val="134"/>
      </rPr>
      <t>左膝</t>
    </r>
    <r>
      <rPr>
        <sz val="9"/>
        <color indexed="63"/>
        <rFont val="Times New Roman"/>
        <family val="1"/>
      </rPr>
      <t>ACL MCL</t>
    </r>
  </si>
  <si>
    <t>2021060114:46:54</t>
  </si>
  <si>
    <t>2021060508:44:42</t>
  </si>
  <si>
    <t>2021060115:16:28</t>
  </si>
  <si>
    <t>2021060513:52:17</t>
  </si>
  <si>
    <t>2021060115:21:18</t>
  </si>
  <si>
    <t>2021061407:33:39</t>
  </si>
  <si>
    <t>2021060215:09:01</t>
  </si>
  <si>
    <t>2021060613:03:23</t>
  </si>
  <si>
    <t>2021060315:44:26</t>
  </si>
  <si>
    <t>2021060913:13:46</t>
  </si>
  <si>
    <t>2021060316:04:08</t>
  </si>
  <si>
    <t>2021061308:18:02</t>
  </si>
  <si>
    <t>2021060513:30:11</t>
  </si>
  <si>
    <t>2021060913:04:08</t>
  </si>
  <si>
    <t>2021060513:55:45</t>
  </si>
  <si>
    <t>2021061208:16:05</t>
  </si>
  <si>
    <t>2021060514:05:31</t>
  </si>
  <si>
    <t>2021061208:12:30</t>
  </si>
  <si>
    <t>2021060515:01:14</t>
  </si>
  <si>
    <t>2021060913:04:29</t>
  </si>
  <si>
    <t>2021060518:34:01</t>
  </si>
  <si>
    <t>2021061112:50:30</t>
  </si>
  <si>
    <t>2021060519:18:41</t>
  </si>
  <si>
    <t>2021061209:14:10</t>
  </si>
  <si>
    <t>2021060613:05:30</t>
  </si>
  <si>
    <t>2021061107:41:58</t>
  </si>
  <si>
    <t>2021060613:23:02</t>
  </si>
  <si>
    <t>2021061113:47:49</t>
  </si>
  <si>
    <t>2021060613:27:18</t>
  </si>
  <si>
    <t>2021061408:01:46</t>
  </si>
  <si>
    <t>2021060615:07:00</t>
  </si>
  <si>
    <t>2021061108:03:17</t>
  </si>
  <si>
    <t>2021060615:24:54</t>
  </si>
  <si>
    <t>2021061309:49:04</t>
  </si>
  <si>
    <t>2021060616:05:54</t>
  </si>
  <si>
    <t>2021061108:52:04</t>
  </si>
  <si>
    <t>2021060812:28:29</t>
  </si>
  <si>
    <t>2021061512:27:50</t>
  </si>
  <si>
    <t>2021060915:51:59</t>
  </si>
  <si>
    <t>2021061409:00:23</t>
  </si>
  <si>
    <t>2021060914:49:34</t>
  </si>
  <si>
    <t>2021061409:08:11</t>
  </si>
  <si>
    <t>2021061014:27:07</t>
  </si>
  <si>
    <t>2021061913:36:22</t>
  </si>
  <si>
    <t>2021061113:29:07</t>
  </si>
  <si>
    <t>2021061814:54:20</t>
  </si>
  <si>
    <t>2021061208:05:32</t>
  </si>
  <si>
    <t>2021061513:06:20</t>
  </si>
  <si>
    <t>2021061310:52:48</t>
  </si>
  <si>
    <t>2021061807:47:19</t>
  </si>
  <si>
    <t>2021061312:27:59</t>
  </si>
  <si>
    <t>2021061807:46:17</t>
  </si>
  <si>
    <t>2021061314:38:27</t>
  </si>
  <si>
    <t>2021062006:20:49</t>
  </si>
  <si>
    <t>2021061315:12:21</t>
  </si>
  <si>
    <t>2021061813:12:46</t>
  </si>
  <si>
    <t>2021061317:39:48</t>
  </si>
  <si>
    <t>2021062008:00:22</t>
  </si>
  <si>
    <t>2021061319:53:54</t>
  </si>
  <si>
    <t>2021062008:22:27</t>
  </si>
  <si>
    <t>2021061415:16:15</t>
  </si>
  <si>
    <t>2021062009:05:16</t>
  </si>
  <si>
    <t>2021061415:52:49</t>
  </si>
  <si>
    <t>2021062008:52:18</t>
  </si>
  <si>
    <t>2021061416:34:14</t>
  </si>
  <si>
    <t>2021062008:49:46</t>
  </si>
  <si>
    <t>2021061419:11:04</t>
  </si>
  <si>
    <t>2021062007:33:07</t>
  </si>
  <si>
    <t>2021061509:54:13</t>
  </si>
  <si>
    <t>2021061813:06:27</t>
  </si>
  <si>
    <t>2021061515:32:11</t>
  </si>
  <si>
    <t>2021062109:06:07</t>
  </si>
  <si>
    <t>2021061515:50:07</t>
  </si>
  <si>
    <t>2021061910:28:55</t>
  </si>
  <si>
    <t>2021061515:56:38</t>
  </si>
  <si>
    <t>2021101308:40:49</t>
  </si>
  <si>
    <t>2021061615:26:22</t>
  </si>
  <si>
    <t>2021062207:45:23</t>
  </si>
  <si>
    <t>2021061708:57:46</t>
  </si>
  <si>
    <t>2021062013:35:18</t>
  </si>
  <si>
    <r>
      <rPr>
        <sz val="9"/>
        <color indexed="63"/>
        <rFont val="Microsoft YaHei Light"/>
        <family val="2"/>
        <charset val="134"/>
      </rPr>
      <t>右膝</t>
    </r>
    <r>
      <rPr>
        <sz val="9"/>
        <color indexed="63"/>
        <rFont val="Times New Roman"/>
        <family val="1"/>
      </rPr>
      <t>ACL PLC</t>
    </r>
  </si>
  <si>
    <t>2021061709:27:40</t>
  </si>
  <si>
    <t>2021062112:57:11</t>
  </si>
  <si>
    <t>2021061714:00:56</t>
  </si>
  <si>
    <t>2021062308:13:40</t>
  </si>
  <si>
    <t>2021061715:49:22</t>
  </si>
  <si>
    <t>2021062009:40:11</t>
  </si>
  <si>
    <t>2021061814:12:45</t>
  </si>
  <si>
    <t>2021062313:06:07</t>
  </si>
  <si>
    <t>2021061815:06:44</t>
  </si>
  <si>
    <t>2021062708:41:47</t>
  </si>
  <si>
    <t>2021061816:03:03</t>
  </si>
  <si>
    <t>2021062515:07:21</t>
  </si>
  <si>
    <t>2021061913:53:35</t>
  </si>
  <si>
    <t>2021062507:54:42</t>
  </si>
  <si>
    <t>2021061914:37:40</t>
  </si>
  <si>
    <t>2021062708:29:44</t>
  </si>
  <si>
    <t>2021062011:40:36</t>
  </si>
  <si>
    <t>2021062212:59:03</t>
  </si>
  <si>
    <t>2021062013:52:10</t>
  </si>
  <si>
    <t>2021062312:59:34</t>
  </si>
  <si>
    <r>
      <rPr>
        <sz val="9"/>
        <color indexed="63"/>
        <rFont val="Microsoft YaHei Light"/>
        <family val="2"/>
        <charset val="134"/>
      </rPr>
      <t>未手术</t>
    </r>
  </si>
  <si>
    <t>2021062014:10:17</t>
  </si>
  <si>
    <t>2021062413:18:39</t>
  </si>
  <si>
    <t>2021062014:43:47</t>
  </si>
  <si>
    <t>2021062508:20:18</t>
  </si>
  <si>
    <t>2021062114:41:17</t>
  </si>
  <si>
    <t>2021062613:00:30</t>
  </si>
  <si>
    <t>2021062212:59:46</t>
  </si>
  <si>
    <t>2021062706:42:07</t>
  </si>
  <si>
    <t>2021062215:18:50</t>
  </si>
  <si>
    <t>2021062608:35:42</t>
  </si>
  <si>
    <t>2021062218:28:01</t>
  </si>
  <si>
    <t>2021062507:58:56</t>
  </si>
  <si>
    <r>
      <rPr>
        <sz val="9"/>
        <color indexed="63"/>
        <rFont val="Microsoft YaHei Light"/>
        <family val="2"/>
        <charset val="134"/>
      </rPr>
      <t>平台骨折</t>
    </r>
  </si>
  <si>
    <t>2021062308:31:47</t>
  </si>
  <si>
    <t>2021062608:48:42</t>
  </si>
  <si>
    <t>2021062314:09:22</t>
  </si>
  <si>
    <t>2021062713:49:57</t>
  </si>
  <si>
    <t>2021062318:54:29</t>
  </si>
  <si>
    <t>2021062713:45:40</t>
  </si>
  <si>
    <t>2021062414:30:21</t>
  </si>
  <si>
    <t>2021070712:55:39</t>
  </si>
  <si>
    <r>
      <rPr>
        <sz val="9"/>
        <color indexed="63"/>
        <rFont val="Microsoft YaHei Light"/>
        <family val="2"/>
        <charset val="134"/>
      </rPr>
      <t>右膝</t>
    </r>
    <r>
      <rPr>
        <sz val="9"/>
        <color indexed="63"/>
        <rFont val="Times New Roman"/>
        <family val="1"/>
      </rPr>
      <t>ACL MPFL</t>
    </r>
  </si>
  <si>
    <t>2021062411:16:17</t>
  </si>
  <si>
    <t>2021071309:15:27</t>
  </si>
  <si>
    <t>2021062507:56:32</t>
  </si>
  <si>
    <t>2021070107:57:35</t>
  </si>
  <si>
    <t>2021062514:28:47</t>
  </si>
  <si>
    <t>2021063008:03:23</t>
  </si>
  <si>
    <t>2021062514:29:21</t>
  </si>
  <si>
    <t>2021063013:14:42</t>
  </si>
  <si>
    <t>2021062514:59:22</t>
  </si>
  <si>
    <t>2021063012:52:52</t>
  </si>
  <si>
    <t>2021062515:12:21</t>
  </si>
  <si>
    <t>2021070208:29:47</t>
  </si>
  <si>
    <t>2021062608:12:42</t>
  </si>
  <si>
    <t>2021063007:58:24</t>
  </si>
  <si>
    <t>2021062608:30:09</t>
  </si>
  <si>
    <t>2021063008:36:01</t>
  </si>
  <si>
    <t>2021062614:31:53</t>
  </si>
  <si>
    <t>2021070313:38:59</t>
  </si>
  <si>
    <r>
      <rPr>
        <sz val="9"/>
        <color indexed="63"/>
        <rFont val="Microsoft YaHei Light"/>
        <family val="2"/>
        <charset val="134"/>
      </rPr>
      <t>右膝</t>
    </r>
    <r>
      <rPr>
        <sz val="9"/>
        <color indexed="63"/>
        <rFont val="Times New Roman"/>
        <family val="1"/>
      </rPr>
      <t>ACL PCL PMC</t>
    </r>
  </si>
  <si>
    <t>2021062713:28:01</t>
  </si>
  <si>
    <t>2021070113:28:56</t>
  </si>
  <si>
    <t>2021062717:12:30</t>
  </si>
  <si>
    <t>2021070408:42:12</t>
  </si>
  <si>
    <t>2021062813:58:30</t>
  </si>
  <si>
    <t>2021070309:35:53</t>
  </si>
  <si>
    <t>2021062913:19:25</t>
  </si>
  <si>
    <t>2021070211:19:02</t>
  </si>
  <si>
    <t>2021062913:24:48</t>
  </si>
  <si>
    <t>2021070510:31:04</t>
  </si>
  <si>
    <t>2021062914:42:19</t>
  </si>
  <si>
    <t>2021070612:50:23</t>
  </si>
  <si>
    <t>2021062915:27:51</t>
  </si>
  <si>
    <t>2021071007:59:30</t>
  </si>
  <si>
    <t>2021062916:14:34</t>
  </si>
  <si>
    <t>2021070612:45:32</t>
  </si>
  <si>
    <t>2021062916:28:22</t>
  </si>
  <si>
    <t>2021070708:52:24</t>
  </si>
  <si>
    <t>2021062916:47:03</t>
  </si>
  <si>
    <t>2021070612:59:05</t>
  </si>
  <si>
    <r>
      <rPr>
        <sz val="9"/>
        <color indexed="63"/>
        <rFont val="Microsoft YaHei Light"/>
        <family val="2"/>
        <charset val="134"/>
      </rPr>
      <t>右膝</t>
    </r>
    <r>
      <rPr>
        <sz val="9"/>
        <color indexed="63"/>
        <rFont val="Times New Roman"/>
        <family val="1"/>
      </rPr>
      <t>ACL PCL</t>
    </r>
  </si>
  <si>
    <t>2021062921:06:13</t>
  </si>
  <si>
    <t>2021071011:57:38</t>
  </si>
  <si>
    <t>2021062918:10:08</t>
  </si>
  <si>
    <t>2021070607:34:48</t>
  </si>
  <si>
    <t>2021063019:38:31</t>
  </si>
  <si>
    <t>2021070215:54:02</t>
  </si>
  <si>
    <r>
      <rPr>
        <sz val="9"/>
        <color indexed="63"/>
        <rFont val="Microsoft YaHei Light"/>
        <family val="2"/>
        <charset val="134"/>
      </rPr>
      <t>伤口愈合不佳</t>
    </r>
  </si>
  <si>
    <t>2021070113:34:59</t>
  </si>
  <si>
    <t>2021070715:05:04</t>
  </si>
  <si>
    <t>1536217</t>
  </si>
  <si>
    <t>2021070215:23:42</t>
  </si>
  <si>
    <t>2021070908:29:07</t>
  </si>
  <si>
    <t>2021070217:01:29</t>
  </si>
  <si>
    <t>2021070712:48:35</t>
  </si>
  <si>
    <t>2021070314:57:33</t>
  </si>
  <si>
    <t>2021071009:12:03</t>
  </si>
  <si>
    <t>2021070320:05:06</t>
  </si>
  <si>
    <t>2021071013:04:25</t>
  </si>
  <si>
    <t>2021070321:19:12</t>
  </si>
  <si>
    <t>2021071114:18:31</t>
  </si>
  <si>
    <t>2021070412:10:50</t>
  </si>
  <si>
    <t>2021070813:51:30</t>
  </si>
  <si>
    <t>2021070414:01:46</t>
  </si>
  <si>
    <t>2021070713:05:02</t>
  </si>
  <si>
    <t>2021070416:58:59</t>
  </si>
  <si>
    <t>2021070813:11:33</t>
  </si>
  <si>
    <t>2021070515:31:11</t>
  </si>
  <si>
    <t>2021071213:07:15</t>
  </si>
  <si>
    <t>2021070614:55:41</t>
  </si>
  <si>
    <t>2021071313:29:25</t>
  </si>
  <si>
    <t>2021070615:03:51</t>
  </si>
  <si>
    <t>2021071108:11:18</t>
  </si>
  <si>
    <t>2021070615:38:47</t>
  </si>
  <si>
    <t>2021071213:33:37</t>
  </si>
  <si>
    <t>2021070618:06:01</t>
  </si>
  <si>
    <t>2021071108:19:54</t>
  </si>
  <si>
    <t>2021070713:24:04</t>
  </si>
  <si>
    <t>2021071113:41:57</t>
  </si>
  <si>
    <t>2021070713:39:13</t>
  </si>
  <si>
    <t>2021071214:15:52</t>
  </si>
  <si>
    <t>2021070808:51:17</t>
  </si>
  <si>
    <t>2021071213:00:03</t>
  </si>
  <si>
    <t>2021070812:57:10</t>
  </si>
  <si>
    <t>2021071413:07:15</t>
  </si>
  <si>
    <t>2021070914:36:10</t>
  </si>
  <si>
    <t>2021071408:11:20</t>
  </si>
  <si>
    <t>2021070915:15:18</t>
  </si>
  <si>
    <t>2021071413:24:29</t>
  </si>
  <si>
    <t>2021070917:19:42</t>
  </si>
  <si>
    <t>2021071413:32:20</t>
  </si>
  <si>
    <t>2021071016:24:29</t>
  </si>
  <si>
    <t>2021071413:16:17</t>
  </si>
  <si>
    <t>2021071008:10:24</t>
  </si>
  <si>
    <t>2021071413:28:17</t>
  </si>
  <si>
    <t>2021071014:19:19</t>
  </si>
  <si>
    <t>2021071512:12:34</t>
  </si>
  <si>
    <t>2021071015:09:06</t>
  </si>
  <si>
    <t>2021071713:49:32</t>
  </si>
  <si>
    <t>2021071015:28:52</t>
  </si>
  <si>
    <t>2021071707:53:57</t>
  </si>
  <si>
    <t>2021071114:52:49</t>
  </si>
  <si>
    <t>2021071513:15:37</t>
  </si>
  <si>
    <t>2021071115:04:12</t>
  </si>
  <si>
    <t>2021071512:52:39</t>
  </si>
  <si>
    <t>2021071115:36:30</t>
  </si>
  <si>
    <t>2021071809:24:03</t>
  </si>
  <si>
    <t>2021071115:55:38</t>
  </si>
  <si>
    <t>2021071712:15:36</t>
  </si>
  <si>
    <t>2021071219:29:41</t>
  </si>
  <si>
    <t>2021071913:20:26</t>
  </si>
  <si>
    <t>2021071313:59:41</t>
  </si>
  <si>
    <t>2021072008:07:12</t>
  </si>
  <si>
    <t>2021071410:08:01</t>
  </si>
  <si>
    <t>2021072110:14:32</t>
  </si>
  <si>
    <t>2021071410:31:15</t>
  </si>
  <si>
    <t>2021071809:31:51</t>
  </si>
  <si>
    <t>2021071413:27:32</t>
  </si>
  <si>
    <t>2021072212:29:06</t>
  </si>
  <si>
    <t>2021071414:41:26</t>
  </si>
  <si>
    <t>2021071612:58:46</t>
  </si>
  <si>
    <t>2021071415:43:40</t>
  </si>
  <si>
    <t>2021071813:38:53</t>
  </si>
  <si>
    <t>2021071416:23:51</t>
  </si>
  <si>
    <t>2021072013:52:48</t>
  </si>
  <si>
    <t>2021071418:54:57</t>
  </si>
  <si>
    <t>2021080211:29:38</t>
  </si>
  <si>
    <t>2021071420:45:21</t>
  </si>
  <si>
    <t>2021071808:59:22</t>
  </si>
  <si>
    <t>2021071614:27:19</t>
  </si>
  <si>
    <t>2021071908:53:44</t>
  </si>
  <si>
    <t>2021071614:51:29</t>
  </si>
  <si>
    <t>2021072213:46:35</t>
  </si>
  <si>
    <t>2021071713:50:10</t>
  </si>
  <si>
    <t>2021072407:36:23</t>
  </si>
  <si>
    <t>2021071714:42:18</t>
  </si>
  <si>
    <t>2021072107:32:44</t>
  </si>
  <si>
    <t>2021071715:07:43</t>
  </si>
  <si>
    <t>2021072313:00:07</t>
  </si>
  <si>
    <t>1542196</t>
  </si>
  <si>
    <t>2021071812:03:05</t>
  </si>
  <si>
    <t>2021072213:11:08</t>
  </si>
  <si>
    <t>1542265</t>
  </si>
  <si>
    <t>2021071813:53:13</t>
  </si>
  <si>
    <t>2021072408:58:08</t>
  </si>
  <si>
    <t>2021071814:38:09</t>
  </si>
  <si>
    <t>2021072313:19:59</t>
  </si>
  <si>
    <t>2021071815:21:53</t>
  </si>
  <si>
    <t>2021072213:19:54</t>
  </si>
  <si>
    <t>2021071815:38:45</t>
  </si>
  <si>
    <t>2021072014:19:18</t>
  </si>
  <si>
    <t>2021071816:03:38</t>
  </si>
  <si>
    <t>2021072212:41:44</t>
  </si>
  <si>
    <t>2021071817:27:56</t>
  </si>
  <si>
    <t>2021072212:31:25</t>
  </si>
  <si>
    <t>2021071910:58:56</t>
  </si>
  <si>
    <t>2021072613:09:18</t>
  </si>
  <si>
    <t>2021071914:36:43</t>
  </si>
  <si>
    <t>2021072612:46:19</t>
  </si>
  <si>
    <t>2021072014:56:32</t>
  </si>
  <si>
    <t>2021072612:57:47</t>
  </si>
  <si>
    <t>2021072015:31:26</t>
  </si>
  <si>
    <t>2021072507:33:18</t>
  </si>
  <si>
    <t>2021072020:45:35</t>
  </si>
  <si>
    <t>2021072513:34:33</t>
  </si>
  <si>
    <t>2021072110:36:10</t>
  </si>
  <si>
    <t>2021072613:23:40</t>
  </si>
  <si>
    <t>2021072115:07:17</t>
  </si>
  <si>
    <t>2021072609:38:17</t>
  </si>
  <si>
    <t>2021072115:29:54</t>
  </si>
  <si>
    <t>2021072713:54:31</t>
  </si>
  <si>
    <t>2021072211:54:49</t>
  </si>
  <si>
    <t>2021072813:39:38</t>
  </si>
  <si>
    <t>2021072213:11:48</t>
  </si>
  <si>
    <t>2021080107:06:15</t>
  </si>
  <si>
    <t>2021072313:06:27</t>
  </si>
  <si>
    <t>2021072713:38:39</t>
  </si>
  <si>
    <t>2021072315:06:11</t>
  </si>
  <si>
    <t>2021072913:24:36</t>
  </si>
  <si>
    <t>2021072317:24:56</t>
  </si>
  <si>
    <t>2021080108:44:52</t>
  </si>
  <si>
    <t>2021072415:09:13</t>
  </si>
  <si>
    <t>2021073109:28:55</t>
  </si>
  <si>
    <t>2021072415:19:19</t>
  </si>
  <si>
    <t>2021073108:02:42</t>
  </si>
  <si>
    <t>2021072513:01:02</t>
  </si>
  <si>
    <t>2021073008:19:05</t>
  </si>
  <si>
    <t>2021072614:16:55</t>
  </si>
  <si>
    <t>2021080213:14:58</t>
  </si>
  <si>
    <t>2021072913:54:07</t>
  </si>
  <si>
    <t>2021080513:01:26</t>
  </si>
  <si>
    <t>2021072919:57:14</t>
  </si>
  <si>
    <t>2021080508:31:46</t>
  </si>
  <si>
    <t>2021073014:35:03</t>
  </si>
  <si>
    <t>2021080608:37:10</t>
  </si>
  <si>
    <t>2021073015:40:38</t>
  </si>
  <si>
    <t>2021080613:51:28</t>
  </si>
  <si>
    <t>2021073115:02:05</t>
  </si>
  <si>
    <t>2021080414:21:32</t>
  </si>
  <si>
    <t>2021073115:02:13</t>
  </si>
  <si>
    <t>2021080709:11:49</t>
  </si>
  <si>
    <t>2021073115:19:39</t>
  </si>
  <si>
    <t>2021080708:51:24</t>
  </si>
  <si>
    <t>2021080114:10:50</t>
  </si>
  <si>
    <t>2021080808:56:45</t>
  </si>
  <si>
    <t>2021080114:28:49</t>
  </si>
  <si>
    <t>2021080512:03:37</t>
  </si>
  <si>
    <t>2021080114:52:39</t>
  </si>
  <si>
    <t>2021080612:40:14</t>
  </si>
  <si>
    <t>2021080115:05:57</t>
  </si>
  <si>
    <t>2021080713:06:56</t>
  </si>
  <si>
    <t>2021080115:38:53</t>
  </si>
  <si>
    <t>2021080613:03:19</t>
  </si>
  <si>
    <t>2021080116:51:45</t>
  </si>
  <si>
    <t>2021080513:19:18</t>
  </si>
  <si>
    <t>2021080119:43:59</t>
  </si>
  <si>
    <t>2021080709:34:39</t>
  </si>
  <si>
    <t>2021080315:19:26</t>
  </si>
  <si>
    <t>2021080612:29:55</t>
  </si>
  <si>
    <t>2021080315:48:46</t>
  </si>
  <si>
    <t>2021080813:52:04</t>
  </si>
  <si>
    <t>2021080316:52:25</t>
  </si>
  <si>
    <t>2021080813:37:35</t>
  </si>
  <si>
    <r>
      <rPr>
        <sz val="9"/>
        <color indexed="63"/>
        <rFont val="Times New Roman"/>
        <family val="1"/>
      </rPr>
      <t>54</t>
    </r>
    <r>
      <rPr>
        <sz val="9"/>
        <color indexed="63"/>
        <rFont val="Microsoft YaHei Light"/>
        <family val="2"/>
        <charset val="134"/>
      </rPr>
      <t>岁</t>
    </r>
  </si>
  <si>
    <t>2021080416:11:49</t>
  </si>
  <si>
    <t>2021080813:38:56</t>
  </si>
  <si>
    <t>2021080416:20:51</t>
  </si>
  <si>
    <t>2021081014:30:10</t>
  </si>
  <si>
    <t>2021080510:01:00</t>
  </si>
  <si>
    <t>2021080713:01:07</t>
  </si>
  <si>
    <t>2021080515:08:36</t>
  </si>
  <si>
    <t>2021081113:41:52</t>
  </si>
  <si>
    <t>2021080614:14:35</t>
  </si>
  <si>
    <t>2021081113:08:54</t>
  </si>
  <si>
    <t>2021080614:34:18</t>
  </si>
  <si>
    <t>2021081112:36:34</t>
  </si>
  <si>
    <t>2021080708:23:49</t>
  </si>
  <si>
    <t>2021081307:51:46</t>
  </si>
  <si>
    <t>2021080714:11:16</t>
  </si>
  <si>
    <t>2021081409:02:34</t>
  </si>
  <si>
    <t>2021080714:57:30</t>
  </si>
  <si>
    <t>2021081413:02:37</t>
  </si>
  <si>
    <t>2021080719:35:04</t>
  </si>
  <si>
    <t>2021081213:10:41</t>
  </si>
  <si>
    <t>2021080917:19:55</t>
  </si>
  <si>
    <t>2021081412:02:30</t>
  </si>
  <si>
    <t>2021081013:57:03</t>
  </si>
  <si>
    <t>2021081613:20:59</t>
  </si>
  <si>
    <t>2021081110:39:56</t>
  </si>
  <si>
    <t>2021081313:13:12</t>
  </si>
  <si>
    <t>2021081115:05:29</t>
  </si>
  <si>
    <t>2021081514:15:46</t>
  </si>
  <si>
    <t>2021081116:03:18</t>
  </si>
  <si>
    <t>2021081514:09:12</t>
  </si>
  <si>
    <t>2021081116:03:27</t>
  </si>
  <si>
    <t>2021081513:57:16</t>
  </si>
  <si>
    <t>2021081116:41:48</t>
  </si>
  <si>
    <t>2021081712:27:21</t>
  </si>
  <si>
    <t>2021081116:48:33</t>
  </si>
  <si>
    <t>2021081708:19:39</t>
  </si>
  <si>
    <t>2021081315:51:55</t>
  </si>
  <si>
    <t>2021082008:13:25</t>
  </si>
  <si>
    <t>2021081414:10:58</t>
  </si>
  <si>
    <t>2021082212:41:58</t>
  </si>
  <si>
    <t>2021081415:42:18</t>
  </si>
  <si>
    <t>2021082116:35:54</t>
  </si>
  <si>
    <t>2021081512:08:55</t>
  </si>
  <si>
    <t>2021082012:34:33</t>
  </si>
  <si>
    <t>2021081512:53:12</t>
  </si>
  <si>
    <t>2021082116:32:30</t>
  </si>
  <si>
    <t>2021081514:44:50</t>
  </si>
  <si>
    <t>2021081809:01:12</t>
  </si>
  <si>
    <t>2021081713:40:13</t>
  </si>
  <si>
    <t>2021082313:18:15</t>
  </si>
  <si>
    <t>2021081716:51:50</t>
  </si>
  <si>
    <t>2021082214:00:41</t>
  </si>
  <si>
    <t>2021081716:52:00</t>
  </si>
  <si>
    <t>2021082213:13:25</t>
  </si>
  <si>
    <t>2021081814:26:46</t>
  </si>
  <si>
    <t>2021082412:48:42</t>
  </si>
  <si>
    <t>2021081815:10:57</t>
  </si>
  <si>
    <t>2021082412:55:50</t>
  </si>
  <si>
    <t>2021081814:34:28</t>
  </si>
  <si>
    <t>2021082214:33:46</t>
  </si>
  <si>
    <t>2021081814:09:18</t>
  </si>
  <si>
    <t>2021082413:39:27</t>
  </si>
  <si>
    <t>2021081813:57:53</t>
  </si>
  <si>
    <t>2021082213:42:38</t>
  </si>
  <si>
    <t>2021081814:49:43</t>
  </si>
  <si>
    <t>2021091612:47:37</t>
  </si>
  <si>
    <t>2021081914:18:04</t>
  </si>
  <si>
    <t>2021082608:08:40</t>
  </si>
  <si>
    <r>
      <rPr>
        <sz val="9"/>
        <color indexed="63"/>
        <rFont val="Microsoft YaHei Light"/>
        <family val="2"/>
        <charset val="134"/>
      </rPr>
      <t>右膝</t>
    </r>
    <r>
      <rPr>
        <sz val="9"/>
        <color indexed="63"/>
        <rFont val="Times New Roman"/>
        <family val="1"/>
      </rPr>
      <t>ACL PCL MPFL</t>
    </r>
  </si>
  <si>
    <t>2021082011:22:23</t>
  </si>
  <si>
    <t>2021082613:23:11</t>
  </si>
  <si>
    <t>2021082014:01:42</t>
  </si>
  <si>
    <t>2021082712:34:53</t>
  </si>
  <si>
    <t>2021082016:02:32</t>
  </si>
  <si>
    <t>2021082707:59:28</t>
  </si>
  <si>
    <t>2021082017:21:32</t>
  </si>
  <si>
    <t>2021082508:52:36</t>
  </si>
  <si>
    <t>2021082213:46:25</t>
  </si>
  <si>
    <t>2021082514:13:51</t>
  </si>
  <si>
    <t>2021082216:06:41</t>
  </si>
  <si>
    <t>2021122315:26:54</t>
  </si>
  <si>
    <t>2021082216:07:19</t>
  </si>
  <si>
    <t>2021082808:42:31</t>
  </si>
  <si>
    <t>2021082217:57:53</t>
  </si>
  <si>
    <t>2021082907:34:18</t>
  </si>
  <si>
    <t>2021082316:31:28</t>
  </si>
  <si>
    <t>2021082913:33:00</t>
  </si>
  <si>
    <t>1555356</t>
  </si>
  <si>
    <t>2021082416:36:07</t>
  </si>
  <si>
    <t>2021082712:56:26</t>
  </si>
  <si>
    <t>2021082515:17:19</t>
  </si>
  <si>
    <t>2021083108:02:00</t>
  </si>
  <si>
    <t>2021082518:02:56</t>
  </si>
  <si>
    <t>2021090813:28:25</t>
  </si>
  <si>
    <t>2021082520:22:46</t>
  </si>
  <si>
    <t>2021082913:34:18</t>
  </si>
  <si>
    <t>2021082520:57:40</t>
  </si>
  <si>
    <t>2021083107:57:54</t>
  </si>
  <si>
    <t>2021082521:16:21</t>
  </si>
  <si>
    <t>2021083008:58:28</t>
  </si>
  <si>
    <t>2021082714:37:56</t>
  </si>
  <si>
    <t>2021090312:44:41</t>
  </si>
  <si>
    <t>2021082716:30:24</t>
  </si>
  <si>
    <t>2021090213:17:21</t>
  </si>
  <si>
    <t>2021082813:53:02</t>
  </si>
  <si>
    <t>2021090408:11:06</t>
  </si>
  <si>
    <t>2021082814:28:05</t>
  </si>
  <si>
    <t>2021090408:39:24</t>
  </si>
  <si>
    <t>2021082814:47:27</t>
  </si>
  <si>
    <t>2021090212:59:23</t>
  </si>
  <si>
    <t>2021082814:45:28</t>
  </si>
  <si>
    <t>2021090315:10:06</t>
  </si>
  <si>
    <t>2021082814:49:27</t>
  </si>
  <si>
    <t>2021090313:00:05</t>
  </si>
  <si>
    <t>2021082819:36:27</t>
  </si>
  <si>
    <t>2021090408:30:55</t>
  </si>
  <si>
    <t>2021082914:44:08</t>
  </si>
  <si>
    <t>2021090308:09:07</t>
  </si>
  <si>
    <t>2021082914:44:17</t>
  </si>
  <si>
    <t>2021090508:27:34</t>
  </si>
  <si>
    <t>2021082915:59:49</t>
  </si>
  <si>
    <t>2021090312:33:26</t>
  </si>
  <si>
    <t>2021083014:50:27</t>
  </si>
  <si>
    <t>2021090312:44:03</t>
  </si>
  <si>
    <t>2021090114:42:34</t>
  </si>
  <si>
    <t>2021090513:41:44</t>
  </si>
  <si>
    <t>2021090115:22:14</t>
  </si>
  <si>
    <t>2021090512:56:14</t>
  </si>
  <si>
    <t>2021090215:56:50</t>
  </si>
  <si>
    <t>2021090812:01:54</t>
  </si>
  <si>
    <t>2021090217:39:31</t>
  </si>
  <si>
    <t>2021090913:05:58</t>
  </si>
  <si>
    <t>2021090312:39:33</t>
  </si>
  <si>
    <t>2021091009:57:09</t>
  </si>
  <si>
    <t>2021090314:37:16</t>
  </si>
  <si>
    <t>2021090913:46:06</t>
  </si>
  <si>
    <t>2021090315:30:51</t>
  </si>
  <si>
    <t>2021090915:02:15</t>
  </si>
  <si>
    <t>2021090410:19:38</t>
  </si>
  <si>
    <t>2021091008:10:27</t>
  </si>
  <si>
    <t>2021090414:44:10</t>
  </si>
  <si>
    <t>2021091012:18:26</t>
  </si>
  <si>
    <t>2021090415:28:34</t>
  </si>
  <si>
    <t>2021091108:02:05</t>
  </si>
  <si>
    <t>2021090417:28:28</t>
  </si>
  <si>
    <t>2021091007:56:29</t>
  </si>
  <si>
    <t>2021090420:00:47</t>
  </si>
  <si>
    <t>2021091013:06:41</t>
  </si>
  <si>
    <t>2021090511:56:16</t>
  </si>
  <si>
    <t>2021091109:19:38</t>
  </si>
  <si>
    <t>2021090511:50:23</t>
  </si>
  <si>
    <t>2021091112:24:39</t>
  </si>
  <si>
    <t>2021090514:11:08</t>
  </si>
  <si>
    <t>2021091208:53:46</t>
  </si>
  <si>
    <t>2021090516:34:23</t>
  </si>
  <si>
    <t>2021090908:19:18</t>
  </si>
  <si>
    <t>2021090617:57:56</t>
  </si>
  <si>
    <t>2021091012:38:25</t>
  </si>
  <si>
    <t>2021090716:03:32</t>
  </si>
  <si>
    <t>2021091113:20:42</t>
  </si>
  <si>
    <t>2021090719:57:48</t>
  </si>
  <si>
    <t>2021091114:48:41</t>
  </si>
  <si>
    <t>2021090816:27:50</t>
  </si>
  <si>
    <t>2021091213:55:06</t>
  </si>
  <si>
    <t>2021090909:38:53</t>
  </si>
  <si>
    <t>2021091213:39:06</t>
  </si>
  <si>
    <t>2021091013:50:58</t>
  </si>
  <si>
    <t>2021091308:18:46</t>
  </si>
  <si>
    <t>2021091108:18:06</t>
  </si>
  <si>
    <t>2021091708:01:10</t>
  </si>
  <si>
    <t>2021091108:59:50</t>
  </si>
  <si>
    <t>2021091513:58:06</t>
  </si>
  <si>
    <t>2021091114:49:38</t>
  </si>
  <si>
    <t>2021091708:21:45</t>
  </si>
  <si>
    <t>2021091115:24:11</t>
  </si>
  <si>
    <t>2021091807:53:56</t>
  </si>
  <si>
    <t>2021091119:26:18</t>
  </si>
  <si>
    <t>2021091808:39:48</t>
  </si>
  <si>
    <t>2021091318:58:10</t>
  </si>
  <si>
    <t>2021091713:40:06</t>
  </si>
  <si>
    <t>2021091415:04:12</t>
  </si>
  <si>
    <t>2021091908:02:21</t>
  </si>
  <si>
    <t>2021091416:25:42</t>
  </si>
  <si>
    <t>2021091808:32:09</t>
  </si>
  <si>
    <t>2021091419:34:18</t>
  </si>
  <si>
    <t>2021091714:10:36</t>
  </si>
  <si>
    <t>2021091515:06:23</t>
  </si>
  <si>
    <t>2021092108:28:48</t>
  </si>
  <si>
    <t>2021091516:37:43</t>
  </si>
  <si>
    <t>2021092012:52:36</t>
  </si>
  <si>
    <t>2021091520:41:15</t>
  </si>
  <si>
    <t>2021091913:02:07</t>
  </si>
  <si>
    <t>2021091717:20:13</t>
  </si>
  <si>
    <t>2021092412:34:58</t>
  </si>
  <si>
    <t>2021091717:36:56</t>
  </si>
  <si>
    <t>2021092012:48:21</t>
  </si>
  <si>
    <t>2021091816:24:18</t>
  </si>
  <si>
    <t>2021092513:20:35</t>
  </si>
  <si>
    <t>2021091817:29:33</t>
  </si>
  <si>
    <t>2021092508:46:34</t>
  </si>
  <si>
    <t>2021091817:41:27</t>
  </si>
  <si>
    <t>2021092514:15:41</t>
  </si>
  <si>
    <t>2021091909:59:11</t>
  </si>
  <si>
    <t>2021092507:23:01</t>
  </si>
  <si>
    <t>2021091916:21:59</t>
  </si>
  <si>
    <t>2021092413:03:55</t>
  </si>
  <si>
    <t>2021091916:23:31</t>
  </si>
  <si>
    <t>2021092413:05:36</t>
  </si>
  <si>
    <t>2021092017:20:59</t>
  </si>
  <si>
    <t>2021092512:18:24</t>
  </si>
  <si>
    <t>2021092017:25:54</t>
  </si>
  <si>
    <t>2021092513:53:08</t>
  </si>
  <si>
    <t>2021092114:53:19</t>
  </si>
  <si>
    <t>2021092608:05:27</t>
  </si>
  <si>
    <t>2021092117:05:31</t>
  </si>
  <si>
    <t>2021092607:46:14</t>
  </si>
  <si>
    <t>2021092119:13:17</t>
  </si>
  <si>
    <t>2021092513:09:39</t>
  </si>
  <si>
    <t>2021092218:53:42</t>
  </si>
  <si>
    <t>2021092613:17:24</t>
  </si>
  <si>
    <t>2021092316:16:35</t>
  </si>
  <si>
    <t>2021093007:49:30</t>
  </si>
  <si>
    <t>2021092316:18:46</t>
  </si>
  <si>
    <t>2021093007:47:43</t>
  </si>
  <si>
    <t>2021092409:18:41</t>
  </si>
  <si>
    <t>2021092913:33:31</t>
  </si>
  <si>
    <t>2021092415:43:10</t>
  </si>
  <si>
    <t>2021092813:03:03</t>
  </si>
  <si>
    <t>2021092417:54:44</t>
  </si>
  <si>
    <t>2021092912:49:53</t>
  </si>
  <si>
    <t>2021092514:22:15</t>
  </si>
  <si>
    <t>2021093013:32:25</t>
  </si>
  <si>
    <t>2021092514:21:57</t>
  </si>
  <si>
    <t>2021093007:55:15</t>
  </si>
  <si>
    <t>2021092616:23:47</t>
  </si>
  <si>
    <t>2021093013:40:05</t>
  </si>
  <si>
    <t>2021092620:04:28</t>
  </si>
  <si>
    <t>2021093012:52:25</t>
  </si>
  <si>
    <t>2021092813:45:54</t>
  </si>
  <si>
    <t>2021100213:29:29</t>
  </si>
  <si>
    <t>2021092813:46:11</t>
  </si>
  <si>
    <t>2021100208:00:38</t>
  </si>
  <si>
    <t>2021092814:22:36</t>
  </si>
  <si>
    <t>2021100212:42:22</t>
  </si>
  <si>
    <t>2021092814:53:45</t>
  </si>
  <si>
    <t>2021100412:56:42</t>
  </si>
  <si>
    <t>2021092816:17:36</t>
  </si>
  <si>
    <t>2021100208:20:40</t>
  </si>
  <si>
    <t>2021092816:17:46</t>
  </si>
  <si>
    <t>2021100210:10:56</t>
  </si>
  <si>
    <t>2021092907:55:58</t>
  </si>
  <si>
    <t>2021100212:58:02</t>
  </si>
  <si>
    <t>2021100614:42:37</t>
  </si>
  <si>
    <t>2021101208:06:58</t>
  </si>
  <si>
    <t>2021100715:20:04</t>
  </si>
  <si>
    <t>2021101408:11:22</t>
  </si>
  <si>
    <t>2021100716:24:40</t>
  </si>
  <si>
    <t>2021101308:51:03</t>
  </si>
  <si>
    <t>2021100716:32:44</t>
  </si>
  <si>
    <t>2021101614:07:37</t>
  </si>
  <si>
    <t>2021100720:22:47</t>
  </si>
  <si>
    <t>2021101413:38:14</t>
  </si>
  <si>
    <t>2021100813:48:07</t>
  </si>
  <si>
    <t>2021101709:08:38</t>
  </si>
  <si>
    <t>2021100815:29:13</t>
  </si>
  <si>
    <t>2021101413:22:28</t>
  </si>
  <si>
    <t>2021100815:29:32</t>
  </si>
  <si>
    <t>2021101612:53:04</t>
  </si>
  <si>
    <t>2021100920:46:11</t>
  </si>
  <si>
    <t>2021101614:02:05</t>
  </si>
  <si>
    <t>2021101013:34:44</t>
  </si>
  <si>
    <t>2021101613:45:40</t>
  </si>
  <si>
    <t>2021101217:42:50</t>
  </si>
  <si>
    <t>2021101708:52:25</t>
  </si>
  <si>
    <t>2021101313:23:16</t>
  </si>
  <si>
    <t>2021101713:15:16</t>
  </si>
  <si>
    <t>2021101314:50:08</t>
  </si>
  <si>
    <t>2021101713:08:27</t>
  </si>
  <si>
    <t>2021101513:58:34</t>
  </si>
  <si>
    <t>2021102212:20:15</t>
  </si>
  <si>
    <t>2021101514:39:18</t>
  </si>
  <si>
    <t>2021102008:21:01</t>
  </si>
  <si>
    <t>2021101516:34:26</t>
  </si>
  <si>
    <t>2021102308:27:48</t>
  </si>
  <si>
    <t>2021101620:21:48</t>
  </si>
  <si>
    <t>2021102309:42:43</t>
  </si>
  <si>
    <t>2021101716:17:52</t>
  </si>
  <si>
    <t>2021102313:01:22</t>
  </si>
  <si>
    <t>2021101819:20:40</t>
  </si>
  <si>
    <t>2021102608:29:34</t>
  </si>
  <si>
    <t>2021101819:21:59</t>
  </si>
  <si>
    <t>2021102511:15:30</t>
  </si>
  <si>
    <t>2021101915:30:27</t>
  </si>
  <si>
    <t>2021102309:17:52</t>
  </si>
  <si>
    <t>2021101921:53:15</t>
  </si>
  <si>
    <t>2021102708:23:11</t>
  </si>
  <si>
    <t>2021102016:07:29</t>
  </si>
  <si>
    <t>2021102613:16:47</t>
  </si>
  <si>
    <t>2021102216:27:54</t>
  </si>
  <si>
    <t>2021102613:26:35</t>
  </si>
  <si>
    <t>2021102315:22:37</t>
  </si>
  <si>
    <t>2021103013:14:50</t>
  </si>
  <si>
    <t>2021102315:28:30</t>
  </si>
  <si>
    <t>2021103008:46:59</t>
  </si>
  <si>
    <t>2021102315:39:35</t>
  </si>
  <si>
    <t>2021103008:18:37</t>
  </si>
  <si>
    <t>2021102317:40:24</t>
  </si>
  <si>
    <t>2021103008:38:37</t>
  </si>
  <si>
    <t>2021102317:44:52</t>
  </si>
  <si>
    <t>2021102714:02:31</t>
  </si>
  <si>
    <t>2021102409:48:33</t>
  </si>
  <si>
    <t>2021103009:54:08</t>
  </si>
  <si>
    <t>2021102415:00:51</t>
  </si>
  <si>
    <t>2021103007:53:30</t>
  </si>
  <si>
    <t>2021102415:52:46</t>
  </si>
  <si>
    <t>2021120815:28:25</t>
  </si>
  <si>
    <t>2021102614:43:49</t>
  </si>
  <si>
    <t>2021103012:59:22</t>
  </si>
  <si>
    <r>
      <rPr>
        <sz val="9"/>
        <color indexed="63"/>
        <rFont val="Microsoft YaHei Light"/>
        <family val="2"/>
        <charset val="134"/>
      </rPr>
      <t>骨折</t>
    </r>
  </si>
  <si>
    <t>2021102615:43:37</t>
  </si>
  <si>
    <t>2021103108:02:55</t>
  </si>
  <si>
    <t>2021102709:26:12</t>
  </si>
  <si>
    <t>2021102914:06:20</t>
  </si>
  <si>
    <t>2021102718:54:09</t>
  </si>
  <si>
    <t>2021103108:24:38</t>
  </si>
  <si>
    <t>2021102808:49:34</t>
  </si>
  <si>
    <t>2021102912:43:02</t>
  </si>
  <si>
    <t>2021102810:00:13</t>
  </si>
  <si>
    <t>2021110812:38:39</t>
  </si>
  <si>
    <t>2021102909:55:20</t>
  </si>
  <si>
    <t>2021110613:19:29</t>
  </si>
  <si>
    <t>2021102915:48:27</t>
  </si>
  <si>
    <t>2021110413:04:49</t>
  </si>
  <si>
    <t>1577716</t>
  </si>
  <si>
    <t>2021103013:24:33</t>
  </si>
  <si>
    <t>2021110608:11:42</t>
  </si>
  <si>
    <t>2021103014:16:13</t>
  </si>
  <si>
    <t>2021110609:24:20</t>
  </si>
  <si>
    <t>2021103015:29:12</t>
  </si>
  <si>
    <t>2021110513:59:21</t>
  </si>
  <si>
    <t>2021103114:26:52</t>
  </si>
  <si>
    <t>2021110608:56:55</t>
  </si>
  <si>
    <t>2021103114:41:41</t>
  </si>
  <si>
    <t>2021110513:21:29</t>
  </si>
  <si>
    <t>2021103119:27:19</t>
  </si>
  <si>
    <t>2021110408:04:34</t>
  </si>
  <si>
    <t>2021110113:47:19</t>
  </si>
  <si>
    <t>2021110606:28:05</t>
  </si>
  <si>
    <t>2021110212:11:26</t>
  </si>
  <si>
    <t>2021110707:26:19</t>
  </si>
  <si>
    <t>2021110314:14:10</t>
  </si>
  <si>
    <t>2021110714:34:03</t>
  </si>
  <si>
    <t>2021110315:50:17</t>
  </si>
  <si>
    <t>2021110713:50:34</t>
  </si>
  <si>
    <t>2021110320:12:53</t>
  </si>
  <si>
    <t>2021110913:39:00</t>
  </si>
  <si>
    <t>2021110415:05:03</t>
  </si>
  <si>
    <t>2021111114:34:26</t>
  </si>
  <si>
    <t>2021110607:58:53</t>
  </si>
  <si>
    <t>2021111207:56:14</t>
  </si>
  <si>
    <t>2021110613:41:53</t>
  </si>
  <si>
    <t>2021111308:59:44</t>
  </si>
  <si>
    <t>1580362</t>
  </si>
  <si>
    <t>2021110616:17:48</t>
  </si>
  <si>
    <t>2021111309:50:17</t>
  </si>
  <si>
    <t>2021110616:17:41</t>
  </si>
  <si>
    <t>2021112608:43:02</t>
  </si>
  <si>
    <t>2021110616:28:51</t>
  </si>
  <si>
    <t>2021111314:47:48</t>
  </si>
  <si>
    <t>2021110721:56:17</t>
  </si>
  <si>
    <t>2021120609:46:32</t>
  </si>
  <si>
    <t>2021110819:36:33</t>
  </si>
  <si>
    <t>2021111407:33:51</t>
  </si>
  <si>
    <t>2021110913:39:34</t>
  </si>
  <si>
    <t>2021111212:16:17</t>
  </si>
  <si>
    <t>2021111013:59:38</t>
  </si>
  <si>
    <t>2021111413:36:41</t>
  </si>
  <si>
    <t>2021111108:05:03</t>
  </si>
  <si>
    <t>2021111613:01:23</t>
  </si>
  <si>
    <t>2021111113:35:20</t>
  </si>
  <si>
    <t>2021111507:50:03</t>
  </si>
  <si>
    <t>2021111120:55:01</t>
  </si>
  <si>
    <t>2021122810:42:59</t>
  </si>
  <si>
    <t>2021111314:42:06</t>
  </si>
  <si>
    <t>2021112009:04:15</t>
  </si>
  <si>
    <t>2021111315:32:11</t>
  </si>
  <si>
    <t>2021112008:04:11</t>
  </si>
  <si>
    <t>2021111409:47:27</t>
  </si>
  <si>
    <t>2021112008:34:49</t>
  </si>
  <si>
    <t>2021111414:55:32</t>
  </si>
  <si>
    <t>2021112107:58:33</t>
  </si>
  <si>
    <t>2021111414:55:26</t>
  </si>
  <si>
    <t>2021112108:37:24</t>
  </si>
  <si>
    <t>2021111415:51:22</t>
  </si>
  <si>
    <t>2021112008:55:39</t>
  </si>
  <si>
    <t>2021111515:12:08</t>
  </si>
  <si>
    <t>2021111908:21:20</t>
  </si>
  <si>
    <t>2021111613:52:41</t>
  </si>
  <si>
    <t>2021112411:58:33</t>
  </si>
  <si>
    <t>2021111614:14:37</t>
  </si>
  <si>
    <t>2021112113:06:21</t>
  </si>
  <si>
    <t>2021111708:02:04</t>
  </si>
  <si>
    <t>2021112312:40:27</t>
  </si>
  <si>
    <t>2021111713:49:36</t>
  </si>
  <si>
    <t>2021112113:23:13</t>
  </si>
  <si>
    <t>2021111713:59:56</t>
  </si>
  <si>
    <t>2021112113:15:39</t>
  </si>
  <si>
    <r>
      <rPr>
        <sz val="9"/>
        <color indexed="63"/>
        <rFont val="Times New Roman"/>
        <family val="1"/>
      </rPr>
      <t>10</t>
    </r>
    <r>
      <rPr>
        <sz val="9"/>
        <color indexed="63"/>
        <rFont val="Microsoft YaHei Light"/>
        <family val="2"/>
        <charset val="134"/>
      </rPr>
      <t>岁</t>
    </r>
  </si>
  <si>
    <t>2021111717:03:01</t>
  </si>
  <si>
    <t>2021112312:29:10</t>
  </si>
  <si>
    <t>2021111817:20:04</t>
  </si>
  <si>
    <t>2021112310:46:55</t>
  </si>
  <si>
    <t>2021111909:52:31</t>
  </si>
  <si>
    <t>2021112213:28:23</t>
  </si>
  <si>
    <t>2021111913:14:30</t>
  </si>
  <si>
    <t>2021112607:48:54</t>
  </si>
  <si>
    <t>2021112016:03:50</t>
  </si>
  <si>
    <t>2021112612:11:31</t>
  </si>
  <si>
    <t>2021112017:01:12</t>
  </si>
  <si>
    <t>2021112908:38:47</t>
  </si>
  <si>
    <t>2021112020:56:12</t>
  </si>
  <si>
    <t>2021112608:12:19</t>
  </si>
  <si>
    <t>2021112110:56:50</t>
  </si>
  <si>
    <t>2021112808:54:44</t>
  </si>
  <si>
    <t>2021112313:10:37</t>
  </si>
  <si>
    <t>2021112810:56:11</t>
  </si>
  <si>
    <t>2021112314:37:08</t>
  </si>
  <si>
    <t>2021112611:54:11</t>
  </si>
  <si>
    <t>2021112314:56:26</t>
  </si>
  <si>
    <t>2021112814:10:00</t>
  </si>
  <si>
    <t>2021112315:43:47</t>
  </si>
  <si>
    <t>2021112612:50:52</t>
  </si>
  <si>
    <t>2021112317:19:32</t>
  </si>
  <si>
    <t>2021112813:30:45</t>
  </si>
  <si>
    <t>2021112408:39:04</t>
  </si>
  <si>
    <t>2021113007:53:46</t>
  </si>
  <si>
    <t>2021112415:56:41</t>
  </si>
  <si>
    <t>2021120107:37:14</t>
  </si>
  <si>
    <t>2021112415:56:49</t>
  </si>
  <si>
    <t>2021113012:38:27</t>
  </si>
  <si>
    <t>2021112416:06:47</t>
  </si>
  <si>
    <t>2021112813:49:18</t>
  </si>
  <si>
    <t>2021112417:14:19</t>
  </si>
  <si>
    <t>2021113012:58:41</t>
  </si>
  <si>
    <t>2021112513:36:25</t>
  </si>
  <si>
    <t>2021120212:14:16</t>
  </si>
  <si>
    <t>2021112515:21:54</t>
  </si>
  <si>
    <t>2021112914:12:23</t>
  </si>
  <si>
    <t>2021112614:23:40</t>
  </si>
  <si>
    <t>2021122813:38:07</t>
  </si>
  <si>
    <t>2021112808:19:59</t>
  </si>
  <si>
    <t>2021120413:30:18</t>
  </si>
  <si>
    <t>2021112810:18:55</t>
  </si>
  <si>
    <t>2021120406:24:44</t>
  </si>
  <si>
    <t>2021112811:32:22</t>
  </si>
  <si>
    <t>2021120407:35:55</t>
  </si>
  <si>
    <t>2021112813:25:27</t>
  </si>
  <si>
    <t>2021122309:43:21</t>
  </si>
  <si>
    <t>2021112813:31:41</t>
  </si>
  <si>
    <t>2021120408:26:01</t>
  </si>
  <si>
    <t>2021112815:21:57</t>
  </si>
  <si>
    <t>2021120407:31:50</t>
  </si>
  <si>
    <t>2021112815:41:40</t>
  </si>
  <si>
    <t>2021120308:53:40</t>
  </si>
  <si>
    <t>2021112816:09:43</t>
  </si>
  <si>
    <t>2021120114:47:05</t>
  </si>
  <si>
    <t>2021112817:04:24</t>
  </si>
  <si>
    <t>2021120507:45:27</t>
  </si>
  <si>
    <t>2021112918:42:43</t>
  </si>
  <si>
    <t>2021120512:58:45</t>
  </si>
  <si>
    <t>2021113013:58:22</t>
  </si>
  <si>
    <t>2021120510:15:08</t>
  </si>
  <si>
    <t>2021113014:04:07</t>
  </si>
  <si>
    <t>2021120508:19:38</t>
  </si>
  <si>
    <t>2021113015:33:09</t>
  </si>
  <si>
    <t>2021120508:29:36</t>
  </si>
  <si>
    <t>2021120116:08:13</t>
  </si>
  <si>
    <t>2021121109:22:40</t>
  </si>
  <si>
    <t>2021120116:11:52</t>
  </si>
  <si>
    <t>2021120908:38:23</t>
  </si>
  <si>
    <t>2021120116:41:09</t>
  </si>
  <si>
    <t>2021120712:26:38</t>
  </si>
  <si>
    <t>2021120213:59:06</t>
  </si>
  <si>
    <t>2021120912:55:30</t>
  </si>
  <si>
    <t>2021120315:08:52</t>
  </si>
  <si>
    <t>2021120812:47:07</t>
  </si>
  <si>
    <t>2021120315:13:17</t>
  </si>
  <si>
    <t>2021121108:36:34</t>
  </si>
  <si>
    <t>2021120315:43:41</t>
  </si>
  <si>
    <t>2021121013:09:40</t>
  </si>
  <si>
    <t>2021120413:39:36</t>
  </si>
  <si>
    <t>2021121107:52:53</t>
  </si>
  <si>
    <t>2021120413:43:26</t>
  </si>
  <si>
    <t>2021121208:13:25</t>
  </si>
  <si>
    <t>2021120413:45:04</t>
  </si>
  <si>
    <t>2021121107:51:50</t>
  </si>
  <si>
    <t>2021120414:53:22</t>
  </si>
  <si>
    <t>2021121010:03:23</t>
  </si>
  <si>
    <t>2021120414:51:51</t>
  </si>
  <si>
    <t>2021121107:59:52</t>
  </si>
  <si>
    <t>2021120415:28:29</t>
  </si>
  <si>
    <t>2021120712:50:00</t>
  </si>
  <si>
    <t>2021120510:30:19</t>
  </si>
  <si>
    <t>2021121208:23:24</t>
  </si>
  <si>
    <t>2021120513:29:00</t>
  </si>
  <si>
    <t>2021121108:23:20</t>
  </si>
  <si>
    <t>2021120516:30:44</t>
  </si>
  <si>
    <t>2021121213:21:58</t>
  </si>
  <si>
    <t>2021120613:52:34</t>
  </si>
  <si>
    <t>2021120913:19:07</t>
  </si>
  <si>
    <t>2021120713:44:42</t>
  </si>
  <si>
    <t>2021121013:53:16</t>
  </si>
  <si>
    <t>2021120718:42:07</t>
  </si>
  <si>
    <t>2021121313:28:38</t>
  </si>
  <si>
    <t>2021120814:59:56</t>
  </si>
  <si>
    <t>2021121413:03:33</t>
  </si>
  <si>
    <t>2021120818:26:50</t>
  </si>
  <si>
    <t>2021121207:44:39</t>
  </si>
  <si>
    <t>2021121015:46:07</t>
  </si>
  <si>
    <t>2021121412:58:57</t>
  </si>
  <si>
    <t>2021121108:39:36</t>
  </si>
  <si>
    <t>2021121707:50:52</t>
  </si>
  <si>
    <t>2021121113:38:10</t>
  </si>
  <si>
    <t>2021121913:01:54</t>
  </si>
  <si>
    <r>
      <rPr>
        <sz val="9"/>
        <color indexed="63"/>
        <rFont val="Times New Roman"/>
        <family val="1"/>
      </rPr>
      <t>72</t>
    </r>
    <r>
      <rPr>
        <sz val="9"/>
        <color indexed="63"/>
        <rFont val="Microsoft YaHei Light"/>
        <family val="2"/>
        <charset val="134"/>
      </rPr>
      <t>岁</t>
    </r>
  </si>
  <si>
    <r>
      <rPr>
        <sz val="9"/>
        <color indexed="63"/>
        <rFont val="Microsoft YaHei Light"/>
        <family val="2"/>
        <charset val="134"/>
      </rPr>
      <t>左膝</t>
    </r>
    <r>
      <rPr>
        <sz val="9"/>
        <color indexed="63"/>
        <rFont val="Times New Roman"/>
        <family val="1"/>
      </rPr>
      <t>ACL PCL PMC</t>
    </r>
  </si>
  <si>
    <t>2021121115:23:08</t>
  </si>
  <si>
    <t>2021121813:06:47</t>
  </si>
  <si>
    <t>2021121118:12:20</t>
  </si>
  <si>
    <t>2021121909:06:43</t>
  </si>
  <si>
    <t>2021121212:29:17</t>
  </si>
  <si>
    <t>2021121908:08:48</t>
  </si>
  <si>
    <t>2021121213:29:55</t>
  </si>
  <si>
    <t>2021121809:48:01</t>
  </si>
  <si>
    <t>2021121213:34:59</t>
  </si>
  <si>
    <t>2021121908:24:11</t>
  </si>
  <si>
    <t>2021121214:01:39</t>
  </si>
  <si>
    <t>2022012710:11:33</t>
  </si>
  <si>
    <t>2021121214:58:41</t>
  </si>
  <si>
    <t>2021121708:17:09</t>
  </si>
  <si>
    <t>2021121215:31:40</t>
  </si>
  <si>
    <t>2021121907:59:33</t>
  </si>
  <si>
    <t>2021121317:24:48</t>
  </si>
  <si>
    <t>2022011608:31:20</t>
  </si>
  <si>
    <r>
      <rPr>
        <sz val="9"/>
        <color indexed="63"/>
        <rFont val="Microsoft YaHei Light"/>
        <family val="2"/>
        <charset val="134"/>
      </rPr>
      <t>感染</t>
    </r>
  </si>
  <si>
    <t>2021121413:35:43</t>
  </si>
  <si>
    <t>2021121813:01:45</t>
  </si>
  <si>
    <t>2021121419:48:11</t>
  </si>
  <si>
    <t>2021121713:54:43</t>
  </si>
  <si>
    <t>2021121514:37:31</t>
  </si>
  <si>
    <t>2021122113:43:51</t>
  </si>
  <si>
    <t>2021121514:44:13</t>
  </si>
  <si>
    <t>2021121712:44:42</t>
  </si>
  <si>
    <t>2021121515:28:20</t>
  </si>
  <si>
    <t>2021122012:57:19</t>
  </si>
  <si>
    <t>2021121614:54:22</t>
  </si>
  <si>
    <t>2021122409:21:42</t>
  </si>
  <si>
    <t>2021121616:01:44</t>
  </si>
  <si>
    <t>2021122312:56:48</t>
  </si>
  <si>
    <t>2021121709:11:43</t>
  </si>
  <si>
    <t>2021122208:13:07</t>
  </si>
  <si>
    <t>2021121712:12:50</t>
  </si>
  <si>
    <t>2021122408:02:24</t>
  </si>
  <si>
    <t>2021121813:42:23</t>
  </si>
  <si>
    <t>2021122412:56:53</t>
  </si>
  <si>
    <t>2021121814:40:10</t>
  </si>
  <si>
    <t>2021122412:47:46</t>
  </si>
  <si>
    <t>2021121815:47:52</t>
  </si>
  <si>
    <t>2021122213:48:46</t>
  </si>
  <si>
    <t>2021121913:04:44</t>
  </si>
  <si>
    <t>2021122608:37:20</t>
  </si>
  <si>
    <t>2021121914:00:56</t>
  </si>
  <si>
    <t>2021122608:13:54</t>
  </si>
  <si>
    <t>1595698</t>
  </si>
  <si>
    <t>2021121914:51:06</t>
  </si>
  <si>
    <t>2021122408:15:41</t>
  </si>
  <si>
    <r>
      <rPr>
        <sz val="9"/>
        <color indexed="63"/>
        <rFont val="Microsoft YaHei Light"/>
        <family val="2"/>
        <charset val="134"/>
      </rPr>
      <t>已存</t>
    </r>
  </si>
  <si>
    <t>2021121914:56:00</t>
  </si>
  <si>
    <t>2021122513:05:15</t>
  </si>
  <si>
    <t>2021121920:55:07</t>
  </si>
  <si>
    <t>2021122213:08:27</t>
  </si>
  <si>
    <t>2021122014:47:42</t>
  </si>
  <si>
    <t>2021122613:08:04</t>
  </si>
  <si>
    <t>2021122015:22:15</t>
  </si>
  <si>
    <t>2021122409:38:32</t>
  </si>
  <si>
    <t>2021122114:51:08</t>
  </si>
  <si>
    <t>2021122613:07:02</t>
  </si>
  <si>
    <t>2021122216:11:41</t>
  </si>
  <si>
    <t>2021122713:33:14</t>
  </si>
  <si>
    <t>2021122312:08:09</t>
  </si>
  <si>
    <t>2021123108:57:16</t>
  </si>
  <si>
    <t>2021122315:01:43</t>
  </si>
  <si>
    <t>2021123106:05:00</t>
  </si>
  <si>
    <t>2021122316:12:06</t>
  </si>
  <si>
    <t>2021122912:18:14</t>
  </si>
  <si>
    <t>2021122318:34:18</t>
  </si>
  <si>
    <t>2021122912:38:03</t>
  </si>
  <si>
    <t>2021122408:35:04</t>
  </si>
  <si>
    <t>2021122712:29:08</t>
  </si>
  <si>
    <t>2021122412:50:39</t>
  </si>
  <si>
    <t>2022010113:06:13</t>
  </si>
  <si>
    <t>2021122515:38:30</t>
  </si>
  <si>
    <t>2021123113:26:55</t>
  </si>
  <si>
    <t>2021122613:06:11</t>
  </si>
  <si>
    <t>2022010113:19:50</t>
  </si>
  <si>
    <t>2021122614:20:40</t>
  </si>
  <si>
    <t>2021123112:19:13</t>
  </si>
  <si>
    <t>2021122614:37:28</t>
  </si>
  <si>
    <t>2021123108:26:08</t>
  </si>
  <si>
    <t>2021122615:38:15</t>
  </si>
  <si>
    <t>2022010113:29:37</t>
  </si>
  <si>
    <t>2021122617:19:12</t>
  </si>
  <si>
    <t>2022010113:01:14</t>
  </si>
  <si>
    <t>2021122714:28:43</t>
  </si>
  <si>
    <t>2022010313:19:02</t>
  </si>
  <si>
    <t>2021122717:32:54</t>
  </si>
  <si>
    <t>2021122913:25:11</t>
  </si>
  <si>
    <t>2021122720:13:56</t>
  </si>
  <si>
    <t>2021123113:13:22</t>
  </si>
  <si>
    <t>2021122914:26:27</t>
  </si>
  <si>
    <t>2022010312:20:36</t>
  </si>
  <si>
    <t>2021122914:50:31</t>
  </si>
  <si>
    <t>2022010312:48:32</t>
  </si>
  <si>
    <t>2021122916:26:29</t>
  </si>
  <si>
    <t>2022010312:33:33</t>
  </si>
  <si>
    <t>2021123109:22:03</t>
  </si>
  <si>
    <t>2022010612:59:41</t>
  </si>
  <si>
    <r>
      <rPr>
        <sz val="9"/>
        <color indexed="63"/>
        <rFont val="Microsoft YaHei Light"/>
        <family val="2"/>
        <charset val="134"/>
      </rPr>
      <t>半月板</t>
    </r>
  </si>
  <si>
    <t>2022010110:34:45</t>
  </si>
  <si>
    <t>2022011712:56:12</t>
  </si>
  <si>
    <t>2022010113:07:06</t>
  </si>
  <si>
    <t>2022011211:02:40</t>
  </si>
  <si>
    <t>2022010113:53:00</t>
  </si>
  <si>
    <t>2022010707:47:22</t>
  </si>
  <si>
    <t>2022010115:10:10</t>
  </si>
  <si>
    <t>2022010812:52:54</t>
  </si>
  <si>
    <t>2022010115:52:52</t>
  </si>
  <si>
    <t>2022010808:06:18</t>
  </si>
  <si>
    <t>2022010213:13:01</t>
  </si>
  <si>
    <t>2022010808:53:54</t>
  </si>
  <si>
    <t>2022010220:10:56</t>
  </si>
  <si>
    <t>2022010712:06:41</t>
  </si>
  <si>
    <t>2022010313:03:08</t>
  </si>
  <si>
    <t>2022010708:10:04</t>
  </si>
  <si>
    <t>2022010313:02:12</t>
  </si>
  <si>
    <t>2022010908:04:42</t>
  </si>
  <si>
    <t>2022010314:10:19</t>
  </si>
  <si>
    <t>2022010708:08:19</t>
  </si>
  <si>
    <t>2022010315:29:54</t>
  </si>
  <si>
    <t>2022010709:53:42</t>
  </si>
  <si>
    <t>2022010415:22:14</t>
  </si>
  <si>
    <t>2022010907:34:49</t>
  </si>
  <si>
    <t>2022010515:22:13</t>
  </si>
  <si>
    <t>2022011013:40:21</t>
  </si>
  <si>
    <t>2022010616:21:32</t>
  </si>
  <si>
    <t>2022011408:22:55</t>
  </si>
  <si>
    <t>2022010711:55:32</t>
  </si>
  <si>
    <t>2022011408:06:51</t>
  </si>
  <si>
    <t>2022010713:15:13</t>
  </si>
  <si>
    <t>2022011408:07:23</t>
  </si>
  <si>
    <t>2022010813:43:02</t>
  </si>
  <si>
    <t>2022011214:33:30</t>
  </si>
  <si>
    <t>1602761</t>
  </si>
  <si>
    <t>2022010815:56:59</t>
  </si>
  <si>
    <t>2022011514:56:20</t>
  </si>
  <si>
    <t>2022010817:58:44</t>
  </si>
  <si>
    <t>2022011513:00:55</t>
  </si>
  <si>
    <t>2022010913:08:53</t>
  </si>
  <si>
    <t>2022011408:08:16</t>
  </si>
  <si>
    <t>2022010913:30:00</t>
  </si>
  <si>
    <t>2022011508:51:48</t>
  </si>
  <si>
    <t>2022010914:31:01</t>
  </si>
  <si>
    <t>2022011607:59:49</t>
  </si>
  <si>
    <t>2022010914:34:15</t>
  </si>
  <si>
    <t>2022011607:36:20</t>
  </si>
  <si>
    <t>2022010919:15:13</t>
  </si>
  <si>
    <t>2022011608:00:32</t>
  </si>
  <si>
    <t>2022011014:19:58</t>
  </si>
  <si>
    <t>2022011712:28:20</t>
  </si>
  <si>
    <t>2022011014:20:12</t>
  </si>
  <si>
    <t>2022011712:44:25</t>
  </si>
  <si>
    <t>2022011014:47:52</t>
  </si>
  <si>
    <t>2022011407:54:35</t>
  </si>
  <si>
    <t>2022011015:30:42</t>
  </si>
  <si>
    <t>2022011508:08:59</t>
  </si>
  <si>
    <t>2022011017:49:01</t>
  </si>
  <si>
    <t>2022011608:25:38</t>
  </si>
  <si>
    <t>2022011311:53:12</t>
  </si>
  <si>
    <t>2022012014:18:32</t>
  </si>
  <si>
    <t>2022011314:39:11</t>
  </si>
  <si>
    <t>2022011912:51:17</t>
  </si>
  <si>
    <t>2022011316:05:56</t>
  </si>
  <si>
    <t>2022011914:01:59</t>
  </si>
  <si>
    <t>2022011319:14:48</t>
  </si>
  <si>
    <t>2022011908:23:15</t>
  </si>
  <si>
    <t>2022011409:20:53</t>
  </si>
  <si>
    <t>2022011712:35:31</t>
  </si>
  <si>
    <t>2022011411:43:10</t>
  </si>
  <si>
    <t>2022012107:14:18</t>
  </si>
  <si>
    <t>2022011415:25:42</t>
  </si>
  <si>
    <t>2022012108:38:43</t>
  </si>
  <si>
    <t>2022011515:48:46</t>
  </si>
  <si>
    <t>2022011813:34:47</t>
  </si>
  <si>
    <t>2022011609:51:32</t>
  </si>
  <si>
    <t>2022012113:38:13</t>
  </si>
  <si>
    <t>2022011613:45:11</t>
  </si>
  <si>
    <t>2022012107:55:43</t>
  </si>
  <si>
    <t>2022011614:26:03</t>
  </si>
  <si>
    <t>2022012109:39:18</t>
  </si>
  <si>
    <t>2022011614:40:18</t>
  </si>
  <si>
    <t>2022012308:27:44</t>
  </si>
  <si>
    <t>2022011616:37:12</t>
  </si>
  <si>
    <t>2022012114:23:29</t>
  </si>
  <si>
    <t>2022011714:16:33</t>
  </si>
  <si>
    <t>2022012308:15:58</t>
  </si>
  <si>
    <t>2022011714:56:14</t>
  </si>
  <si>
    <t>2022012213:17:44</t>
  </si>
  <si>
    <t>2022011715:06:47</t>
  </si>
  <si>
    <t>2022012308:44:37</t>
  </si>
  <si>
    <t>2022011815:58:42</t>
  </si>
  <si>
    <t>2022012512:05:57</t>
  </si>
  <si>
    <t>2022011914:22:35</t>
  </si>
  <si>
    <t>2022012313:19:12</t>
  </si>
  <si>
    <t>2022012014:01:41</t>
  </si>
  <si>
    <t>2022012713:00:42</t>
  </si>
  <si>
    <t>2022012014:41:38</t>
  </si>
  <si>
    <t>2022012413:54:48</t>
  </si>
  <si>
    <t>2022012015:39:54</t>
  </si>
  <si>
    <t>2022012714:48:50</t>
  </si>
  <si>
    <t>2022012110:57:36</t>
  </si>
  <si>
    <t>2022012714:00:05</t>
  </si>
  <si>
    <t>2022012113:36:57</t>
  </si>
  <si>
    <t>2022012713:43:13</t>
  </si>
  <si>
    <t>2022012113:37:04</t>
  </si>
  <si>
    <t>2022012712:58:44</t>
  </si>
  <si>
    <t>2022012113:51:59</t>
  </si>
  <si>
    <t>2022012714:22:32</t>
  </si>
  <si>
    <t>2022012114:05:16</t>
  </si>
  <si>
    <t>2022012713:35:42</t>
  </si>
  <si>
    <t>2022012118:06:31</t>
  </si>
  <si>
    <t>2022012907:05:13</t>
  </si>
  <si>
    <t>2022012123:40:46</t>
  </si>
  <si>
    <t>2022012608:17:30</t>
  </si>
  <si>
    <t>2022012207:58:26</t>
  </si>
  <si>
    <t>2022012908:29:48</t>
  </si>
  <si>
    <t>2022012208:39:45</t>
  </si>
  <si>
    <t>2022012807:46:32</t>
  </si>
  <si>
    <t>2022012215:41:48</t>
  </si>
  <si>
    <t>2022012908:02:43</t>
  </si>
  <si>
    <t>2022012216:54:10</t>
  </si>
  <si>
    <t>2022012908:36:11</t>
  </si>
  <si>
    <t>2022012309:35:44</t>
  </si>
  <si>
    <t>2022012907:31:56</t>
  </si>
  <si>
    <t>2022012314:09:17</t>
  </si>
  <si>
    <t>2022012812:54:47</t>
  </si>
  <si>
    <t>2022012314:49:34</t>
  </si>
  <si>
    <t>2022012907:58:30</t>
  </si>
  <si>
    <t>2022012314:58:08</t>
  </si>
  <si>
    <t>2022012812:47:56</t>
  </si>
  <si>
    <t>2022012412:28:33</t>
  </si>
  <si>
    <t>2022012807:46:41</t>
  </si>
  <si>
    <t>2022012618:07:36</t>
  </si>
  <si>
    <t>2022013013:33:03</t>
  </si>
  <si>
    <t>2022012714:12:04</t>
  </si>
  <si>
    <t>2022013013:44:26</t>
  </si>
  <si>
    <t>2022020608:46:52</t>
  </si>
  <si>
    <t>2022021013:26:35</t>
  </si>
  <si>
    <t>2022020611:41:31</t>
  </si>
  <si>
    <t>2022021615:20:04</t>
  </si>
  <si>
    <t>2022020613:08:58</t>
  </si>
  <si>
    <t>2022021212:33:43</t>
  </si>
  <si>
    <t>2022020613:45:42</t>
  </si>
  <si>
    <t>2022021108:32:21</t>
  </si>
  <si>
    <t>2022020613:45:05</t>
  </si>
  <si>
    <t>2022021307:55:38</t>
  </si>
  <si>
    <t>2022020614:37:28</t>
  </si>
  <si>
    <t>2022021008:44:14</t>
  </si>
  <si>
    <t>2022020614:46:45</t>
  </si>
  <si>
    <t>2022021213:34:13</t>
  </si>
  <si>
    <t>2022020615:17:38</t>
  </si>
  <si>
    <t>2022021212:32:56</t>
  </si>
  <si>
    <t>2022020709:48:08</t>
  </si>
  <si>
    <t>2022021112:38:46</t>
  </si>
  <si>
    <t>2022020710:43:14</t>
  </si>
  <si>
    <t>2022021112:11:13</t>
  </si>
  <si>
    <t>2022020714:07:10</t>
  </si>
  <si>
    <t>2022021108:19:50</t>
  </si>
  <si>
    <t>2022020714:25:43</t>
  </si>
  <si>
    <t>2022021308:17:43</t>
  </si>
  <si>
    <t>2022020715:55:59</t>
  </si>
  <si>
    <t>2022021213:16:51</t>
  </si>
  <si>
    <t>2022020810:22:57</t>
  </si>
  <si>
    <t>2022021308:17:10</t>
  </si>
  <si>
    <t>2022020814:56:54</t>
  </si>
  <si>
    <t>2022021113:39:39</t>
  </si>
  <si>
    <t>2022020814:52:42</t>
  </si>
  <si>
    <t>2022021308:14:57</t>
  </si>
  <si>
    <t>2022020908:15:57</t>
  </si>
  <si>
    <t>2022021508:11:17</t>
  </si>
  <si>
    <t>2022020911:20:36</t>
  </si>
  <si>
    <t>2022021513:16:53</t>
  </si>
  <si>
    <t>2022021011:06:10</t>
  </si>
  <si>
    <t>2022021512:20:29</t>
  </si>
  <si>
    <t>2022021115:58:00</t>
  </si>
  <si>
    <t>2022021707:52:19</t>
  </si>
  <si>
    <t>2022021218:16:43</t>
  </si>
  <si>
    <t>2022022309:27:25</t>
  </si>
  <si>
    <t>1613683</t>
  </si>
  <si>
    <t>2022021313:21:24</t>
  </si>
  <si>
    <t>2022022212:51:07</t>
  </si>
  <si>
    <t>2022021314:13:06</t>
  </si>
  <si>
    <t>2022021908:18:23</t>
  </si>
  <si>
    <t>2022021315:32:30</t>
  </si>
  <si>
    <t>2022021813:24:28</t>
  </si>
  <si>
    <t>2022021318:17:59</t>
  </si>
  <si>
    <t>2022021807:45:58</t>
  </si>
  <si>
    <t>2022021413:39:35</t>
  </si>
  <si>
    <t>2022021812:36:32</t>
  </si>
  <si>
    <t>2022021415:53:15</t>
  </si>
  <si>
    <t>2022021713:38:18</t>
  </si>
  <si>
    <t>2022021502:35:36</t>
  </si>
  <si>
    <t>2022021711:47:23</t>
  </si>
  <si>
    <r>
      <rPr>
        <sz val="9"/>
        <color indexed="63"/>
        <rFont val="Microsoft YaHei Light"/>
        <family val="2"/>
        <charset val="134"/>
      </rPr>
      <t>跟腱断裂</t>
    </r>
  </si>
  <si>
    <t>2022021515:30:55</t>
  </si>
  <si>
    <t>2022021908:31:21</t>
  </si>
  <si>
    <t>2022021608:55:30</t>
  </si>
  <si>
    <t>2022021812:29:47</t>
  </si>
  <si>
    <t>2022021610:46:26</t>
  </si>
  <si>
    <t>2022021908:33:00</t>
  </si>
  <si>
    <t>2022021816:46:42</t>
  </si>
  <si>
    <t>2022022308:13:27</t>
  </si>
  <si>
    <t>2022021817:01:10</t>
  </si>
  <si>
    <t>2022022708:45:29</t>
  </si>
  <si>
    <t>2022022017:42:57</t>
  </si>
  <si>
    <t>2022022510:11:44</t>
  </si>
  <si>
    <t>2022022020:08:05</t>
  </si>
  <si>
    <t>2022022408:03:49</t>
  </si>
  <si>
    <t>2022022214:47:36</t>
  </si>
  <si>
    <t>2022022812:55:52</t>
  </si>
  <si>
    <t>2022022215:28:36</t>
  </si>
  <si>
    <t>2022022608:53:58</t>
  </si>
  <si>
    <t>2022022218:43:43</t>
  </si>
  <si>
    <t>2022022708:09:53</t>
  </si>
  <si>
    <t>2022022308:32:40</t>
  </si>
  <si>
    <t>2022022608:17:33</t>
  </si>
  <si>
    <t>2022022313:45:22</t>
  </si>
  <si>
    <t>2022022607:00:47</t>
  </si>
  <si>
    <t>2022022313:59:05</t>
  </si>
  <si>
    <t>2022022707:44:48</t>
  </si>
  <si>
    <t>2022022317:55:16</t>
  </si>
  <si>
    <t>2022022813:57:08</t>
  </si>
  <si>
    <t>2022022319:03:22</t>
  </si>
  <si>
    <t>2022022708:03:10</t>
  </si>
  <si>
    <t>2022022408:02:43</t>
  </si>
  <si>
    <t>2022022707:55:31</t>
  </si>
  <si>
    <t>2022022513:25:30</t>
  </si>
  <si>
    <t>2022030313:47:17</t>
  </si>
  <si>
    <t>2022022514:17:52</t>
  </si>
  <si>
    <t>2022030409:10:53</t>
  </si>
  <si>
    <t>2022022514:30:59</t>
  </si>
  <si>
    <t>2022030412:38:49</t>
  </si>
  <si>
    <t>2022022614:44:54</t>
  </si>
  <si>
    <t>2022030508:54:25</t>
  </si>
  <si>
    <t>2022022614:46:30</t>
  </si>
  <si>
    <t>2022030508:56:00</t>
  </si>
  <si>
    <t>2022022616:20:16</t>
  </si>
  <si>
    <t>2022030508:54:42</t>
  </si>
  <si>
    <t>2022022616:20:24</t>
  </si>
  <si>
    <t>2022030508:48:02</t>
  </si>
  <si>
    <t>2022022710:10:38</t>
  </si>
  <si>
    <t>2022030412:29:45</t>
  </si>
  <si>
    <t>2022022714:31:00</t>
  </si>
  <si>
    <t>2022030408:07:27</t>
  </si>
  <si>
    <t>2022022715:08:51</t>
  </si>
  <si>
    <t>2022030512:39:34</t>
  </si>
  <si>
    <t>2022022717:21:52</t>
  </si>
  <si>
    <t>2022030608:03:26</t>
  </si>
  <si>
    <t>2022022813:35:25</t>
  </si>
  <si>
    <t>2022030408:02:38</t>
  </si>
  <si>
    <t>2022022814:07:16</t>
  </si>
  <si>
    <t>2022030315:03:02</t>
  </si>
  <si>
    <t>2022022815:17:57</t>
  </si>
  <si>
    <t>2022031408:40:38</t>
  </si>
  <si>
    <t>2022030113:59:44</t>
  </si>
  <si>
    <t>2022031411:16:16</t>
  </si>
  <si>
    <t>2022030114:44:01</t>
  </si>
  <si>
    <t>2022030608:40:01</t>
  </si>
  <si>
    <t>2022030115:21:50</t>
  </si>
  <si>
    <t>2022030508:54:49</t>
  </si>
  <si>
    <t>2022030215:02:14</t>
  </si>
  <si>
    <t>2022032109:53:50</t>
  </si>
  <si>
    <t>2022030215:46:49</t>
  </si>
  <si>
    <t>2022030609:31:32</t>
  </si>
  <si>
    <t>2022030309:00:24</t>
  </si>
  <si>
    <t>2022072515:31:18</t>
  </si>
  <si>
    <r>
      <rPr>
        <sz val="9"/>
        <color indexed="63"/>
        <rFont val="Microsoft YaHei Light"/>
        <family val="2"/>
        <charset val="134"/>
      </rPr>
      <t>颈椎病</t>
    </r>
  </si>
  <si>
    <t>2022030315:14:08</t>
  </si>
  <si>
    <t>2022031914:27:13</t>
  </si>
  <si>
    <r>
      <rPr>
        <sz val="9"/>
        <color indexed="63"/>
        <rFont val="Microsoft YaHei Light"/>
        <family val="2"/>
        <charset val="134"/>
      </rPr>
      <t>腰椎间盘突出</t>
    </r>
  </si>
  <si>
    <t>2022030415:06:15</t>
  </si>
  <si>
    <t>2022031411:15:03</t>
  </si>
  <si>
    <t>2022030514:37:18</t>
  </si>
  <si>
    <t>2022032109:33:02</t>
  </si>
  <si>
    <t>2022030514:59:02</t>
  </si>
  <si>
    <t>2022032109:36:33</t>
  </si>
  <si>
    <t>2022030515:02:56</t>
  </si>
  <si>
    <t>2022032109:42:41</t>
  </si>
  <si>
    <t>2022030518:34:30</t>
  </si>
  <si>
    <t>2022031413:35:09</t>
  </si>
  <si>
    <t>2022030614:09:27</t>
  </si>
  <si>
    <t>2022031413:46:33</t>
  </si>
  <si>
    <t>2022050212:07:35</t>
  </si>
  <si>
    <t>2022050810:36:41</t>
  </si>
  <si>
    <t>2022053010:55:08</t>
  </si>
  <si>
    <t>2022060513:08:49</t>
  </si>
  <si>
    <t>2022053014:12:19</t>
  </si>
  <si>
    <t>2022060508:28:31</t>
  </si>
  <si>
    <t>2022053015:11:38</t>
  </si>
  <si>
    <t>2022060509:06:47</t>
  </si>
  <si>
    <t>2022060614:18:08</t>
  </si>
  <si>
    <t>2022061311:32:11</t>
  </si>
  <si>
    <t>2022060614:17:58</t>
  </si>
  <si>
    <t>2022061311:35:03</t>
  </si>
  <si>
    <t>2022061320:05:51</t>
  </si>
  <si>
    <t>2022061907:45:01</t>
  </si>
  <si>
    <t>2022061418:28:26</t>
  </si>
  <si>
    <t>2022061909:00:00</t>
  </si>
  <si>
    <t>2022061708:36:11</t>
  </si>
  <si>
    <t>2022062408:02:54</t>
  </si>
  <si>
    <t>2022061710:38:12</t>
  </si>
  <si>
    <t>2022062411:02:26</t>
  </si>
  <si>
    <t>2022061711:28:46</t>
  </si>
  <si>
    <t>2022062307:35:04</t>
  </si>
  <si>
    <t>2022061715:28:42</t>
  </si>
  <si>
    <t>2022062410:23:29</t>
  </si>
  <si>
    <t>2022061815:32:16</t>
  </si>
  <si>
    <t>2022062409:56:16</t>
  </si>
  <si>
    <t>2022062015:51:14</t>
  </si>
  <si>
    <t>2022062607:57:46</t>
  </si>
  <si>
    <t>2022062314:43:58</t>
  </si>
  <si>
    <t>2022062908:04:06</t>
  </si>
  <si>
    <t>2022062409:36:48</t>
  </si>
  <si>
    <t>2022063014:18:47</t>
  </si>
  <si>
    <t>2022062616:21:21</t>
  </si>
  <si>
    <t>2022070114:01:48</t>
  </si>
  <si>
    <t>2022062623:46:35</t>
  </si>
  <si>
    <t>2022063013:48:11</t>
  </si>
  <si>
    <t>2022062714:35:16</t>
  </si>
  <si>
    <t>2022070207:43:25</t>
  </si>
  <si>
    <t>2022062715:58:44</t>
  </si>
  <si>
    <t>2022070207:48:15</t>
  </si>
  <si>
    <t>2022062715:58:54</t>
  </si>
  <si>
    <t>2022070209:55:22</t>
  </si>
  <si>
    <t>2022062915:19:21</t>
  </si>
  <si>
    <t>2022070308:16:21</t>
  </si>
  <si>
    <t>2022062914:08:04</t>
  </si>
  <si>
    <t>2022070508:36:00</t>
  </si>
  <si>
    <t>2022070110:00:42</t>
  </si>
  <si>
    <t>2022070615:05:08</t>
  </si>
  <si>
    <t>2022070111:32:07</t>
  </si>
  <si>
    <t>2022070614:19:05</t>
  </si>
  <si>
    <t>2022070115:16:49</t>
  </si>
  <si>
    <t>2022070708:47:11</t>
  </si>
  <si>
    <t>2022070212:37:23</t>
  </si>
  <si>
    <t>2022070713:32:50</t>
  </si>
  <si>
    <t>2022070214:14:11</t>
  </si>
  <si>
    <t>2022070908:16:31</t>
  </si>
  <si>
    <t>2022070218:26:55</t>
  </si>
  <si>
    <t>2022070807:42:49</t>
  </si>
  <si>
    <t>2022070318:44:02</t>
  </si>
  <si>
    <t>2022070807:40:06</t>
  </si>
  <si>
    <t>2022071714:01:58</t>
  </si>
  <si>
    <t>2022072212:04:56</t>
  </si>
  <si>
    <t>2022070415:17:56</t>
  </si>
  <si>
    <t>2022070912:20:12</t>
  </si>
  <si>
    <t>2022070516:05:06</t>
  </si>
  <si>
    <t>2022071209:04:16</t>
  </si>
  <si>
    <t>2022070514:59:38</t>
  </si>
  <si>
    <t>2022071213:42:32</t>
  </si>
  <si>
    <r>
      <rPr>
        <sz val="9"/>
        <color indexed="63"/>
        <rFont val="Microsoft YaHei Light"/>
        <family val="2"/>
        <charset val="134"/>
      </rPr>
      <t>双膝</t>
    </r>
  </si>
  <si>
    <t>2022070615:25:13</t>
  </si>
  <si>
    <t>2022071013:56:48</t>
  </si>
  <si>
    <t>2022070615:50:16</t>
  </si>
  <si>
    <t>2022071108:07:40</t>
  </si>
  <si>
    <t>2022070720:43:37</t>
  </si>
  <si>
    <t>2022071212:46:08</t>
  </si>
  <si>
    <t>2022070815:11:41</t>
  </si>
  <si>
    <t>2022071607:37:44</t>
  </si>
  <si>
    <t>2022070815:11:22</t>
  </si>
  <si>
    <t>2022071608:25:39</t>
  </si>
  <si>
    <t>2022071010:39:13</t>
  </si>
  <si>
    <t>2022071609:57:35</t>
  </si>
  <si>
    <t>2022071018:10:56</t>
  </si>
  <si>
    <t>2022071414:03:23</t>
  </si>
  <si>
    <t>2022071112:44:37</t>
  </si>
  <si>
    <t>2022071609:16:52</t>
  </si>
  <si>
    <t>2022071215:24:20</t>
  </si>
  <si>
    <t>2022071709:19:55</t>
  </si>
  <si>
    <t>2022071215:54:31</t>
  </si>
  <si>
    <t>2022071812:18:58</t>
  </si>
  <si>
    <t>2022071414:15:39</t>
  </si>
  <si>
    <t>2022072108:40:07</t>
  </si>
  <si>
    <t>2022071415:26:17</t>
  </si>
  <si>
    <t>2022071812:17:54</t>
  </si>
  <si>
    <t>2022071615:06:52</t>
  </si>
  <si>
    <t>2022072108:02:29</t>
  </si>
  <si>
    <t>2022071614:34:20</t>
  </si>
  <si>
    <t>2022072312:51:07</t>
  </si>
  <si>
    <t>2022071611:32:43</t>
  </si>
  <si>
    <t>2022072307:57:33</t>
  </si>
  <si>
    <t>2022071614:26:08</t>
  </si>
  <si>
    <t>2022072109:00:13</t>
  </si>
  <si>
    <t>2022071615:14:03</t>
  </si>
  <si>
    <t>2022072012:33:23</t>
  </si>
  <si>
    <t>2022071617:54:34</t>
  </si>
  <si>
    <t>2022072312:58:23</t>
  </si>
  <si>
    <t>2022071714:55:11</t>
  </si>
  <si>
    <t>2022072113:14:59</t>
  </si>
  <si>
    <t>2022071915:07:16</t>
  </si>
  <si>
    <t>2022072313:06:40</t>
  </si>
  <si>
    <t>2022071920:12:55</t>
  </si>
  <si>
    <t>2022072313:02:36</t>
  </si>
  <si>
    <t>2022072015:25:19</t>
  </si>
  <si>
    <t>2022072512:30:37</t>
  </si>
  <si>
    <t>2022072213:00:42</t>
  </si>
  <si>
    <t>2022072808:42:44</t>
  </si>
  <si>
    <t>2022072216:05:28</t>
  </si>
  <si>
    <t>2022072712:39:06</t>
  </si>
  <si>
    <t>2022072215:40:36</t>
  </si>
  <si>
    <t>2022072808:23:04</t>
  </si>
  <si>
    <r>
      <rPr>
        <sz val="9"/>
        <color indexed="63"/>
        <rFont val="Microsoft YaHei Light"/>
        <family val="2"/>
        <charset val="134"/>
      </rPr>
      <t>右膝</t>
    </r>
    <r>
      <rPr>
        <sz val="9"/>
        <color indexed="63"/>
        <rFont val="Times New Roman"/>
        <family val="1"/>
      </rPr>
      <t>ACL MCL</t>
    </r>
  </si>
  <si>
    <t>2022072314:08:33</t>
  </si>
  <si>
    <t>2022073008:10:58</t>
  </si>
  <si>
    <t>1632880</t>
  </si>
  <si>
    <t>2022072314:39:18</t>
  </si>
  <si>
    <t>2022072809:55:05</t>
  </si>
  <si>
    <t>2022072316:20:05</t>
  </si>
  <si>
    <t>2022072612:40:35</t>
  </si>
  <si>
    <t>2022072320:45:38</t>
  </si>
  <si>
    <t>2022073008:14:30</t>
  </si>
  <si>
    <t>2022072515:51:18</t>
  </si>
  <si>
    <t>2022073108:51:41</t>
  </si>
  <si>
    <t>2022072517:40:37</t>
  </si>
  <si>
    <t>2022072913:53:12</t>
  </si>
  <si>
    <t>2022072612:35:55</t>
  </si>
  <si>
    <t>2022073013:02:47</t>
  </si>
  <si>
    <t>2022072610:06:18</t>
  </si>
  <si>
    <t>2022073013:48:48</t>
  </si>
  <si>
    <t>2022072614:25:41</t>
  </si>
  <si>
    <t>2022073013:28:03</t>
  </si>
  <si>
    <t>2022072614:30:14</t>
  </si>
  <si>
    <t>2022073013:43:20</t>
  </si>
  <si>
    <t>2022072615:08:49</t>
  </si>
  <si>
    <t>2022080209:00:28</t>
  </si>
  <si>
    <t>2022072701:00:21</t>
  </si>
  <si>
    <t>2022073012:56:23</t>
  </si>
  <si>
    <t>2022072711:19:39</t>
  </si>
  <si>
    <t>2022073113:11:50</t>
  </si>
  <si>
    <t>2022072714:08:44</t>
  </si>
  <si>
    <t>2022080113:42:18</t>
  </si>
  <si>
    <t>2022072714:08:59</t>
  </si>
  <si>
    <t>2022080113:54:47</t>
  </si>
  <si>
    <t>2022072714:07:52</t>
  </si>
  <si>
    <t>2022080113:49:38</t>
  </si>
  <si>
    <t>2022072717:50:08</t>
  </si>
  <si>
    <t>2022073114:02:52</t>
  </si>
  <si>
    <t>2022072813:55:27</t>
  </si>
  <si>
    <t>2022073014:08:35</t>
  </si>
  <si>
    <t>2022072814:52:03</t>
  </si>
  <si>
    <t>2022080414:37:36</t>
  </si>
  <si>
    <t>2022072815:26:53</t>
  </si>
  <si>
    <t>2022080414:54:05</t>
  </si>
  <si>
    <t>2022072917:00:52</t>
  </si>
  <si>
    <t>2022080410:54:06</t>
  </si>
  <si>
    <t>2022073014:55:20</t>
  </si>
  <si>
    <t>2022080413:58:09</t>
  </si>
  <si>
    <t>2022073021:39:29</t>
  </si>
  <si>
    <t>2022080507:37:55</t>
  </si>
  <si>
    <t>2022073113:01:04</t>
  </si>
  <si>
    <t>2022080514:37:59</t>
  </si>
  <si>
    <t>2022073114:13:15</t>
  </si>
  <si>
    <t>2022080415:05:34</t>
  </si>
  <si>
    <t>2022073114:13:36</t>
  </si>
  <si>
    <t>2022080415:12:04</t>
  </si>
  <si>
    <t>2022073115:32:20</t>
  </si>
  <si>
    <t>2022080513:10:21</t>
  </si>
  <si>
    <t>2022073116:17:35</t>
  </si>
  <si>
    <t>2022080514:32:47</t>
  </si>
  <si>
    <t>1635458</t>
  </si>
  <si>
    <t>2022080215:12:21</t>
  </si>
  <si>
    <t>2022080816:00:00</t>
  </si>
  <si>
    <t>2022080215:38:27</t>
  </si>
  <si>
    <t>2022080616:00:00</t>
  </si>
  <si>
    <t>2022080217:00:46</t>
  </si>
  <si>
    <t>2022080314:16:45</t>
  </si>
  <si>
    <t>2022080716:00:00</t>
  </si>
  <si>
    <t>2022080315:42:33</t>
  </si>
  <si>
    <t>2022080412:16:35</t>
  </si>
  <si>
    <t>2022080412:25:45</t>
  </si>
  <si>
    <t>2022080916:00:00</t>
  </si>
  <si>
    <t>2022080413:58:18</t>
  </si>
  <si>
    <t>2022080413:58:26</t>
  </si>
  <si>
    <t>2022080413:59:01</t>
  </si>
  <si>
    <t>2022080416:02:14</t>
  </si>
  <si>
    <t>2022080416:10:33</t>
  </si>
  <si>
    <t>2022080417:24:56</t>
  </si>
  <si>
    <t>2022080517:52:13</t>
  </si>
  <si>
    <t>2022081616:00:00</t>
  </si>
  <si>
    <t>2022080609:48:14</t>
  </si>
  <si>
    <t>2022081216:00:00</t>
  </si>
  <si>
    <t>2022080708:27:00</t>
  </si>
  <si>
    <t>2022081109:00:00</t>
  </si>
  <si>
    <t>2022080708:27:10</t>
  </si>
  <si>
    <t>2022080712:05:36</t>
  </si>
  <si>
    <t>2022081323:53:09</t>
  </si>
  <si>
    <t>2022080817:21:56</t>
  </si>
  <si>
    <t>2022080913:18:28</t>
  </si>
  <si>
    <t>2022081316:00:00</t>
  </si>
  <si>
    <t>2022081013:05:57</t>
  </si>
  <si>
    <t>2022081416:00:00</t>
  </si>
  <si>
    <t>2022081015:10:02</t>
  </si>
  <si>
    <t>2022081015:10:13</t>
  </si>
  <si>
    <t>2022081015:09:30</t>
  </si>
  <si>
    <t>2022081613:47:24</t>
  </si>
  <si>
    <t>2022082016:00:00</t>
  </si>
  <si>
    <t>2022081016:03:04</t>
  </si>
  <si>
    <t>2022081509:00:00</t>
  </si>
  <si>
    <t>2022081115:20:12</t>
  </si>
  <si>
    <t>2022081119:06:04</t>
  </si>
  <si>
    <t>2022081709:00:00</t>
  </si>
  <si>
    <t>2022081311:57:20</t>
  </si>
  <si>
    <t>2022081816:00:00</t>
  </si>
  <si>
    <t>2022081314:02:58</t>
  </si>
  <si>
    <t>2022081716:00:00</t>
  </si>
  <si>
    <r>
      <rPr>
        <sz val="9"/>
        <color indexed="63"/>
        <rFont val="Times New Roman"/>
        <family val="1"/>
      </rPr>
      <t>62</t>
    </r>
    <r>
      <rPr>
        <sz val="9"/>
        <color indexed="63"/>
        <rFont val="Microsoft YaHei Light"/>
        <family val="2"/>
        <charset val="134"/>
      </rPr>
      <t>岁</t>
    </r>
  </si>
  <si>
    <t>2022081319:52:50</t>
  </si>
  <si>
    <t>2022081414:28:43</t>
  </si>
  <si>
    <t>2022081916:00:00</t>
  </si>
  <si>
    <t>2022081614:19:45</t>
  </si>
  <si>
    <t>2022081615:30:18</t>
  </si>
  <si>
    <t>2022081715:07:43</t>
  </si>
  <si>
    <t>2022082109:00:00</t>
  </si>
  <si>
    <t>2022081716:21:56</t>
  </si>
  <si>
    <t>2022082116:00:00</t>
  </si>
  <si>
    <t>2022081718:27:18</t>
  </si>
  <si>
    <t>2022081812:02:13</t>
  </si>
  <si>
    <t>2022082316:00:00</t>
  </si>
  <si>
    <t>2022081812:12:03</t>
  </si>
  <si>
    <t>2022082216:00:00</t>
  </si>
  <si>
    <t>2022081813:39:10</t>
  </si>
  <si>
    <t>2022081817:43:58</t>
  </si>
  <si>
    <t>2022081916:15:07</t>
  </si>
  <si>
    <t>2022082416:00:00</t>
  </si>
  <si>
    <t>2022082014:20:15</t>
  </si>
  <si>
    <r>
      <rPr>
        <sz val="9"/>
        <color indexed="63"/>
        <rFont val="Microsoft YaHei Light"/>
        <family val="2"/>
        <charset val="134"/>
      </rPr>
      <t>低纤维蛋白原血症</t>
    </r>
  </si>
  <si>
    <t>2022082110:53:02</t>
  </si>
  <si>
    <t>2022082516:00:00</t>
  </si>
  <si>
    <t>2022082112:21:30</t>
  </si>
  <si>
    <t>2022082716:00:00</t>
  </si>
  <si>
    <t>2022082111:58:16</t>
  </si>
  <si>
    <t>2022082609:00:00</t>
  </si>
  <si>
    <t>2022082214:48:40</t>
  </si>
  <si>
    <t>2022082909:00:00</t>
  </si>
  <si>
    <r>
      <rPr>
        <sz val="9"/>
        <color indexed="63"/>
        <rFont val="Microsoft YaHei Light"/>
        <family val="2"/>
        <charset val="134"/>
      </rPr>
      <t>左膝</t>
    </r>
    <r>
      <rPr>
        <sz val="9"/>
        <color indexed="63"/>
        <rFont val="Times New Roman"/>
        <family val="1"/>
      </rPr>
      <t>ACL PLC</t>
    </r>
  </si>
  <si>
    <t>2022082220:34:19</t>
  </si>
  <si>
    <t>2022082316:40:10</t>
  </si>
  <si>
    <t>2022083016:00:00</t>
  </si>
  <si>
    <t>2022082415:36:40</t>
  </si>
  <si>
    <t>2022082816:00:00</t>
  </si>
  <si>
    <t>2022082417:02:35</t>
  </si>
  <si>
    <t>2022082421:04:08</t>
  </si>
  <si>
    <t>2022082513:57:17</t>
  </si>
  <si>
    <t>2022082916:00:00</t>
  </si>
  <si>
    <t>2022082516:06:09</t>
  </si>
  <si>
    <t>2022082612:21:59</t>
  </si>
  <si>
    <t>2022082713:42:26</t>
  </si>
  <si>
    <t>2022090409:00:00</t>
  </si>
  <si>
    <t>2022082715:43:01</t>
  </si>
  <si>
    <t>2022090216:00:00</t>
  </si>
  <si>
    <t>1644121</t>
  </si>
  <si>
    <t>2022082721:26:02</t>
  </si>
  <si>
    <t>2022090116:00:00</t>
  </si>
  <si>
    <t>2022082807:55:11</t>
  </si>
  <si>
    <t>2022090209:00:00</t>
  </si>
  <si>
    <t>2022082811:44:05</t>
  </si>
  <si>
    <t>2022082811:22:23</t>
  </si>
  <si>
    <t>2022082812:31:01</t>
  </si>
  <si>
    <t>2022090109:00:00</t>
  </si>
  <si>
    <r>
      <rPr>
        <sz val="9"/>
        <color indexed="63"/>
        <rFont val="Microsoft YaHei Light"/>
        <family val="2"/>
        <charset val="134"/>
      </rPr>
      <t>痛风</t>
    </r>
  </si>
  <si>
    <t>2022082814:18:08</t>
  </si>
  <si>
    <t>2022082814:23:05</t>
  </si>
  <si>
    <t>2022082815:56:09</t>
  </si>
  <si>
    <t>2022082816:54:21</t>
  </si>
  <si>
    <t>2022082818:12:01</t>
  </si>
  <si>
    <t>2022083014:03:20</t>
  </si>
  <si>
    <t>2022090609:00:00</t>
  </si>
  <si>
    <t>2022083015:25:14</t>
  </si>
  <si>
    <t>2022083015:36:49</t>
  </si>
  <si>
    <t>2022090112:28:06</t>
  </si>
  <si>
    <t>2022090516:00:00</t>
  </si>
  <si>
    <t>2022090114:59:43</t>
  </si>
  <si>
    <t>2022090616:00:00</t>
  </si>
  <si>
    <r>
      <rPr>
        <sz val="9"/>
        <color indexed="63"/>
        <rFont val="Microsoft YaHei Light"/>
        <family val="2"/>
        <charset val="134"/>
      </rPr>
      <t>左膝</t>
    </r>
    <r>
      <rPr>
        <sz val="9"/>
        <color indexed="63"/>
        <rFont val="Times New Roman"/>
        <family val="1"/>
      </rPr>
      <t>ACL PCL</t>
    </r>
  </si>
  <si>
    <t>2022090115:20:44</t>
  </si>
  <si>
    <t>2022090118:28:28</t>
  </si>
  <si>
    <t>2022090214:55:45</t>
  </si>
  <si>
    <t>2022090816:00:00</t>
  </si>
  <si>
    <t>2022090216:18:15</t>
  </si>
  <si>
    <r>
      <rPr>
        <sz val="9"/>
        <color indexed="63"/>
        <rFont val="Times New Roman"/>
        <family val="1"/>
      </rPr>
      <t xml:space="preserve"> </t>
    </r>
    <r>
      <rPr>
        <sz val="9"/>
        <color indexed="63"/>
        <rFont val="Microsoft YaHei Light"/>
        <family val="2"/>
        <charset val="134"/>
      </rPr>
      <t>取内固定</t>
    </r>
  </si>
  <si>
    <t>2022090218:39:37</t>
  </si>
  <si>
    <t>2022090709:00:00</t>
  </si>
  <si>
    <t>2022090314:37:31</t>
  </si>
  <si>
    <t>2022091009:00:00</t>
  </si>
  <si>
    <t>2022090314:41:34</t>
  </si>
  <si>
    <t>2022090916:00:00</t>
  </si>
  <si>
    <t>2022090315:13:19</t>
  </si>
  <si>
    <t>2022090416:03:27</t>
  </si>
  <si>
    <t>2022090809:00:00</t>
  </si>
  <si>
    <t>2022090416:32:05</t>
  </si>
  <si>
    <t>2022090909:00:00</t>
  </si>
  <si>
    <t>2022090417:50:05</t>
  </si>
  <si>
    <t>2022090418:55:14</t>
  </si>
  <si>
    <t>2022090514:47:19</t>
  </si>
  <si>
    <t>2022090514:47:08</t>
  </si>
  <si>
    <t>2022091200:18:43</t>
  </si>
  <si>
    <t>2022090519:47:44</t>
  </si>
  <si>
    <t>2022090614:17:36</t>
  </si>
  <si>
    <t>2022090615:42:33</t>
  </si>
  <si>
    <t>2022090615:52:12</t>
  </si>
  <si>
    <t>2022091109:00:00</t>
  </si>
  <si>
    <t>2022090617:15:01</t>
  </si>
  <si>
    <t>2022090617:42:26</t>
  </si>
  <si>
    <t>2022090809:26:44</t>
  </si>
  <si>
    <t>2022091509:00:00</t>
  </si>
  <si>
    <t>2022090812:08:52</t>
  </si>
  <si>
    <t>2022091416:00:00</t>
  </si>
  <si>
    <t>2022090915:08:24</t>
  </si>
  <si>
    <t>2022090916:27:36</t>
  </si>
  <si>
    <t>2022090922:14:56</t>
  </si>
  <si>
    <t>2022091316:00:00</t>
  </si>
  <si>
    <t>2022091016:28:32</t>
  </si>
  <si>
    <t>2022091516:00:00</t>
  </si>
  <si>
    <t>2022091022:51:00</t>
  </si>
  <si>
    <t>2022091709:00:00</t>
  </si>
  <si>
    <t>2022091109:22:08</t>
  </si>
  <si>
    <t>2022091216:00:00</t>
  </si>
  <si>
    <t>2022091111:05:02</t>
  </si>
  <si>
    <t>2022091113:41:19</t>
  </si>
  <si>
    <t>2022091609:00:00</t>
  </si>
  <si>
    <t>2022091115:34:18</t>
  </si>
  <si>
    <t>2022091809:00:00</t>
  </si>
  <si>
    <t>2022091117:14:18</t>
  </si>
  <si>
    <t>2022091117:14:26</t>
  </si>
  <si>
    <t>2022091212:48:22</t>
  </si>
  <si>
    <t>2022091616:00:00</t>
  </si>
  <si>
    <t>2022091214:41:23</t>
  </si>
  <si>
    <t>2022091314:32:25</t>
  </si>
  <si>
    <t>2022091716:00:00</t>
  </si>
  <si>
    <t>2022091315:35:10</t>
  </si>
  <si>
    <t>2022091909:00:00</t>
  </si>
  <si>
    <t>2022091316:20:48</t>
  </si>
  <si>
    <t>2022091316:58:16</t>
  </si>
  <si>
    <t>2022091319:02:57</t>
  </si>
  <si>
    <t>2022091816:00:00</t>
  </si>
  <si>
    <t>2022091414:58:25</t>
  </si>
  <si>
    <t>1650482</t>
  </si>
  <si>
    <t>2022091415:44:16</t>
  </si>
  <si>
    <t>2022091514:05:13</t>
  </si>
  <si>
    <t>2022092016:00:00</t>
  </si>
  <si>
    <t>2022091514:52:39</t>
  </si>
  <si>
    <t>2022091514:52:59</t>
  </si>
  <si>
    <t>2022091520:33:51</t>
  </si>
  <si>
    <t>2022091612:56:40</t>
  </si>
  <si>
    <t>2022091612:04:20</t>
  </si>
  <si>
    <t>2022091614:20:26</t>
  </si>
  <si>
    <t>2022091615:14:57</t>
  </si>
  <si>
    <t>2022092116:00:00</t>
  </si>
  <si>
    <t>2022091615:38:26</t>
  </si>
  <si>
    <t>2022092109:00:00</t>
  </si>
  <si>
    <t>2022091713:53:50</t>
  </si>
  <si>
    <t>2022091714:56:57</t>
  </si>
  <si>
    <t>2022092416:00:00</t>
  </si>
  <si>
    <t>2022091809:33:38</t>
  </si>
  <si>
    <t>2022092409:00:00</t>
  </si>
  <si>
    <t>2022091815:12:52</t>
  </si>
  <si>
    <r>
      <rPr>
        <sz val="9"/>
        <color indexed="63"/>
        <rFont val="Microsoft YaHei Light"/>
        <family val="2"/>
        <charset val="134"/>
      </rPr>
      <t>下肢血栓</t>
    </r>
  </si>
  <si>
    <t>2022091814:35:40</t>
  </si>
  <si>
    <t>2022092216:00:00</t>
  </si>
  <si>
    <t>2022091814:36:05</t>
  </si>
  <si>
    <t>2022091815:52:28</t>
  </si>
  <si>
    <t>2022091815:52:18</t>
  </si>
  <si>
    <t>2022092316:00:00</t>
  </si>
  <si>
    <t>2022091910:42:32</t>
  </si>
  <si>
    <t>2022093009:00:00</t>
  </si>
  <si>
    <t>2022091914:32:27</t>
  </si>
  <si>
    <t>2022091915:45:55</t>
  </si>
  <si>
    <t>2022091916:16:54</t>
  </si>
  <si>
    <t>2022091917:44:23</t>
  </si>
  <si>
    <t>2022092309:00:00</t>
  </si>
  <si>
    <t>2022092010:23:11</t>
  </si>
  <si>
    <t>2022092010:36:05</t>
  </si>
  <si>
    <t>2022092013:02:06</t>
  </si>
  <si>
    <t>2022092013:36:05</t>
  </si>
  <si>
    <t>2022092014:50:35</t>
  </si>
  <si>
    <t>2022092015:35:39</t>
  </si>
  <si>
    <t>2022092114:09:43</t>
  </si>
  <si>
    <t>2022092509:00:00</t>
  </si>
  <si>
    <t>2022092115:05:14</t>
  </si>
  <si>
    <t>2022092115:29:17</t>
  </si>
  <si>
    <t>2022092616:00:00</t>
  </si>
  <si>
    <t>2022092213:10:23</t>
  </si>
  <si>
    <t>2022092716:00:00</t>
  </si>
  <si>
    <t>2022092214:37:01</t>
  </si>
  <si>
    <t>2022092516:00:00</t>
  </si>
  <si>
    <t>2022092313:59:44</t>
  </si>
  <si>
    <t>2022092412:21:27</t>
  </si>
  <si>
    <t>2022092816:00:00</t>
  </si>
  <si>
    <t>2022092414:01:52</t>
  </si>
  <si>
    <t>2022092809:00:00</t>
  </si>
  <si>
    <t>2022092512:47:49</t>
  </si>
  <si>
    <t>2022100409:00:00</t>
  </si>
  <si>
    <t>2022092514:01:37</t>
  </si>
  <si>
    <t>2022093016:00:00</t>
  </si>
  <si>
    <t>2022092514:24:19</t>
  </si>
  <si>
    <t>2022092514:26:17</t>
  </si>
  <si>
    <t>2022092515:11:19</t>
  </si>
  <si>
    <t>2022100509:00:00</t>
  </si>
  <si>
    <t>2022092515:05:13</t>
  </si>
  <si>
    <t>2022100109:00:00</t>
  </si>
  <si>
    <t>2022092517:51:16</t>
  </si>
  <si>
    <t>2022092714:36:20</t>
  </si>
  <si>
    <t>2022092715:53:23</t>
  </si>
  <si>
    <t>2022092716:16:14</t>
  </si>
  <si>
    <t>2022092814:11:18</t>
  </si>
  <si>
    <t>2022092814:41:09</t>
  </si>
  <si>
    <t>2022092917:01:51</t>
  </si>
  <si>
    <t>2022100211:32:59</t>
  </si>
  <si>
    <t>2022100716:00:00</t>
  </si>
  <si>
    <t>2022100213:18:50</t>
  </si>
  <si>
    <t>2022100916:00:00</t>
  </si>
  <si>
    <t>2022100315:40:47</t>
  </si>
  <si>
    <t>2022100809:00:00</t>
  </si>
  <si>
    <t>2022100323:42:50</t>
  </si>
  <si>
    <t>2022100616:00:00</t>
  </si>
  <si>
    <t>2022100411:18:37</t>
  </si>
  <si>
    <t>2022100909:00:00</t>
  </si>
  <si>
    <t>2022100413:54:47</t>
  </si>
  <si>
    <t>2022100816:00:00</t>
  </si>
  <si>
    <t>2022100414:18:18</t>
  </si>
  <si>
    <t>2022100713:32:10</t>
  </si>
  <si>
    <t>2022101109:00:00</t>
  </si>
  <si>
    <t>2022100715:22:33</t>
  </si>
  <si>
    <t>2022100717:51:53</t>
  </si>
  <si>
    <t>2022101216:00:00</t>
  </si>
  <si>
    <t>2022100817:01:29</t>
  </si>
  <si>
    <t>2022100810:58:51</t>
  </si>
  <si>
    <t>2022101516:00:00</t>
  </si>
  <si>
    <t>2022100815:07:31</t>
  </si>
  <si>
    <t>2022100815:47:03</t>
  </si>
  <si>
    <t>2022100816:18:12</t>
  </si>
  <si>
    <t>2022101309:00:00</t>
  </si>
  <si>
    <t>2022100816:00:50</t>
  </si>
  <si>
    <t>2022101416:00:00</t>
  </si>
  <si>
    <t>2022100817:05:00</t>
  </si>
  <si>
    <t>2022100908:35:24</t>
  </si>
  <si>
    <t>2022101116:00:00</t>
  </si>
  <si>
    <t>2022100915:43:31</t>
  </si>
  <si>
    <t>2022101409:00:00</t>
  </si>
  <si>
    <t>2022100913:50:56</t>
  </si>
  <si>
    <t>2022101014:02:18</t>
  </si>
  <si>
    <t>2022101017:18:09</t>
  </si>
  <si>
    <t>2022101316:00:00</t>
  </si>
  <si>
    <t>2022101017:51:12</t>
  </si>
  <si>
    <t>2022101509:00:00</t>
  </si>
  <si>
    <r>
      <rPr>
        <sz val="9"/>
        <color indexed="63"/>
        <rFont val="Microsoft YaHei Light"/>
        <family val="2"/>
        <charset val="134"/>
      </rPr>
      <t>肩脱位</t>
    </r>
  </si>
  <si>
    <t>2022101208:32:29</t>
  </si>
  <si>
    <t>2022101113:37:57</t>
  </si>
  <si>
    <t>2022101716:00:00</t>
  </si>
  <si>
    <t>2022101114:42:41</t>
  </si>
  <si>
    <t>2022101215:02:29</t>
  </si>
  <si>
    <t>2022101609:00:00</t>
  </si>
  <si>
    <t>2022101215:02:53</t>
  </si>
  <si>
    <t>2022101215:54:19</t>
  </si>
  <si>
    <t>2022101816:00:00</t>
  </si>
  <si>
    <t>2022101221:31:15</t>
  </si>
  <si>
    <t>2022101312:18:55</t>
  </si>
  <si>
    <t>2022101315:32:18</t>
  </si>
  <si>
    <t>2022101616:00:00</t>
  </si>
  <si>
    <t>2022101316:21:08</t>
  </si>
  <si>
    <t>2022101414:33:19</t>
  </si>
  <si>
    <t>2022101416:03:27</t>
  </si>
  <si>
    <t>2022101612:30:00</t>
  </si>
  <si>
    <t>2022101512:59:18</t>
  </si>
  <si>
    <t>2022102016:00:00</t>
  </si>
  <si>
    <t>2022101512:59:28</t>
  </si>
  <si>
    <t>2022102116:00:00</t>
  </si>
  <si>
    <t>2022101513:35:59</t>
  </si>
  <si>
    <t>2022102216:00:00</t>
  </si>
  <si>
    <t>2022101516:00:20</t>
  </si>
  <si>
    <t>2022101614:38:49</t>
  </si>
  <si>
    <t>2022102009:00:00</t>
  </si>
  <si>
    <t>2022101619:57:06</t>
  </si>
  <si>
    <t>2022101713:52:25</t>
  </si>
  <si>
    <t>2022102509:00:00</t>
  </si>
  <si>
    <t>2022101814:02:11</t>
  </si>
  <si>
    <t>2022102209:00:00</t>
  </si>
  <si>
    <t>2022101814:17:51</t>
  </si>
  <si>
    <t>2022101815:09:41</t>
  </si>
  <si>
    <t>2022101821:10:21</t>
  </si>
  <si>
    <t>2022102416:00:00</t>
  </si>
  <si>
    <t>2022101914:13:50</t>
  </si>
  <si>
    <t>2022102616:00:00</t>
  </si>
  <si>
    <t>2022101913:54:41</t>
  </si>
  <si>
    <t>2022102309:00:00</t>
  </si>
  <si>
    <t>2022102110:26:01</t>
  </si>
  <si>
    <t>2022102709:00:00</t>
  </si>
  <si>
    <t>2022102113:25:38</t>
  </si>
  <si>
    <t>2022102516:00:00</t>
  </si>
  <si>
    <r>
      <rPr>
        <sz val="9"/>
        <color indexed="63"/>
        <rFont val="Microsoft YaHei Light"/>
        <family val="2"/>
        <charset val="134"/>
      </rPr>
      <t>取游离体</t>
    </r>
  </si>
  <si>
    <t>2022102209:21:40</t>
  </si>
  <si>
    <t>2022102609:00:00</t>
  </si>
  <si>
    <t>2022102114:42:15</t>
  </si>
  <si>
    <t>2022102116:18:03</t>
  </si>
  <si>
    <t>2022102209:56:04</t>
  </si>
  <si>
    <t>2022102213:18:11</t>
  </si>
  <si>
    <t>2022102909:00:00</t>
  </si>
  <si>
    <t>2022102214:52:28</t>
  </si>
  <si>
    <t>2022102215:19:33</t>
  </si>
  <si>
    <t>2022102216:05:04</t>
  </si>
  <si>
    <t>2022102916:00:00</t>
  </si>
  <si>
    <t>2022102412:09:36</t>
  </si>
  <si>
    <t>2022102716:00:00</t>
  </si>
  <si>
    <t>2022102416:17:01</t>
  </si>
  <si>
    <t>2022102417:22:03</t>
  </si>
  <si>
    <t>2022103009:00:00</t>
  </si>
  <si>
    <t>2022102513:23:18</t>
  </si>
  <si>
    <t>2022102513:28:49</t>
  </si>
  <si>
    <t>2022102514:00:23</t>
  </si>
  <si>
    <t>2022102514:10:17</t>
  </si>
  <si>
    <t>2022102514:58:39</t>
  </si>
  <si>
    <t>2022102516:44:02</t>
  </si>
  <si>
    <t>2022102813:00:00</t>
  </si>
  <si>
    <t>2022102708:59:57</t>
  </si>
  <si>
    <t>2022103116:00:00</t>
  </si>
  <si>
    <t>2022102715:38:23</t>
  </si>
  <si>
    <t>2022102715:50:36</t>
  </si>
  <si>
    <t>2022110516:00:00</t>
  </si>
  <si>
    <t>2022102716:11:40</t>
  </si>
  <si>
    <t>2022102813:37:59</t>
  </si>
  <si>
    <t>2022110323:37:29</t>
  </si>
  <si>
    <t>2022102816:09:54</t>
  </si>
  <si>
    <t>2022110309:00:00</t>
  </si>
  <si>
    <t>2022102912:46:00</t>
  </si>
  <si>
    <t>2022110509:00:00</t>
  </si>
  <si>
    <t>2022102913:52:27</t>
  </si>
  <si>
    <t>2022102914:34:28</t>
  </si>
  <si>
    <t>2022103013:16:01</t>
  </si>
  <si>
    <t>2022110409:00:00</t>
  </si>
  <si>
    <t>2022103014:07:42</t>
  </si>
  <si>
    <t>2022112916:00:00</t>
  </si>
  <si>
    <r>
      <rPr>
        <sz val="9"/>
        <color indexed="63"/>
        <rFont val="Microsoft YaHei Light"/>
        <family val="2"/>
        <charset val="134"/>
      </rPr>
      <t>膝关节肿胀</t>
    </r>
  </si>
  <si>
    <t>2022103019:43:56</t>
  </si>
  <si>
    <t>2022103109:29:02</t>
  </si>
  <si>
    <t>2022110113:31:05</t>
  </si>
  <si>
    <t>2022110114:10:21</t>
  </si>
  <si>
    <t>2022110609:00:00</t>
  </si>
  <si>
    <t>2022110114:15:57</t>
  </si>
  <si>
    <t>2022110114:30:36</t>
  </si>
  <si>
    <t>2022110120:48:53</t>
  </si>
  <si>
    <t>2022110709:00:00</t>
  </si>
  <si>
    <t>2022110214:49:33</t>
  </si>
  <si>
    <t>2022110215:18:37</t>
  </si>
  <si>
    <t>2022110313:09:23</t>
  </si>
  <si>
    <t>2022110716:00:00</t>
  </si>
  <si>
    <t>2022110313:38:35</t>
  </si>
  <si>
    <t>2022110616:00:00</t>
  </si>
  <si>
    <t>2022110315:22:52</t>
  </si>
  <si>
    <t>2022110315:50:43</t>
  </si>
  <si>
    <t>2022110315:58:16</t>
  </si>
  <si>
    <t>2022110316:04:32</t>
  </si>
  <si>
    <t>2022110816:00:00</t>
  </si>
  <si>
    <t>2022110316:29:16</t>
  </si>
  <si>
    <t>2022110408:51:13</t>
  </si>
  <si>
    <t>2022110415:14:13</t>
  </si>
  <si>
    <t>2022111009:00:00</t>
  </si>
  <si>
    <t>2022110412:02:33</t>
  </si>
  <si>
    <t>2022110916:00:00</t>
  </si>
  <si>
    <t>2022110415:26:37</t>
  </si>
  <si>
    <t>2022110513:52:26</t>
  </si>
  <si>
    <t>2022111209:00:00</t>
  </si>
  <si>
    <t>2022110514:47:49</t>
  </si>
  <si>
    <t>2022110909:00:00</t>
  </si>
  <si>
    <t>2022110515:37:08</t>
  </si>
  <si>
    <t>2022110516:01:46</t>
  </si>
  <si>
    <t>2022111216:00:00</t>
  </si>
  <si>
    <t>2022110516:40:39</t>
  </si>
  <si>
    <t>2022110612:06:10</t>
  </si>
  <si>
    <t>2022111416:00:00</t>
  </si>
  <si>
    <t>2022110615:48:34</t>
  </si>
  <si>
    <t>2022110913:38:02</t>
  </si>
  <si>
    <t>2022110910:55:23</t>
  </si>
  <si>
    <t>2022111509:00:00</t>
  </si>
  <si>
    <t>2022110913:59:37</t>
  </si>
  <si>
    <t>2022110915:31:40</t>
  </si>
  <si>
    <t>2022110915:31:50</t>
  </si>
  <si>
    <t>2022111008:11:55</t>
  </si>
  <si>
    <t>2022111015:48:31</t>
  </si>
  <si>
    <t>2022111516:00:00</t>
  </si>
  <si>
    <t>2022111017:07:04</t>
  </si>
  <si>
    <t>2022111114:31:57</t>
  </si>
  <si>
    <t>2022111709:00:00</t>
  </si>
  <si>
    <t>2022111115:46:53</t>
  </si>
  <si>
    <t>2022111616:00:00</t>
  </si>
  <si>
    <t>2022111116:05:23</t>
  </si>
  <si>
    <t>2022111716:00:00</t>
  </si>
  <si>
    <t>2022111216:17:36</t>
  </si>
  <si>
    <t>2022111916:00:00</t>
  </si>
  <si>
    <t>2022111311:52:38</t>
  </si>
  <si>
    <t>2022111314:56:57</t>
  </si>
  <si>
    <t>2022113016:00:00</t>
  </si>
  <si>
    <t>2022111314:56:46</t>
  </si>
  <si>
    <t>2022111315:20:16</t>
  </si>
  <si>
    <t>2022111816:00:00</t>
  </si>
  <si>
    <t>2022111315:55:18</t>
  </si>
  <si>
    <t>2022111316:05:17</t>
  </si>
  <si>
    <t>2022111809:00:00</t>
  </si>
  <si>
    <t>2022111316:13:01</t>
  </si>
  <si>
    <t>2022111414:22:19</t>
  </si>
  <si>
    <t>2022111414:47:53</t>
  </si>
  <si>
    <t>2022111516:18:06</t>
  </si>
  <si>
    <t>2022111909:00:00</t>
  </si>
  <si>
    <t>2022111517:38:42</t>
  </si>
  <si>
    <t>2022111616:04:52</t>
  </si>
  <si>
    <t>2022112009:00:00</t>
  </si>
  <si>
    <t>2022111616:13:46</t>
  </si>
  <si>
    <t>2022112116:00:00</t>
  </si>
  <si>
    <t>2022111712:10:26</t>
  </si>
  <si>
    <t>2022112216:00:00</t>
  </si>
  <si>
    <t>2022111712:11:04</t>
  </si>
  <si>
    <t>2022111714:07:33</t>
  </si>
  <si>
    <t>2022111714:28:25</t>
  </si>
  <si>
    <t>1675161</t>
  </si>
  <si>
    <t>2022111714:23:57</t>
  </si>
  <si>
    <t>2022111716:22:42</t>
  </si>
  <si>
    <t>2022112209:00:00</t>
  </si>
  <si>
    <t>2022111816:27:37</t>
  </si>
  <si>
    <t>2022112309:00:00</t>
  </si>
  <si>
    <t>2022111909:03:00</t>
  </si>
  <si>
    <t>2022112516:00:00</t>
  </si>
  <si>
    <t>2022111910:21:57</t>
  </si>
  <si>
    <t>2022112316:00:00</t>
  </si>
  <si>
    <t>2022111911:10:14</t>
  </si>
  <si>
    <t>2022112616:00:00</t>
  </si>
  <si>
    <r>
      <rPr>
        <sz val="9"/>
        <color indexed="63"/>
        <rFont val="Microsoft YaHei Light"/>
        <family val="2"/>
        <charset val="134"/>
      </rPr>
      <t>左膝</t>
    </r>
    <r>
      <rPr>
        <sz val="9"/>
        <color indexed="63"/>
        <rFont val="Times New Roman"/>
        <family val="1"/>
      </rPr>
      <t>ACL MPFL</t>
    </r>
    <r>
      <rPr>
        <sz val="9"/>
        <color indexed="63"/>
        <rFont val="Microsoft YaHei Light"/>
        <family val="2"/>
        <charset val="134"/>
      </rPr>
      <t>，</t>
    </r>
    <r>
      <rPr>
        <sz val="9"/>
        <color indexed="63"/>
        <rFont val="Times New Roman"/>
        <family val="1"/>
      </rPr>
      <t>MCL</t>
    </r>
    <r>
      <rPr>
        <sz val="9"/>
        <color indexed="63"/>
        <rFont val="Microsoft YaHei Light"/>
        <family val="2"/>
        <charset val="134"/>
      </rPr>
      <t>术后</t>
    </r>
  </si>
  <si>
    <t>2022111914:28:47</t>
  </si>
  <si>
    <t>2022111915:22:50</t>
  </si>
  <si>
    <t>2022112400:19:16</t>
  </si>
  <si>
    <t>2022112013:17:14</t>
  </si>
  <si>
    <t>2022112509:00:00</t>
  </si>
  <si>
    <t>1676193</t>
  </si>
  <si>
    <t>2022112014:43:30</t>
  </si>
  <si>
    <t>2022112716:00:00</t>
  </si>
  <si>
    <t>2022112014:43:37</t>
  </si>
  <si>
    <r>
      <rPr>
        <sz val="9"/>
        <color indexed="63"/>
        <rFont val="Microsoft YaHei Light"/>
        <family val="2"/>
        <charset val="134"/>
      </rPr>
      <t>二期手术</t>
    </r>
  </si>
  <si>
    <t>2022112111:51:00</t>
  </si>
  <si>
    <t>2022112112:09:00</t>
  </si>
  <si>
    <t>2022112609:00:00</t>
  </si>
  <si>
    <t>2022112114:21:10</t>
  </si>
  <si>
    <t>2022112523:35:05</t>
  </si>
  <si>
    <r>
      <rPr>
        <sz val="9"/>
        <color indexed="63"/>
        <rFont val="Times New Roman"/>
        <family val="1"/>
      </rPr>
      <t>67</t>
    </r>
    <r>
      <rPr>
        <sz val="9"/>
        <color indexed="63"/>
        <rFont val="Microsoft YaHei Light"/>
        <family val="2"/>
        <charset val="134"/>
      </rPr>
      <t>岁</t>
    </r>
  </si>
  <si>
    <t>2022112214:25:38</t>
  </si>
  <si>
    <t>2022112214:27:27</t>
  </si>
  <si>
    <t>2022112816:00:00</t>
  </si>
  <si>
    <t>2022112314:46:02</t>
  </si>
  <si>
    <t>2022112316:14:02</t>
  </si>
  <si>
    <t>2022112317:59:05</t>
  </si>
  <si>
    <t>2022112809:00:00</t>
  </si>
  <si>
    <t>2022112320:29:08</t>
  </si>
  <si>
    <t>2022112514:58:12</t>
  </si>
  <si>
    <t>2022112612:03:16</t>
  </si>
  <si>
    <t>2022120309:00:00</t>
  </si>
  <si>
    <t>2022112612:02:22</t>
  </si>
  <si>
    <t>2022112612:08:30</t>
  </si>
  <si>
    <t>2022112612:08:49</t>
  </si>
  <si>
    <t>2022120216:00:00</t>
  </si>
  <si>
    <t>2022112612:08:09</t>
  </si>
  <si>
    <t>2022112613:47:50</t>
  </si>
  <si>
    <t>2022120316:00:00</t>
  </si>
  <si>
    <t>2022112615:27:06</t>
  </si>
  <si>
    <t>2022112616:33:58</t>
  </si>
  <si>
    <t>2022120109:00:00</t>
  </si>
  <si>
    <t>2022112713:21:41</t>
  </si>
  <si>
    <t>2022120209:00:00</t>
  </si>
  <si>
    <t>2022112715:10:57</t>
  </si>
  <si>
    <t>2022120116:00:00</t>
  </si>
  <si>
    <t>2022112716:09:02</t>
  </si>
  <si>
    <t>2022112717:23:04</t>
  </si>
  <si>
    <r>
      <rPr>
        <sz val="9"/>
        <color indexed="63"/>
        <rFont val="Microsoft YaHei Light"/>
        <family val="2"/>
        <charset val="134"/>
      </rPr>
      <t>右膝</t>
    </r>
    <r>
      <rPr>
        <sz val="9"/>
        <color indexed="63"/>
        <rFont val="Times New Roman"/>
        <family val="1"/>
      </rPr>
      <t>ACL PCL MCL</t>
    </r>
  </si>
  <si>
    <t>2022112811:43:34</t>
  </si>
  <si>
    <t>2022120307:31:35</t>
  </si>
  <si>
    <t>2022112815:02:03</t>
  </si>
  <si>
    <t>2022120409:00:00</t>
  </si>
  <si>
    <t>2022112815:18:25</t>
  </si>
  <si>
    <t>2022112815:39:24</t>
  </si>
  <si>
    <t>2022112816:14:54</t>
  </si>
  <si>
    <t>2022112917:08:33</t>
  </si>
  <si>
    <t>2022120416:00:00</t>
  </si>
  <si>
    <t>2022113014:07:49</t>
  </si>
  <si>
    <t>2022120609:00:00</t>
  </si>
  <si>
    <r>
      <rPr>
        <sz val="9"/>
        <color indexed="63"/>
        <rFont val="Microsoft YaHei Light"/>
        <family val="2"/>
        <charset val="134"/>
      </rPr>
      <t>术后发烧</t>
    </r>
  </si>
  <si>
    <t>2022120112:08:28</t>
  </si>
  <si>
    <t>2022120516:00:00</t>
  </si>
  <si>
    <t>2022120114:26:23</t>
  </si>
  <si>
    <t>2022120115:20:26</t>
  </si>
  <si>
    <t>2022120115:20:36</t>
  </si>
  <si>
    <t>2022120314:00:00</t>
  </si>
  <si>
    <t>2022120115:29:31</t>
  </si>
  <si>
    <t>2022120614:00:57</t>
  </si>
  <si>
    <t>2022120116:04:52</t>
  </si>
  <si>
    <t>2022120614:00:00</t>
  </si>
  <si>
    <t>2022120117:39:49</t>
  </si>
  <si>
    <t>2022120213:59:42</t>
  </si>
  <si>
    <t>2022120809:00:00</t>
  </si>
  <si>
    <t>2022120220:36:58</t>
  </si>
  <si>
    <t>2022120312:01:23</t>
  </si>
  <si>
    <t>2022121009:00:00</t>
  </si>
  <si>
    <t>2022120313:49:15</t>
  </si>
  <si>
    <t>2022120816:00:00</t>
  </si>
  <si>
    <t>2022120314:45:36</t>
  </si>
  <si>
    <t>2022120316:01:34</t>
  </si>
  <si>
    <t>2022120316:37:11</t>
  </si>
  <si>
    <t>2022120616:00:00</t>
  </si>
  <si>
    <t>2022120416:53:25</t>
  </si>
  <si>
    <t>2022120419:13:02</t>
  </si>
  <si>
    <t>2022120419:18:50</t>
  </si>
  <si>
    <t>2022121014:00:00</t>
  </si>
  <si>
    <t>2022120513:39:00</t>
  </si>
  <si>
    <t>2022120916:00:00</t>
  </si>
  <si>
    <t>2022120513:41:00</t>
  </si>
  <si>
    <r>
      <rPr>
        <sz val="9"/>
        <color indexed="63"/>
        <rFont val="Times New Roman"/>
        <family val="1"/>
      </rPr>
      <t>9</t>
    </r>
    <r>
      <rPr>
        <sz val="9"/>
        <color indexed="63"/>
        <rFont val="Microsoft YaHei Light"/>
        <family val="2"/>
        <charset val="134"/>
      </rPr>
      <t>岁</t>
    </r>
  </si>
  <si>
    <t>2022120515:18:00</t>
  </si>
  <si>
    <t>2022120519:42:01</t>
  </si>
  <si>
    <t>2022121016:00:00</t>
  </si>
  <si>
    <t>2022120613:38:16</t>
  </si>
  <si>
    <t>2022121214:00:00</t>
  </si>
  <si>
    <t>2022120713:56:39</t>
  </si>
  <si>
    <t>2022121116:00:00</t>
  </si>
  <si>
    <t>1682842</t>
  </si>
  <si>
    <t>2022120715:05:52</t>
  </si>
  <si>
    <t>2022120721:05:32</t>
  </si>
  <si>
    <t>2022120811:11:31</t>
  </si>
  <si>
    <t>2022120814:03:58</t>
  </si>
  <si>
    <t>2022120814:32:09</t>
  </si>
  <si>
    <t>2022120815:20:25</t>
  </si>
  <si>
    <t>2022121215:00:00</t>
  </si>
  <si>
    <t>2022120914:19:49</t>
  </si>
  <si>
    <t>2022121516:00:00</t>
  </si>
  <si>
    <t>2022121012:01:31</t>
  </si>
  <si>
    <t>2022121716:00:00</t>
  </si>
  <si>
    <t>2022121014:06:10</t>
  </si>
  <si>
    <t>2022121709:00:00</t>
  </si>
  <si>
    <t>2022121014:06:28</t>
  </si>
  <si>
    <t>2022121014:05:34</t>
  </si>
  <si>
    <t>2022121613:00:00</t>
  </si>
  <si>
    <t>2022121014:05:53</t>
  </si>
  <si>
    <t>2022121015:02:53</t>
  </si>
  <si>
    <t>2022121015:03:06</t>
  </si>
  <si>
    <t>2022121616:00:00</t>
  </si>
  <si>
    <t>2022121015:43:45</t>
  </si>
  <si>
    <t>2022121019:17:09</t>
  </si>
  <si>
    <t>2022121020:37:19</t>
  </si>
  <si>
    <t>2022121111:55:04</t>
  </si>
  <si>
    <t>2022121117:15:16</t>
  </si>
  <si>
    <t>2022121316:00:00</t>
  </si>
  <si>
    <t>2022121118:41:17</t>
  </si>
  <si>
    <t>2022121208:51:55</t>
  </si>
  <si>
    <t>2022121216:27:40</t>
  </si>
  <si>
    <t>2022121216:27:23</t>
  </si>
  <si>
    <t>2022121217:11:25</t>
  </si>
  <si>
    <t>2022121414:02:30</t>
  </si>
  <si>
    <t>2022121916:00:00</t>
  </si>
  <si>
    <t>2022121409:26:32</t>
  </si>
  <si>
    <t>2022121414:29:32</t>
  </si>
  <si>
    <t>2022121713:00:00</t>
  </si>
  <si>
    <t>2022121415:42:39</t>
  </si>
  <si>
    <t>2022122016:00:00</t>
  </si>
  <si>
    <t>2022121417:00:30</t>
  </si>
  <si>
    <t>2022121417:33:39</t>
  </si>
  <si>
    <t>2022121418:48:15</t>
  </si>
  <si>
    <t>2022121909:00:00</t>
  </si>
  <si>
    <t>2022121513:44:42</t>
  </si>
  <si>
    <t>2022121514:49:56</t>
  </si>
  <si>
    <t>2022122111:10:34</t>
  </si>
  <si>
    <t>2022121519:42:48</t>
  </si>
  <si>
    <t>2022121520:21:17</t>
  </si>
  <si>
    <t>2022121521:53:34</t>
  </si>
  <si>
    <t>2022121613:23:45</t>
  </si>
  <si>
    <t>2022121614:21:24</t>
  </si>
  <si>
    <t>2022122116:00:00</t>
  </si>
  <si>
    <t>2022121614:51:00</t>
  </si>
  <si>
    <t>2022121712:41:39</t>
  </si>
  <si>
    <t>2022121712:41:44</t>
  </si>
  <si>
    <t>2022122316:00:00</t>
  </si>
  <si>
    <t>2022121714:47:28</t>
  </si>
  <si>
    <t>2022122309:00:00</t>
  </si>
  <si>
    <t>2022121815:10:24</t>
  </si>
  <si>
    <t>2022122111:08:56</t>
  </si>
  <si>
    <t>2022121815:10:09</t>
  </si>
  <si>
    <t>2022121817:11:52</t>
  </si>
  <si>
    <t>2022121819:55:56</t>
  </si>
  <si>
    <t>2022121915:58:00</t>
  </si>
  <si>
    <t>2022122111:10:40</t>
  </si>
  <si>
    <t>2022122016:06:43</t>
  </si>
  <si>
    <t>2022122416:00:00</t>
  </si>
  <si>
    <t>2022123009:32:54</t>
  </si>
  <si>
    <t>2023011509:00:00</t>
  </si>
  <si>
    <t>2023010109:55:49</t>
  </si>
  <si>
    <t>2023010716:00:00</t>
  </si>
  <si>
    <t>2023010110:39:25</t>
  </si>
  <si>
    <t>2023010709:00:00</t>
  </si>
  <si>
    <t>2023010112:01:22</t>
  </si>
  <si>
    <t>2023010113:51:01</t>
  </si>
  <si>
    <t>2023010616:00:00</t>
  </si>
  <si>
    <t>2023010114:04:43</t>
  </si>
  <si>
    <t>2023010114:33:18</t>
  </si>
  <si>
    <t>2023010515:00:00</t>
  </si>
  <si>
    <t>2023010115:08:52</t>
  </si>
  <si>
    <t>2023010309:18:53</t>
  </si>
  <si>
    <t>2023010809:00:00</t>
  </si>
  <si>
    <t>2023010310:27:18</t>
  </si>
  <si>
    <t>2023010313:10:39</t>
  </si>
  <si>
    <t>2023010313:42:03</t>
  </si>
  <si>
    <t>2023010313:42:17</t>
  </si>
  <si>
    <t>2023010314:33:53</t>
  </si>
  <si>
    <t>2023010414:14:02</t>
  </si>
  <si>
    <t>2023010414:37:18</t>
  </si>
  <si>
    <t>2023010911:35:06</t>
  </si>
  <si>
    <t>2023010414:53:59</t>
  </si>
  <si>
    <t>2023010916:00:00</t>
  </si>
  <si>
    <t>2023010414:54:15</t>
  </si>
  <si>
    <t>2023010511:11:08</t>
  </si>
  <si>
    <t>2023011114:00:00</t>
  </si>
  <si>
    <t>2023010515:44:51</t>
  </si>
  <si>
    <t>2023010614:51:43</t>
  </si>
  <si>
    <t>1690086</t>
  </si>
  <si>
    <t>2023010616:20:35</t>
  </si>
  <si>
    <t>2023010710:52:07</t>
  </si>
  <si>
    <t>2023011614:00:00</t>
  </si>
  <si>
    <t>2023010713:39:16</t>
  </si>
  <si>
    <t>2023011409:00:00</t>
  </si>
  <si>
    <t>2023010713:39:29</t>
  </si>
  <si>
    <t>2023010714:40:32</t>
  </si>
  <si>
    <t>2023011316:00:00</t>
  </si>
  <si>
    <t>2023010715:49:16</t>
  </si>
  <si>
    <t>2023010716:19:10</t>
  </si>
  <si>
    <t>2023011407:25:36</t>
  </si>
  <si>
    <t>2023010814:32:21</t>
  </si>
  <si>
    <t>2023011309:00:00</t>
  </si>
  <si>
    <t>2023010817:53:49</t>
  </si>
  <si>
    <t>2023011011:35:41</t>
  </si>
  <si>
    <t>2023011516:00:00</t>
  </si>
  <si>
    <t>2023011011:19:18</t>
  </si>
  <si>
    <t>2023011416:00:00</t>
  </si>
  <si>
    <t>2023011113:31:29</t>
  </si>
  <si>
    <t>2023011114:13:12</t>
  </si>
  <si>
    <t>2023011214:41:01</t>
  </si>
  <si>
    <t>2023011900:04:17</t>
  </si>
  <si>
    <t>2023011216:53:27</t>
  </si>
  <si>
    <t>2023011809:00:00</t>
  </si>
  <si>
    <t>2023011313:02:57</t>
  </si>
  <si>
    <t>2023011909:00:00</t>
  </si>
  <si>
    <t>2023011316:41:20</t>
  </si>
  <si>
    <t>2023011408:16:51</t>
  </si>
  <si>
    <t>2023011814:00:00</t>
  </si>
  <si>
    <t>2023011408:45:56</t>
  </si>
  <si>
    <t>2023011415:53:41</t>
  </si>
  <si>
    <t>2023011900:04:29</t>
  </si>
  <si>
    <t>2023011509:59:30</t>
  </si>
  <si>
    <t>2023011916:00:00</t>
  </si>
  <si>
    <t>2023011510:49:31</t>
  </si>
  <si>
    <t>2023011512:14:23</t>
  </si>
  <si>
    <t>2023012004:20:58</t>
  </si>
  <si>
    <r>
      <rPr>
        <sz val="9"/>
        <color indexed="63"/>
        <rFont val="Microsoft YaHei Light"/>
        <family val="2"/>
        <charset val="134"/>
      </rPr>
      <t>左膝</t>
    </r>
    <r>
      <rPr>
        <sz val="9"/>
        <color indexed="63"/>
        <rFont val="Times New Roman"/>
        <family val="1"/>
      </rPr>
      <t>ACL PCL MCL</t>
    </r>
  </si>
  <si>
    <t>2023011514:18:43</t>
  </si>
  <si>
    <t>2023011515:13:41</t>
  </si>
  <si>
    <t>2023011516:06:46</t>
  </si>
  <si>
    <t>2023011516:30:27</t>
  </si>
  <si>
    <t>2023011610:10:13</t>
  </si>
  <si>
    <t>2023011815:00:00</t>
  </si>
  <si>
    <t>2023011614:45:17</t>
  </si>
  <si>
    <t>2023011615:13:15</t>
  </si>
  <si>
    <t>2023011816:00:00</t>
  </si>
  <si>
    <t>2023011715:38:53</t>
  </si>
  <si>
    <t>2023012014:00:00</t>
  </si>
  <si>
    <t>2023012713:14:12</t>
  </si>
  <si>
    <t>2023020109:00:00</t>
  </si>
  <si>
    <t>2023012812:04:28</t>
  </si>
  <si>
    <t>2023020416:00:00</t>
  </si>
  <si>
    <t>2023012813:59:48</t>
  </si>
  <si>
    <t>2023013116:00:00</t>
  </si>
  <si>
    <t>1694847</t>
  </si>
  <si>
    <t>2023012815:04:59</t>
  </si>
  <si>
    <t>2023020402:47:46</t>
  </si>
  <si>
    <r>
      <rPr>
        <sz val="9"/>
        <color indexed="63"/>
        <rFont val="Times New Roman"/>
        <family val="1"/>
      </rPr>
      <t>MRI*2</t>
    </r>
    <r>
      <rPr>
        <sz val="9"/>
        <color indexed="63"/>
        <rFont val="Microsoft YaHei Light"/>
        <family val="2"/>
        <charset val="134"/>
      </rPr>
      <t>，本次右</t>
    </r>
    <r>
      <rPr>
        <sz val="9"/>
        <color indexed="63"/>
        <rFont val="Times New Roman"/>
        <family val="1"/>
      </rPr>
      <t>ACLR</t>
    </r>
  </si>
  <si>
    <t>2023012911:08:38</t>
  </si>
  <si>
    <t>2023020316:00:00</t>
  </si>
  <si>
    <t>2023013011:26:38</t>
  </si>
  <si>
    <t>2023020414:00:00</t>
  </si>
  <si>
    <t>2023013014:39:07</t>
  </si>
  <si>
    <t>2023013017:55:49</t>
  </si>
  <si>
    <t>2023020514:04:00</t>
  </si>
  <si>
    <t>2023013014:52:52</t>
  </si>
  <si>
    <t>2023020114:00:00</t>
  </si>
  <si>
    <t>2023013015:43:54</t>
  </si>
  <si>
    <t>2023020716:00:00</t>
  </si>
  <si>
    <t>2023013113:30:09</t>
  </si>
  <si>
    <t>2023013115:53:40</t>
  </si>
  <si>
    <t>2023020209:00:00</t>
  </si>
  <si>
    <t>2023020114:46:28</t>
  </si>
  <si>
    <t>2023022312:20:20</t>
  </si>
  <si>
    <t>2023020113:42:20</t>
  </si>
  <si>
    <t>2023020709:00:00</t>
  </si>
  <si>
    <t>2023020113:56:18</t>
  </si>
  <si>
    <t>2023020509:00:00</t>
  </si>
  <si>
    <t>2023020115:17:34</t>
  </si>
  <si>
    <t>2023020614:00:00</t>
  </si>
  <si>
    <t>2023020209:32:49</t>
  </si>
  <si>
    <t>2023020211:16:36</t>
  </si>
  <si>
    <t>2023020213:59:46</t>
  </si>
  <si>
    <t>2023020816:00:00</t>
  </si>
  <si>
    <t>2023020214:17:24</t>
  </si>
  <si>
    <t>2023020314:21:16</t>
  </si>
  <si>
    <t>2023020407:48:21</t>
  </si>
  <si>
    <t>2023020809:00:00</t>
  </si>
  <si>
    <t>2023020414:29:26</t>
  </si>
  <si>
    <t>2023021016:00:00</t>
  </si>
  <si>
    <t>2023020514:04:54</t>
  </si>
  <si>
    <t>2023021009:00:00</t>
  </si>
  <si>
    <t>2023020515:23:53</t>
  </si>
  <si>
    <t>2023020609:30:32</t>
  </si>
  <si>
    <t>2023020612:01:49</t>
  </si>
  <si>
    <t>2023020614:40:15</t>
  </si>
  <si>
    <t>2023021015:48:25</t>
  </si>
  <si>
    <t>2023020709:06:10</t>
  </si>
  <si>
    <t>2023021116:00:00</t>
  </si>
  <si>
    <t>2023020713:49:24</t>
  </si>
  <si>
    <t>2023020714:45:01</t>
  </si>
  <si>
    <t>2023021409:00:00</t>
  </si>
  <si>
    <t>2023020718:09:45</t>
  </si>
  <si>
    <t>2023021214:00:00</t>
  </si>
  <si>
    <r>
      <rPr>
        <sz val="9"/>
        <color indexed="63"/>
        <rFont val="Microsoft YaHei Light"/>
        <family val="2"/>
        <charset val="134"/>
      </rPr>
      <t>右膝</t>
    </r>
    <r>
      <rPr>
        <sz val="9"/>
        <color indexed="63"/>
        <rFont val="Times New Roman"/>
        <family val="1"/>
      </rPr>
      <t>ACL LCL</t>
    </r>
  </si>
  <si>
    <t>2023020814:31:14</t>
  </si>
  <si>
    <t>2023021209:00:00</t>
  </si>
  <si>
    <t>2023020815:18:53</t>
  </si>
  <si>
    <t>2023020814:54:53</t>
  </si>
  <si>
    <t>2023021014:00:00</t>
  </si>
  <si>
    <t>2023020914:48:40</t>
  </si>
  <si>
    <t>2023021316:00:00</t>
  </si>
  <si>
    <t>2023021209:58:49</t>
  </si>
  <si>
    <t>2023021809:00:00</t>
  </si>
  <si>
    <t>2023021212:03:47</t>
  </si>
  <si>
    <t>2023021709:00:00</t>
  </si>
  <si>
    <t>2023021213:13:00</t>
  </si>
  <si>
    <t>2023021614:00:00</t>
  </si>
  <si>
    <t>2023021213:41:00</t>
  </si>
  <si>
    <t>2023021616:00:00</t>
  </si>
  <si>
    <t>2023021214:28:16</t>
  </si>
  <si>
    <t>2023021214:55:12</t>
  </si>
  <si>
    <t>2023021416:00:00</t>
  </si>
  <si>
    <t>2023021214:59:43</t>
  </si>
  <si>
    <t>2023021509:00:00</t>
  </si>
  <si>
    <t>2023021413:51:43</t>
  </si>
  <si>
    <t>2023021511:42:49</t>
  </si>
  <si>
    <t>2023021909:00:00</t>
  </si>
  <si>
    <t>2023021511:44:04</t>
  </si>
  <si>
    <t>2023021916:00:00</t>
  </si>
  <si>
    <t>1702531</t>
  </si>
  <si>
    <t>2023021516:12:34</t>
  </si>
  <si>
    <t>2023022216:00:00</t>
  </si>
  <si>
    <r>
      <rPr>
        <sz val="9"/>
        <color indexed="63"/>
        <rFont val="Microsoft YaHei Light"/>
        <family val="2"/>
        <charset val="134"/>
      </rPr>
      <t>粘连</t>
    </r>
  </si>
  <si>
    <t>2023021517:13:07</t>
  </si>
  <si>
    <t>2023021517:55:33</t>
  </si>
  <si>
    <t>2023021518:43:18</t>
  </si>
  <si>
    <t>2023021614:49:24</t>
  </si>
  <si>
    <r>
      <rPr>
        <sz val="9"/>
        <color indexed="63"/>
        <rFont val="Microsoft YaHei Light"/>
        <family val="2"/>
        <charset val="134"/>
      </rPr>
      <t>关节清理</t>
    </r>
  </si>
  <si>
    <t>2023021614:59:51</t>
  </si>
  <si>
    <t>2023022209:00:00</t>
  </si>
  <si>
    <t>2023021713:46:44</t>
  </si>
  <si>
    <t>2023022314:00:00</t>
  </si>
  <si>
    <t>2023021809:09:53</t>
  </si>
  <si>
    <t>2023021814:12:25</t>
  </si>
  <si>
    <t>2023022414:00:00</t>
  </si>
  <si>
    <t>2023021910:31:16</t>
  </si>
  <si>
    <t>2023022316:00:00</t>
  </si>
  <si>
    <t>2023021913:16:38</t>
  </si>
  <si>
    <t>2023021914:47:45</t>
  </si>
  <si>
    <t>2023022113:08:41</t>
  </si>
  <si>
    <t>PE</t>
  </si>
  <si>
    <t>2023021916:09:58</t>
  </si>
  <si>
    <t>2023022214:00:00</t>
  </si>
  <si>
    <t>2023021916:38:30</t>
  </si>
  <si>
    <t>2023022012:49:17</t>
  </si>
  <si>
    <t>2023022013:32:47</t>
  </si>
  <si>
    <t>2023022616:00:00</t>
  </si>
  <si>
    <t>2023022015:27:49</t>
  </si>
  <si>
    <t>2023022516:00:00</t>
  </si>
  <si>
    <t>2023022015:25:28</t>
  </si>
  <si>
    <t>2023030916:00:00</t>
  </si>
  <si>
    <t>2023022115:38:52</t>
  </si>
  <si>
    <t>2023022416:00:00</t>
  </si>
  <si>
    <t>2023022211:32:53</t>
  </si>
  <si>
    <t>2023022214:54:20</t>
  </si>
  <si>
    <t>2023030114:00:00</t>
  </si>
  <si>
    <t>2023022314:23:53</t>
  </si>
  <si>
    <t>2023022315:12:21</t>
  </si>
  <si>
    <t>2023030214:00:00</t>
  </si>
  <si>
    <t>2023022314:38:40</t>
  </si>
  <si>
    <t>2023022315:45:23</t>
  </si>
  <si>
    <t>2023022813:00:00</t>
  </si>
  <si>
    <t>2023022611:48:39</t>
  </si>
  <si>
    <t>2023030401:10:06</t>
  </si>
  <si>
    <t>2023022613:27:01</t>
  </si>
  <si>
    <t>2023030401:10:12</t>
  </si>
  <si>
    <t>2023022612:11:47</t>
  </si>
  <si>
    <t>2023030213:00:00</t>
  </si>
  <si>
    <t>2023022613:58:23</t>
  </si>
  <si>
    <t>2023030401:10:24</t>
  </si>
  <si>
    <t>2023022613:50:41</t>
  </si>
  <si>
    <t>2023030412:06:08</t>
  </si>
  <si>
    <t>2023022614:03:19</t>
  </si>
  <si>
    <t>2023022615:06:12</t>
  </si>
  <si>
    <t>2023030401:10:16</t>
  </si>
  <si>
    <t>2023022616:19:39</t>
  </si>
  <si>
    <t>2023030309:00:00</t>
  </si>
  <si>
    <t>2023022616:29:10</t>
  </si>
  <si>
    <t>2023022712:55:21</t>
  </si>
  <si>
    <t>2023030412:08:12</t>
  </si>
  <si>
    <t>2023022714:47:29</t>
  </si>
  <si>
    <t>2023022816:00:00</t>
  </si>
  <si>
    <t>2023022714:19:58</t>
  </si>
  <si>
    <t>2023030616:00:00</t>
  </si>
  <si>
    <t>2023022715:24:24</t>
  </si>
  <si>
    <t>2023030501:45:00</t>
  </si>
  <si>
    <t>2023022715:36:14</t>
  </si>
  <si>
    <t>2023030414:00:00</t>
  </si>
  <si>
    <t>2023022809:14:41</t>
  </si>
  <si>
    <t>2023030409:00:00</t>
  </si>
  <si>
    <t>2023022815:03:12</t>
  </si>
  <si>
    <t>2023030716:00:00</t>
  </si>
  <si>
    <r>
      <rPr>
        <sz val="9"/>
        <color indexed="63"/>
        <rFont val="Microsoft YaHei Light"/>
        <family val="2"/>
        <charset val="134"/>
      </rPr>
      <t>切口愈合不佳</t>
    </r>
  </si>
  <si>
    <t>2023022816:15:32</t>
  </si>
  <si>
    <t>2023030108:11:29</t>
  </si>
  <si>
    <t>2023030110:47:45</t>
  </si>
  <si>
    <t>2023030709:00:00</t>
  </si>
  <si>
    <t>2023030114:16:51</t>
  </si>
  <si>
    <t>2023030509:00:00</t>
  </si>
  <si>
    <t>2023030114:54:23</t>
  </si>
  <si>
    <t>2023030115:42:04</t>
  </si>
  <si>
    <t>2023030608:01:50</t>
  </si>
  <si>
    <t>2023030213:56:02</t>
  </si>
  <si>
    <t>2023030612:14:10</t>
  </si>
  <si>
    <t>2023030214:32:39</t>
  </si>
  <si>
    <t>2023030516:00:00</t>
  </si>
  <si>
    <t>2023030214:33:14</t>
  </si>
  <si>
    <t>2023030814:00:00</t>
  </si>
  <si>
    <t>2023030215:42:48</t>
  </si>
  <si>
    <t>2023030614:00:00</t>
  </si>
  <si>
    <t>2023030315:40:59</t>
  </si>
  <si>
    <t>2023030313:44:40</t>
  </si>
  <si>
    <t>2023030913:54:40</t>
  </si>
  <si>
    <t>2023030319:02:07</t>
  </si>
  <si>
    <t>2023030812:01:36</t>
  </si>
  <si>
    <t>2023030408:02:45</t>
  </si>
  <si>
    <t>2023030411:56:32</t>
  </si>
  <si>
    <t>2023031116:00:00</t>
  </si>
  <si>
    <t>2023030413:59:36</t>
  </si>
  <si>
    <t>2023031109:00:00</t>
  </si>
  <si>
    <t>2023030414:28:34</t>
  </si>
  <si>
    <t>2023030512:02:24</t>
  </si>
  <si>
    <t>1710206</t>
  </si>
  <si>
    <t>2023030513:54:53</t>
  </si>
  <si>
    <t>2023030514:00:57</t>
  </si>
  <si>
    <t>2023030809:00:00</t>
  </si>
  <si>
    <t>2023030516:09:57</t>
  </si>
  <si>
    <t>2023030711:35:00</t>
  </si>
  <si>
    <t>2023030713:14:34</t>
  </si>
  <si>
    <t>2023030714:57:01</t>
  </si>
  <si>
    <t>2023031316:00:00</t>
  </si>
  <si>
    <t>2023030716:04:16</t>
  </si>
  <si>
    <t>2023030807:52:53</t>
  </si>
  <si>
    <t>2023031209:00:00</t>
  </si>
  <si>
    <t>2023030811:48:26</t>
  </si>
  <si>
    <t>2023031216:00:00</t>
  </si>
  <si>
    <t>2023030812:12:08</t>
  </si>
  <si>
    <t>2023030814:21:32</t>
  </si>
  <si>
    <t>2023030911:53:40</t>
  </si>
  <si>
    <t>2023031314:00:00</t>
  </si>
  <si>
    <t>2023030911:35:10</t>
  </si>
  <si>
    <t>2023030914:25:25</t>
  </si>
  <si>
    <t>2023031416:00:00</t>
  </si>
  <si>
    <t>2023030915:53:15</t>
  </si>
  <si>
    <t>2023031016:29:05</t>
  </si>
  <si>
    <t>2023031017:09:04</t>
  </si>
  <si>
    <t>2023031107:51:44</t>
  </si>
  <si>
    <t>2023031107:51:34</t>
  </si>
  <si>
    <t>2023031509:00:00</t>
  </si>
  <si>
    <t>2023031110:45:33</t>
  </si>
  <si>
    <t>2023031801:09:07</t>
  </si>
  <si>
    <t>2023031112:05:08</t>
  </si>
  <si>
    <t>2023031801:09:01</t>
  </si>
  <si>
    <t>2023031111:53:40</t>
  </si>
  <si>
    <t>2023031516:00:00</t>
  </si>
  <si>
    <t>2023031113:32:44</t>
  </si>
  <si>
    <t>2023031513:00:00</t>
  </si>
  <si>
    <t>2023031113:33:17</t>
  </si>
  <si>
    <t>2023031801:09:13</t>
  </si>
  <si>
    <t>2023031117:29:55</t>
  </si>
  <si>
    <t>2023031514:00:00</t>
  </si>
  <si>
    <t>2023031211:50:09</t>
  </si>
  <si>
    <t>2023031609:00:00</t>
  </si>
  <si>
    <t>2023031214:23:27</t>
  </si>
  <si>
    <t>2023031212:24:08</t>
  </si>
  <si>
    <t>2023031514:02:36</t>
  </si>
  <si>
    <t>2023031212:32:35</t>
  </si>
  <si>
    <t>2023031214:26:38</t>
  </si>
  <si>
    <t>2023031616:00:00</t>
  </si>
  <si>
    <t>2023031215:05:44</t>
  </si>
  <si>
    <t>2023031801:08:51</t>
  </si>
  <si>
    <t>2023031220:19:11</t>
  </si>
  <si>
    <t>2023031714:00:00</t>
  </si>
  <si>
    <t>1713934</t>
  </si>
  <si>
    <t>2023031314:06:01</t>
  </si>
  <si>
    <t>2023031316:07:54</t>
  </si>
  <si>
    <t>2023031414:38:59</t>
  </si>
  <si>
    <t>2023031809:00:00</t>
  </si>
  <si>
    <t>2023031414:41:48</t>
  </si>
  <si>
    <t>2023031415:26:25</t>
  </si>
  <si>
    <t>2023031909:00:00</t>
  </si>
  <si>
    <t>2023031511:59:04</t>
  </si>
  <si>
    <t>2023031512:19:08</t>
  </si>
  <si>
    <t>2023032109:00:00</t>
  </si>
  <si>
    <t>2023031512:49:58</t>
  </si>
  <si>
    <t>2023032016:00:00</t>
  </si>
  <si>
    <t>2023031515:20:33</t>
  </si>
  <si>
    <t>2023032116:00:00</t>
  </si>
  <si>
    <t>2023031515:30:27</t>
  </si>
  <si>
    <t>2023031816:00:00</t>
  </si>
  <si>
    <t>2023031914:34:37</t>
  </si>
  <si>
    <t>2023032209:00:00</t>
  </si>
  <si>
    <t>2023031613:10:10</t>
  </si>
  <si>
    <t>2023032014:00:00</t>
  </si>
  <si>
    <t>2023031613:39:39</t>
  </si>
  <si>
    <t>2023031715:18:46</t>
  </si>
  <si>
    <t>2023032214:00:00</t>
  </si>
  <si>
    <t>2023031812:06:55</t>
  </si>
  <si>
    <t>2023032500:49:49</t>
  </si>
  <si>
    <t>2023031811:16:48</t>
  </si>
  <si>
    <t>2023032500:49:38</t>
  </si>
  <si>
    <t>2023031814:47:25</t>
  </si>
  <si>
    <t>2023032500:49:17</t>
  </si>
  <si>
    <t>2023031912:20:02</t>
  </si>
  <si>
    <t>2023032309:00:00</t>
  </si>
  <si>
    <t>2023031910:45:51</t>
  </si>
  <si>
    <t>2023031912:20:30</t>
  </si>
  <si>
    <t>2023032316:00:00</t>
  </si>
  <si>
    <t>2023031912:21:04</t>
  </si>
  <si>
    <t>2023032011:53:04</t>
  </si>
  <si>
    <t>2023032716:00:00</t>
  </si>
  <si>
    <t>2023032014:01:17</t>
  </si>
  <si>
    <t>2023032115:17:03</t>
  </si>
  <si>
    <t>2023032712:04:14</t>
  </si>
  <si>
    <t>2023032114:27:11</t>
  </si>
  <si>
    <t>2023032509:00:00</t>
  </si>
  <si>
    <t>2023032120:50:31</t>
  </si>
  <si>
    <t>2023032616:00:00</t>
  </si>
  <si>
    <t>2023032121:44:04</t>
  </si>
  <si>
    <t>2023032816:00:00</t>
  </si>
  <si>
    <t>2023032208:55:29</t>
  </si>
  <si>
    <t>2023032211:23:40</t>
  </si>
  <si>
    <t>2023032609:00:00</t>
  </si>
  <si>
    <t>2023032213:54:29</t>
  </si>
  <si>
    <t>2023032214:31:57</t>
  </si>
  <si>
    <t>2023032914:09:49</t>
  </si>
  <si>
    <t>2023040314:00:00</t>
  </si>
  <si>
    <t>2023032314:41:24</t>
  </si>
  <si>
    <t>2023032714:00:00</t>
  </si>
  <si>
    <t>2023032413:34:47</t>
  </si>
  <si>
    <t>2023033016:00:00</t>
  </si>
  <si>
    <t>2023032416:39:10</t>
  </si>
  <si>
    <t>2023032914:00:00</t>
  </si>
  <si>
    <t>2023032508:40:42</t>
  </si>
  <si>
    <t>2023032513:17:20</t>
  </si>
  <si>
    <t>2023040109:00:00</t>
  </si>
  <si>
    <t>2023032514:20:36</t>
  </si>
  <si>
    <t>2023040112:04:41</t>
  </si>
  <si>
    <t>2023032612:20:10</t>
  </si>
  <si>
    <t>2023032916:00:00</t>
  </si>
  <si>
    <t>2023032612:19:52</t>
  </si>
  <si>
    <t>2023032612:20:26</t>
  </si>
  <si>
    <t>2023032613:05:05</t>
  </si>
  <si>
    <t>2023033009:00:00</t>
  </si>
  <si>
    <t>2023032613:52:00</t>
  </si>
  <si>
    <t>2023033114:28:16</t>
  </si>
  <si>
    <t>2023032614:25:16</t>
  </si>
  <si>
    <t>2023040216:00:00</t>
  </si>
  <si>
    <t>2023032713:17:17</t>
  </si>
  <si>
    <t>2023033014:00:00</t>
  </si>
  <si>
    <t>2023032714:58:30</t>
  </si>
  <si>
    <t>2023032715:05:47</t>
  </si>
  <si>
    <t>2023032808:52:10</t>
  </si>
  <si>
    <t>2023040200:19:24</t>
  </si>
  <si>
    <t>2023032814:14:44</t>
  </si>
  <si>
    <t>2023040112:05:02</t>
  </si>
  <si>
    <t>2023032915:20:54</t>
  </si>
  <si>
    <t>2023040209:00:00</t>
  </si>
  <si>
    <t>2023041209:42:50</t>
  </si>
  <si>
    <t>2023041616:00:00</t>
  </si>
  <si>
    <t>2023040308:34:43</t>
  </si>
  <si>
    <t>2023040509:00:00</t>
  </si>
  <si>
    <t>2023033014:02:53</t>
  </si>
  <si>
    <t>2023040316:00:00</t>
  </si>
  <si>
    <t>2023033015:08:34</t>
  </si>
  <si>
    <t>2023040107:52:22</t>
  </si>
  <si>
    <t>2023040709:00:00</t>
  </si>
  <si>
    <t>2023040112:09:03</t>
  </si>
  <si>
    <t>2023040812:05:37</t>
  </si>
  <si>
    <t>2023040112:10:16</t>
  </si>
  <si>
    <t>2023040809:00:00</t>
  </si>
  <si>
    <t>2023040113:34:34</t>
  </si>
  <si>
    <t>2023040117:28:58</t>
  </si>
  <si>
    <t>2023040716:00:00</t>
  </si>
  <si>
    <r>
      <rPr>
        <sz val="9"/>
        <color indexed="63"/>
        <rFont val="Microsoft YaHei Light"/>
        <family val="2"/>
        <charset val="134"/>
      </rPr>
      <t>伤口不佳</t>
    </r>
  </si>
  <si>
    <t>2023040214:28:47</t>
  </si>
  <si>
    <t>2023040614:00:00</t>
  </si>
  <si>
    <r>
      <rPr>
        <sz val="9"/>
        <color indexed="63"/>
        <rFont val="Microsoft YaHei Light"/>
        <family val="2"/>
        <charset val="134"/>
      </rPr>
      <t>股骨骨折</t>
    </r>
  </si>
  <si>
    <t>2023040214:30:31</t>
  </si>
  <si>
    <t>2023040313:04:34</t>
  </si>
  <si>
    <t>2023040314:08:47</t>
  </si>
  <si>
    <t>2023040909:00:00</t>
  </si>
  <si>
    <t>2023040316:22:09</t>
  </si>
  <si>
    <t>2023040916:00:00</t>
  </si>
  <si>
    <t>2023040318:25:32</t>
  </si>
  <si>
    <t>2023042314:57:13</t>
  </si>
  <si>
    <t>2023042616:00:00</t>
  </si>
  <si>
    <t>2023040512:04:50</t>
  </si>
  <si>
    <t>2023041109:00:00</t>
  </si>
  <si>
    <t>2023040514:24:18</t>
  </si>
  <si>
    <t>2023041214:00:00</t>
  </si>
  <si>
    <t>2023040514:50:23</t>
  </si>
  <si>
    <t>2023040812:05:47</t>
  </si>
  <si>
    <t>2023040609:39:46</t>
  </si>
  <si>
    <t>2023041114:00:00</t>
  </si>
  <si>
    <t>2023040611:54:50</t>
  </si>
  <si>
    <t>2023041016:00:00</t>
  </si>
  <si>
    <t>2023040610:25:21</t>
  </si>
  <si>
    <t>2023040914:00:00</t>
  </si>
  <si>
    <t>2023040612:47:11</t>
  </si>
  <si>
    <t>2023040715:01:45</t>
  </si>
  <si>
    <t>2023041216:00:00</t>
  </si>
  <si>
    <t>2023040812:14:11</t>
  </si>
  <si>
    <t>2023041416:00:00</t>
  </si>
  <si>
    <t>1725699</t>
  </si>
  <si>
    <t>2023040812:13:41</t>
  </si>
  <si>
    <t>2023041516:00:00</t>
  </si>
  <si>
    <r>
      <rPr>
        <sz val="9"/>
        <color indexed="63"/>
        <rFont val="Times New Roman"/>
        <family val="1"/>
      </rPr>
      <t>6</t>
    </r>
    <r>
      <rPr>
        <sz val="9"/>
        <color indexed="63"/>
        <rFont val="Microsoft YaHei Light"/>
        <family val="2"/>
        <charset val="134"/>
      </rPr>
      <t>岁</t>
    </r>
  </si>
  <si>
    <t>2023040813:27:18</t>
  </si>
  <si>
    <t>2023040813:54:06</t>
  </si>
  <si>
    <t>2023040814:20:56</t>
  </si>
  <si>
    <t>2023040913:43:47</t>
  </si>
  <si>
    <t>2023041314:20:52</t>
  </si>
  <si>
    <t>2023040913:59:53</t>
  </si>
  <si>
    <t>2023040919:29:42</t>
  </si>
  <si>
    <t>2023041407:40:27</t>
  </si>
  <si>
    <t>2023041010:40:22</t>
  </si>
  <si>
    <t>2023041401:58:48</t>
  </si>
  <si>
    <t>2023041408:26:23</t>
  </si>
  <si>
    <t>2023041609:00:00</t>
  </si>
  <si>
    <t>2023041015:01:12</t>
  </si>
  <si>
    <t>2023041316:00:00</t>
  </si>
  <si>
    <t>2023041015:22:33</t>
  </si>
  <si>
    <t>2023041016:23:00</t>
  </si>
  <si>
    <t>2023041114:11:39</t>
  </si>
  <si>
    <t>2023041714:57:13</t>
  </si>
  <si>
    <t>2023041113:01:22</t>
  </si>
  <si>
    <t>2023041215:01:08</t>
  </si>
  <si>
    <t>2023041714:00:00</t>
  </si>
  <si>
    <t>2023050916:01:50</t>
  </si>
  <si>
    <t>2023051609:00:00</t>
  </si>
  <si>
    <t>2023041615:23:02</t>
  </si>
  <si>
    <t>2023041909:00:00</t>
  </si>
  <si>
    <t>2023041508:34:36</t>
  </si>
  <si>
    <t>2023041507:47:19</t>
  </si>
  <si>
    <t>2023041311:55:41</t>
  </si>
  <si>
    <t>2023041313:14:58</t>
  </si>
  <si>
    <t>2023041314:54:13</t>
  </si>
  <si>
    <t>2023041415:08:03</t>
  </si>
  <si>
    <t>2023042016:00:00</t>
  </si>
  <si>
    <t>2023041512:32:56</t>
  </si>
  <si>
    <t>2023042116:00:00</t>
  </si>
  <si>
    <t>2023041509:56:19</t>
  </si>
  <si>
    <t>2023042009:00:00</t>
  </si>
  <si>
    <t>2023041510:13:39</t>
  </si>
  <si>
    <t>2023042416:00:00</t>
  </si>
  <si>
    <t>2023041510:55:23</t>
  </si>
  <si>
    <t>2023041911:57:15</t>
  </si>
  <si>
    <t>2023041514:43:43</t>
  </si>
  <si>
    <t>2023041613:17:51</t>
  </si>
  <si>
    <t>2023041613:57:16</t>
  </si>
  <si>
    <t>2023041614:12:51</t>
  </si>
  <si>
    <t>2023041614:27:38</t>
  </si>
  <si>
    <t>2023041615:23:05</t>
  </si>
  <si>
    <t>2023042109:00:00</t>
  </si>
  <si>
    <t>2023041615:51:34</t>
  </si>
  <si>
    <t>2023041914:26:55</t>
  </si>
  <si>
    <t>2023042309:00:00</t>
  </si>
  <si>
    <t>2023041814:12:33</t>
  </si>
  <si>
    <t>2023042316:00:00</t>
  </si>
  <si>
    <t>2023041814:35:50</t>
  </si>
  <si>
    <t>2023042515:32:00</t>
  </si>
  <si>
    <t>2023042814:00:00</t>
  </si>
  <si>
    <r>
      <rPr>
        <sz val="9"/>
        <color indexed="63"/>
        <rFont val="Times New Roman"/>
        <family val="1"/>
      </rPr>
      <t>76</t>
    </r>
    <r>
      <rPr>
        <sz val="9"/>
        <color indexed="63"/>
        <rFont val="Microsoft YaHei Light"/>
        <family val="2"/>
        <charset val="134"/>
      </rPr>
      <t>岁</t>
    </r>
  </si>
  <si>
    <t>2023041914:27:05</t>
  </si>
  <si>
    <t>2023042012:32:20</t>
  </si>
  <si>
    <t>2023042614:00:00</t>
  </si>
  <si>
    <t>2023042012:32:54</t>
  </si>
  <si>
    <t>2023042012:33:08</t>
  </si>
  <si>
    <t>2023042015:32:20</t>
  </si>
  <si>
    <t>2023042609:00:00</t>
  </si>
  <si>
    <t>2023042016:40:37</t>
  </si>
  <si>
    <t>2023042109:27:00</t>
  </si>
  <si>
    <t>2023042109:05:54</t>
  </si>
  <si>
    <t>2023042113:19:57</t>
  </si>
  <si>
    <t>2023042114:18:01</t>
  </si>
  <si>
    <t>2023042114:27:24</t>
  </si>
  <si>
    <t>2023042716:00:00</t>
  </si>
  <si>
    <t>2023042114:57:51</t>
  </si>
  <si>
    <t>2023042809:00:00</t>
  </si>
  <si>
    <t>2023042115:17:16</t>
  </si>
  <si>
    <t>2023042614:07:09</t>
  </si>
  <si>
    <t>2023042115:31:20</t>
  </si>
  <si>
    <t>2023042214:05:45</t>
  </si>
  <si>
    <t>2023042311:48:43</t>
  </si>
  <si>
    <t>2023042314:16:45</t>
  </si>
  <si>
    <t>2023042516:00:00</t>
  </si>
  <si>
    <t>2023042315:20:46</t>
  </si>
  <si>
    <t>2023042315:39:47</t>
  </si>
  <si>
    <t>2023042315:47:31</t>
  </si>
  <si>
    <t>2023042916:00:00</t>
  </si>
  <si>
    <t>2023042411:11:26</t>
  </si>
  <si>
    <t>2023042414:21:35</t>
  </si>
  <si>
    <t>2023042812:30:00</t>
  </si>
  <si>
    <t>2023042414:55:24</t>
  </si>
  <si>
    <t>2023042812:57:18</t>
  </si>
  <si>
    <t>2023042415:22:38</t>
  </si>
  <si>
    <t>2023050109:00:00</t>
  </si>
  <si>
    <t>2023042416:27:34</t>
  </si>
  <si>
    <t>2023042513:44:24</t>
  </si>
  <si>
    <t>2023042914:00:00</t>
  </si>
  <si>
    <t>2023042514:11:40</t>
  </si>
  <si>
    <t>2023042514:52:58</t>
  </si>
  <si>
    <t>2023050309:00:00</t>
  </si>
  <si>
    <t>2023042715:50:10</t>
  </si>
  <si>
    <t>2023043016:00:00</t>
  </si>
  <si>
    <t>2023042515:40:31</t>
  </si>
  <si>
    <t>2023042815:01:40</t>
  </si>
  <si>
    <t>2023042613:03:29</t>
  </si>
  <si>
    <t>2023042613:11:34</t>
  </si>
  <si>
    <t>2023042614:33:06</t>
  </si>
  <si>
    <t>2023043009:00:00</t>
  </si>
  <si>
    <t>2023042614:33:17</t>
  </si>
  <si>
    <t>2023050209:00:00</t>
  </si>
  <si>
    <t>2023042708:46:45</t>
  </si>
  <si>
    <t>2023050208:59:18</t>
  </si>
  <si>
    <t>2023050814:00:00</t>
  </si>
  <si>
    <t>2023042714:34:49</t>
  </si>
  <si>
    <t>2023042715:01:13</t>
  </si>
  <si>
    <t>2023042715:46:05</t>
  </si>
  <si>
    <t>2023042715:46:34</t>
  </si>
  <si>
    <t>2023050509:00:00</t>
  </si>
  <si>
    <t>2023042815:30:32</t>
  </si>
  <si>
    <t>2023050416:00:00</t>
  </si>
  <si>
    <t>2023043012:47:16</t>
  </si>
  <si>
    <t>2023043013:52:05</t>
  </si>
  <si>
    <t>2023050109:17:46</t>
  </si>
  <si>
    <t>2023050609:00:00</t>
  </si>
  <si>
    <t>2023050109:40:52</t>
  </si>
  <si>
    <t>2023050916:00:00</t>
  </si>
  <si>
    <t>2023050114:06:54</t>
  </si>
  <si>
    <t>2023050514:01:17</t>
  </si>
  <si>
    <t>2023050115:23:40</t>
  </si>
  <si>
    <t>2023050709:00:00</t>
  </si>
  <si>
    <t>2023050115:54:02</t>
  </si>
  <si>
    <t>2023050215:28:19</t>
  </si>
  <si>
    <t>2023070107:48:09</t>
  </si>
  <si>
    <t>2023070509:00:00</t>
  </si>
  <si>
    <t>2023050814:55:37</t>
  </si>
  <si>
    <t>2023051809:00:00</t>
  </si>
  <si>
    <t>2023050317:18:32</t>
  </si>
  <si>
    <t>2023050715:11:46</t>
  </si>
  <si>
    <t>2023051009:00:00</t>
  </si>
  <si>
    <t>2023050414:03:10</t>
  </si>
  <si>
    <t>2023051016:00:00</t>
  </si>
  <si>
    <t>2023050609:26:25</t>
  </si>
  <si>
    <t>2023051309:00:00</t>
  </si>
  <si>
    <t>2023050609:18:00</t>
  </si>
  <si>
    <t>2023050914:00:00</t>
  </si>
  <si>
    <t>2023050609:27:59</t>
  </si>
  <si>
    <t>2023050613:29:07</t>
  </si>
  <si>
    <t>2023050615:37:00</t>
  </si>
  <si>
    <t>2023051300:23:33</t>
  </si>
  <si>
    <t>2023051014:44:29</t>
  </si>
  <si>
    <t>2023051409:00:00</t>
  </si>
  <si>
    <t>2023050711:53:00</t>
  </si>
  <si>
    <t>2023051209:00:00</t>
  </si>
  <si>
    <t>2023050714:11:02</t>
  </si>
  <si>
    <t>2023050716:17:21</t>
  </si>
  <si>
    <t>2023050814:20:40</t>
  </si>
  <si>
    <t>2023051316:00:00</t>
  </si>
  <si>
    <t>2023050813:10:23</t>
  </si>
  <si>
    <t>2023051214:00:00</t>
  </si>
  <si>
    <t>2023050816:17:23</t>
  </si>
  <si>
    <t>2023051516:00:00</t>
  </si>
  <si>
    <t>2023050914:24:02</t>
  </si>
  <si>
    <t>2023050915:34:21</t>
  </si>
  <si>
    <t>2023051115:57:22</t>
  </si>
  <si>
    <t>2023051714:00:00</t>
  </si>
  <si>
    <t>2023051014:44:45</t>
  </si>
  <si>
    <t>2023051014:44:58</t>
  </si>
  <si>
    <t>2023051214:14:00</t>
  </si>
  <si>
    <t>2023051015:44:39</t>
  </si>
  <si>
    <t>2023051414:00:00</t>
  </si>
  <si>
    <t>2023051112:24:01</t>
  </si>
  <si>
    <t>2023051113:46:45</t>
  </si>
  <si>
    <t>2023051114:08:38</t>
  </si>
  <si>
    <t>2023051514:00:00</t>
  </si>
  <si>
    <t>2023051214:04:55</t>
  </si>
  <si>
    <t>2023051218:39:55</t>
  </si>
  <si>
    <t>2023051916:00:00</t>
  </si>
  <si>
    <t>2023051311:14:29</t>
  </si>
  <si>
    <t>2023052016:00:00</t>
  </si>
  <si>
    <t>2023051312:06:33</t>
  </si>
  <si>
    <t>2023052009:00:00</t>
  </si>
  <si>
    <t>2023051319:11:12</t>
  </si>
  <si>
    <t>2023061012:02:04</t>
  </si>
  <si>
    <t>2023051514:46:03</t>
  </si>
  <si>
    <t>2023051900:35:09</t>
  </si>
  <si>
    <t>2023051515:33:34</t>
  </si>
  <si>
    <t>2023052112:13:32</t>
  </si>
  <si>
    <t>2023051613:26:30</t>
  </si>
  <si>
    <r>
      <rPr>
        <sz val="9"/>
        <color indexed="63"/>
        <rFont val="Times New Roman"/>
        <family val="1"/>
      </rPr>
      <t>74</t>
    </r>
    <r>
      <rPr>
        <sz val="9"/>
        <color indexed="63"/>
        <rFont val="Microsoft YaHei Light"/>
        <family val="2"/>
        <charset val="134"/>
      </rPr>
      <t>岁</t>
    </r>
  </si>
  <si>
    <t>2023051613:58:58</t>
  </si>
  <si>
    <t>2023052109:00:00</t>
  </si>
  <si>
    <t>2023051614:01:40</t>
  </si>
  <si>
    <t>2023053114:02:01</t>
  </si>
  <si>
    <t>2023060409:00:00</t>
  </si>
  <si>
    <t>2023051715:14:15</t>
  </si>
  <si>
    <t>2023051709:26:55</t>
  </si>
  <si>
    <t>2023052509:00:00</t>
  </si>
  <si>
    <t>2023051714:43:21</t>
  </si>
  <si>
    <t>2023051809:23:55</t>
  </si>
  <si>
    <t>2023052216:00:00</t>
  </si>
  <si>
    <t>2023051813:08:46</t>
  </si>
  <si>
    <t>2023052316:00:00</t>
  </si>
  <si>
    <t>2023051815:43:09</t>
  </si>
  <si>
    <t>2023052214:00:00</t>
  </si>
  <si>
    <t>2023051816:02:15</t>
  </si>
  <si>
    <t>2023051913:58:57</t>
  </si>
  <si>
    <t>2023052516:00:00</t>
  </si>
  <si>
    <t>2023051914:56:46</t>
  </si>
  <si>
    <t>2023051915:29:34</t>
  </si>
  <si>
    <t>2023052009:51:42</t>
  </si>
  <si>
    <t>2023052609:00:00</t>
  </si>
  <si>
    <t>2023052010:23:12</t>
  </si>
  <si>
    <t>2023052416:00:00</t>
  </si>
  <si>
    <t>2023052012:25:54</t>
  </si>
  <si>
    <t>2023052616:00:00</t>
  </si>
  <si>
    <t>2023052112:38:51</t>
  </si>
  <si>
    <t>2023052112:40:28</t>
  </si>
  <si>
    <t>2023052113:11:46</t>
  </si>
  <si>
    <t>2023052712:22:12</t>
  </si>
  <si>
    <t>2023052114:13:47</t>
  </si>
  <si>
    <t>2023052115:06:49</t>
  </si>
  <si>
    <t>2023052210:03:46</t>
  </si>
  <si>
    <t>2023052709:00:00</t>
  </si>
  <si>
    <t>2023052216:10:44</t>
  </si>
  <si>
    <t>2023052809:00:00</t>
  </si>
  <si>
    <t>2023052315:17:10</t>
  </si>
  <si>
    <t>2023053112:26:26</t>
  </si>
  <si>
    <t>2023052412:23:03</t>
  </si>
  <si>
    <t>2023053016:00:00</t>
  </si>
  <si>
    <t>2023052410:56:26</t>
  </si>
  <si>
    <t>2023052410:58:20</t>
  </si>
  <si>
    <t>2023053012:08:56</t>
  </si>
  <si>
    <t>2023052413:58:57</t>
  </si>
  <si>
    <t>2023052816:00:00</t>
  </si>
  <si>
    <t>2023052414:03:46</t>
  </si>
  <si>
    <t>2023060216:00:00</t>
  </si>
  <si>
    <r>
      <rPr>
        <sz val="9"/>
        <color indexed="63"/>
        <rFont val="Microsoft YaHei Light"/>
        <family val="2"/>
        <charset val="134"/>
      </rPr>
      <t>左膝</t>
    </r>
    <r>
      <rPr>
        <sz val="9"/>
        <color indexed="63"/>
        <rFont val="Times New Roman"/>
        <family val="1"/>
      </rPr>
      <t>ACL PCL PMC CT*2</t>
    </r>
  </si>
  <si>
    <t>2023052414:13:29</t>
  </si>
  <si>
    <t>2023052414:42:55</t>
  </si>
  <si>
    <t>2023052416:45:01</t>
  </si>
  <si>
    <t>2023052514:24:20</t>
  </si>
  <si>
    <t>2023052916:00:00</t>
  </si>
  <si>
    <t>2023052614:18:47</t>
  </si>
  <si>
    <t>2023060116:00:00</t>
  </si>
  <si>
    <t>2023052614:22:53</t>
  </si>
  <si>
    <t>2023053109:00:00</t>
  </si>
  <si>
    <t>2023052614:35:17</t>
  </si>
  <si>
    <t>2023052615:22:53</t>
  </si>
  <si>
    <t>2023052615:47:01</t>
  </si>
  <si>
    <t>2023053114:00:00</t>
  </si>
  <si>
    <t>2023052715:16:18</t>
  </si>
  <si>
    <t>2023052810:35:49</t>
  </si>
  <si>
    <t>2023060312:02:59</t>
  </si>
  <si>
    <t>2023052813:28:49</t>
  </si>
  <si>
    <t>2023052913:54:49</t>
  </si>
  <si>
    <t>2023061314:34:20</t>
  </si>
  <si>
    <t>2023061616:00:00</t>
  </si>
  <si>
    <t>2023053014:49:45</t>
  </si>
  <si>
    <t>2023060309:00:00</t>
  </si>
  <si>
    <t>2023053014:58:56</t>
  </si>
  <si>
    <t>2023060307:46:32</t>
  </si>
  <si>
    <t>2023060614:00:00</t>
  </si>
  <si>
    <t>2023053115:12:33</t>
  </si>
  <si>
    <t>2023060714:00:00</t>
  </si>
  <si>
    <t>2023053114:39:59</t>
  </si>
  <si>
    <r>
      <rPr>
        <sz val="9"/>
        <color indexed="63"/>
        <rFont val="Microsoft YaHei Light"/>
        <family val="2"/>
        <charset val="134"/>
      </rPr>
      <t>骨折后</t>
    </r>
  </si>
  <si>
    <t>2023053110:02:30</t>
  </si>
  <si>
    <t>2023060308:36:04</t>
  </si>
  <si>
    <t>2023053111:56:47</t>
  </si>
  <si>
    <t>2023053115:29:49</t>
  </si>
  <si>
    <t>2023060416:00:00</t>
  </si>
  <si>
    <t>2023060114:01:21</t>
  </si>
  <si>
    <t>2023060516:00:00</t>
  </si>
  <si>
    <t>2023060114:12:25</t>
  </si>
  <si>
    <t>2023060414:00:00</t>
  </si>
  <si>
    <t>2023060114:14:10</t>
  </si>
  <si>
    <t>2023060115:28:23</t>
  </si>
  <si>
    <t>2023060115:54:42</t>
  </si>
  <si>
    <t>2023060714:27:31</t>
  </si>
  <si>
    <t>2023060115:54:30</t>
  </si>
  <si>
    <t>2023060213:59:46</t>
  </si>
  <si>
    <t>2023060816:00:00</t>
  </si>
  <si>
    <t>2023060214:27:49</t>
  </si>
  <si>
    <t>2023060709:08:03</t>
  </si>
  <si>
    <t>2023061211:18:31</t>
  </si>
  <si>
    <t>2023060412:35:47</t>
  </si>
  <si>
    <t>2023061009:00:00</t>
  </si>
  <si>
    <t>2023060414:11:38</t>
  </si>
  <si>
    <t>2023060414:13:26</t>
  </si>
  <si>
    <t>2023061012:02:40</t>
  </si>
  <si>
    <t>2023060414:27:39</t>
  </si>
  <si>
    <t>2023060909:00:00</t>
  </si>
  <si>
    <t>2023060414:44:16</t>
  </si>
  <si>
    <t>2023061116:00:00</t>
  </si>
  <si>
    <t>2023060414:54:26</t>
  </si>
  <si>
    <r>
      <rPr>
        <sz val="9"/>
        <color indexed="63"/>
        <rFont val="Microsoft YaHei Light"/>
        <family val="2"/>
        <charset val="134"/>
      </rPr>
      <t>左膝</t>
    </r>
    <r>
      <rPr>
        <sz val="9"/>
        <color indexed="63"/>
        <rFont val="Times New Roman"/>
        <family val="1"/>
      </rPr>
      <t>ACL PMC</t>
    </r>
  </si>
  <si>
    <t>2023060513:58:45</t>
  </si>
  <si>
    <t>2023060615:03:33</t>
  </si>
  <si>
    <t>2023060618:26:59</t>
  </si>
  <si>
    <t>2023061200:20:45</t>
  </si>
  <si>
    <t>2023060619:12:43</t>
  </si>
  <si>
    <t>2023060715:03:13</t>
  </si>
  <si>
    <t>2023061109:00:00</t>
  </si>
  <si>
    <t>2023060714:29:12</t>
  </si>
  <si>
    <t>2023060711:40:49</t>
  </si>
  <si>
    <t>2023060714:40:49</t>
  </si>
  <si>
    <t>2023060714:05:30</t>
  </si>
  <si>
    <t>2023061316:00:00</t>
  </si>
  <si>
    <t>2023060714:16:23</t>
  </si>
  <si>
    <t>2023060714:54:38</t>
  </si>
  <si>
    <t>2023061216:00:00</t>
  </si>
  <si>
    <t>2023060715:07:39</t>
  </si>
  <si>
    <t>2023060914:45:53</t>
  </si>
  <si>
    <t>2023061414:00:00</t>
  </si>
  <si>
    <t>2023060719:42:59</t>
  </si>
  <si>
    <t>2023060807:57:11</t>
  </si>
  <si>
    <t>2023061514:00:00</t>
  </si>
  <si>
    <t>2023060813:16:25</t>
  </si>
  <si>
    <t>2023060814:32:49</t>
  </si>
  <si>
    <t>2023060908:57:37</t>
  </si>
  <si>
    <t>2023060909:18:03</t>
  </si>
  <si>
    <t>2023062216:00:00</t>
  </si>
  <si>
    <t>2023061012:30:10</t>
  </si>
  <si>
    <t>2023061709:00:00</t>
  </si>
  <si>
    <t>2023061010:00:45</t>
  </si>
  <si>
    <t>2023061010:15:33</t>
  </si>
  <si>
    <t>2023061013:27:06</t>
  </si>
  <si>
    <t>2023061113:03:55</t>
  </si>
  <si>
    <t>2023061113:59:54</t>
  </si>
  <si>
    <t>2023061609:00:00</t>
  </si>
  <si>
    <t>2023061114:27:54</t>
  </si>
  <si>
    <t>2023061716:00:00</t>
  </si>
  <si>
    <t>2023061115:05:16</t>
  </si>
  <si>
    <t>2023061116:09:25</t>
  </si>
  <si>
    <t>2023061812:06:55</t>
  </si>
  <si>
    <t>2023061116:25:30</t>
  </si>
  <si>
    <t>2023061214:10:25</t>
  </si>
  <si>
    <t>2023061214:28:50</t>
  </si>
  <si>
    <t>2023061809:00:00</t>
  </si>
  <si>
    <t>2023061216:42:12</t>
  </si>
  <si>
    <t>2023062716:29:52</t>
  </si>
  <si>
    <t>2023070216:00:00</t>
  </si>
  <si>
    <t>2023061314:57:46</t>
  </si>
  <si>
    <t>2023061714:00:00</t>
  </si>
  <si>
    <t>2023061411:54:48</t>
  </si>
  <si>
    <t>2023061415:36:42</t>
  </si>
  <si>
    <t>2023061812:07:16</t>
  </si>
  <si>
    <t>2023062314:49:29</t>
  </si>
  <si>
    <t>2023062709:00:00</t>
  </si>
  <si>
    <t>2023061315:41:26</t>
  </si>
  <si>
    <t>2023061812:06:30</t>
  </si>
  <si>
    <t>2023061414:32:29</t>
  </si>
  <si>
    <t>2023062009:00:00</t>
  </si>
  <si>
    <t>2023061414:46:30</t>
  </si>
  <si>
    <t>2023061916:00:00</t>
  </si>
  <si>
    <t>2023061414:54:24</t>
  </si>
  <si>
    <t>2023061816:00:00</t>
  </si>
  <si>
    <t>2023061614:11:58</t>
  </si>
  <si>
    <t>2023062209:00:00</t>
  </si>
  <si>
    <t>2023061415:24:27</t>
  </si>
  <si>
    <t>2023070913:49:29</t>
  </si>
  <si>
    <t>2023071216:00:00</t>
  </si>
  <si>
    <t>2023061417:38:37</t>
  </si>
  <si>
    <t>2023061513:56:29</t>
  </si>
  <si>
    <t>2023062112:07:04</t>
  </si>
  <si>
    <t>2023061514:05:25</t>
  </si>
  <si>
    <t>2023062012:18:27</t>
  </si>
  <si>
    <t>2023061515:11:05</t>
  </si>
  <si>
    <t>2023061909:00:00</t>
  </si>
  <si>
    <t>2023061515:31:07</t>
  </si>
  <si>
    <t>2023061515:35:25</t>
  </si>
  <si>
    <t>2023070509:21:41</t>
  </si>
  <si>
    <t>2023070816:00:00</t>
  </si>
  <si>
    <t>2023061614:11:19</t>
  </si>
  <si>
    <t>2023062116:00:00</t>
  </si>
  <si>
    <t>2023061615:13:23</t>
  </si>
  <si>
    <t>2023062109:00:00</t>
  </si>
  <si>
    <t>2023061712:28:42</t>
  </si>
  <si>
    <t>2023062416:00:00</t>
  </si>
  <si>
    <t>2023061710:47:35</t>
  </si>
  <si>
    <t>2023062112:06:34</t>
  </si>
  <si>
    <t>2023061711:12:00</t>
  </si>
  <si>
    <t>2023061714:06:07</t>
  </si>
  <si>
    <t>2023061714:00:36</t>
  </si>
  <si>
    <t>2023061715:19:04</t>
  </si>
  <si>
    <t>2023061722:18:54</t>
  </si>
  <si>
    <t>2023061811:53:11</t>
  </si>
  <si>
    <t>2023061811:50:38</t>
  </si>
  <si>
    <t>2023062309:00:00</t>
  </si>
  <si>
    <t>2023061813:36:58</t>
  </si>
  <si>
    <t>2023061813:58:33</t>
  </si>
  <si>
    <t>2023061814:25:21</t>
  </si>
  <si>
    <t>2023062012:18:49</t>
  </si>
  <si>
    <t>2023061814:26:14</t>
  </si>
  <si>
    <t>2023061814:39:16</t>
  </si>
  <si>
    <t>2023062316:00:00</t>
  </si>
  <si>
    <t>2023061816:15:09</t>
  </si>
  <si>
    <t>2023061816:33:47</t>
  </si>
  <si>
    <t>2023062308:00:00</t>
  </si>
  <si>
    <t>2023061907:55:49</t>
  </si>
  <si>
    <t>2023061913:14:59</t>
  </si>
  <si>
    <t>2023061913:37:26</t>
  </si>
  <si>
    <t>2023061916:07:20</t>
  </si>
  <si>
    <t>2023062108:05:06</t>
  </si>
  <si>
    <t>2023062614:00:00</t>
  </si>
  <si>
    <t>2023062715:00:18</t>
  </si>
  <si>
    <t>2023070913:31:04</t>
  </si>
  <si>
    <t>2023071209:00:00</t>
  </si>
  <si>
    <t>2023062107:20:04</t>
  </si>
  <si>
    <t>2023062417:00:00</t>
  </si>
  <si>
    <t>2023062809:00:00</t>
  </si>
  <si>
    <t>2023062113:54:10</t>
  </si>
  <si>
    <t>2023062516:00:00</t>
  </si>
  <si>
    <t>2023062113:49:53</t>
  </si>
  <si>
    <t>2023062714:00:00</t>
  </si>
  <si>
    <t>2023062914:17:34</t>
  </si>
  <si>
    <t>2023062114:54:23</t>
  </si>
  <si>
    <t>2023062212:42:04</t>
  </si>
  <si>
    <t>2023062116:33:48</t>
  </si>
  <si>
    <t>2023062816:00:00</t>
  </si>
  <si>
    <t>2023062312:37:05</t>
  </si>
  <si>
    <t>2023062312:43:45</t>
  </si>
  <si>
    <t>2023062812:43:23</t>
  </si>
  <si>
    <t>2023062314:30:29</t>
  </si>
  <si>
    <t>2023062314:30:45</t>
  </si>
  <si>
    <t>2023062315:13:43</t>
  </si>
  <si>
    <t>2023062408:42:08</t>
  </si>
  <si>
    <t>2023070109:00:00</t>
  </si>
  <si>
    <t>2023062412:04:39</t>
  </si>
  <si>
    <t>2023062413:26:17</t>
  </si>
  <si>
    <t>2023062413:26:28</t>
  </si>
  <si>
    <t>2023062413:53:33</t>
  </si>
  <si>
    <t>2023062414:40:36</t>
  </si>
  <si>
    <t>2023063016:00:00</t>
  </si>
  <si>
    <t>2023062511:57:57</t>
  </si>
  <si>
    <t>2023062916:00:00</t>
  </si>
  <si>
    <t>2023062514:12:01</t>
  </si>
  <si>
    <t>2023062514:20:54</t>
  </si>
  <si>
    <t>2023062515:07:40</t>
  </si>
  <si>
    <t>2023070209:00:00</t>
  </si>
  <si>
    <t>2023062614:48:43</t>
  </si>
  <si>
    <t>2023062812:43:31</t>
  </si>
  <si>
    <t>2023062615:29:23</t>
  </si>
  <si>
    <t>2023062616:09:02</t>
  </si>
  <si>
    <t>2023062616:06:35</t>
  </si>
  <si>
    <t>2023062814:42:31</t>
  </si>
  <si>
    <t>2023062811:02:33</t>
  </si>
  <si>
    <t>2023071215:05:05</t>
  </si>
  <si>
    <t>2023071609:00:00</t>
  </si>
  <si>
    <t>2023070109:12:31</t>
  </si>
  <si>
    <t>2023062712:42:29</t>
  </si>
  <si>
    <t>2023070116:00:00</t>
  </si>
  <si>
    <t>2023062715:36:19</t>
  </si>
  <si>
    <t>2023062715:27:55</t>
  </si>
  <si>
    <t>2023070215:03:50</t>
  </si>
  <si>
    <t>2023062914:36:04</t>
  </si>
  <si>
    <t>2023070213:56:48</t>
  </si>
  <si>
    <t>2023070414:26:46</t>
  </si>
  <si>
    <t>2023070909:00:00</t>
  </si>
  <si>
    <t>2023062814:13:32</t>
  </si>
  <si>
    <t>2023062814:14:10</t>
  </si>
  <si>
    <t>2023062815:18:28</t>
  </si>
  <si>
    <t>2023062913:51:49</t>
  </si>
  <si>
    <t>2023070409:00:00</t>
  </si>
  <si>
    <t>2023062915:11:14</t>
  </si>
  <si>
    <t>2023070314:00:00</t>
  </si>
  <si>
    <t>2023070110:34:40</t>
  </si>
  <si>
    <t>2023070114:13:55</t>
  </si>
  <si>
    <t>2023070809:00:00</t>
  </si>
  <si>
    <t>2023070114:12:49</t>
  </si>
  <si>
    <t>2023070114:59:21</t>
  </si>
  <si>
    <t>2023070616:00:00</t>
  </si>
  <si>
    <t>2023070116:17:47</t>
  </si>
  <si>
    <t>2023070516:00:00</t>
  </si>
  <si>
    <t>2023070116:18:11</t>
  </si>
  <si>
    <t>2023070211:59:59</t>
  </si>
  <si>
    <t>2023070212:46:26</t>
  </si>
  <si>
    <t>2023070614:00:00</t>
  </si>
  <si>
    <t>2023070214:31:47</t>
  </si>
  <si>
    <t>2023070217:23:14</t>
  </si>
  <si>
    <t>2023070308:02:04</t>
  </si>
  <si>
    <t>2023070709:00:00</t>
  </si>
  <si>
    <t>2023070310:00:08</t>
  </si>
  <si>
    <t>2023070716:00:00</t>
  </si>
  <si>
    <t>2023070314:16:41</t>
  </si>
  <si>
    <t>2023070314:41:00</t>
  </si>
  <si>
    <t>2023070315:53:53</t>
  </si>
  <si>
    <t>2023070608:08:16</t>
  </si>
  <si>
    <t>2023070916:00:00</t>
  </si>
  <si>
    <t>2023070414:32:59</t>
  </si>
  <si>
    <t>2023070511:33:19</t>
  </si>
  <si>
    <t>2023070510:00:58</t>
  </si>
  <si>
    <t>2023070512:28:31</t>
  </si>
  <si>
    <t>2023071016:00:00</t>
  </si>
  <si>
    <t>2023070513:56:17</t>
  </si>
  <si>
    <t>2023071114:11:17</t>
  </si>
  <si>
    <t>2023071514:00:00</t>
  </si>
  <si>
    <t>2023071114:12:22</t>
  </si>
  <si>
    <t>2023071509:00:00</t>
  </si>
  <si>
    <t>2023071813:42:04</t>
  </si>
  <si>
    <t>2023072216:00:00</t>
  </si>
  <si>
    <t>2023070614:57:09</t>
  </si>
  <si>
    <t>2023070612:02:02</t>
  </si>
  <si>
    <t>2023071014:00:00</t>
  </si>
  <si>
    <t>2023070614:19:06</t>
  </si>
  <si>
    <t>2023070614:13:49</t>
  </si>
  <si>
    <t>2023070614:19:14</t>
  </si>
  <si>
    <t>2023070614:58:40</t>
  </si>
  <si>
    <t>2023071109:00:00</t>
  </si>
  <si>
    <t>2023070615:00:04</t>
  </si>
  <si>
    <t>2023071316:00:00</t>
  </si>
  <si>
    <t>2023070615:12:15</t>
  </si>
  <si>
    <t>2023070615:24:50</t>
  </si>
  <si>
    <t>2023070615:42:52</t>
  </si>
  <si>
    <t>2023070713:43:26</t>
  </si>
  <si>
    <t>2023070714:04:49</t>
  </si>
  <si>
    <t>2023071309:00:00</t>
  </si>
  <si>
    <t>2023071114:31:31</t>
  </si>
  <si>
    <t>2023071512:33:33</t>
  </si>
  <si>
    <t>2023070715:43:32</t>
  </si>
  <si>
    <t>2023070814:09:57</t>
  </si>
  <si>
    <t>2023070814:54:25</t>
  </si>
  <si>
    <t>2023071014:35:09</t>
  </si>
  <si>
    <t>2023071014:39:28</t>
  </si>
  <si>
    <t>2023071416:00:00</t>
  </si>
  <si>
    <t>2023071017:06:35</t>
  </si>
  <si>
    <t>2023071207:52:46</t>
  </si>
  <si>
    <t>2023072615:26:57</t>
  </si>
  <si>
    <t>2023073011:51:22</t>
  </si>
  <si>
    <t>2023072416:39:08</t>
  </si>
  <si>
    <t>2023072909:00:00</t>
  </si>
  <si>
    <t>2023071215:12:58</t>
  </si>
  <si>
    <t>2023071616:00:00</t>
  </si>
  <si>
    <t>2023071120:01:42</t>
  </si>
  <si>
    <t>2023071409:00:00</t>
  </si>
  <si>
    <t>2023071315:18:00</t>
  </si>
  <si>
    <t>2023071213:46:14</t>
  </si>
  <si>
    <t>2023071911:28:53</t>
  </si>
  <si>
    <t>2023071214:17:08</t>
  </si>
  <si>
    <t>2023071214:24:44</t>
  </si>
  <si>
    <t>2023071616:20:02</t>
  </si>
  <si>
    <t>2023071814:00:00</t>
  </si>
  <si>
    <t>2023071215:00:02</t>
  </si>
  <si>
    <t>2023071516:00:00</t>
  </si>
  <si>
    <t>2023071215:06:37</t>
  </si>
  <si>
    <t>2023071215:22:15</t>
  </si>
  <si>
    <t>2023071216:03:29</t>
  </si>
  <si>
    <t>2023071614:10:22</t>
  </si>
  <si>
    <t>2023071909:00:00</t>
  </si>
  <si>
    <t>2023073014:50:05</t>
  </si>
  <si>
    <t>2023080309:00:00</t>
  </si>
  <si>
    <t>2023071313:48:38</t>
  </si>
  <si>
    <t>2023071313:56:40</t>
  </si>
  <si>
    <t>2023071809:00:00</t>
  </si>
  <si>
    <t>2023071315:28:16</t>
  </si>
  <si>
    <t>2023071714:00:00</t>
  </si>
  <si>
    <t>2023071414:20:21</t>
  </si>
  <si>
    <t>2023071916:00:00</t>
  </si>
  <si>
    <t>2023071415:16:13</t>
  </si>
  <si>
    <t>2023071415:48:07</t>
  </si>
  <si>
    <t>2023071507:46:04</t>
  </si>
  <si>
    <t>2023071511:50:44</t>
  </si>
  <si>
    <t>2023071512:15:08</t>
  </si>
  <si>
    <t>2023071511:25:01</t>
  </si>
  <si>
    <t>2023071512:18:43</t>
  </si>
  <si>
    <t>2023072209:00:00</t>
  </si>
  <si>
    <t>2023071511:47:13</t>
  </si>
  <si>
    <t>2023071514:34:02</t>
  </si>
  <si>
    <t>2023071515:11:58</t>
  </si>
  <si>
    <t>2023071613:57:37</t>
  </si>
  <si>
    <t>2023072014:00:00</t>
  </si>
  <si>
    <t>2023071614:39:53</t>
  </si>
  <si>
    <t>2023071615:31:22</t>
  </si>
  <si>
    <t>2023072112:03:45</t>
  </si>
  <si>
    <t>2023071715:16:23</t>
  </si>
  <si>
    <t>2023072116:00:00</t>
  </si>
  <si>
    <t>2023071715:35:32</t>
  </si>
  <si>
    <t>2023072312:06:49</t>
  </si>
  <si>
    <t>2023071716:02:47</t>
  </si>
  <si>
    <t>2023071914:49:09</t>
  </si>
  <si>
    <t>2023072112:04:19</t>
  </si>
  <si>
    <t>2023071914:52:17</t>
  </si>
  <si>
    <t>2023072416:00:00</t>
  </si>
  <si>
    <t>2023071915:16:15</t>
  </si>
  <si>
    <t>2023072316:00:00</t>
  </si>
  <si>
    <t>2023071915:28:55</t>
  </si>
  <si>
    <t>2023072309:00:00</t>
  </si>
  <si>
    <t>2023071916:07:11</t>
  </si>
  <si>
    <t>2023071815:28:40</t>
  </si>
  <si>
    <t>2023072112:03:32</t>
  </si>
  <si>
    <t>2023073013:46:20</t>
  </si>
  <si>
    <t>2023080209:00:00</t>
  </si>
  <si>
    <t>2023071914:21:44</t>
  </si>
  <si>
    <t>2023071914:42:40</t>
  </si>
  <si>
    <t>2023071914:43:26</t>
  </si>
  <si>
    <t>2023071914:43:37</t>
  </si>
  <si>
    <t>2023071914:52:19</t>
  </si>
  <si>
    <t>2023071918:35:12</t>
  </si>
  <si>
    <t>2023072014:40:35</t>
  </si>
  <si>
    <t>2023072015:15:56</t>
  </si>
  <si>
    <t>2023072509:00:00</t>
  </si>
  <si>
    <t>2023072015:25:42</t>
  </si>
  <si>
    <t>2023072016:12:43</t>
  </si>
  <si>
    <t>2023072409:00:00</t>
  </si>
  <si>
    <t>2023072107:46:37</t>
  </si>
  <si>
    <t>2023072114:24:55</t>
  </si>
  <si>
    <t>2023072616:00:00</t>
  </si>
  <si>
    <t>2023080617:03:24</t>
  </si>
  <si>
    <t>2023080909:00:00</t>
  </si>
  <si>
    <t>2023072115:28:43</t>
  </si>
  <si>
    <t>2023072513:01:56</t>
  </si>
  <si>
    <t>2023072313:33:50</t>
  </si>
  <si>
    <t>2023072214:44:47</t>
  </si>
  <si>
    <t>2023072514:00:00</t>
  </si>
  <si>
    <t>2023072214:37:53</t>
  </si>
  <si>
    <t>2023072215:06:21</t>
  </si>
  <si>
    <r>
      <rPr>
        <sz val="9"/>
        <color indexed="63"/>
        <rFont val="Microsoft YaHei Light"/>
        <family val="2"/>
        <charset val="134"/>
      </rPr>
      <t>左膝</t>
    </r>
    <r>
      <rPr>
        <sz val="9"/>
        <color indexed="63"/>
        <rFont val="Times New Roman"/>
        <family val="1"/>
      </rPr>
      <t>ACL PCL MCL LCL</t>
    </r>
  </si>
  <si>
    <t>2023072218:54:41</t>
  </si>
  <si>
    <t>2023072816:00:00</t>
  </si>
  <si>
    <t>2023072308:49:29</t>
  </si>
  <si>
    <t>2023072313:44:27</t>
  </si>
  <si>
    <t>2023072716:00:00</t>
  </si>
  <si>
    <t>2023072315:55:31</t>
  </si>
  <si>
    <t>2023072317:20:14</t>
  </si>
  <si>
    <t>2023072409:12:14</t>
  </si>
  <si>
    <t>2023072414:21:21</t>
  </si>
  <si>
    <t>2023073009:00:00</t>
  </si>
  <si>
    <t>2023072414:43:25</t>
  </si>
  <si>
    <t>2023072415:04:47</t>
  </si>
  <si>
    <t>2023072415:21:29</t>
  </si>
  <si>
    <t>2023072416:32:30</t>
  </si>
  <si>
    <t>2023072713:12:13</t>
  </si>
  <si>
    <t>2023072416:24:19</t>
  </si>
  <si>
    <t>2023072811:49:39</t>
  </si>
  <si>
    <t>2023072609:51:38</t>
  </si>
  <si>
    <t>2023073011:51:07</t>
  </si>
  <si>
    <t>2023072513:52:06</t>
  </si>
  <si>
    <t>2023073011:56:34</t>
  </si>
  <si>
    <t>2023081614:08:48</t>
  </si>
  <si>
    <t>2023082012:17:12</t>
  </si>
  <si>
    <t>2023072515:28:22</t>
  </si>
  <si>
    <t>2023073112:13:11</t>
  </si>
  <si>
    <t>2023072516:32:09</t>
  </si>
  <si>
    <t>2023072907:42:20</t>
  </si>
  <si>
    <t>2023080215:01:40</t>
  </si>
  <si>
    <t>2023080409:00:00</t>
  </si>
  <si>
    <t>2023072610:31:12</t>
  </si>
  <si>
    <t>2023110810:22:32</t>
  </si>
  <si>
    <t>2023111016:00:00</t>
  </si>
  <si>
    <t>2023072610:20:14</t>
  </si>
  <si>
    <t>2023073112:12:41</t>
  </si>
  <si>
    <t>2023072610:43:25</t>
  </si>
  <si>
    <t>2023073011:55:40</t>
  </si>
  <si>
    <t>2023072611:54:57</t>
  </si>
  <si>
    <t>2023073011:57:01</t>
  </si>
  <si>
    <t>2023072614:32:12</t>
  </si>
  <si>
    <t>2023073109:00:00</t>
  </si>
  <si>
    <t>2023072614:57:44</t>
  </si>
  <si>
    <t>2023073012:16:08</t>
  </si>
  <si>
    <t>2023072615:06:54</t>
  </si>
  <si>
    <t>2023073011:57:52</t>
  </si>
  <si>
    <t>2023072615:43:04</t>
  </si>
  <si>
    <t>2023080216:00:00</t>
  </si>
  <si>
    <r>
      <rPr>
        <sz val="9"/>
        <color indexed="63"/>
        <rFont val="Microsoft YaHei Light"/>
        <family val="2"/>
        <charset val="134"/>
      </rPr>
      <t>骨折术后</t>
    </r>
  </si>
  <si>
    <t>2023072709:45:52</t>
  </si>
  <si>
    <t>2023073112:13:01</t>
  </si>
  <si>
    <t>2023072714:07:33</t>
  </si>
  <si>
    <t>2023073116:00:00</t>
  </si>
  <si>
    <t>2023072714:19:38</t>
  </si>
  <si>
    <t>2023072715:08:14</t>
  </si>
  <si>
    <t>2023072715:11:24</t>
  </si>
  <si>
    <t>2023073015:01:34</t>
  </si>
  <si>
    <t>2023080116:00:00</t>
  </si>
  <si>
    <t>2023072815:00:18</t>
  </si>
  <si>
    <t>2023072815:12:31</t>
  </si>
  <si>
    <t>2023072912:02:19</t>
  </si>
  <si>
    <t>2023080509:00:00</t>
  </si>
  <si>
    <t>2023072914:55:24</t>
  </si>
  <si>
    <t>2023080516:00:00</t>
  </si>
  <si>
    <t>2023072914:56:26</t>
  </si>
  <si>
    <t>2023072915:06:33</t>
  </si>
  <si>
    <t>2023072915:38:40</t>
  </si>
  <si>
    <t>2023073010:09:17</t>
  </si>
  <si>
    <t>2023073012:11:33</t>
  </si>
  <si>
    <t>2023080316:00:00</t>
  </si>
  <si>
    <t>2023073014:35:54</t>
  </si>
  <si>
    <t>2023073014:41:10</t>
  </si>
  <si>
    <t>2023073015:01:37</t>
  </si>
  <si>
    <t>2023073109:44:08</t>
  </si>
  <si>
    <t>2023073114:59:09</t>
  </si>
  <si>
    <t>2023073115:42:41</t>
  </si>
  <si>
    <t>2023073119:31:14</t>
  </si>
  <si>
    <t>2023080607:00:00</t>
  </si>
  <si>
    <t>2023073120:39:43</t>
  </si>
  <si>
    <t>2023080709:00:00</t>
  </si>
  <si>
    <t>2023080113:29:26</t>
  </si>
  <si>
    <t>2023080114:24:18</t>
  </si>
  <si>
    <t>2023080616:00:00</t>
  </si>
  <si>
    <t>2023080212:44:40</t>
  </si>
  <si>
    <r>
      <rPr>
        <sz val="9"/>
        <color indexed="63"/>
        <rFont val="Microsoft YaHei Light"/>
        <family val="2"/>
        <charset val="134"/>
      </rPr>
      <t>清创术</t>
    </r>
  </si>
  <si>
    <t>2023080214:23:19</t>
  </si>
  <si>
    <t>2023080614:09:39</t>
  </si>
  <si>
    <t>2023080614:34:18</t>
  </si>
  <si>
    <t>2023080514:14:55</t>
  </si>
  <si>
    <t>2023080215:11:32</t>
  </si>
  <si>
    <t>2023092614:15:02</t>
  </si>
  <si>
    <t>2023100214:00:00</t>
  </si>
  <si>
    <t>2023080216:36:57</t>
  </si>
  <si>
    <t>2023080716:00:00</t>
  </si>
  <si>
    <t>2023080311:55:12</t>
  </si>
  <si>
    <t>2023080313:55:49</t>
  </si>
  <si>
    <t>2023080714:00:00</t>
  </si>
  <si>
    <t>2023080314:16:23</t>
  </si>
  <si>
    <t>2023080314:05:12</t>
  </si>
  <si>
    <t>2023080314:54:46</t>
  </si>
  <si>
    <t>2023080315:08:45</t>
  </si>
  <si>
    <t>2023080315:34:40</t>
  </si>
  <si>
    <t>2023080316:15:17</t>
  </si>
  <si>
    <t>2023080414:52:49</t>
  </si>
  <si>
    <t>2023080814:00:00</t>
  </si>
  <si>
    <t>2023080415:27:40</t>
  </si>
  <si>
    <t>2023080615:26:39</t>
  </si>
  <si>
    <t>2023081009:00:00</t>
  </si>
  <si>
    <t>2023080415:13:06</t>
  </si>
  <si>
    <t>2023081116:00:00</t>
  </si>
  <si>
    <t>2023080415:25:52</t>
  </si>
  <si>
    <t>2023080916:00:00</t>
  </si>
  <si>
    <t>2023080511:25:51</t>
  </si>
  <si>
    <t>2023081309:00:00</t>
  </si>
  <si>
    <t>2023080511:31:23</t>
  </si>
  <si>
    <t>2023080516:14:52</t>
  </si>
  <si>
    <t>2023081209:00:00</t>
  </si>
  <si>
    <t>2023080611:32:22</t>
  </si>
  <si>
    <t>2023081016:00:00</t>
  </si>
  <si>
    <t>2023080708:02:15</t>
  </si>
  <si>
    <t>2023080713:39:51</t>
  </si>
  <si>
    <t>2023080714:51:55</t>
  </si>
  <si>
    <t>2023080814:15:32</t>
  </si>
  <si>
    <t>2023080914:25:33</t>
  </si>
  <si>
    <t>2023081315:05:44</t>
  </si>
  <si>
    <t>2023081609:00:00</t>
  </si>
  <si>
    <t>2023081008:44:47</t>
  </si>
  <si>
    <t>2023080916:02:37</t>
  </si>
  <si>
    <t>2023081312:41:54</t>
  </si>
  <si>
    <t>2023080917:31:42</t>
  </si>
  <si>
    <t>2023081509:00:00</t>
  </si>
  <si>
    <t>2023081012:40:01</t>
  </si>
  <si>
    <t>2023081416:00:00</t>
  </si>
  <si>
    <t>2023081011:09:07</t>
  </si>
  <si>
    <t>2023081014:11:58</t>
  </si>
  <si>
    <t>2023081015:12:39</t>
  </si>
  <si>
    <t>2023081108:16:25</t>
  </si>
  <si>
    <t>2023081515:11:02</t>
  </si>
  <si>
    <t>2023082012:17:17</t>
  </si>
  <si>
    <t>2023081108:21:10</t>
  </si>
  <si>
    <t>2023081616:00:00</t>
  </si>
  <si>
    <t>2023081114:52:55</t>
  </si>
  <si>
    <t>2023081115:16:59</t>
  </si>
  <si>
    <t>2023081115:12:26</t>
  </si>
  <si>
    <t>2023081115:24:18</t>
  </si>
  <si>
    <t>2023081210:10:51</t>
  </si>
  <si>
    <t>2023081709:00:00</t>
  </si>
  <si>
    <t>2023081210:04:48</t>
  </si>
  <si>
    <t>2023081608:36:25</t>
  </si>
  <si>
    <t>2023081313:22:10</t>
  </si>
  <si>
    <t>2023081716:00:00</t>
  </si>
  <si>
    <t>2023081314:06:16</t>
  </si>
  <si>
    <t>2023081809:00:00</t>
  </si>
  <si>
    <t>2023081315:58:57</t>
  </si>
  <si>
    <t>2023082709:00:00</t>
  </si>
  <si>
    <t>2023081315:22:30</t>
  </si>
  <si>
    <t>2023081316:09:31</t>
  </si>
  <si>
    <t>2023081317:22:55</t>
  </si>
  <si>
    <t>2023081412:02:04</t>
  </si>
  <si>
    <t>2023081413:47:34</t>
  </si>
  <si>
    <t>2023081414:24:33</t>
  </si>
  <si>
    <t>2023081415:39:52</t>
  </si>
  <si>
    <t>2023081512:21:57</t>
  </si>
  <si>
    <t>2023081514:14:34</t>
  </si>
  <si>
    <t>2023081816:00:00</t>
  </si>
  <si>
    <t>2023081516:59:20</t>
  </si>
  <si>
    <t>2023082214:00:00</t>
  </si>
  <si>
    <t>2023081612:14:44</t>
  </si>
  <si>
    <t>2023082016:00:00</t>
  </si>
  <si>
    <t>2023081612:15:00</t>
  </si>
  <si>
    <t>2023081613:44:07</t>
  </si>
  <si>
    <t>2023082012:17:05</t>
  </si>
  <si>
    <t>2023083008:04:03</t>
  </si>
  <si>
    <t>2023090309:00:00</t>
  </si>
  <si>
    <t>2023081615:01:23</t>
  </si>
  <si>
    <t>2023082012:17:49</t>
  </si>
  <si>
    <t>2023081709:50:41</t>
  </si>
  <si>
    <t>2023083019:33:35</t>
  </si>
  <si>
    <t>2023090509:00:00</t>
  </si>
  <si>
    <t>2023081712:18:07</t>
  </si>
  <si>
    <t>2023082114:00:00</t>
  </si>
  <si>
    <t>2023081714:32:21</t>
  </si>
  <si>
    <t>2023081715:03:16</t>
  </si>
  <si>
    <t>2023082109:00:00</t>
  </si>
  <si>
    <t>2023081715:23:13</t>
  </si>
  <si>
    <t>2023081809:19:01</t>
  </si>
  <si>
    <t>2023083016:00:00</t>
  </si>
  <si>
    <r>
      <rPr>
        <sz val="9"/>
        <color indexed="63"/>
        <rFont val="Microsoft YaHei Light"/>
        <family val="2"/>
        <charset val="134"/>
      </rPr>
      <t>术后发热</t>
    </r>
  </si>
  <si>
    <t>2023081814:51:33</t>
  </si>
  <si>
    <t>2023082316:00:00</t>
  </si>
  <si>
    <t>2023081815:10:43</t>
  </si>
  <si>
    <t>2023081816:48:21</t>
  </si>
  <si>
    <t>2023081913:53:30</t>
  </si>
  <si>
    <t>2023082016:30:18</t>
  </si>
  <si>
    <t>2023082707:00:00</t>
  </si>
  <si>
    <t>2023082015:35:57</t>
  </si>
  <si>
    <t>2023082516:00:00</t>
  </si>
  <si>
    <t>2023082015:44:44</t>
  </si>
  <si>
    <t>2023082607:32:43</t>
  </si>
  <si>
    <t>2023082015:54:07</t>
  </si>
  <si>
    <t>2023082016:05:58</t>
  </si>
  <si>
    <t>2023082607:32:33</t>
  </si>
  <si>
    <t>2023082113:06:23</t>
  </si>
  <si>
    <t>2023082114:50:21</t>
  </si>
  <si>
    <t>2023082416:00:00</t>
  </si>
  <si>
    <t>2023082212:36:06</t>
  </si>
  <si>
    <t>2023082616:00:00</t>
  </si>
  <si>
    <t>2023082214:01:22</t>
  </si>
  <si>
    <t>2023082213:41:26</t>
  </si>
  <si>
    <t>2023082214:36:22</t>
  </si>
  <si>
    <t>2023083009:00:00</t>
  </si>
  <si>
    <t>2023082312:43:42</t>
  </si>
  <si>
    <t>2023082716:00:00</t>
  </si>
  <si>
    <t>2023082315:26:03</t>
  </si>
  <si>
    <t>2023082916:00:00</t>
  </si>
  <si>
    <t>2023082412:07:17</t>
  </si>
  <si>
    <t>2023082909:00:00</t>
  </si>
  <si>
    <t>2023082414:07:27</t>
  </si>
  <si>
    <t>2023082814:00:00</t>
  </si>
  <si>
    <t>2023082414:08:49</t>
  </si>
  <si>
    <t>2023082414:55:39</t>
  </si>
  <si>
    <t>2023090212:00:00</t>
  </si>
  <si>
    <t>2023082414:49:53</t>
  </si>
  <si>
    <t>2023083116:00:00</t>
  </si>
  <si>
    <t>2023082515:19:36</t>
  </si>
  <si>
    <t>2023082515:50:34</t>
  </si>
  <si>
    <t>2023082612:14:17</t>
  </si>
  <si>
    <t>2023082615:10:58</t>
  </si>
  <si>
    <t>2023090209:00:00</t>
  </si>
  <si>
    <t>2023082709:52:44</t>
  </si>
  <si>
    <t>2023082713:48:27</t>
  </si>
  <si>
    <t>2023090116:00:00</t>
  </si>
  <si>
    <t>2023082714:19:52</t>
  </si>
  <si>
    <t>2023082715:58:44</t>
  </si>
  <si>
    <t>2023082720:04:47</t>
  </si>
  <si>
    <t>2023082720:14:26</t>
  </si>
  <si>
    <t>2023082810:27:50</t>
  </si>
  <si>
    <t>2023090114:00:00</t>
  </si>
  <si>
    <t>2023082813:57:48</t>
  </si>
  <si>
    <t>2023082814:57:26</t>
  </si>
  <si>
    <t>2023090307:18:53</t>
  </si>
  <si>
    <t>2023082815:46:29</t>
  </si>
  <si>
    <t>2023083113:52:26</t>
  </si>
  <si>
    <t>2023082915:39:05</t>
  </si>
  <si>
    <t>2023083009:35:19</t>
  </si>
  <si>
    <t>2023090816:00:00</t>
  </si>
  <si>
    <r>
      <rPr>
        <sz val="9"/>
        <color indexed="63"/>
        <rFont val="Microsoft YaHei Light"/>
        <family val="2"/>
        <charset val="134"/>
      </rPr>
      <t>发热</t>
    </r>
  </si>
  <si>
    <t>2023090208:00:25</t>
  </si>
  <si>
    <t>2023090609:00:00</t>
  </si>
  <si>
    <t>2023083014:18:53</t>
  </si>
  <si>
    <t>2023090316:00:00</t>
  </si>
  <si>
    <t>2023083112:02:34</t>
  </si>
  <si>
    <t>2023090414:00:00</t>
  </si>
  <si>
    <t>2023083113:31:59</t>
  </si>
  <si>
    <t>2023083114:28:56</t>
  </si>
  <si>
    <t>2023090516:00:00</t>
  </si>
  <si>
    <t>2023083115:05:18</t>
  </si>
  <si>
    <t>2023090113:47:02</t>
  </si>
  <si>
    <t>2023090709:00:00</t>
  </si>
  <si>
    <t>2023090213:47:45</t>
  </si>
  <si>
    <t>2023090813:00:00</t>
  </si>
  <si>
    <t>2023090214:01:51</t>
  </si>
  <si>
    <t>2023090214:11:20</t>
  </si>
  <si>
    <t>2023090912:19:49</t>
  </si>
  <si>
    <t>2023090214:42:31</t>
  </si>
  <si>
    <t>2023090909:00:00</t>
  </si>
  <si>
    <t>2023090312:52:48</t>
  </si>
  <si>
    <t>2023091009:00:00</t>
  </si>
  <si>
    <t>2023090314:22:14</t>
  </si>
  <si>
    <t>2023090314:28:42</t>
  </si>
  <si>
    <t>2023090616:00:00</t>
  </si>
  <si>
    <t>2023090315:59:36</t>
  </si>
  <si>
    <t>2023090319:12:24</t>
  </si>
  <si>
    <t>2023090413:12:21</t>
  </si>
  <si>
    <t>2023090716:00:00</t>
  </si>
  <si>
    <t>2023090413:57:34</t>
  </si>
  <si>
    <t>2023091114:00:00</t>
  </si>
  <si>
    <t>2023090512:33:23</t>
  </si>
  <si>
    <t>2023090607:42:11</t>
  </si>
  <si>
    <t>2023091209:00:00</t>
  </si>
  <si>
    <t>2023090515:47:39</t>
  </si>
  <si>
    <t>2023091109:00:00</t>
  </si>
  <si>
    <t>2023092712:09:59</t>
  </si>
  <si>
    <t>2023100209:00:00</t>
  </si>
  <si>
    <t>2023091315:39:58</t>
  </si>
  <si>
    <t>2023091709:00:00</t>
  </si>
  <si>
    <t>1793652</t>
  </si>
  <si>
    <t>2023090608:20:57</t>
  </si>
  <si>
    <t>1793819</t>
  </si>
  <si>
    <t>2023090612:26:02</t>
  </si>
  <si>
    <t>2023091413:00:00</t>
  </si>
  <si>
    <t>2023092708:53:45</t>
  </si>
  <si>
    <t>2023090616:30:15</t>
  </si>
  <si>
    <t>2023090914:37:01</t>
  </si>
  <si>
    <t>1794380</t>
  </si>
  <si>
    <t>2023090713:44:46</t>
  </si>
  <si>
    <t>2023091409:00:00</t>
  </si>
  <si>
    <t>1794563</t>
  </si>
  <si>
    <t>2023090715:57:25</t>
  </si>
  <si>
    <t>2023091416:00:00</t>
  </si>
  <si>
    <t>1794848</t>
  </si>
  <si>
    <t>2023090813:48:46</t>
  </si>
  <si>
    <r>
      <rPr>
        <sz val="9"/>
        <color indexed="63"/>
        <rFont val="Microsoft YaHei Light"/>
        <family val="2"/>
        <charset val="134"/>
      </rPr>
      <t>左膝</t>
    </r>
    <r>
      <rPr>
        <sz val="9"/>
        <color indexed="63"/>
        <rFont val="Times New Roman"/>
        <family val="1"/>
      </rPr>
      <t>ACL PCL PLC</t>
    </r>
  </si>
  <si>
    <t>1794869</t>
  </si>
  <si>
    <t>2023090814:03:52</t>
  </si>
  <si>
    <t>2023091316:00:00</t>
  </si>
  <si>
    <t>1794972</t>
  </si>
  <si>
    <t>2023090816:16:03</t>
  </si>
  <si>
    <t>1795228</t>
  </si>
  <si>
    <t>2023090914:11:25</t>
  </si>
  <si>
    <t>2023091612:02:38</t>
  </si>
  <si>
    <t>1795429</t>
  </si>
  <si>
    <t>2023091011:46:25</t>
  </si>
  <si>
    <t>1795444</t>
  </si>
  <si>
    <t>2023091012:56:14</t>
  </si>
  <si>
    <t>1795521</t>
  </si>
  <si>
    <t>2023091016:10:35</t>
  </si>
  <si>
    <t>2023091411:51:56</t>
  </si>
  <si>
    <t>1795870</t>
  </si>
  <si>
    <t>2023091113:40:31</t>
  </si>
  <si>
    <t>2023091816:00:00</t>
  </si>
  <si>
    <t>1795895</t>
  </si>
  <si>
    <t>2023091113:10:53</t>
  </si>
  <si>
    <t>1795904</t>
  </si>
  <si>
    <t>2023091113:40:44</t>
  </si>
  <si>
    <t>1795998</t>
  </si>
  <si>
    <t>2023091114:28:56</t>
  </si>
  <si>
    <t>2023091509:00:00</t>
  </si>
  <si>
    <t>1796023</t>
  </si>
  <si>
    <t>2023091115:16:23</t>
  </si>
  <si>
    <t>2023092016:00:00</t>
  </si>
  <si>
    <t>2023091211:52:57</t>
  </si>
  <si>
    <t>2024013110:36:58</t>
  </si>
  <si>
    <t>2024020309:00:00</t>
  </si>
  <si>
    <t>2023091216:13:00</t>
  </si>
  <si>
    <t>2023091708:53:40</t>
  </si>
  <si>
    <t>2023091313:43:50</t>
  </si>
  <si>
    <t>2023091716:00:00</t>
  </si>
  <si>
    <t>2023091314:12:26</t>
  </si>
  <si>
    <t>2023091314:12:05</t>
  </si>
  <si>
    <t>2023091314:37:35</t>
  </si>
  <si>
    <t>2023101015:43:35</t>
  </si>
  <si>
    <t>2023101509:00:00</t>
  </si>
  <si>
    <t>2023091409:48:41</t>
  </si>
  <si>
    <t>2023091412:20:11</t>
  </si>
  <si>
    <t>2023091413:57:55</t>
  </si>
  <si>
    <t>2023091515:43:39</t>
  </si>
  <si>
    <t>2023092209:00:00</t>
  </si>
  <si>
    <t>2023091608:50:02</t>
  </si>
  <si>
    <t>2023092009:00:00</t>
  </si>
  <si>
    <t>2023091613:56:24</t>
  </si>
  <si>
    <t>2023092316:00:00</t>
  </si>
  <si>
    <t>2023091620:43:20</t>
  </si>
  <si>
    <t>2023092409:00:00</t>
  </si>
  <si>
    <t>2023091713:14:26</t>
  </si>
  <si>
    <t>2023091716:26:26</t>
  </si>
  <si>
    <t>2023092216:00:00</t>
  </si>
  <si>
    <t>2023091816:24:35</t>
  </si>
  <si>
    <t>2023092116:00:00</t>
  </si>
  <si>
    <t>2023091818:15:05</t>
  </si>
  <si>
    <t>2023092212:00:00</t>
  </si>
  <si>
    <t>2023091913:49:08</t>
  </si>
  <si>
    <t>2023092014:00:00</t>
  </si>
  <si>
    <t>2023091911:57:48</t>
  </si>
  <si>
    <t>2023091916:06:53</t>
  </si>
  <si>
    <t>2023092909:00:00</t>
  </si>
  <si>
    <r>
      <rPr>
        <sz val="9"/>
        <color indexed="63"/>
        <rFont val="Microsoft YaHei Light"/>
        <family val="2"/>
        <charset val="134"/>
      </rPr>
      <t>关节粘连</t>
    </r>
  </si>
  <si>
    <t>2023092013:33:04</t>
  </si>
  <si>
    <t>2023092416:00:00</t>
  </si>
  <si>
    <t>2023092015:12:29</t>
  </si>
  <si>
    <t>2023092707:50:48</t>
  </si>
  <si>
    <t>2023092112:29:39</t>
  </si>
  <si>
    <t>2023092609:00:00</t>
  </si>
  <si>
    <t>2023092113:20:19</t>
  </si>
  <si>
    <t>2023092709:00:00</t>
  </si>
  <si>
    <t>2023092114:28:21</t>
  </si>
  <si>
    <t>2023092114:16:16</t>
  </si>
  <si>
    <t>2023092516:00:00</t>
  </si>
  <si>
    <t>2023092115:49:19</t>
  </si>
  <si>
    <t>2023092115:51:23</t>
  </si>
  <si>
    <t>2023092117:24:12</t>
  </si>
  <si>
    <t>2023092217:20:03</t>
  </si>
  <si>
    <t>2023092816:00:00</t>
  </si>
  <si>
    <t>2023092311:26:40</t>
  </si>
  <si>
    <t>2023093007:11:53</t>
  </si>
  <si>
    <t>2023092313:58:19</t>
  </si>
  <si>
    <t>2023092714:00:00</t>
  </si>
  <si>
    <t>2023092314:16:37</t>
  </si>
  <si>
    <t>2023093009:00:00</t>
  </si>
  <si>
    <t>2023092315:10:23</t>
  </si>
  <si>
    <t>2023092315:19:54</t>
  </si>
  <si>
    <t>2023092809:00:00</t>
  </si>
  <si>
    <t>2023092412:20:24</t>
  </si>
  <si>
    <t>2023092412:31:41</t>
  </si>
  <si>
    <t>2023092413:03:24</t>
  </si>
  <si>
    <t>2023092414:20:56</t>
  </si>
  <si>
    <t>2023092415:26:00</t>
  </si>
  <si>
    <t>2023092514:00:26</t>
  </si>
  <si>
    <t>2023092514:13:37</t>
  </si>
  <si>
    <t>2023093016:00:00</t>
  </si>
  <si>
    <t>2023092712:11:38</t>
  </si>
  <si>
    <t>2023092614:23:14</t>
  </si>
  <si>
    <t>2023101108:00:18</t>
  </si>
  <si>
    <t>2023092713:10:36</t>
  </si>
  <si>
    <t>2023100314:00:00</t>
  </si>
  <si>
    <t>2023092713:13:57</t>
  </si>
  <si>
    <t>1803294</t>
  </si>
  <si>
    <t>2023100408:32:27</t>
  </si>
  <si>
    <t>2023101016:00:00</t>
  </si>
  <si>
    <t>2023100813:55:10</t>
  </si>
  <si>
    <t>2023101109:00:00</t>
  </si>
  <si>
    <t>2023100815:18:07</t>
  </si>
  <si>
    <t>2023101114:00:00</t>
  </si>
  <si>
    <t>2023100814:29:37</t>
  </si>
  <si>
    <t>2023100608:17:15</t>
  </si>
  <si>
    <t>2023101009:00:00</t>
  </si>
  <si>
    <t>2023100608:17:03</t>
  </si>
  <si>
    <t>2023100609:51:47</t>
  </si>
  <si>
    <t>2023100614:50:56</t>
  </si>
  <si>
    <t>2023101312:00:12</t>
  </si>
  <si>
    <t>2023100708:20:04</t>
  </si>
  <si>
    <t>2023100914:00:00</t>
  </si>
  <si>
    <t>2023100714:29:27</t>
  </si>
  <si>
    <t>2023101216:00:00</t>
  </si>
  <si>
    <t>2023100715:09:50</t>
  </si>
  <si>
    <t>2023100715:42:29</t>
  </si>
  <si>
    <t>2023101416:00:00</t>
  </si>
  <si>
    <t>2023100813:40:36</t>
  </si>
  <si>
    <t>2023100813:57:48</t>
  </si>
  <si>
    <t>2023100815:39:34</t>
  </si>
  <si>
    <t>2023101516:00:00</t>
  </si>
  <si>
    <t>2023101008:47:34</t>
  </si>
  <si>
    <t>2023101309:02:39</t>
  </si>
  <si>
    <t>2023100910:56:32</t>
  </si>
  <si>
    <t>2023100914:27:50</t>
  </si>
  <si>
    <t>2023101409:00:00</t>
  </si>
  <si>
    <t>2023100914:26:11</t>
  </si>
  <si>
    <t>2023100915:04:08</t>
  </si>
  <si>
    <t>2023101011:59:07</t>
  </si>
  <si>
    <t>2023101309:00:00</t>
  </si>
  <si>
    <t>2023111214:11:39</t>
  </si>
  <si>
    <t>2023111509:00:00</t>
  </si>
  <si>
    <t>2023101013:24:40</t>
  </si>
  <si>
    <t>2023101013:38:15</t>
  </si>
  <si>
    <t>2023101709:00:00</t>
  </si>
  <si>
    <r>
      <rPr>
        <sz val="9"/>
        <color indexed="63"/>
        <rFont val="Microsoft YaHei Light"/>
        <family val="2"/>
        <charset val="134"/>
      </rPr>
      <t>右膝</t>
    </r>
    <r>
      <rPr>
        <sz val="9"/>
        <color indexed="63"/>
        <rFont val="Times New Roman"/>
        <family val="1"/>
      </rPr>
      <t>ACL PLC MCL</t>
    </r>
  </si>
  <si>
    <t>2023101013:51:25</t>
  </si>
  <si>
    <t>2023101413:00:00</t>
  </si>
  <si>
    <t>2023101015:58:09</t>
  </si>
  <si>
    <t>2023101214:39:34</t>
  </si>
  <si>
    <t>2023101113:23:48</t>
  </si>
  <si>
    <t>2023101608:32:17</t>
  </si>
  <si>
    <t>2023101115:34:39</t>
  </si>
  <si>
    <t>2023101714:00:00</t>
  </si>
  <si>
    <t>2023101513:58:21</t>
  </si>
  <si>
    <t>2023101809:00:00</t>
  </si>
  <si>
    <t>2023101214:26:28</t>
  </si>
  <si>
    <t>2023101212:27:34</t>
  </si>
  <si>
    <t>2023101614:00:00</t>
  </si>
  <si>
    <t>2023101211:26:13</t>
  </si>
  <si>
    <t>2023101616:00:00</t>
  </si>
  <si>
    <t>2023101214:22:10</t>
  </si>
  <si>
    <t>2023101215:33:56</t>
  </si>
  <si>
    <t>2023101314:57:54</t>
  </si>
  <si>
    <t>2023102016:00:00</t>
  </si>
  <si>
    <t>2023101411:39:58</t>
  </si>
  <si>
    <t>2023101414:11:35</t>
  </si>
  <si>
    <t>2023102009:00:00</t>
  </si>
  <si>
    <t>2023101414:20:59</t>
  </si>
  <si>
    <r>
      <rPr>
        <sz val="9"/>
        <color indexed="63"/>
        <rFont val="Times New Roman"/>
        <family val="1"/>
      </rPr>
      <t>66</t>
    </r>
    <r>
      <rPr>
        <sz val="9"/>
        <color indexed="63"/>
        <rFont val="Microsoft YaHei Light"/>
        <family val="2"/>
        <charset val="134"/>
      </rPr>
      <t>岁</t>
    </r>
  </si>
  <si>
    <t>2023101414:49:16</t>
  </si>
  <si>
    <t>2023102207:24:21</t>
  </si>
  <si>
    <t>2023101513:06:01</t>
  </si>
  <si>
    <t>2023101916:00:00</t>
  </si>
  <si>
    <t>2023101513:52:13</t>
  </si>
  <si>
    <t>2023102116:00:00</t>
  </si>
  <si>
    <t>2023101514:12:06</t>
  </si>
  <si>
    <t>2023102308:10:32</t>
  </si>
  <si>
    <t>2023101514:49:24</t>
  </si>
  <si>
    <t>2023101514:50:47</t>
  </si>
  <si>
    <t>2023101515:03:44</t>
  </si>
  <si>
    <t>2023101614:07:02</t>
  </si>
  <si>
    <t>2023101712:33:09</t>
  </si>
  <si>
    <t>2023102209:00:00</t>
  </si>
  <si>
    <t>2023101710:57:37</t>
  </si>
  <si>
    <t>2023101807:50:45</t>
  </si>
  <si>
    <t>2023102108:06:48</t>
  </si>
  <si>
    <t>2023102509:00:00</t>
  </si>
  <si>
    <t>2023102510:55:07</t>
  </si>
  <si>
    <t>2023103013:00:00</t>
  </si>
  <si>
    <t>2023111507:50:51</t>
  </si>
  <si>
    <t>2023111809:00:00</t>
  </si>
  <si>
    <t>2023101814:29:00</t>
  </si>
  <si>
    <t>2023102216:00:00</t>
  </si>
  <si>
    <t>2023101816:19:18</t>
  </si>
  <si>
    <t>2023101910:09:24</t>
  </si>
  <si>
    <t>2023102309:17:46</t>
  </si>
  <si>
    <t>2023101913:29:33</t>
  </si>
  <si>
    <t>2023102314:00:00</t>
  </si>
  <si>
    <t>2023101913:59:37</t>
  </si>
  <si>
    <t>2023101914:27:35</t>
  </si>
  <si>
    <t>2023101915:06:08</t>
  </si>
  <si>
    <t>2023102014:13:26</t>
  </si>
  <si>
    <t>2023102316:00:00</t>
  </si>
  <si>
    <t>2023102114:02:15</t>
  </si>
  <si>
    <t>2023102809:00:00</t>
  </si>
  <si>
    <t>2023102115:29:58</t>
  </si>
  <si>
    <t>2023111506:00:00</t>
  </si>
  <si>
    <t>2023102211:22:57</t>
  </si>
  <si>
    <t>2023102212:58:20</t>
  </si>
  <si>
    <t>2023102616:00:00</t>
  </si>
  <si>
    <t>2023102214:31:36</t>
  </si>
  <si>
    <t>2023102215:34:23</t>
  </si>
  <si>
    <t>2023102215:56:26</t>
  </si>
  <si>
    <t>2023102313:18:38</t>
  </si>
  <si>
    <t>1813572</t>
  </si>
  <si>
    <t>2023102314:16:51</t>
  </si>
  <si>
    <t>2023102909:00:00</t>
  </si>
  <si>
    <t>1813646</t>
  </si>
  <si>
    <t>2023102315:21:16</t>
  </si>
  <si>
    <t>2023102716:00:00</t>
  </si>
  <si>
    <t>1813650</t>
  </si>
  <si>
    <t>2023102315:20:55</t>
  </si>
  <si>
    <t>1813876</t>
  </si>
  <si>
    <t>2023102413:38:55</t>
  </si>
  <si>
    <t>2023102714:00:00</t>
  </si>
  <si>
    <t>1813963</t>
  </si>
  <si>
    <t>2023102507:49:50</t>
  </si>
  <si>
    <t>1814241</t>
  </si>
  <si>
    <t>2023110407:59:36</t>
  </si>
  <si>
    <t>2023110809:00:00</t>
  </si>
  <si>
    <t>1814253</t>
  </si>
  <si>
    <t>2023102608:52:39</t>
  </si>
  <si>
    <t>2023103009:00:00</t>
  </si>
  <si>
    <t>1814271</t>
  </si>
  <si>
    <t>2023102807:43:02</t>
  </si>
  <si>
    <t>2023110109:00:00</t>
  </si>
  <si>
    <t>1814413</t>
  </si>
  <si>
    <t>2023102513:40:52</t>
  </si>
  <si>
    <t>1814443</t>
  </si>
  <si>
    <t>2023102513:37:16</t>
  </si>
  <si>
    <t>2023103109:00:00</t>
  </si>
  <si>
    <t>1814523</t>
  </si>
  <si>
    <t>2023102513:59:17</t>
  </si>
  <si>
    <r>
      <rPr>
        <sz val="9"/>
        <color indexed="63"/>
        <rFont val="Microsoft YaHei Light"/>
        <family val="2"/>
        <charset val="134"/>
      </rPr>
      <t>左膝</t>
    </r>
    <r>
      <rPr>
        <sz val="9"/>
        <color indexed="63"/>
        <rFont val="Times New Roman"/>
        <family val="1"/>
      </rPr>
      <t>ACL LCL</t>
    </r>
  </si>
  <si>
    <t>1814525</t>
  </si>
  <si>
    <t>2023102514:04:18</t>
  </si>
  <si>
    <t>1814530</t>
  </si>
  <si>
    <t>2023102513:59:29</t>
  </si>
  <si>
    <t>1814560</t>
  </si>
  <si>
    <t>2023102514:16:40</t>
  </si>
  <si>
    <t>1814604</t>
  </si>
  <si>
    <t>2023102515:27:36</t>
  </si>
  <si>
    <t>1814758</t>
  </si>
  <si>
    <t>2023102613:15:07</t>
  </si>
  <si>
    <t>1814797</t>
  </si>
  <si>
    <t>2023102608:51:17</t>
  </si>
  <si>
    <t>1814990</t>
  </si>
  <si>
    <t>2023102613:27:55</t>
  </si>
  <si>
    <t>2023102613:59:21</t>
  </si>
  <si>
    <t>2023103014:00:00</t>
  </si>
  <si>
    <t>1815102</t>
  </si>
  <si>
    <t>2023102614:31:02</t>
  </si>
  <si>
    <t>2023102916:00:00</t>
  </si>
  <si>
    <t>1815154</t>
  </si>
  <si>
    <t>2023102615:24:47</t>
  </si>
  <si>
    <t>1815787</t>
  </si>
  <si>
    <t>2023102807:46:27</t>
  </si>
  <si>
    <t>2023110116:00:00</t>
  </si>
  <si>
    <t>1815788</t>
  </si>
  <si>
    <t>2023102808:27:23</t>
  </si>
  <si>
    <t>2023110209:00:00</t>
  </si>
  <si>
    <t>1816035</t>
  </si>
  <si>
    <t>2023102814:40:17</t>
  </si>
  <si>
    <t>2023110316:00:00</t>
  </si>
  <si>
    <t>1816056</t>
  </si>
  <si>
    <t>2023102815:34:20</t>
  </si>
  <si>
    <t>2023110214:38:26</t>
  </si>
  <si>
    <t>1816163</t>
  </si>
  <si>
    <t>2023102910:54:21</t>
  </si>
  <si>
    <t>2023110216:00:00</t>
  </si>
  <si>
    <t>1816225</t>
  </si>
  <si>
    <t>2023102914:20:44</t>
  </si>
  <si>
    <t>2023110309:00:00</t>
  </si>
  <si>
    <t>1816303</t>
  </si>
  <si>
    <t>2023103007:26:07</t>
  </si>
  <si>
    <t>1816773</t>
  </si>
  <si>
    <t>2023103014:21:54</t>
  </si>
  <si>
    <t>1816875</t>
  </si>
  <si>
    <t>2023103015:44:53</t>
  </si>
  <si>
    <t>1816937</t>
  </si>
  <si>
    <t>2023103020:53:26</t>
  </si>
  <si>
    <t>1816957</t>
  </si>
  <si>
    <t>2023103114:15:45</t>
  </si>
  <si>
    <t>1817005</t>
  </si>
  <si>
    <t>2023110108:14:25</t>
  </si>
  <si>
    <t>2023110409:00:00</t>
  </si>
  <si>
    <t>2023110808:06:19</t>
  </si>
  <si>
    <t>2023111009:00:00</t>
  </si>
  <si>
    <t>2023110110:37:49</t>
  </si>
  <si>
    <t>2023110107:56:36</t>
  </si>
  <si>
    <t>2023110109:55:12</t>
  </si>
  <si>
    <t>2023110813:21:52</t>
  </si>
  <si>
    <t>2023111113:03:00</t>
  </si>
  <si>
    <t>2023110610:58:44</t>
  </si>
  <si>
    <t>2023110814:00:00</t>
  </si>
  <si>
    <t>2023110814:16:48</t>
  </si>
  <si>
    <t>2023111113:00:00</t>
  </si>
  <si>
    <t>2023110409:21:12</t>
  </si>
  <si>
    <t>2023110116:11:59</t>
  </si>
  <si>
    <t>2023110616:00:00</t>
  </si>
  <si>
    <t>2023110213:12:38</t>
  </si>
  <si>
    <t>2023110213:55:08</t>
  </si>
  <si>
    <t>2023110516:00:00</t>
  </si>
  <si>
    <t>2023110214:14:00</t>
  </si>
  <si>
    <t>2023110916:00:00</t>
  </si>
  <si>
    <t>2023110215:07:33</t>
  </si>
  <si>
    <t>2023110314:04:53</t>
  </si>
  <si>
    <t>2023111109:00:00</t>
  </si>
  <si>
    <t>2023110414:03:36</t>
  </si>
  <si>
    <t>2023111116:00:00</t>
  </si>
  <si>
    <t>2023110414:14:08</t>
  </si>
  <si>
    <t>2023110417:22:31</t>
  </si>
  <si>
    <t>2023111209:00:00</t>
  </si>
  <si>
    <t>2023110511:44:22</t>
  </si>
  <si>
    <t>2023110813:14:38</t>
  </si>
  <si>
    <t>2023110809:12:19</t>
  </si>
  <si>
    <t>2023110909:00:00</t>
  </si>
  <si>
    <t>2023110614:50:27</t>
  </si>
  <si>
    <t>2023110615:18:47</t>
  </si>
  <si>
    <t>2023111107:31:45</t>
  </si>
  <si>
    <t>2023110615:07:07</t>
  </si>
  <si>
    <t>2023110814:18:57</t>
  </si>
  <si>
    <t>2023110713:50:07</t>
  </si>
  <si>
    <t>2023111216:00:00</t>
  </si>
  <si>
    <t>2023111013:55:49</t>
  </si>
  <si>
    <t>2023111607:27:42</t>
  </si>
  <si>
    <t>2023110713:54:20</t>
  </si>
  <si>
    <t>2023111313:00:00</t>
  </si>
  <si>
    <t>2023110716:21:32</t>
  </si>
  <si>
    <t>2023110814:28:28</t>
  </si>
  <si>
    <t>2023111215:01:00</t>
  </si>
  <si>
    <t>2023110818:59:12</t>
  </si>
  <si>
    <t>2023110912:57:52</t>
  </si>
  <si>
    <t>2023111316:00:00</t>
  </si>
  <si>
    <t>2023110917:01:45</t>
  </si>
  <si>
    <t>2023110921:36:12</t>
  </si>
  <si>
    <t>2023111013:33:16</t>
  </si>
  <si>
    <t>2023111113:35:01</t>
  </si>
  <si>
    <t>2023111909:00:00</t>
  </si>
  <si>
    <t>2023111113:37:45</t>
  </si>
  <si>
    <t>2023111211:25:13</t>
  </si>
  <si>
    <t>2023111607:27:28</t>
  </si>
  <si>
    <t>2023111213:34:09</t>
  </si>
  <si>
    <t>2023111816:00:00</t>
  </si>
  <si>
    <t>2023111215:23:11</t>
  </si>
  <si>
    <t>2023111610:29:40</t>
  </si>
  <si>
    <t>2023111313:31:34</t>
  </si>
  <si>
    <t>2023111315:36:06</t>
  </si>
  <si>
    <t>2023112112:03:07</t>
  </si>
  <si>
    <t>2023111613:39:41</t>
  </si>
  <si>
    <t>2023111507:51:35</t>
  </si>
  <si>
    <t>2023120608:08:38</t>
  </si>
  <si>
    <t>2023121009:00:00</t>
  </si>
  <si>
    <t>2023111514:31:05</t>
  </si>
  <si>
    <t>2023112009:00:00</t>
  </si>
  <si>
    <t>2023112217:10:22</t>
  </si>
  <si>
    <t>2023112609:00:00</t>
  </si>
  <si>
    <t>2023111515:07:00</t>
  </si>
  <si>
    <t>2023111916:00:00</t>
  </si>
  <si>
    <t>2023111808:07:39</t>
  </si>
  <si>
    <t>2023112016:00:00</t>
  </si>
  <si>
    <t>2023111610:58:26</t>
  </si>
  <si>
    <t>2023111900:12:16</t>
  </si>
  <si>
    <t>2023111611:18:04</t>
  </si>
  <si>
    <t>2023111613:25:49</t>
  </si>
  <si>
    <t>2023111613:57:37</t>
  </si>
  <si>
    <t>2023111613:58:08</t>
  </si>
  <si>
    <t>2023111614:51:44</t>
  </si>
  <si>
    <t>2023112216:00:00</t>
  </si>
  <si>
    <t>2023111614:51:54</t>
  </si>
  <si>
    <t>2023111615:14:03</t>
  </si>
  <si>
    <t>2023112215:33:27</t>
  </si>
  <si>
    <t>2023112115:03:49</t>
  </si>
  <si>
    <t>2023112709:00:00</t>
  </si>
  <si>
    <t>2023111715:51:24</t>
  </si>
  <si>
    <t>2023112316:00:00</t>
  </si>
  <si>
    <t>2023111815:24:26</t>
  </si>
  <si>
    <t>2023112309:00:00</t>
  </si>
  <si>
    <t>2023111912:08:10</t>
  </si>
  <si>
    <t>2023111913:09:59</t>
  </si>
  <si>
    <t>2023112509:00:00</t>
  </si>
  <si>
    <t>2023111913:33:17</t>
  </si>
  <si>
    <t>2023112414:00:00</t>
  </si>
  <si>
    <t>2023111914:07:10</t>
  </si>
  <si>
    <t>2023111914:20:14</t>
  </si>
  <si>
    <t>2023112409:00:00</t>
  </si>
  <si>
    <t>2023111915:09:58</t>
  </si>
  <si>
    <t>2023111915:29:25</t>
  </si>
  <si>
    <t>1825979</t>
  </si>
  <si>
    <t>2023111916:10:33</t>
  </si>
  <si>
    <t>2023112416:00:00</t>
  </si>
  <si>
    <t>1826284</t>
  </si>
  <si>
    <t>2023112011:41:10</t>
  </si>
  <si>
    <t>1826331</t>
  </si>
  <si>
    <t>2023112013:23:49</t>
  </si>
  <si>
    <t>1826339</t>
  </si>
  <si>
    <t>2023112013:24:06</t>
  </si>
  <si>
    <t>1826582</t>
  </si>
  <si>
    <t>2023112017:13:44</t>
  </si>
  <si>
    <t>1826599</t>
  </si>
  <si>
    <t>2023112019:09:05</t>
  </si>
  <si>
    <t>2023112116:00:00</t>
  </si>
  <si>
    <t>1826649</t>
  </si>
  <si>
    <t>2023112507:58:08</t>
  </si>
  <si>
    <t>2023112916:00:00</t>
  </si>
  <si>
    <t>1826804</t>
  </si>
  <si>
    <t>2023112113:52:17</t>
  </si>
  <si>
    <t>2023112512:02:06</t>
  </si>
  <si>
    <t>1827051</t>
  </si>
  <si>
    <t>2023113007:48:01</t>
  </si>
  <si>
    <t>2023120116:00:00</t>
  </si>
  <si>
    <t>1827081</t>
  </si>
  <si>
    <t>2023112116:21:42</t>
  </si>
  <si>
    <t>2023112909:00:00</t>
  </si>
  <si>
    <t>1827236</t>
  </si>
  <si>
    <t>2023120315:36:48</t>
  </si>
  <si>
    <t>2023120616:00:00</t>
  </si>
  <si>
    <t>1827317</t>
  </si>
  <si>
    <t>2023112210:12:56</t>
  </si>
  <si>
    <t>1827483</t>
  </si>
  <si>
    <t>2023112214:04:38</t>
  </si>
  <si>
    <t>2023112616:00:00</t>
  </si>
  <si>
    <t>1827583</t>
  </si>
  <si>
    <t>2023112215:10:21</t>
  </si>
  <si>
    <t>1827677</t>
  </si>
  <si>
    <t>2023112220:56:40</t>
  </si>
  <si>
    <t>2023112716:00:00</t>
  </si>
  <si>
    <t>1827688</t>
  </si>
  <si>
    <t>2023112307:01:26</t>
  </si>
  <si>
    <t>1827729</t>
  </si>
  <si>
    <t>2023112308:11:44</t>
  </si>
  <si>
    <t>1827755</t>
  </si>
  <si>
    <t>2023112316:17:20</t>
  </si>
  <si>
    <t>1827859</t>
  </si>
  <si>
    <t>2023112312:07:28</t>
  </si>
  <si>
    <t>1827873</t>
  </si>
  <si>
    <t>2023112314:20:28</t>
  </si>
  <si>
    <t>1828053</t>
  </si>
  <si>
    <t>2023112314:21:21</t>
  </si>
  <si>
    <t>1828093</t>
  </si>
  <si>
    <t>2023112314:37:52</t>
  </si>
  <si>
    <t>1828100</t>
  </si>
  <si>
    <t>2023112314:43:52</t>
  </si>
  <si>
    <t>1828167</t>
  </si>
  <si>
    <t>2023112317:02:21</t>
  </si>
  <si>
    <t>1828405</t>
  </si>
  <si>
    <t>2023112412:56:15</t>
  </si>
  <si>
    <t>1828651</t>
  </si>
  <si>
    <t>2023112420:53:37</t>
  </si>
  <si>
    <t>1828679</t>
  </si>
  <si>
    <t>2023112511:04:36</t>
  </si>
  <si>
    <t>1829037</t>
  </si>
  <si>
    <t>2023112610:08:55</t>
  </si>
  <si>
    <t>2023120209:00:00</t>
  </si>
  <si>
    <r>
      <rPr>
        <sz val="9"/>
        <color indexed="63"/>
        <rFont val="Microsoft YaHei Light"/>
        <family val="2"/>
        <charset val="134"/>
      </rPr>
      <t>术后</t>
    </r>
  </si>
  <si>
    <t>1829038</t>
  </si>
  <si>
    <t>2023112610:08:43</t>
  </si>
  <si>
    <t>1829104</t>
  </si>
  <si>
    <t>2023112614:29:33</t>
  </si>
  <si>
    <t>2023120109:00:00</t>
  </si>
  <si>
    <t>1829105</t>
  </si>
  <si>
    <t>2023112614:28:24</t>
  </si>
  <si>
    <t>1829120</t>
  </si>
  <si>
    <t>2023112615:28:18</t>
  </si>
  <si>
    <t>1829686</t>
  </si>
  <si>
    <t>2023112714:15:21</t>
  </si>
  <si>
    <t>2023113016:00:00</t>
  </si>
  <si>
    <t>1829713</t>
  </si>
  <si>
    <t>2023112714:15:43</t>
  </si>
  <si>
    <t>1829746</t>
  </si>
  <si>
    <t>2023113013:07:14</t>
  </si>
  <si>
    <t>2023120416:00:00</t>
  </si>
  <si>
    <t>2023112715:01:18</t>
  </si>
  <si>
    <t>1829791</t>
  </si>
  <si>
    <t>2023112715:01:42</t>
  </si>
  <si>
    <t>1830150</t>
  </si>
  <si>
    <t>2023120607:53:20</t>
  </si>
  <si>
    <t>2023121016:00:00</t>
  </si>
  <si>
    <t>1830201</t>
  </si>
  <si>
    <t>2024013109:10:59</t>
  </si>
  <si>
    <t>1830243</t>
  </si>
  <si>
    <t>2023112813:59:48</t>
  </si>
  <si>
    <t>2023120309:00:00</t>
  </si>
  <si>
    <t>1830350</t>
  </si>
  <si>
    <t>2023112911:23:14</t>
  </si>
  <si>
    <t>2023120609:00:00</t>
  </si>
  <si>
    <t>1830689</t>
  </si>
  <si>
    <t>2023112913:44:57</t>
  </si>
  <si>
    <t>2023120509:00:00</t>
  </si>
  <si>
    <t>1830691</t>
  </si>
  <si>
    <t>2023112913:12:31</t>
  </si>
  <si>
    <t>2023120409:00:00</t>
  </si>
  <si>
    <t>1830749</t>
  </si>
  <si>
    <t>2023112914:00:24</t>
  </si>
  <si>
    <t>2023120316:00:00</t>
  </si>
  <si>
    <t>1830788</t>
  </si>
  <si>
    <t>2023112914:01:24</t>
  </si>
  <si>
    <t>1830882</t>
  </si>
  <si>
    <t>2023112915:22:43</t>
  </si>
  <si>
    <t>1831437</t>
  </si>
  <si>
    <t>2023113015:15:13</t>
  </si>
  <si>
    <t>1831501</t>
  </si>
  <si>
    <t>2023113018:20:31</t>
  </si>
  <si>
    <t>1831637</t>
  </si>
  <si>
    <t>2023120715:04:43</t>
  </si>
  <si>
    <t>2023121116:00:00</t>
  </si>
  <si>
    <t>1831697</t>
  </si>
  <si>
    <t>2023120115:48:04</t>
  </si>
  <si>
    <t>2023120909:00:00</t>
  </si>
  <si>
    <t>1831824</t>
  </si>
  <si>
    <t>2023120113:50:43</t>
  </si>
  <si>
    <t>1832099</t>
  </si>
  <si>
    <t>2023120214:40:57</t>
  </si>
  <si>
    <t>1832233</t>
  </si>
  <si>
    <t>2023120215:22:35</t>
  </si>
  <si>
    <t>1832251</t>
  </si>
  <si>
    <t>2023120214:10:29</t>
  </si>
  <si>
    <t>1832278</t>
  </si>
  <si>
    <t>2023120214:55:19</t>
  </si>
  <si>
    <t>1832355</t>
  </si>
  <si>
    <t>2023120312:16:40</t>
  </si>
  <si>
    <t>2023120716:00:00</t>
  </si>
  <si>
    <t>1832555</t>
  </si>
  <si>
    <t>2023120314:28:03</t>
  </si>
  <si>
    <r>
      <rPr>
        <sz val="9"/>
        <color indexed="63"/>
        <rFont val="Microsoft YaHei Light"/>
        <family val="2"/>
        <charset val="134"/>
      </rPr>
      <t>踝关节损伤</t>
    </r>
  </si>
  <si>
    <t>1832630</t>
  </si>
  <si>
    <t>2023120413:33:43</t>
  </si>
  <si>
    <t>1833192</t>
  </si>
  <si>
    <t>2023120415:26:12</t>
  </si>
  <si>
    <t>2023121216:00:00</t>
  </si>
  <si>
    <t>1833438</t>
  </si>
  <si>
    <t>2023120513:15:33</t>
  </si>
  <si>
    <t>2023120816:00:00</t>
  </si>
  <si>
    <t>1833700</t>
  </si>
  <si>
    <t>2023122015:31:14</t>
  </si>
  <si>
    <t>2023122416:00:00</t>
  </si>
  <si>
    <t>1833811</t>
  </si>
  <si>
    <t>2023120520:02:46</t>
  </si>
  <si>
    <t>1833823</t>
  </si>
  <si>
    <t>2023120612:50:28</t>
  </si>
  <si>
    <t>1833915</t>
  </si>
  <si>
    <t>2023120613:23:27</t>
  </si>
  <si>
    <t>1833995</t>
  </si>
  <si>
    <t>2023120613:34:04</t>
  </si>
  <si>
    <t>1834106</t>
  </si>
  <si>
    <t>2023120613:30:42</t>
  </si>
  <si>
    <t>1834191</t>
  </si>
  <si>
    <t>2023120614:12:24</t>
  </si>
  <si>
    <t>2023121209:00:00</t>
  </si>
  <si>
    <t>1834231</t>
  </si>
  <si>
    <t>2023122314:49:26</t>
  </si>
  <si>
    <t>2023122716:00:00</t>
  </si>
  <si>
    <t>1834303</t>
  </si>
  <si>
    <t>2023120616:28:57</t>
  </si>
  <si>
    <t>1834383</t>
  </si>
  <si>
    <t>2023120708:11:12</t>
  </si>
  <si>
    <t>2023121409:00:00</t>
  </si>
  <si>
    <t>1834538</t>
  </si>
  <si>
    <t>2023120710:57:39</t>
  </si>
  <si>
    <t>1834706</t>
  </si>
  <si>
    <t>2023120714:13:47</t>
  </si>
  <si>
    <t>2023121109:00:00</t>
  </si>
  <si>
    <t>1834755</t>
  </si>
  <si>
    <t>2023120714:49:02</t>
  </si>
  <si>
    <t>1834761</t>
  </si>
  <si>
    <t>2023120714:54:43</t>
  </si>
  <si>
    <t>2023121509:00:00</t>
  </si>
  <si>
    <r>
      <rPr>
        <sz val="9"/>
        <color indexed="63"/>
        <rFont val="Microsoft YaHei Light"/>
        <family val="2"/>
        <charset val="134"/>
      </rPr>
      <t>左膝</t>
    </r>
    <r>
      <rPr>
        <sz val="9"/>
        <color indexed="63"/>
        <rFont val="Times New Roman"/>
        <family val="1"/>
      </rPr>
      <t>ACL LCL MPFL</t>
    </r>
  </si>
  <si>
    <t>1834793</t>
  </si>
  <si>
    <t>2023120715:17:10</t>
  </si>
  <si>
    <t>1834846</t>
  </si>
  <si>
    <t>2023120717:18:32</t>
  </si>
  <si>
    <t>1834954</t>
  </si>
  <si>
    <t>2023121214:43:41</t>
  </si>
  <si>
    <t>2023121909:00:00</t>
  </si>
  <si>
    <t>1835205</t>
  </si>
  <si>
    <t>2023120814:08:56</t>
  </si>
  <si>
    <t>2023121316:00:00</t>
  </si>
  <si>
    <t>1835304</t>
  </si>
  <si>
    <t>2023120815:36:05</t>
  </si>
  <si>
    <t>2023121416:00:00</t>
  </si>
  <si>
    <t>1835467</t>
  </si>
  <si>
    <t>2023120911:14:50</t>
  </si>
  <si>
    <t>1835581</t>
  </si>
  <si>
    <t>2023120912:25:07</t>
  </si>
  <si>
    <t>2023121809:00:00</t>
  </si>
  <si>
    <t>1835854</t>
  </si>
  <si>
    <t>2023121012:57:35</t>
  </si>
  <si>
    <t>2023121709:00:00</t>
  </si>
  <si>
    <t>1835934</t>
  </si>
  <si>
    <t>2023121015:22:10</t>
  </si>
  <si>
    <t>2023121609:00:00</t>
  </si>
  <si>
    <t>1835939</t>
  </si>
  <si>
    <t>2023121016:12:29</t>
  </si>
  <si>
    <t>1836345</t>
  </si>
  <si>
    <t>2023121113:20:57</t>
  </si>
  <si>
    <t>2023121414:00:00</t>
  </si>
  <si>
    <t>1836572</t>
  </si>
  <si>
    <t>2023121115:39:50</t>
  </si>
  <si>
    <t>1836609</t>
  </si>
  <si>
    <t>2023121116:38:19</t>
  </si>
  <si>
    <t>2023121616:00:00</t>
  </si>
  <si>
    <t>1836752</t>
  </si>
  <si>
    <t>2023121308:02:34</t>
  </si>
  <si>
    <t>2023121916:00:00</t>
  </si>
  <si>
    <t>1836810</t>
  </si>
  <si>
    <t>2023121317:31:40</t>
  </si>
  <si>
    <t>2023121716:00:00</t>
  </si>
  <si>
    <t>1836844</t>
  </si>
  <si>
    <t>2023121611:06:16</t>
  </si>
  <si>
    <t>2023122216:00:00</t>
  </si>
  <si>
    <t>1837084</t>
  </si>
  <si>
    <t>2023121215:30:10</t>
  </si>
  <si>
    <t>2023121216:17:22</t>
  </si>
  <si>
    <t>2023121816:00:00</t>
  </si>
  <si>
    <t>1837384</t>
  </si>
  <si>
    <t>2023121713:49:55</t>
  </si>
  <si>
    <t>2023122116:00:00</t>
  </si>
  <si>
    <t>1837501</t>
  </si>
  <si>
    <t>2023121313:50:48</t>
  </si>
  <si>
    <t>1837598</t>
  </si>
  <si>
    <t>2023121314:34:06</t>
  </si>
  <si>
    <t>1837937</t>
  </si>
  <si>
    <t>2023121815:12:46</t>
  </si>
  <si>
    <t>1837966</t>
  </si>
  <si>
    <t>2023121413:08:51</t>
  </si>
  <si>
    <t>1838068</t>
  </si>
  <si>
    <t>2023121414:23:58</t>
  </si>
  <si>
    <t>1838090</t>
  </si>
  <si>
    <t>2023121414:25:39</t>
  </si>
  <si>
    <t>2023122109:00:00</t>
  </si>
  <si>
    <t>1838105</t>
  </si>
  <si>
    <t>2023121414:41:27</t>
  </si>
  <si>
    <t>1838120</t>
  </si>
  <si>
    <t>2023121414:54:12</t>
  </si>
  <si>
    <t>2023122016:00:00</t>
  </si>
  <si>
    <t>1838160</t>
  </si>
  <si>
    <t>2023121415:30:03</t>
  </si>
  <si>
    <t>1838180</t>
  </si>
  <si>
    <t>2023121417:15:53</t>
  </si>
  <si>
    <t>1838184</t>
  </si>
  <si>
    <t>2023121416:19:14</t>
  </si>
  <si>
    <t>1838189</t>
  </si>
  <si>
    <t>2023121416:31:37</t>
  </si>
  <si>
    <t>1838553</t>
  </si>
  <si>
    <t>2023121514:04:31</t>
  </si>
  <si>
    <t>2023122316:00:00</t>
  </si>
  <si>
    <r>
      <rPr>
        <sz val="9"/>
        <color indexed="63"/>
        <rFont val="Microsoft YaHei Light"/>
        <family val="2"/>
        <charset val="134"/>
      </rPr>
      <t>伤口不愈合</t>
    </r>
  </si>
  <si>
    <t>1838559</t>
  </si>
  <si>
    <t>2023121514:10:31</t>
  </si>
  <si>
    <t>1838820</t>
  </si>
  <si>
    <t>2023121610:29:02</t>
  </si>
  <si>
    <t>1838950</t>
  </si>
  <si>
    <t>2023121614:34:11</t>
  </si>
  <si>
    <t>1839007</t>
  </si>
  <si>
    <t>2023121614:05:45</t>
  </si>
  <si>
    <t>1839073</t>
  </si>
  <si>
    <t>2023121615:09:06</t>
  </si>
  <si>
    <t>2023122309:00:00</t>
  </si>
  <si>
    <t>1839291</t>
  </si>
  <si>
    <t>2023121714:28:42</t>
  </si>
  <si>
    <t>1839297</t>
  </si>
  <si>
    <t>2023121714:50:03</t>
  </si>
  <si>
    <t>1839994</t>
  </si>
  <si>
    <t>2023121815:41:26</t>
  </si>
  <si>
    <t>1840121</t>
  </si>
  <si>
    <t>2023122107:51:47</t>
  </si>
  <si>
    <t>2023122609:00:00</t>
  </si>
  <si>
    <t>1840136</t>
  </si>
  <si>
    <t>2023122013:09:58</t>
  </si>
  <si>
    <t>1840294</t>
  </si>
  <si>
    <t>2023121914:29:38</t>
  </si>
  <si>
    <t>2023122409:00:00</t>
  </si>
  <si>
    <t>1840490</t>
  </si>
  <si>
    <t>2023121914:58:09</t>
  </si>
  <si>
    <t>2023122614:00:00</t>
  </si>
  <si>
    <t>1840535</t>
  </si>
  <si>
    <t>2023122115:47:36</t>
  </si>
  <si>
    <t>1840541</t>
  </si>
  <si>
    <t>2023121915:40:29</t>
  </si>
  <si>
    <t>1840545</t>
  </si>
  <si>
    <t>2023122309:27:20</t>
  </si>
  <si>
    <t>2023122714:00:00</t>
  </si>
  <si>
    <t>1840832</t>
  </si>
  <si>
    <t>2023122010:48:47</t>
  </si>
  <si>
    <t>1840864</t>
  </si>
  <si>
    <t>2023122609:45:50</t>
  </si>
  <si>
    <t>2024010216:00:00</t>
  </si>
  <si>
    <t>1840891</t>
  </si>
  <si>
    <t>2023122013:10:04</t>
  </si>
  <si>
    <t>2023122516:00:00</t>
  </si>
  <si>
    <t>1841092</t>
  </si>
  <si>
    <t>2023122709:54:15</t>
  </si>
  <si>
    <t>2023123116:00:00</t>
  </si>
  <si>
    <t>1841405</t>
  </si>
  <si>
    <t>2023122716:23:57</t>
  </si>
  <si>
    <t>2023123109:00:00</t>
  </si>
  <si>
    <t>1841522</t>
  </si>
  <si>
    <t>2023122114:19:55</t>
  </si>
  <si>
    <t>1841545</t>
  </si>
  <si>
    <t>2023122116:07:21</t>
  </si>
  <si>
    <t>2023122509:00:00</t>
  </si>
  <si>
    <t>1841563</t>
  </si>
  <si>
    <t>2023122115:01:50</t>
  </si>
  <si>
    <t>1841598</t>
  </si>
  <si>
    <t>2023122115:44:22</t>
  </si>
  <si>
    <t>2023122616:00:00</t>
  </si>
  <si>
    <t>1841979</t>
  </si>
  <si>
    <t>2023122214:02:05</t>
  </si>
  <si>
    <t>2023122902:10:26</t>
  </si>
  <si>
    <t>1841992</t>
  </si>
  <si>
    <t>2023122214:06:15</t>
  </si>
  <si>
    <t>2023122709:00:00</t>
  </si>
  <si>
    <t>1842152</t>
  </si>
  <si>
    <t>2023122217:52:08</t>
  </si>
  <si>
    <t>2023122916:00:00</t>
  </si>
  <si>
    <t>1842236</t>
  </si>
  <si>
    <t>2023122310:33:23</t>
  </si>
  <si>
    <t>1842309</t>
  </si>
  <si>
    <t>2023122316:24:43</t>
  </si>
  <si>
    <t>2023122816:00:00</t>
  </si>
  <si>
    <t>1842319</t>
  </si>
  <si>
    <t>2023122313:54:12</t>
  </si>
  <si>
    <t>1842340</t>
  </si>
  <si>
    <t>2023122316:25:36</t>
  </si>
  <si>
    <t>1842413</t>
  </si>
  <si>
    <t>2023122314:35:52</t>
  </si>
  <si>
    <t>1842422</t>
  </si>
  <si>
    <t>2023122314:39:30</t>
  </si>
  <si>
    <t>1842424</t>
  </si>
  <si>
    <t>2023122314:39:13</t>
  </si>
  <si>
    <t>2023123009:00:00</t>
  </si>
  <si>
    <r>
      <rPr>
        <sz val="9"/>
        <color rgb="FF333333"/>
        <rFont val="Microsoft YaHei Light"/>
        <family val="2"/>
        <charset val="134"/>
      </rPr>
      <t>右膝</t>
    </r>
    <r>
      <rPr>
        <sz val="9"/>
        <color rgb="FF333333"/>
        <rFont val="Times New Roman"/>
        <family val="1"/>
      </rPr>
      <t>ACL MPFLR</t>
    </r>
  </si>
  <si>
    <t>1842430</t>
  </si>
  <si>
    <t>2023122314:47:46</t>
  </si>
  <si>
    <t>1842516</t>
  </si>
  <si>
    <t>2023122321:14:27</t>
  </si>
  <si>
    <t>1842707</t>
  </si>
  <si>
    <t>2023122415:10:11</t>
  </si>
  <si>
    <t>1842897</t>
  </si>
  <si>
    <t>2023122508:59:41</t>
  </si>
  <si>
    <t>1842906</t>
  </si>
  <si>
    <t>2023122508:53:01</t>
  </si>
  <si>
    <t>2024010109:00:00</t>
  </si>
  <si>
    <t>1843152</t>
  </si>
  <si>
    <t>2023122513:36:16</t>
  </si>
  <si>
    <t>1843348</t>
  </si>
  <si>
    <t>2023122515:17:09</t>
  </si>
  <si>
    <t>2023123016:00:00</t>
  </si>
  <si>
    <t>1843400</t>
  </si>
  <si>
    <t>2023122516:02:55</t>
  </si>
  <si>
    <t>1843503</t>
  </si>
  <si>
    <t>2023122613:37:00</t>
  </si>
  <si>
    <t>2023122912:15:25</t>
  </si>
  <si>
    <t>1843531</t>
  </si>
  <si>
    <t>2024010414:27:39</t>
  </si>
  <si>
    <t>2024010816:00:00</t>
  </si>
  <si>
    <t>1843637</t>
  </si>
  <si>
    <t>2023122714:22:19</t>
  </si>
  <si>
    <t>2024010209:00:00</t>
  </si>
  <si>
    <t>1843767</t>
  </si>
  <si>
    <t>2023122614:07:00</t>
  </si>
  <si>
    <t>1843771</t>
  </si>
  <si>
    <t>2024012408:46:45</t>
  </si>
  <si>
    <t>2024012709:00:00</t>
  </si>
  <si>
    <t>2024010213:25:41</t>
  </si>
  <si>
    <t>2024010709:00:00</t>
  </si>
  <si>
    <t>2023122615:35:22</t>
  </si>
  <si>
    <t>2024010215:31:55</t>
  </si>
  <si>
    <t>2024010609:00:00</t>
  </si>
  <si>
    <t>2023122715:26:53</t>
  </si>
  <si>
    <t>2023122715:24:31</t>
  </si>
  <si>
    <t>2023122715:36:34</t>
  </si>
  <si>
    <t>2023122814:38:38</t>
  </si>
  <si>
    <t>2023123010:15:02</t>
  </si>
  <si>
    <t>2024010316:00:00</t>
  </si>
  <si>
    <t>2023122914:32:44</t>
  </si>
  <si>
    <t>2023122914:25:54</t>
  </si>
  <si>
    <t>2024010516:00:00</t>
  </si>
  <si>
    <r>
      <rPr>
        <sz val="9"/>
        <color indexed="63"/>
        <rFont val="Microsoft YaHei Light"/>
        <family val="2"/>
        <charset val="134"/>
      </rPr>
      <t>左</t>
    </r>
    <r>
      <rPr>
        <sz val="9"/>
        <color indexed="63"/>
        <rFont val="Times New Roman"/>
        <family val="1"/>
      </rPr>
      <t>ACL</t>
    </r>
    <r>
      <rPr>
        <sz val="9"/>
        <color indexed="63"/>
        <rFont val="Microsoft YaHei Light"/>
        <family val="2"/>
        <charset val="134"/>
      </rPr>
      <t>、</t>
    </r>
    <r>
      <rPr>
        <sz val="9"/>
        <color indexed="63"/>
        <rFont val="Times New Roman"/>
        <family val="1"/>
      </rPr>
      <t>PCL</t>
    </r>
    <r>
      <rPr>
        <sz val="9"/>
        <color indexed="63"/>
        <rFont val="Microsoft YaHei Light"/>
        <family val="2"/>
        <charset val="134"/>
      </rPr>
      <t>、</t>
    </r>
    <r>
      <rPr>
        <sz val="9"/>
        <color indexed="63"/>
        <rFont val="Times New Roman"/>
        <family val="1"/>
      </rPr>
      <t>MCL</t>
    </r>
  </si>
  <si>
    <t>2023122913:14:03</t>
  </si>
  <si>
    <t>2024010416:00:00</t>
  </si>
  <si>
    <t>2023122913:16:25</t>
  </si>
  <si>
    <t>2023122913:59:53</t>
  </si>
  <si>
    <t>2023122915:08:17</t>
  </si>
  <si>
    <t>1845558</t>
  </si>
  <si>
    <t>2023122921:11:57</t>
  </si>
  <si>
    <t>2023123010:02:34</t>
  </si>
  <si>
    <t>2023123012:02:43</t>
  </si>
  <si>
    <t>2024010110:41:08</t>
  </si>
  <si>
    <t>2024010110:41:35</t>
  </si>
  <si>
    <t>2024010509:00:00</t>
  </si>
  <si>
    <t>2024010111:52:04</t>
  </si>
  <si>
    <t>2024010114:23:42</t>
  </si>
  <si>
    <t>2024010114:53:18</t>
  </si>
  <si>
    <r>
      <rPr>
        <sz val="9"/>
        <color indexed="63"/>
        <rFont val="Microsoft YaHei Light"/>
        <family val="2"/>
        <charset val="134"/>
      </rPr>
      <t>右</t>
    </r>
    <r>
      <rPr>
        <sz val="9"/>
        <color indexed="63"/>
        <rFont val="Times New Roman"/>
        <family val="1"/>
      </rPr>
      <t>ACL</t>
    </r>
    <r>
      <rPr>
        <sz val="9"/>
        <color indexed="63"/>
        <rFont val="Microsoft YaHei Light"/>
        <family val="2"/>
        <charset val="134"/>
      </rPr>
      <t>、</t>
    </r>
    <r>
      <rPr>
        <sz val="9"/>
        <color indexed="63"/>
        <rFont val="Times New Roman"/>
        <family val="1"/>
      </rPr>
      <t>PCL</t>
    </r>
    <r>
      <rPr>
        <sz val="9"/>
        <color indexed="63"/>
        <rFont val="Microsoft YaHei Light"/>
        <family val="2"/>
        <charset val="134"/>
      </rPr>
      <t>、</t>
    </r>
    <r>
      <rPr>
        <sz val="9"/>
        <color indexed="63"/>
        <rFont val="Times New Roman"/>
        <family val="1"/>
      </rPr>
      <t>MCL</t>
    </r>
  </si>
  <si>
    <t>1846206</t>
  </si>
  <si>
    <t>2024010115:20:21</t>
  </si>
  <si>
    <t>2024010916:00:00</t>
  </si>
  <si>
    <t>2024010115:39:08</t>
  </si>
  <si>
    <t>2024010116:26:23</t>
  </si>
  <si>
    <t>2024010116:45:03</t>
  </si>
  <si>
    <t>2024010118:51:34</t>
  </si>
  <si>
    <t>2024010214:11:59</t>
  </si>
  <si>
    <t>2024011914:55:52</t>
  </si>
  <si>
    <t>2024012514:00:00</t>
  </si>
  <si>
    <t>2024010213:35:37</t>
  </si>
  <si>
    <t>2024010708:13:47</t>
  </si>
  <si>
    <t>2024010310:15:10</t>
  </si>
  <si>
    <t>2024010413:27:52</t>
  </si>
  <si>
    <t>2024010414:51:06</t>
  </si>
  <si>
    <t>2024010611:52:56</t>
  </si>
  <si>
    <t>2024011109:00:00</t>
  </si>
  <si>
    <t>2024010613:00:13</t>
  </si>
  <si>
    <t>2024011116:00:00</t>
  </si>
  <si>
    <t>1848774</t>
  </si>
  <si>
    <t>2024010613:24:27</t>
  </si>
  <si>
    <t>2024011309:00:00</t>
  </si>
  <si>
    <t>2024010614:48:32</t>
  </si>
  <si>
    <t>2024010615:22:07</t>
  </si>
  <si>
    <t>2024010615:44:22</t>
  </si>
  <si>
    <t>2024010712:28:26</t>
  </si>
  <si>
    <t>2024011216:00:00</t>
  </si>
  <si>
    <t>2024010713:59:26</t>
  </si>
  <si>
    <r>
      <rPr>
        <sz val="9"/>
        <color indexed="63"/>
        <rFont val="Microsoft YaHei Light"/>
        <family val="2"/>
        <charset val="134"/>
      </rPr>
      <t>右膝</t>
    </r>
    <r>
      <rPr>
        <sz val="9"/>
        <color indexed="63"/>
        <rFont val="Times New Roman"/>
        <family val="1"/>
      </rPr>
      <t>ACL</t>
    </r>
    <r>
      <rPr>
        <sz val="9"/>
        <color indexed="63"/>
        <rFont val="Microsoft YaHei Light"/>
        <family val="2"/>
        <charset val="134"/>
      </rPr>
      <t>、</t>
    </r>
    <r>
      <rPr>
        <sz val="9"/>
        <color indexed="63"/>
        <rFont val="Times New Roman"/>
        <family val="1"/>
      </rPr>
      <t>LCL</t>
    </r>
  </si>
  <si>
    <t>2024010715:16:11</t>
  </si>
  <si>
    <t>2024011416:00:00</t>
  </si>
  <si>
    <t>2024010715:51:32</t>
  </si>
  <si>
    <t>2024010718:02:23</t>
  </si>
  <si>
    <t>2024011316:00:00</t>
  </si>
  <si>
    <t>2024010813:54:23</t>
  </si>
  <si>
    <t>2024010814:11:54</t>
  </si>
  <si>
    <t>2024010814:19:58</t>
  </si>
  <si>
    <t>2024010815:06:18</t>
  </si>
  <si>
    <t>2024020514:02:14</t>
  </si>
  <si>
    <t>2024020814:00:00</t>
  </si>
  <si>
    <t>2024010816:10:18</t>
  </si>
  <si>
    <t>2024010816:29:07</t>
  </si>
  <si>
    <t>2024011114:20:01</t>
  </si>
  <si>
    <t>2024011516:00:00</t>
  </si>
  <si>
    <t>2024011214:44:05</t>
  </si>
  <si>
    <t>2024011816:00:00</t>
  </si>
  <si>
    <t>2024011309:16:36</t>
  </si>
  <si>
    <t>2024011709:00:00</t>
  </si>
  <si>
    <t>2024011013:55:57</t>
  </si>
  <si>
    <t>2024011409:00:00</t>
  </si>
  <si>
    <t>2024010914:32:32</t>
  </si>
  <si>
    <t>2024010914:16:15</t>
  </si>
  <si>
    <t>2024011016:00:00</t>
  </si>
  <si>
    <r>
      <rPr>
        <sz val="9"/>
        <color indexed="63"/>
        <rFont val="Microsoft YaHei Light"/>
        <family val="2"/>
        <charset val="134"/>
      </rPr>
      <t>左</t>
    </r>
    <r>
      <rPr>
        <sz val="9"/>
        <color indexed="63"/>
        <rFont val="Times New Roman"/>
        <family val="1"/>
      </rPr>
      <t>ACL</t>
    </r>
    <r>
      <rPr>
        <sz val="9"/>
        <color indexed="63"/>
        <rFont val="Microsoft YaHei Light"/>
        <family val="2"/>
        <charset val="134"/>
      </rPr>
      <t>、</t>
    </r>
    <r>
      <rPr>
        <sz val="9"/>
        <color indexed="63"/>
        <rFont val="Times New Roman"/>
        <family val="1"/>
      </rPr>
      <t>MCL</t>
    </r>
  </si>
  <si>
    <t>2024012009:40:05</t>
  </si>
  <si>
    <t>2024012409:00:00</t>
  </si>
  <si>
    <t>2024011009:09:21</t>
  </si>
  <si>
    <t>2024010917:18:02</t>
  </si>
  <si>
    <t>2024011013:48:15</t>
  </si>
  <si>
    <t>2024011613:42:15</t>
  </si>
  <si>
    <t>2024012016:00:00</t>
  </si>
  <si>
    <t>2024011014:22:49</t>
  </si>
  <si>
    <t>2024011609:00:00</t>
  </si>
  <si>
    <t>2024011014:21:06</t>
  </si>
  <si>
    <t>2024011509:00:00</t>
  </si>
  <si>
    <t>2024011108:19:08</t>
  </si>
  <si>
    <t>2024011014:46:20</t>
  </si>
  <si>
    <t>2024011015:03:39</t>
  </si>
  <si>
    <t>2024012408:48:35</t>
  </si>
  <si>
    <t>2024011017:29:57</t>
  </si>
  <si>
    <t>2024011113:49:45</t>
  </si>
  <si>
    <t>2024011113:59:48</t>
  </si>
  <si>
    <t>2024011115:29:46</t>
  </si>
  <si>
    <t>2024012009:00:00</t>
  </si>
  <si>
    <t>2024011115:33:16</t>
  </si>
  <si>
    <t>2024011116:59:18</t>
  </si>
  <si>
    <r>
      <rPr>
        <sz val="9"/>
        <color indexed="63"/>
        <rFont val="Microsoft YaHei Light"/>
        <family val="2"/>
        <charset val="134"/>
      </rPr>
      <t>右</t>
    </r>
    <r>
      <rPr>
        <sz val="9"/>
        <color indexed="63"/>
        <rFont val="Times New Roman"/>
        <family val="1"/>
      </rPr>
      <t>ACL</t>
    </r>
    <r>
      <rPr>
        <sz val="9"/>
        <color indexed="63"/>
        <rFont val="Microsoft YaHei Light"/>
        <family val="2"/>
        <charset val="134"/>
      </rPr>
      <t>、</t>
    </r>
    <r>
      <rPr>
        <sz val="9"/>
        <color indexed="63"/>
        <rFont val="Times New Roman"/>
        <family val="1"/>
      </rPr>
      <t>PLC</t>
    </r>
  </si>
  <si>
    <t>2024011213:58:08</t>
  </si>
  <si>
    <t>2024011514:23:21</t>
  </si>
  <si>
    <t>2024011213:28:51</t>
  </si>
  <si>
    <t>2024011716:00:00</t>
  </si>
  <si>
    <t>2024011216:35:18</t>
  </si>
  <si>
    <t>2024011311:08:59</t>
  </si>
  <si>
    <t>2024011311:47:29</t>
  </si>
  <si>
    <t>2024011313:15:48</t>
  </si>
  <si>
    <t>2024012109:00:00</t>
  </si>
  <si>
    <t>2024011314:47:03</t>
  </si>
  <si>
    <t>2024011314:50:28</t>
  </si>
  <si>
    <t>2024011314:59:30</t>
  </si>
  <si>
    <t>2024011413:15:11</t>
  </si>
  <si>
    <t>2024011909:00:00</t>
  </si>
  <si>
    <t>2024011414:52:11</t>
  </si>
  <si>
    <t>2024011416:14:59</t>
  </si>
  <si>
    <t>2024011420:06:54</t>
  </si>
  <si>
    <t>2024011608:15:00</t>
  </si>
  <si>
    <t>2024011807:13:14</t>
  </si>
  <si>
    <t>2024011513:46:31</t>
  </si>
  <si>
    <t>2024011513:52:44</t>
  </si>
  <si>
    <t>2024011514:03:07</t>
  </si>
  <si>
    <t>2024011514:10:57</t>
  </si>
  <si>
    <r>
      <rPr>
        <sz val="9"/>
        <color indexed="63"/>
        <rFont val="Times New Roman"/>
        <family val="1"/>
      </rPr>
      <t>ACL</t>
    </r>
    <r>
      <rPr>
        <sz val="9"/>
        <color indexed="63"/>
        <rFont val="Microsoft YaHei Light"/>
        <family val="2"/>
        <charset val="134"/>
      </rPr>
      <t>、</t>
    </r>
    <r>
      <rPr>
        <sz val="9"/>
        <color indexed="63"/>
        <rFont val="Times New Roman"/>
        <family val="1"/>
      </rPr>
      <t>PCL</t>
    </r>
    <r>
      <rPr>
        <sz val="9"/>
        <color indexed="63"/>
        <rFont val="Microsoft YaHei Light"/>
        <family val="2"/>
        <charset val="134"/>
      </rPr>
      <t>、</t>
    </r>
    <r>
      <rPr>
        <sz val="9"/>
        <color indexed="63"/>
        <rFont val="Times New Roman"/>
        <family val="1"/>
      </rPr>
      <t>PMC</t>
    </r>
  </si>
  <si>
    <t>2024011515:15:14</t>
  </si>
  <si>
    <t>2024011516:04:02</t>
  </si>
  <si>
    <t>2024011608:58:41</t>
  </si>
  <si>
    <t>2024011613:36:53</t>
  </si>
  <si>
    <t>2024012116:00:00</t>
  </si>
  <si>
    <t>2024012114:05:55</t>
  </si>
  <si>
    <t>2024012614:00:00</t>
  </si>
  <si>
    <t>2024011614:12:10</t>
  </si>
  <si>
    <t>2024011709:18:26</t>
  </si>
  <si>
    <t>2024011614:35:40</t>
  </si>
  <si>
    <t>2024012014:00:00</t>
  </si>
  <si>
    <t>2024011615:21:36</t>
  </si>
  <si>
    <t>2024011716:09:51</t>
  </si>
  <si>
    <r>
      <rPr>
        <sz val="9"/>
        <color indexed="63"/>
        <rFont val="Times New Roman"/>
        <family val="1"/>
      </rPr>
      <t>ACL</t>
    </r>
    <r>
      <rPr>
        <sz val="9"/>
        <color indexed="63"/>
        <rFont val="Microsoft YaHei Light"/>
        <family val="2"/>
        <charset val="134"/>
      </rPr>
      <t>、</t>
    </r>
    <r>
      <rPr>
        <sz val="9"/>
        <color indexed="63"/>
        <rFont val="Times New Roman"/>
        <family val="1"/>
      </rPr>
      <t>MCL</t>
    </r>
  </si>
  <si>
    <t>2024011618:38:35</t>
  </si>
  <si>
    <t>2024012316:00:00</t>
  </si>
  <si>
    <t>2024011713:25:34</t>
  </si>
  <si>
    <t>2024011815:06:32</t>
  </si>
  <si>
    <t>2024012408:11:53</t>
  </si>
  <si>
    <t>2024011714:06:13</t>
  </si>
  <si>
    <t>2024011715:30:11</t>
  </si>
  <si>
    <t>2024012309:00:00</t>
  </si>
  <si>
    <t>2024012411:50:28</t>
  </si>
  <si>
    <t>2024011812:07:55</t>
  </si>
  <si>
    <t>2024012216:00:00</t>
  </si>
  <si>
    <t>2024011813:35:13</t>
  </si>
  <si>
    <t>2024012416:00:00</t>
  </si>
  <si>
    <t>2024011813:54:17</t>
  </si>
  <si>
    <t>2024011814:23:02</t>
  </si>
  <si>
    <t>1854788</t>
  </si>
  <si>
    <t>2024011815:06:31</t>
  </si>
  <si>
    <t>2024011908:14:39</t>
  </si>
  <si>
    <r>
      <rPr>
        <sz val="9"/>
        <color indexed="63"/>
        <rFont val="Microsoft YaHei Light"/>
        <family val="2"/>
        <charset val="134"/>
      </rPr>
      <t>未做</t>
    </r>
  </si>
  <si>
    <t>2024011816:11:51</t>
  </si>
  <si>
    <r>
      <rPr>
        <sz val="9"/>
        <color indexed="63"/>
        <rFont val="Microsoft YaHei Light"/>
        <family val="2"/>
        <charset val="134"/>
      </rPr>
      <t>左膝</t>
    </r>
  </si>
  <si>
    <t>2024012213:25:36</t>
  </si>
  <si>
    <t>2024012516:00:00</t>
  </si>
  <si>
    <t>2024011909:53:46</t>
  </si>
  <si>
    <t>2024012213:20:21</t>
  </si>
  <si>
    <t>2024011914:09:32</t>
  </si>
  <si>
    <t>2024011914:09:23</t>
  </si>
  <si>
    <t>2024012406:28:07</t>
  </si>
  <si>
    <t>2024011915:01:47</t>
  </si>
  <si>
    <t>2024011915:43:48</t>
  </si>
  <si>
    <t>2024020214:00:00</t>
  </si>
  <si>
    <t>2024012113:12:36</t>
  </si>
  <si>
    <t>2024012714:00:00</t>
  </si>
  <si>
    <t>1855540</t>
  </si>
  <si>
    <t>2024012011:30:51</t>
  </si>
  <si>
    <t>2024012609:00:00</t>
  </si>
  <si>
    <t>1855625</t>
  </si>
  <si>
    <t>2024012014:24:08</t>
  </si>
  <si>
    <t>2024012113:06:50</t>
  </si>
  <si>
    <t>2024012113:20:50</t>
  </si>
  <si>
    <t>2024012114:39:35</t>
  </si>
  <si>
    <t>2024012115:07:06</t>
  </si>
  <si>
    <t>2024012115:07:15</t>
  </si>
  <si>
    <t>2024012115:35:13</t>
  </si>
  <si>
    <t>2024012115:54:50</t>
  </si>
  <si>
    <t>2024012116:13:42</t>
  </si>
  <si>
    <t>2024020515:31:56</t>
  </si>
  <si>
    <t>2024012212:39:07</t>
  </si>
  <si>
    <t>2024012213:20:30</t>
  </si>
  <si>
    <t>2024012214:44:26</t>
  </si>
  <si>
    <t>2024012215:10:12</t>
  </si>
  <si>
    <t>2024012216:08:10</t>
  </si>
  <si>
    <t>2024012409:13:09</t>
  </si>
  <si>
    <t>2024012707:42:57</t>
  </si>
  <si>
    <t>2024013109:00:00</t>
  </si>
  <si>
    <t>2024012313:26:00</t>
  </si>
  <si>
    <t>2024012809:00:00</t>
  </si>
  <si>
    <t>2024012314:19:46</t>
  </si>
  <si>
    <t>2024013109:49:20</t>
  </si>
  <si>
    <t>2024012314:37:38</t>
  </si>
  <si>
    <t>2024012916:00:00</t>
  </si>
  <si>
    <t>2024012314:46:37</t>
  </si>
  <si>
    <t>2024012716:00:00</t>
  </si>
  <si>
    <t>2024012315:39:18</t>
  </si>
  <si>
    <t>1857126</t>
  </si>
  <si>
    <t>2024012513:33:52</t>
  </si>
  <si>
    <t>2024012411:47:18</t>
  </si>
  <si>
    <t>2024012317:09:35</t>
  </si>
  <si>
    <t>2024013009:00:00</t>
  </si>
  <si>
    <t>1857367</t>
  </si>
  <si>
    <t>2024012513:33:09</t>
  </si>
  <si>
    <t>2024012414:55:01</t>
  </si>
  <si>
    <t>2024012816:00:00</t>
  </si>
  <si>
    <t>2024012420:11:34</t>
  </si>
  <si>
    <t>2024012914:00:00</t>
  </si>
  <si>
    <t>2024012422:14:01</t>
  </si>
  <si>
    <t>2024012511:54:21</t>
  </si>
  <si>
    <t>1857851</t>
  </si>
  <si>
    <t>2024012510:54:31</t>
  </si>
  <si>
    <t>1857873</t>
  </si>
  <si>
    <t>2024012608:57:52</t>
  </si>
  <si>
    <t>2024013016:00:00</t>
  </si>
  <si>
    <t>1857891</t>
  </si>
  <si>
    <t>2024012513:43:05</t>
  </si>
  <si>
    <t>1858051</t>
  </si>
  <si>
    <t>2024012513:43:04</t>
  </si>
  <si>
    <r>
      <rPr>
        <sz val="9"/>
        <color indexed="63"/>
        <rFont val="Microsoft YaHei Light"/>
        <family val="2"/>
        <charset val="134"/>
      </rPr>
      <t>双膝</t>
    </r>
    <r>
      <rPr>
        <sz val="9"/>
        <color indexed="63"/>
        <rFont val="Times New Roman"/>
        <family val="1"/>
      </rPr>
      <t>ACL</t>
    </r>
  </si>
  <si>
    <t>1858081</t>
  </si>
  <si>
    <t>2024012514:09:20</t>
  </si>
  <si>
    <t>1858082</t>
  </si>
  <si>
    <t>2024012522:06:04</t>
  </si>
  <si>
    <t>1858175</t>
  </si>
  <si>
    <t>2024012514:48:09</t>
  </si>
  <si>
    <t>1858567</t>
  </si>
  <si>
    <t>2024012613:41:49</t>
  </si>
  <si>
    <t>2024020109:00:00</t>
  </si>
  <si>
    <t>1858765</t>
  </si>
  <si>
    <t>2024012619:39:01</t>
  </si>
  <si>
    <t>2024013116:00:00</t>
  </si>
  <si>
    <t>1858772</t>
  </si>
  <si>
    <t>2024012620:49:58</t>
  </si>
  <si>
    <t>1859076</t>
  </si>
  <si>
    <t>2024012716:11:43</t>
  </si>
  <si>
    <t>1859107</t>
  </si>
  <si>
    <t>2024012720:19:21</t>
  </si>
  <si>
    <t>2024020116:00:00</t>
  </si>
  <si>
    <t>1859238</t>
  </si>
  <si>
    <t>2024012813:18:23</t>
  </si>
  <si>
    <r>
      <rPr>
        <sz val="9"/>
        <color indexed="63"/>
        <rFont val="Microsoft YaHei Light"/>
        <family val="2"/>
        <charset val="134"/>
      </rPr>
      <t>已导出</t>
    </r>
  </si>
  <si>
    <t>1859251</t>
  </si>
  <si>
    <t>2024012813:29:38</t>
  </si>
  <si>
    <t>2024020216:00:00</t>
  </si>
  <si>
    <t>1859255</t>
  </si>
  <si>
    <t>2024012813:33:43</t>
  </si>
  <si>
    <t>2024020209:00:00</t>
  </si>
  <si>
    <t>1859257</t>
  </si>
  <si>
    <t>2024012813:56:20</t>
  </si>
  <si>
    <t>1859279</t>
  </si>
  <si>
    <t>2024012814:16:34</t>
  </si>
  <si>
    <t>1859340</t>
  </si>
  <si>
    <t>2024012816:00:17</t>
  </si>
  <si>
    <t>1859413</t>
  </si>
  <si>
    <t>2024012913:14:36</t>
  </si>
  <si>
    <t>1859427</t>
  </si>
  <si>
    <t>2024012914:42:08</t>
  </si>
  <si>
    <t>1859447</t>
  </si>
  <si>
    <t>2024020113:24:12</t>
  </si>
  <si>
    <t>2024020516:00:00</t>
  </si>
  <si>
    <t>1859481</t>
  </si>
  <si>
    <t>2024012913:27:51</t>
  </si>
  <si>
    <t>1859938</t>
  </si>
  <si>
    <t>2024012915:10:19</t>
  </si>
  <si>
    <t>2024020416:00:00</t>
  </si>
  <si>
    <t>1859958</t>
  </si>
  <si>
    <t>2024012915:24:43</t>
  </si>
  <si>
    <t>1860514</t>
  </si>
  <si>
    <t>2024020517:01:02</t>
  </si>
  <si>
    <t>1860516</t>
  </si>
  <si>
    <t>2024013015:30:39</t>
  </si>
  <si>
    <t>1860558</t>
  </si>
  <si>
    <t>2024013114:06:54</t>
  </si>
  <si>
    <t>2024020409:00:00</t>
  </si>
  <si>
    <t>1861017</t>
  </si>
  <si>
    <t>2024013114:03:09</t>
  </si>
  <si>
    <t>2024020314:00:00</t>
  </si>
  <si>
    <t>1861406</t>
  </si>
  <si>
    <t>2024020411:58:00</t>
  </si>
  <si>
    <t>2024020809:00:00</t>
  </si>
  <si>
    <t>1861432</t>
  </si>
  <si>
    <t>2024020113:18:33</t>
  </si>
  <si>
    <t>1861477</t>
  </si>
  <si>
    <t>2024020113:42:42</t>
  </si>
  <si>
    <t>1861520</t>
  </si>
  <si>
    <t>2024020114:07:22</t>
  </si>
  <si>
    <t>1861603</t>
  </si>
  <si>
    <t>2024020115:06:30</t>
  </si>
  <si>
    <t>1861661</t>
  </si>
  <si>
    <t>2024020116:09:23</t>
  </si>
  <si>
    <t>1861703</t>
  </si>
  <si>
    <t>2024020119:49:53</t>
  </si>
  <si>
    <t>2024020716:00:00</t>
  </si>
  <si>
    <t>1861751</t>
  </si>
  <si>
    <t>2024020209:44:16</t>
  </si>
  <si>
    <t>1861752</t>
  </si>
  <si>
    <t>2024020213:08:22</t>
  </si>
  <si>
    <t>1861798</t>
  </si>
  <si>
    <t>2024020210:28:07</t>
  </si>
  <si>
    <t>2024020616:00:00</t>
  </si>
  <si>
    <t>1861822</t>
  </si>
  <si>
    <t>2024020213:03:48</t>
  </si>
  <si>
    <t>1861845</t>
  </si>
  <si>
    <t>2024020213:18:01</t>
  </si>
  <si>
    <t>1861850</t>
  </si>
  <si>
    <t>2024020213:04:07</t>
  </si>
  <si>
    <t>1861915</t>
  </si>
  <si>
    <t>2024020213:28:10</t>
  </si>
  <si>
    <t>1861932</t>
  </si>
  <si>
    <t>2024020214:20:36</t>
  </si>
  <si>
    <t>1861950</t>
  </si>
  <si>
    <t>2024020213:06:35</t>
  </si>
  <si>
    <t>1862494</t>
  </si>
  <si>
    <t>2024020317:21:46</t>
  </si>
  <si>
    <t>1862743</t>
  </si>
  <si>
    <t>2024020414:17:00</t>
  </si>
  <si>
    <t>1862890</t>
  </si>
  <si>
    <t>2024020511:34:45</t>
  </si>
  <si>
    <t>1863729</t>
  </si>
  <si>
    <t>2024021719:00:22</t>
  </si>
  <si>
    <t>2024022109:00:00</t>
  </si>
  <si>
    <t>1865020</t>
  </si>
  <si>
    <t>2024021613:25:05</t>
  </si>
  <si>
    <t>2024022209:00:00</t>
  </si>
  <si>
    <t>1865045</t>
  </si>
  <si>
    <t>2024021615:42:50</t>
  </si>
  <si>
    <t>1865109</t>
  </si>
  <si>
    <t>2024021708:42:48</t>
  </si>
  <si>
    <t>2024032309:00:00</t>
  </si>
  <si>
    <t>1865138</t>
  </si>
  <si>
    <t>2024021709:52:46</t>
  </si>
  <si>
    <t>2024022214:00:00</t>
  </si>
  <si>
    <t>1865260</t>
  </si>
  <si>
    <t>2024021713:26:00</t>
  </si>
  <si>
    <t>2024022316:00:00</t>
  </si>
  <si>
    <t>1865289</t>
  </si>
  <si>
    <t>2024021714:01:10</t>
  </si>
  <si>
    <t>2024022314:00:00</t>
  </si>
  <si>
    <t>1865297</t>
  </si>
  <si>
    <t>2024021714:09:57</t>
  </si>
  <si>
    <t>2024022414:00:00</t>
  </si>
  <si>
    <t>1865326</t>
  </si>
  <si>
    <t>2024021714:41:53</t>
  </si>
  <si>
    <t>2024022116:00:00</t>
  </si>
  <si>
    <t>1865359</t>
  </si>
  <si>
    <t>2024021715:19:45</t>
  </si>
  <si>
    <r>
      <rPr>
        <sz val="9"/>
        <color indexed="63"/>
        <rFont val="Microsoft YaHei Light"/>
        <family val="2"/>
        <charset val="134"/>
      </rPr>
      <t>本次左</t>
    </r>
    <r>
      <rPr>
        <sz val="9"/>
        <color indexed="63"/>
        <rFont val="Times New Roman"/>
        <family val="1"/>
      </rPr>
      <t>ACLR</t>
    </r>
  </si>
  <si>
    <t>2024021715:35:32</t>
  </si>
  <si>
    <t>2024022509:00:00</t>
  </si>
  <si>
    <t>1865380</t>
  </si>
  <si>
    <t>2024021716:23:26</t>
  </si>
  <si>
    <t>1865667</t>
  </si>
  <si>
    <t>2024021809:51:38</t>
  </si>
  <si>
    <t>1865913</t>
  </si>
  <si>
    <t>2024021813:36:46</t>
  </si>
  <si>
    <t>2024022309:00:00</t>
  </si>
  <si>
    <t>1865951</t>
  </si>
  <si>
    <t>2024021813:47:34</t>
  </si>
  <si>
    <t>1866179</t>
  </si>
  <si>
    <t>2024021819:10:45</t>
  </si>
  <si>
    <t>2024022216:00:00</t>
  </si>
  <si>
    <t>1866418</t>
  </si>
  <si>
    <t>2024021911:34:18</t>
  </si>
  <si>
    <t>1866662</t>
  </si>
  <si>
    <t>2024021914:13:18</t>
  </si>
  <si>
    <t>1866772</t>
  </si>
  <si>
    <t>2024021915:25:17</t>
  </si>
  <si>
    <t>1867098</t>
  </si>
  <si>
    <t>2024022013:26:37</t>
  </si>
  <si>
    <t>2024022516:00:00</t>
  </si>
  <si>
    <t>1867106</t>
  </si>
  <si>
    <t>2024022108:01:03</t>
  </si>
  <si>
    <t>2024022015:03:40</t>
  </si>
  <si>
    <t>2024030109:00:00</t>
  </si>
  <si>
    <t>1867292</t>
  </si>
  <si>
    <t>2024022015:08:11</t>
  </si>
  <si>
    <t>2024022416:00:00</t>
  </si>
  <si>
    <t>1867306</t>
  </si>
  <si>
    <t>2024022015:05:12</t>
  </si>
  <si>
    <t>1867311</t>
  </si>
  <si>
    <t>2024022015:12:52</t>
  </si>
  <si>
    <t>1867569</t>
  </si>
  <si>
    <t>2024022113:06:53</t>
  </si>
  <si>
    <t>1867683</t>
  </si>
  <si>
    <t>2024022815:31:04</t>
  </si>
  <si>
    <t>2024030316:00:00</t>
  </si>
  <si>
    <t>1867755</t>
  </si>
  <si>
    <t>2024022113:49:07</t>
  </si>
  <si>
    <t>1867801</t>
  </si>
  <si>
    <t>2024022115:15:33</t>
  </si>
  <si>
    <t>1867859</t>
  </si>
  <si>
    <t>2024022407:40:47</t>
  </si>
  <si>
    <t>2024022816:00:00</t>
  </si>
  <si>
    <t>1867867</t>
  </si>
  <si>
    <t>2024022114:17:13</t>
  </si>
  <si>
    <t>1867880</t>
  </si>
  <si>
    <t>2024022114:17:20</t>
  </si>
  <si>
    <t>1867973</t>
  </si>
  <si>
    <t>2024022208:00:52</t>
  </si>
  <si>
    <t>1867999</t>
  </si>
  <si>
    <t>2024022213:02:59</t>
  </si>
  <si>
    <t>1868303</t>
  </si>
  <si>
    <t>2024022213:20:22</t>
  </si>
  <si>
    <t>2024022909:00:00</t>
  </si>
  <si>
    <t>1868344</t>
  </si>
  <si>
    <t>2024022213:34:53</t>
  </si>
  <si>
    <t>2024022616:00:00</t>
  </si>
  <si>
    <t>1868397</t>
  </si>
  <si>
    <t>2024022214:10:33</t>
  </si>
  <si>
    <t>1868464</t>
  </si>
  <si>
    <t>2024022214:56:39</t>
  </si>
  <si>
    <t>2024022814:00:00</t>
  </si>
  <si>
    <t>1868511</t>
  </si>
  <si>
    <t>2024022215:36:30</t>
  </si>
  <si>
    <t>1868687</t>
  </si>
  <si>
    <t>2024030713:06:11</t>
  </si>
  <si>
    <t>2024031116:00:00</t>
  </si>
  <si>
    <t>1868765</t>
  </si>
  <si>
    <t>2024022913:01:12</t>
  </si>
  <si>
    <t>2024030416:00:00</t>
  </si>
  <si>
    <t>1868778</t>
  </si>
  <si>
    <t>2024022311:38:27</t>
  </si>
  <si>
    <t>1868790</t>
  </si>
  <si>
    <t>2024022311:38:14</t>
  </si>
  <si>
    <t>1869145</t>
  </si>
  <si>
    <t>2024022413:30:26</t>
  </si>
  <si>
    <t>2024030114:00:00</t>
  </si>
  <si>
    <t>1869179</t>
  </si>
  <si>
    <t>2024022515:56:13</t>
  </si>
  <si>
    <t>2024022916:00:00</t>
  </si>
  <si>
    <t>1869347</t>
  </si>
  <si>
    <t>2024022415:44:12</t>
  </si>
  <si>
    <t>1869351</t>
  </si>
  <si>
    <t>2024022415:52:34</t>
  </si>
  <si>
    <t>1869548</t>
  </si>
  <si>
    <t>2024022514:08:39</t>
  </si>
  <si>
    <t>2024030209:00:00</t>
  </si>
  <si>
    <t>1869565</t>
  </si>
  <si>
    <t>2024022514:14:43</t>
  </si>
  <si>
    <t>2024022908:04:31</t>
  </si>
  <si>
    <r>
      <rPr>
        <sz val="9"/>
        <color indexed="63"/>
        <rFont val="Microsoft YaHei Light"/>
        <family val="2"/>
        <charset val="134"/>
      </rPr>
      <t>术后滑膜炎</t>
    </r>
  </si>
  <si>
    <t>1870180</t>
  </si>
  <si>
    <t>2024022614:28:51</t>
  </si>
  <si>
    <t>1870938</t>
  </si>
  <si>
    <t>2024022813:05:40</t>
  </si>
  <si>
    <t>2024030309:00:00</t>
  </si>
  <si>
    <t>1870945</t>
  </si>
  <si>
    <t>2024022810:27:23</t>
  </si>
  <si>
    <t>2024030300:16:42</t>
  </si>
  <si>
    <t>1870966</t>
  </si>
  <si>
    <t>2024022815:21:02</t>
  </si>
  <si>
    <t>1871324</t>
  </si>
  <si>
    <t>2024022814:43:33</t>
  </si>
  <si>
    <t>2024030414:00:00</t>
  </si>
  <si>
    <t>1871348</t>
  </si>
  <si>
    <t>2024022814:52:21</t>
  </si>
  <si>
    <t>2024030409:00:00</t>
  </si>
  <si>
    <t>1871421</t>
  </si>
  <si>
    <t>2024022815:59:16</t>
  </si>
  <si>
    <t>1871440</t>
  </si>
  <si>
    <t>2024030207:48:29</t>
  </si>
  <si>
    <t>2024030609:00:00</t>
  </si>
  <si>
    <t>1871659</t>
  </si>
  <si>
    <t>2024022914:13:00</t>
  </si>
  <si>
    <t>1871723</t>
  </si>
  <si>
    <t>2024022912:51:42</t>
  </si>
  <si>
    <t>2024030709:00:00</t>
  </si>
  <si>
    <t>1871735</t>
  </si>
  <si>
    <t>2024022913:05:07</t>
  </si>
  <si>
    <t>1871781</t>
  </si>
  <si>
    <t>2024022913:39:02</t>
  </si>
  <si>
    <t>1871846</t>
  </si>
  <si>
    <t>2024022914:10:56</t>
  </si>
  <si>
    <t>2024030700:07:52</t>
  </si>
  <si>
    <t>1872357</t>
  </si>
  <si>
    <t>2024030113:59:32</t>
  </si>
  <si>
    <t>2024030616:00:00</t>
  </si>
  <si>
    <t>1873029</t>
  </si>
  <si>
    <t>2024030314:20:43</t>
  </si>
  <si>
    <t>2024031309:00:00</t>
  </si>
  <si>
    <t>1873108</t>
  </si>
  <si>
    <t>2024030316:35:13</t>
  </si>
  <si>
    <t>2024030816:00:00</t>
  </si>
  <si>
    <t>1873121</t>
  </si>
  <si>
    <t>2024030317:40:43</t>
  </si>
  <si>
    <t>2024030916:00:00</t>
  </si>
  <si>
    <t>1873140</t>
  </si>
  <si>
    <t>2024030413:05:41</t>
  </si>
  <si>
    <t>2024030716:00:00</t>
  </si>
  <si>
    <t>1873327</t>
  </si>
  <si>
    <t>2024030414:11:17</t>
  </si>
  <si>
    <t>2024030909:00:00</t>
  </si>
  <si>
    <t>1873342</t>
  </si>
  <si>
    <t>2024030411:31:58</t>
  </si>
  <si>
    <t>1873380</t>
  </si>
  <si>
    <t>2024030413:59:00</t>
  </si>
  <si>
    <t>1873409</t>
  </si>
  <si>
    <t>2024030413:49:09</t>
  </si>
  <si>
    <t>1873430</t>
  </si>
  <si>
    <t>2024030515:08:11</t>
  </si>
  <si>
    <t>1873464</t>
  </si>
  <si>
    <t>2024030413:14:29</t>
  </si>
  <si>
    <t>1873488</t>
  </si>
  <si>
    <t>2024030417:38:42</t>
  </si>
  <si>
    <t>1873769</t>
  </si>
  <si>
    <t>2024030420:54:43</t>
  </si>
  <si>
    <t>1873844</t>
  </si>
  <si>
    <t>2024031213:43:31</t>
  </si>
  <si>
    <t>2024031807:35:19</t>
  </si>
  <si>
    <t>1874013</t>
  </si>
  <si>
    <t>2024030513:43:45</t>
  </si>
  <si>
    <t>2024031009:00:00</t>
  </si>
  <si>
    <t>1874041</t>
  </si>
  <si>
    <t>2024030613:47:49</t>
  </si>
  <si>
    <t>1874111</t>
  </si>
  <si>
    <t>2024041408:48:55</t>
  </si>
  <si>
    <t>2024041716:00:00</t>
  </si>
  <si>
    <t>1874450</t>
  </si>
  <si>
    <t>2024030614:57:01</t>
  </si>
  <si>
    <t>1874476</t>
  </si>
  <si>
    <t>2024033008:49:49</t>
  </si>
  <si>
    <t>2024040309:00:00</t>
  </si>
  <si>
    <t>1874494</t>
  </si>
  <si>
    <t>2024030613:15:40</t>
  </si>
  <si>
    <t>2024031016:00:00</t>
  </si>
  <si>
    <t>1874619</t>
  </si>
  <si>
    <t>2024030614:22:35</t>
  </si>
  <si>
    <t>2024031206:57:49</t>
  </si>
  <si>
    <t>1874718</t>
  </si>
  <si>
    <t>2024030615:39:54</t>
  </si>
  <si>
    <t>2024031216:00:00</t>
  </si>
  <si>
    <t>1874858</t>
  </si>
  <si>
    <t>2024030708:27:09</t>
  </si>
  <si>
    <t>1874974</t>
  </si>
  <si>
    <t>2024030711:46:11</t>
  </si>
  <si>
    <t>1875021</t>
  </si>
  <si>
    <t>2024030713:58:03</t>
  </si>
  <si>
    <t>2024031516:00:00</t>
  </si>
  <si>
    <t>1875118</t>
  </si>
  <si>
    <t>2024030714:01:27</t>
  </si>
  <si>
    <t>1875389</t>
  </si>
  <si>
    <t>2024030813:37:55</t>
  </si>
  <si>
    <t>2024031316:00:00</t>
  </si>
  <si>
    <t>1875406</t>
  </si>
  <si>
    <t>2024030814:24:14</t>
  </si>
  <si>
    <t>2024031209:00:00</t>
  </si>
  <si>
    <t>1875640</t>
  </si>
  <si>
    <t>2024030813:52:06</t>
  </si>
  <si>
    <t>1875930</t>
  </si>
  <si>
    <t>2024030913:21:44</t>
  </si>
  <si>
    <t>2024032709:00:00</t>
  </si>
  <si>
    <t>1875944</t>
  </si>
  <si>
    <t>2024031015:25:27</t>
  </si>
  <si>
    <t>1876328</t>
  </si>
  <si>
    <t>2024031013:37:02</t>
  </si>
  <si>
    <t>2024031616:00:00</t>
  </si>
  <si>
    <t>1876337</t>
  </si>
  <si>
    <t>2024031013:32:57</t>
  </si>
  <si>
    <t>1876370</t>
  </si>
  <si>
    <t>2024031014:17:48</t>
  </si>
  <si>
    <t>2024031409:00:00</t>
  </si>
  <si>
    <t>1876397</t>
  </si>
  <si>
    <t>2024031014:46:34</t>
  </si>
  <si>
    <t>2024031416:00:00</t>
  </si>
  <si>
    <t>1876621</t>
  </si>
  <si>
    <t>2024031111:59:00</t>
  </si>
  <si>
    <t>1876674</t>
  </si>
  <si>
    <t>2024031110:04:38</t>
  </si>
  <si>
    <t>1876682</t>
  </si>
  <si>
    <t>2024031112:51:22</t>
  </si>
  <si>
    <t>1877025</t>
  </si>
  <si>
    <t>2024031115:21:32</t>
  </si>
  <si>
    <t>1877061</t>
  </si>
  <si>
    <t>2024031116:07:04</t>
  </si>
  <si>
    <t>1877470</t>
  </si>
  <si>
    <t>2024031408:07:42</t>
  </si>
  <si>
    <t>2024031709:00:00</t>
  </si>
  <si>
    <t>1877489</t>
  </si>
  <si>
    <t>2024032615:39:20</t>
  </si>
  <si>
    <t>2024040216:00:00</t>
  </si>
  <si>
    <t>1877535</t>
  </si>
  <si>
    <t>2024031308:59:55</t>
  </si>
  <si>
    <t>2024031609:00:00</t>
  </si>
  <si>
    <t>1877601</t>
  </si>
  <si>
    <t>2024031217:10:38</t>
  </si>
  <si>
    <t>1877636</t>
  </si>
  <si>
    <t>2024031220:09:20</t>
  </si>
  <si>
    <t>2024031716:00:00</t>
  </si>
  <si>
    <t>1877697</t>
  </si>
  <si>
    <t>2024031313:51:10</t>
  </si>
  <si>
    <t>1877851</t>
  </si>
  <si>
    <t>2024031314:45:11</t>
  </si>
  <si>
    <t>1878095</t>
  </si>
  <si>
    <t>2024031314:41:03</t>
  </si>
  <si>
    <t>1878142</t>
  </si>
  <si>
    <t>2024032415:32:26</t>
  </si>
  <si>
    <t>1878146</t>
  </si>
  <si>
    <t>2024031315:34:48</t>
  </si>
  <si>
    <t>1878157</t>
  </si>
  <si>
    <t>2024032414:08:15</t>
  </si>
  <si>
    <t>2024032716:00:00</t>
  </si>
  <si>
    <t>1878169</t>
  </si>
  <si>
    <t>2024031609:19:14</t>
  </si>
  <si>
    <t>2024032009:00:00</t>
  </si>
  <si>
    <t>1878181</t>
  </si>
  <si>
    <t>2024031415:01:47</t>
  </si>
  <si>
    <t>1878211</t>
  </si>
  <si>
    <t>2024031320:19:17</t>
  </si>
  <si>
    <t>2024031807:35:28</t>
  </si>
  <si>
    <t>1878312</t>
  </si>
  <si>
    <t>2024031413:41:26</t>
  </si>
  <si>
    <t>2024031916:00:00</t>
  </si>
  <si>
    <t>1878636</t>
  </si>
  <si>
    <t>2024031414:50:09</t>
  </si>
  <si>
    <t>2024031816:00:00</t>
  </si>
  <si>
    <t>1878900</t>
  </si>
  <si>
    <t>2024031513:49:27</t>
  </si>
  <si>
    <t>1879779</t>
  </si>
  <si>
    <t>2024031713:43:11</t>
  </si>
  <si>
    <t>2024032209:00:00</t>
  </si>
  <si>
    <t>1879806</t>
  </si>
  <si>
    <t>2024031714:16:17</t>
  </si>
  <si>
    <t>1879812</t>
  </si>
  <si>
    <t>2024031714:28:21</t>
  </si>
  <si>
    <t>2024032116:00:00</t>
  </si>
  <si>
    <t>1879821</t>
  </si>
  <si>
    <t>2024031714:47:44</t>
  </si>
  <si>
    <t>1879834</t>
  </si>
  <si>
    <t>2024031715:12:58</t>
  </si>
  <si>
    <t>2024032216:00:00</t>
  </si>
  <si>
    <t>1879835</t>
  </si>
  <si>
    <t>2024031715:13:19</t>
  </si>
  <si>
    <t>1879890</t>
  </si>
  <si>
    <t>2024031717:29:04</t>
  </si>
  <si>
    <t>1880087</t>
  </si>
  <si>
    <t>2024031813:26:37</t>
  </si>
  <si>
    <t>1880309</t>
  </si>
  <si>
    <t>2024031813:53:56</t>
  </si>
  <si>
    <t>1880365</t>
  </si>
  <si>
    <t>2024031814:18:23</t>
  </si>
  <si>
    <t>1880496</t>
  </si>
  <si>
    <t>2024031815:27:02</t>
  </si>
  <si>
    <r>
      <rPr>
        <sz val="9"/>
        <color indexed="63"/>
        <rFont val="Microsoft YaHei Light"/>
        <family val="2"/>
        <charset val="134"/>
      </rPr>
      <t>翻修？</t>
    </r>
  </si>
  <si>
    <t>1880527</t>
  </si>
  <si>
    <t>2024032515:14:20</t>
  </si>
  <si>
    <t>2024032809:00:00</t>
  </si>
  <si>
    <t>1880698</t>
  </si>
  <si>
    <t>2024032107:56:22</t>
  </si>
  <si>
    <t>2024032409:00:00</t>
  </si>
  <si>
    <t>1880845</t>
  </si>
  <si>
    <t>2024032013:35:45</t>
  </si>
  <si>
    <t>2024032416:00:00</t>
  </si>
  <si>
    <t>1880873</t>
  </si>
  <si>
    <t>2024033113:38:55</t>
  </si>
  <si>
    <t>2024040409:00:00</t>
  </si>
  <si>
    <t>1881140</t>
  </si>
  <si>
    <t>2024032009:00:25</t>
  </si>
  <si>
    <t>2024032316:00:00</t>
  </si>
  <si>
    <t>1881274</t>
  </si>
  <si>
    <t>2024032013:14:26</t>
  </si>
  <si>
    <t>2024032109:11:29</t>
  </si>
  <si>
    <t>1881496</t>
  </si>
  <si>
    <t>2024032014:25:49</t>
  </si>
  <si>
    <t>1881544</t>
  </si>
  <si>
    <t>2024032014:54:55</t>
  </si>
  <si>
    <t>2024032609:00:00</t>
  </si>
  <si>
    <t>1881579</t>
  </si>
  <si>
    <t>2024032309:27:56</t>
  </si>
  <si>
    <t>1881591</t>
  </si>
  <si>
    <t>2024032015:58:33</t>
  </si>
  <si>
    <t>1881600</t>
  </si>
  <si>
    <t>2024032710:45:56</t>
  </si>
  <si>
    <t>2024040116:00:00</t>
  </si>
  <si>
    <t>1881830</t>
  </si>
  <si>
    <t>2024032111:52:22</t>
  </si>
  <si>
    <t>2024032516:00:00</t>
  </si>
  <si>
    <t>1881958</t>
  </si>
  <si>
    <t>2024032114:19:52</t>
  </si>
  <si>
    <t>1882596</t>
  </si>
  <si>
    <t>2024032215:32:52</t>
  </si>
  <si>
    <t>1882674</t>
  </si>
  <si>
    <t>2024032307:41:05</t>
  </si>
  <si>
    <t>1882790</t>
  </si>
  <si>
    <t>2024032414:51:42</t>
  </si>
  <si>
    <t>1882841</t>
  </si>
  <si>
    <t>2024032314:10:04</t>
  </si>
  <si>
    <t>1883163</t>
  </si>
  <si>
    <t>2024032413:53:01</t>
  </si>
  <si>
    <t>2024033009:00:00</t>
  </si>
  <si>
    <t>2024032415:49:35</t>
  </si>
  <si>
    <t>2024040109:00:00</t>
  </si>
  <si>
    <t>2024032416:01:17</t>
  </si>
  <si>
    <t>2024032813:43:14</t>
  </si>
  <si>
    <t>2024032513:06:35</t>
  </si>
  <si>
    <t>2024032816:00:00</t>
  </si>
  <si>
    <t>2024032513:38:40</t>
  </si>
  <si>
    <t>2024032514:43:41</t>
  </si>
  <si>
    <t>2024032916:00:00</t>
  </si>
  <si>
    <t>2024032612:08:47</t>
  </si>
  <si>
    <t>2024033116:00:00</t>
  </si>
  <si>
    <t>2024032814:17:10</t>
  </si>
  <si>
    <t>2024032713:39:14</t>
  </si>
  <si>
    <t>2024033113:27:02</t>
  </si>
  <si>
    <t>2024040316:00:00</t>
  </si>
  <si>
    <t>2024032713:40:35</t>
  </si>
  <si>
    <t>2024032715:23:18</t>
  </si>
  <si>
    <t>1884794</t>
  </si>
  <si>
    <t>2024032713:21:20</t>
  </si>
  <si>
    <r>
      <rPr>
        <sz val="9"/>
        <color indexed="63"/>
        <rFont val="Microsoft YaHei Light"/>
        <family val="2"/>
        <charset val="134"/>
      </rPr>
      <t>胫腓骨骨折术后</t>
    </r>
  </si>
  <si>
    <t>1884873</t>
  </si>
  <si>
    <t>2024032714:07:14</t>
  </si>
  <si>
    <t>2024032811:13:16</t>
  </si>
  <si>
    <t>2024040209:00:00</t>
  </si>
  <si>
    <t>1885388</t>
  </si>
  <si>
    <t>2024032813:34:35</t>
  </si>
  <si>
    <t>1885467</t>
  </si>
  <si>
    <t>2024032814:02:24</t>
  </si>
  <si>
    <t>1885538</t>
  </si>
  <si>
    <t>2024032814:43:27</t>
  </si>
  <si>
    <t>1885574</t>
  </si>
  <si>
    <t>2024032815:10:51</t>
  </si>
  <si>
    <t>2024033016:00:00</t>
  </si>
  <si>
    <t>1885869</t>
  </si>
  <si>
    <t>2024041813:55:36</t>
  </si>
  <si>
    <t>2024042216:00:00</t>
  </si>
  <si>
    <t>1886081</t>
  </si>
  <si>
    <t>2024032916:01:00</t>
  </si>
  <si>
    <t>1886252</t>
  </si>
  <si>
    <t>2024033115:09:14</t>
  </si>
  <si>
    <t>2024040508:15:33</t>
  </si>
  <si>
    <t>1886961</t>
  </si>
  <si>
    <t>2024040207:51:20</t>
  </si>
  <si>
    <t>1887545</t>
  </si>
  <si>
    <t>2024040715:10:48</t>
  </si>
  <si>
    <t>2024041016:00:00</t>
  </si>
  <si>
    <t>1887580</t>
  </si>
  <si>
    <t>2024040514:03:35</t>
  </si>
  <si>
    <t>1887591</t>
  </si>
  <si>
    <t>2024040513:53:23</t>
  </si>
  <si>
    <t>2024040816:00:00</t>
  </si>
  <si>
    <t>1887857</t>
  </si>
  <si>
    <t>2024040216:51:31</t>
  </si>
  <si>
    <t>2024040809:00:00</t>
  </si>
  <si>
    <t>1888016</t>
  </si>
  <si>
    <t>2024040515:54:31</t>
  </si>
  <si>
    <t>2024041009:00:00</t>
  </si>
  <si>
    <t>1888232</t>
  </si>
  <si>
    <t>2024040809:57:36</t>
  </si>
  <si>
    <t>2024041100:01:21</t>
  </si>
  <si>
    <t>1888530</t>
  </si>
  <si>
    <t>2024040509:47:20</t>
  </si>
  <si>
    <t>1888630</t>
  </si>
  <si>
    <t>2024040513:41:32</t>
  </si>
  <si>
    <t>2024040916:00:00</t>
  </si>
  <si>
    <t>1888659</t>
  </si>
  <si>
    <t>2024040514:29:18</t>
  </si>
  <si>
    <t>1888685</t>
  </si>
  <si>
    <t>2024040515:30:01</t>
  </si>
  <si>
    <t>1888689</t>
  </si>
  <si>
    <t>2024040515:23:54</t>
  </si>
  <si>
    <t>2024041109:00:00</t>
  </si>
  <si>
    <t>1888699</t>
  </si>
  <si>
    <t>2024040516:00:30</t>
  </si>
  <si>
    <t>1888716</t>
  </si>
  <si>
    <t>2024040516:52:14</t>
  </si>
  <si>
    <t>1888722</t>
  </si>
  <si>
    <t>2024040517:02:35</t>
  </si>
  <si>
    <t>1889063</t>
  </si>
  <si>
    <t>2024040614:04:21</t>
  </si>
  <si>
    <t>2024041309:00:00</t>
  </si>
  <si>
    <t>1889105</t>
  </si>
  <si>
    <t>2024040615:11:30</t>
  </si>
  <si>
    <t>2024041216:00:00</t>
  </si>
  <si>
    <t>1889524</t>
  </si>
  <si>
    <t>2024040713:40:19</t>
  </si>
  <si>
    <t>2024041116:00:00</t>
  </si>
  <si>
    <t>1889557</t>
  </si>
  <si>
    <t>2024040713:54:47</t>
  </si>
  <si>
    <t>1889567</t>
  </si>
  <si>
    <t>2024040714:05:18</t>
  </si>
  <si>
    <t>1889572</t>
  </si>
  <si>
    <t>2024040714:07:48</t>
  </si>
  <si>
    <t>1889710</t>
  </si>
  <si>
    <t>2024040717:24:41</t>
  </si>
  <si>
    <t>1889873</t>
  </si>
  <si>
    <t>2024040809:27:23</t>
  </si>
  <si>
    <t>1889904</t>
  </si>
  <si>
    <t>2024040811:51:55</t>
  </si>
  <si>
    <t>1890068</t>
  </si>
  <si>
    <t>2024040813:26:50</t>
  </si>
  <si>
    <t>2024041609:00:00</t>
  </si>
  <si>
    <t>1890300</t>
  </si>
  <si>
    <t>2024040815:27:39</t>
  </si>
  <si>
    <t>1890590</t>
  </si>
  <si>
    <t>2024040912:33:13</t>
  </si>
  <si>
    <t>2024041409:00:00</t>
  </si>
  <si>
    <t>1890812</t>
  </si>
  <si>
    <t>2024040915:11:28</t>
  </si>
  <si>
    <t>2024061710:28:51</t>
  </si>
  <si>
    <t>2024062209:00:00</t>
  </si>
  <si>
    <t>1890966</t>
  </si>
  <si>
    <t>2024041009:18:20</t>
  </si>
  <si>
    <t>1891280</t>
  </si>
  <si>
    <t>2024041013:36:49</t>
  </si>
  <si>
    <t>2024041416:00:00</t>
  </si>
  <si>
    <t>1891388</t>
  </si>
  <si>
    <t>2024041014:36:04</t>
  </si>
  <si>
    <t>2024041516:00:00</t>
  </si>
  <si>
    <t>1891450</t>
  </si>
  <si>
    <t>2024041015:17:55</t>
  </si>
  <si>
    <t>1891483</t>
  </si>
  <si>
    <t>2024041308:20:05</t>
  </si>
  <si>
    <t>2024041709:00:00</t>
  </si>
  <si>
    <t>1891494</t>
  </si>
  <si>
    <t>2024041016:26:48</t>
  </si>
  <si>
    <t>1891592</t>
  </si>
  <si>
    <t>2024041111:59:08</t>
  </si>
  <si>
    <t>1891889</t>
  </si>
  <si>
    <t>2024041114:16:20</t>
  </si>
  <si>
    <t>1891966</t>
  </si>
  <si>
    <t>2024041114:49:28</t>
  </si>
  <si>
    <t>1892013</t>
  </si>
  <si>
    <t>2024041115:35:38</t>
  </si>
  <si>
    <t>1892063</t>
  </si>
  <si>
    <t>2024041117:34:45</t>
  </si>
  <si>
    <t>1892404</t>
  </si>
  <si>
    <t>2024041213:25:49</t>
  </si>
  <si>
    <t>1892413</t>
  </si>
  <si>
    <t>2024041213:28:51</t>
  </si>
  <si>
    <r>
      <rPr>
        <sz val="9"/>
        <color indexed="63"/>
        <rFont val="Microsoft YaHei Light"/>
        <family val="2"/>
        <charset val="134"/>
      </rPr>
      <t>松解术</t>
    </r>
  </si>
  <si>
    <t>1892471</t>
  </si>
  <si>
    <t>2024041214:12:03</t>
  </si>
  <si>
    <t>1892493</t>
  </si>
  <si>
    <t>2024041214:18:23</t>
  </si>
  <si>
    <t>2024041809:00:00</t>
  </si>
  <si>
    <t>1892913</t>
  </si>
  <si>
    <t>2024041314:43:09</t>
  </si>
  <si>
    <t>2024041916:00:00</t>
  </si>
  <si>
    <t>1893101</t>
  </si>
  <si>
    <t>2024041413:02:59</t>
  </si>
  <si>
    <t>2024042214:00:00</t>
  </si>
  <si>
    <r>
      <rPr>
        <sz val="9"/>
        <color indexed="63"/>
        <rFont val="Times New Roman"/>
        <family val="1"/>
      </rPr>
      <t>ACL</t>
    </r>
    <r>
      <rPr>
        <sz val="9"/>
        <color indexed="63"/>
        <rFont val="Microsoft YaHei Light"/>
        <family val="2"/>
        <charset val="134"/>
      </rPr>
      <t>翻修</t>
    </r>
  </si>
  <si>
    <t>1893190</t>
  </si>
  <si>
    <t>2024041415:06:30</t>
  </si>
  <si>
    <t>1893228</t>
  </si>
  <si>
    <t>2024041416:28:58</t>
  </si>
  <si>
    <t>2024042009:00:00</t>
  </si>
  <si>
    <t>1893249</t>
  </si>
  <si>
    <t>2024041419:00:04</t>
  </si>
  <si>
    <t>2024041816:00:00</t>
  </si>
  <si>
    <t>1893826</t>
  </si>
  <si>
    <t>2024041515:31:59</t>
  </si>
  <si>
    <t>1893851</t>
  </si>
  <si>
    <t>2024041515:48:06</t>
  </si>
  <si>
    <t>1893883</t>
  </si>
  <si>
    <t>2024041516:16:22</t>
  </si>
  <si>
    <t>1893885</t>
  </si>
  <si>
    <t>2024041516:17:09</t>
  </si>
  <si>
    <t>2024042116:00:00</t>
  </si>
  <si>
    <t>2024042912:43:25</t>
  </si>
  <si>
    <t>2024050209:00:00</t>
  </si>
  <si>
    <t>1894099</t>
  </si>
  <si>
    <t>2024042113:41:56</t>
  </si>
  <si>
    <t>2024042409:00:00</t>
  </si>
  <si>
    <t>1894147</t>
  </si>
  <si>
    <t>2024041614:12:48</t>
  </si>
  <si>
    <t>1894253</t>
  </si>
  <si>
    <t>2024041613:57:33</t>
  </si>
  <si>
    <t>1894308</t>
  </si>
  <si>
    <t>2024041614:36:55</t>
  </si>
  <si>
    <t>2024052414:29:35</t>
  </si>
  <si>
    <t>2024053016:00:00</t>
  </si>
  <si>
    <t>2024042709:54:36</t>
  </si>
  <si>
    <t>1894396</t>
  </si>
  <si>
    <t>2024042113:42:04</t>
  </si>
  <si>
    <t>2024050808:54:50</t>
  </si>
  <si>
    <t>2024051109:00:00</t>
  </si>
  <si>
    <t>1894824</t>
  </si>
  <si>
    <t>2024042114:27:02</t>
  </si>
  <si>
    <t>1894937</t>
  </si>
  <si>
    <t>2024042007:47:51</t>
  </si>
  <si>
    <t>1895080</t>
  </si>
  <si>
    <t>2024041814:05:36</t>
  </si>
  <si>
    <t>1895088</t>
  </si>
  <si>
    <t>2024041815:42:10</t>
  </si>
  <si>
    <t>1895360</t>
  </si>
  <si>
    <t>2024041814:06:21</t>
  </si>
  <si>
    <t>2024042509:00:00</t>
  </si>
  <si>
    <t>1895367</t>
  </si>
  <si>
    <t>2024041814:06:14</t>
  </si>
  <si>
    <t>1895397</t>
  </si>
  <si>
    <t>2024041814:28:05</t>
  </si>
  <si>
    <t>2024042209:00:00</t>
  </si>
  <si>
    <t>1895418</t>
  </si>
  <si>
    <t>2024041814:41:36</t>
  </si>
  <si>
    <t>1895709</t>
  </si>
  <si>
    <t>2024041912:50:19</t>
  </si>
  <si>
    <t>1895753</t>
  </si>
  <si>
    <t>2024041911:57:10</t>
  </si>
  <si>
    <t>2024042416:00:00</t>
  </si>
  <si>
    <t>1895913</t>
  </si>
  <si>
    <t>2024041914:43:42</t>
  </si>
  <si>
    <t>2024042015:16:22</t>
  </si>
  <si>
    <t>2024042709:00:00</t>
  </si>
  <si>
    <t>2024042113:03:10</t>
  </si>
  <si>
    <t>2024042616:00:00</t>
  </si>
  <si>
    <t>1896538</t>
  </si>
  <si>
    <t>2024042114:07:03</t>
  </si>
  <si>
    <t>2024042516:00:00</t>
  </si>
  <si>
    <t>1896547</t>
  </si>
  <si>
    <t>2024042114:39:34</t>
  </si>
  <si>
    <t>2024042114:55:52</t>
  </si>
  <si>
    <t>1896841</t>
  </si>
  <si>
    <t>2024042209:45:30</t>
  </si>
  <si>
    <t>2024042213:28:40</t>
  </si>
  <si>
    <t>1897093</t>
  </si>
  <si>
    <t>2024042214:10:15</t>
  </si>
  <si>
    <t>1897209</t>
  </si>
  <si>
    <t>2024042214:55:18</t>
  </si>
  <si>
    <t>1897269</t>
  </si>
  <si>
    <t>2024042215:26:47</t>
  </si>
  <si>
    <t>1897285</t>
  </si>
  <si>
    <t>2024042215:47:52</t>
  </si>
  <si>
    <t>2024042314:34:06</t>
  </si>
  <si>
    <t>2024042816:00:00</t>
  </si>
  <si>
    <t>2024050808:16:11</t>
  </si>
  <si>
    <t>2024042810:20:02</t>
  </si>
  <si>
    <t>2024042413:29:19</t>
  </si>
  <si>
    <t>2024042809:00:00</t>
  </si>
  <si>
    <t>2024042612:04:00</t>
  </si>
  <si>
    <t>2024042420:52:46</t>
  </si>
  <si>
    <t>2024042514:09:23</t>
  </si>
  <si>
    <t>2024042513:12:20</t>
  </si>
  <si>
    <t>2024050109:00:00</t>
  </si>
  <si>
    <t>2024042514:04:37</t>
  </si>
  <si>
    <t>2024042916:00:00</t>
  </si>
  <si>
    <t>2024042514:21:25</t>
  </si>
  <si>
    <t>2024042608:02:42</t>
  </si>
  <si>
    <t>2024042608:02:50</t>
  </si>
  <si>
    <t>2024042611:36:11</t>
  </si>
  <si>
    <t>2024042613:28:11</t>
  </si>
  <si>
    <t>2024042614:39:06</t>
  </si>
  <si>
    <t>2024050309:00:00</t>
  </si>
  <si>
    <t>2024042615:37:01</t>
  </si>
  <si>
    <t>2024042710:51:25</t>
  </si>
  <si>
    <t>2024043016:00:00</t>
  </si>
  <si>
    <t>2024042712:42:35</t>
  </si>
  <si>
    <t>2024050316:00:00</t>
  </si>
  <si>
    <t>2024042715:25:57</t>
  </si>
  <si>
    <t>2024042715:50:51</t>
  </si>
  <si>
    <t>2024042808:19:57</t>
  </si>
  <si>
    <t>2024050409:00:00</t>
  </si>
  <si>
    <t>2024042821:42:15</t>
  </si>
  <si>
    <t>2024050314:00:00</t>
  </si>
  <si>
    <t>2024042812:51:09</t>
  </si>
  <si>
    <t>2024042815:08:46</t>
  </si>
  <si>
    <t>2024050516:00:00</t>
  </si>
  <si>
    <t>2024050210:20:59</t>
  </si>
  <si>
    <t>2024050614:00:00</t>
  </si>
  <si>
    <t>2024050714:59:46</t>
  </si>
  <si>
    <t>2024051216:00:00</t>
  </si>
  <si>
    <t>2024050213:32:57</t>
  </si>
  <si>
    <t>2024050616:00:00</t>
  </si>
  <si>
    <t>2024050213:33:07</t>
  </si>
  <si>
    <t>2024050215:00:56</t>
  </si>
  <si>
    <t>2024050614:05:33</t>
  </si>
  <si>
    <t>2024050215:45:01</t>
  </si>
  <si>
    <t>2024050610:44:14</t>
  </si>
  <si>
    <t>2024050312:44:56</t>
  </si>
  <si>
    <t>2024050816:00:00</t>
  </si>
  <si>
    <t>2024050309:15:06</t>
  </si>
  <si>
    <t>2024050812:15:13</t>
  </si>
  <si>
    <t>2024050313:10:34</t>
  </si>
  <si>
    <t>2024050313:19:13</t>
  </si>
  <si>
    <t>2024050313:53:46</t>
  </si>
  <si>
    <t>2024050316:25:25</t>
  </si>
  <si>
    <t>2024050410:24:43</t>
  </si>
  <si>
    <t>2024051016:00:00</t>
  </si>
  <si>
    <t>2024050511:33:29</t>
  </si>
  <si>
    <t>2024050916:00:00</t>
  </si>
  <si>
    <t>2024050512:44:32</t>
  </si>
  <si>
    <t>2024050909:00:00</t>
  </si>
  <si>
    <t>2024050613:17:28</t>
  </si>
  <si>
    <t>2024050612:57:46</t>
  </si>
  <si>
    <t>2024051209:00:00</t>
  </si>
  <si>
    <t>2024050614:20:53</t>
  </si>
  <si>
    <t>2024050615:24:43</t>
  </si>
  <si>
    <t>2024050622:34:27</t>
  </si>
  <si>
    <t>2024050913:14:16</t>
  </si>
  <si>
    <t>2024051416:00:00</t>
  </si>
  <si>
    <t>2024050716:42:02</t>
  </si>
  <si>
    <t>2024050713:29:10</t>
  </si>
  <si>
    <t>2024051114:00:00</t>
  </si>
  <si>
    <t>2024050715:11:56</t>
  </si>
  <si>
    <t>2024050713:28:48</t>
  </si>
  <si>
    <t>2024051316:00:00</t>
  </si>
  <si>
    <t>2024050808:16:27</t>
  </si>
  <si>
    <t>2024050716:20:50</t>
  </si>
  <si>
    <t>2024050813:19:16</t>
  </si>
  <si>
    <t>2024050811:43:17</t>
  </si>
  <si>
    <t>2024051116:00:00</t>
  </si>
  <si>
    <t>2024051107:57:52</t>
  </si>
  <si>
    <t>2024051509:00:00</t>
  </si>
  <si>
    <t>2024050910:27:15</t>
  </si>
  <si>
    <t>2024051609:00:00</t>
  </si>
  <si>
    <t>2024050914:47:51</t>
  </si>
  <si>
    <t>2024051113:43:20</t>
  </si>
  <si>
    <t>2024051114:26:48</t>
  </si>
  <si>
    <t>2024051809:00:00</t>
  </si>
  <si>
    <t>2024051114:29:54</t>
  </si>
  <si>
    <t>2024051211:59:14</t>
  </si>
  <si>
    <t>2024051709:00:00</t>
  </si>
  <si>
    <t>2024051214:33:44</t>
  </si>
  <si>
    <t>2024051213:01:52</t>
  </si>
  <si>
    <t>2024051213:27:01</t>
  </si>
  <si>
    <t>2024051213:55:07</t>
  </si>
  <si>
    <t>2024051214:15:40</t>
  </si>
  <si>
    <t>2024051216:06:07</t>
  </si>
  <si>
    <t>2024051716:00:00</t>
  </si>
  <si>
    <t>2024051216:06:19</t>
  </si>
  <si>
    <t>2024051909:00:00</t>
  </si>
  <si>
    <t>2024051311:57:23</t>
  </si>
  <si>
    <t>2024051616:00:00</t>
  </si>
  <si>
    <t>2024051615:41:42</t>
  </si>
  <si>
    <t>2024052016:00:00</t>
  </si>
  <si>
    <t>2024051619:09:13</t>
  </si>
  <si>
    <t>2024051313:17:38</t>
  </si>
  <si>
    <t>2024051313:35:38</t>
  </si>
  <si>
    <t>2024051315:54:25</t>
  </si>
  <si>
    <t>2024051808:15:09</t>
  </si>
  <si>
    <t>2024052209:00:00</t>
  </si>
  <si>
    <t>2024052209:08:23</t>
  </si>
  <si>
    <t>2024052509:00:00</t>
  </si>
  <si>
    <t>2024051413:44:44</t>
  </si>
  <si>
    <t>2024051814:00:00</t>
  </si>
  <si>
    <t>2024051512:59:56</t>
  </si>
  <si>
    <t>2024052014:00:00</t>
  </si>
  <si>
    <t>2024052314:43:31</t>
  </si>
  <si>
    <t>2024052600:25:27</t>
  </si>
  <si>
    <t>2024052208:37:11</t>
  </si>
  <si>
    <t>2024052616:00:00</t>
  </si>
  <si>
    <t>2024051516:10:31</t>
  </si>
  <si>
    <t>2024052109:00:00</t>
  </si>
  <si>
    <t>2024051517:46:39</t>
  </si>
  <si>
    <t>2024052714:00:00</t>
  </si>
  <si>
    <t>2024051612:07:39</t>
  </si>
  <si>
    <t>2024051614:00:29</t>
  </si>
  <si>
    <t>2024051614:04:30</t>
  </si>
  <si>
    <t>2024051615:14:18</t>
  </si>
  <si>
    <t>2024052216:00:00</t>
  </si>
  <si>
    <t>2024052309:04:20</t>
  </si>
  <si>
    <t>2024052709:51:50</t>
  </si>
  <si>
    <t>2024051713:00:20</t>
  </si>
  <si>
    <t>2024053014:31:51</t>
  </si>
  <si>
    <t>2024060316:00:00</t>
  </si>
  <si>
    <t>2024051815:30:08</t>
  </si>
  <si>
    <t>2024052409:00:00</t>
  </si>
  <si>
    <t>2024051914:40:28</t>
  </si>
  <si>
    <t>2024052316:00:00</t>
  </si>
  <si>
    <t>2024060615:44:59</t>
  </si>
  <si>
    <t>2024061116:00:00</t>
  </si>
  <si>
    <t>2024052013:45:54</t>
  </si>
  <si>
    <t>2024052713:51:13</t>
  </si>
  <si>
    <t>2024061613:19:37</t>
  </si>
  <si>
    <t>2024062016:00:00</t>
  </si>
  <si>
    <t>2024052011:56:28</t>
  </si>
  <si>
    <t>2024052309:43:09</t>
  </si>
  <si>
    <t>2024052609:00:00</t>
  </si>
  <si>
    <t>2024052014:04:24</t>
  </si>
  <si>
    <t>2024052915:07:21</t>
  </si>
  <si>
    <t>2024060216:00:00</t>
  </si>
  <si>
    <t>2024061308:12:40</t>
  </si>
  <si>
    <t>2024061600:07:42</t>
  </si>
  <si>
    <t>2024052715:13:38</t>
  </si>
  <si>
    <t>2024052916:00:00</t>
  </si>
  <si>
    <t>2024053014:40:37</t>
  </si>
  <si>
    <t>2024052314:36:50</t>
  </si>
  <si>
    <t>2024052115:35:58</t>
  </si>
  <si>
    <t>2024052909:00:00</t>
  </si>
  <si>
    <t>2024052914:50:58</t>
  </si>
  <si>
    <t>2024052116:37:23</t>
  </si>
  <si>
    <t>2024052118:30:51</t>
  </si>
  <si>
    <t>2024052211:40:22</t>
  </si>
  <si>
    <t>2024052208:36:55</t>
  </si>
  <si>
    <t>2024052212:12:26</t>
  </si>
  <si>
    <t>2024061612:39:55</t>
  </si>
  <si>
    <t>2024062109:00:00</t>
  </si>
  <si>
    <t>2024052508:25:11</t>
  </si>
  <si>
    <t>2024052213:30:03</t>
  </si>
  <si>
    <t>2024052716:00:00</t>
  </si>
  <si>
    <t>2024052217:32:39</t>
  </si>
  <si>
    <t>2024052309:03:46</t>
  </si>
  <si>
    <t>2024052309:03:37</t>
  </si>
  <si>
    <t>2024052617:16:54</t>
  </si>
  <si>
    <t>2024053109:00:00</t>
  </si>
  <si>
    <t>2024052315:09:05</t>
  </si>
  <si>
    <t>2024052415:02:36</t>
  </si>
  <si>
    <t>2024052413:40:17</t>
  </si>
  <si>
    <t>2024052413:12:07</t>
  </si>
  <si>
    <t>2024052413:20:50</t>
  </si>
  <si>
    <t>2024052417:35:27</t>
  </si>
  <si>
    <t>2024052610:27:08</t>
  </si>
  <si>
    <t>2024052612:41:04</t>
  </si>
  <si>
    <t>2024053116:00:00</t>
  </si>
  <si>
    <t>2024052612:56:49</t>
  </si>
  <si>
    <t>2024052614:27:10</t>
  </si>
  <si>
    <t>2024053114:00:00</t>
  </si>
  <si>
    <t>2024052614:26:11</t>
  </si>
  <si>
    <t>2024060209:00:00</t>
  </si>
  <si>
    <t>2024052617:44:32</t>
  </si>
  <si>
    <t>2024052715:05:50</t>
  </si>
  <si>
    <t>2024052715:10:33</t>
  </si>
  <si>
    <t>2024053013:26:02</t>
  </si>
  <si>
    <t>2024053014:20:24</t>
  </si>
  <si>
    <t>2024052911:07:54</t>
  </si>
  <si>
    <t>2024052913:55:14</t>
  </si>
  <si>
    <t>2024052914:19:40</t>
  </si>
  <si>
    <t>2024053013:38:00</t>
  </si>
  <si>
    <t>2024053014:20:25</t>
  </si>
  <si>
    <t>2024060309:00:00</t>
  </si>
  <si>
    <t>2024053112:35:09</t>
  </si>
  <si>
    <t>2024060516:00:00</t>
  </si>
  <si>
    <t>2024061015:45:57</t>
  </si>
  <si>
    <t>2024061316:00:00</t>
  </si>
  <si>
    <t>2024053113:21:23</t>
  </si>
  <si>
    <t>2024053113:28:16</t>
  </si>
  <si>
    <t>2024060609:00:00</t>
  </si>
  <si>
    <t>2024053114:01:01</t>
  </si>
  <si>
    <t>2024060110:37:21</t>
  </si>
  <si>
    <t>2024060213:44:02</t>
  </si>
  <si>
    <t>2024060716:00:00</t>
  </si>
  <si>
    <t>2024060213:51:07</t>
  </si>
  <si>
    <t>2024060616:00:00</t>
  </si>
  <si>
    <t>2024060214:48:20</t>
  </si>
  <si>
    <t>2024060214:22:10</t>
  </si>
  <si>
    <t>2024060214:57:25</t>
  </si>
  <si>
    <t>2024060216:09:13</t>
  </si>
  <si>
    <t>2024060809:00:00</t>
  </si>
  <si>
    <r>
      <rPr>
        <sz val="9"/>
        <color indexed="63"/>
        <rFont val="Times New Roman"/>
        <family val="1"/>
      </rPr>
      <t>ACL</t>
    </r>
    <r>
      <rPr>
        <sz val="9"/>
        <color indexed="63"/>
        <rFont val="Microsoft YaHei Light"/>
        <family val="2"/>
        <charset val="134"/>
      </rPr>
      <t>、</t>
    </r>
    <r>
      <rPr>
        <sz val="9"/>
        <color indexed="63"/>
        <rFont val="Times New Roman"/>
        <family val="1"/>
      </rPr>
      <t>PCL</t>
    </r>
  </si>
  <si>
    <t>2024060311:47:24</t>
  </si>
  <si>
    <t>2024060314:36:32</t>
  </si>
  <si>
    <t>2024060508:59:45</t>
  </si>
  <si>
    <t>2024060816:00:00</t>
  </si>
  <si>
    <t>2024060508:59:50</t>
  </si>
  <si>
    <t>2024061313:53:28</t>
  </si>
  <si>
    <t>2024061716:00:00</t>
  </si>
  <si>
    <t>2024061016:20:53</t>
  </si>
  <si>
    <t>2024061509:00:00</t>
  </si>
  <si>
    <t>2024060513:31:44</t>
  </si>
  <si>
    <t>2024060916:00:00</t>
  </si>
  <si>
    <t>2024060513:57:52</t>
  </si>
  <si>
    <t>2024060909:00:00</t>
  </si>
  <si>
    <t>2024060511:10:39</t>
  </si>
  <si>
    <t>2024060814:00:00</t>
  </si>
  <si>
    <t>2024060514:55:49</t>
  </si>
  <si>
    <t>2024060515:17:10</t>
  </si>
  <si>
    <t>2024062907:57:12</t>
  </si>
  <si>
    <t>2024070316:00:00</t>
  </si>
  <si>
    <t>2024061014:30:15</t>
  </si>
  <si>
    <t>2024060514:00:54</t>
  </si>
  <si>
    <t>2024061009:00:00</t>
  </si>
  <si>
    <t>2024060514:27:05</t>
  </si>
  <si>
    <t>2024060515:43:54</t>
  </si>
  <si>
    <t>2024060613:19:17</t>
  </si>
  <si>
    <t>2024061016:09:03</t>
  </si>
  <si>
    <t>2024061416:00:00</t>
  </si>
  <si>
    <t>2024060609:59:22</t>
  </si>
  <si>
    <t>2024060614:26:18</t>
  </si>
  <si>
    <t>2024060618:44:21</t>
  </si>
  <si>
    <t>2024060809:37:19</t>
  </si>
  <si>
    <t>2024061309:00:00</t>
  </si>
  <si>
    <t>2024060716:14:51</t>
  </si>
  <si>
    <t>2024061009:18:49</t>
  </si>
  <si>
    <t>2024061013:55:03</t>
  </si>
  <si>
    <t>2024060916:40:13</t>
  </si>
  <si>
    <t>2024061709:00:00</t>
  </si>
  <si>
    <t>2024061012:47:43</t>
  </si>
  <si>
    <t>2024061609:00:00</t>
  </si>
  <si>
    <t>2024061014:29:14</t>
  </si>
  <si>
    <t>2024061016:35:40</t>
  </si>
  <si>
    <t>2024061015:48:13</t>
  </si>
  <si>
    <t>2024061016:28:44</t>
  </si>
  <si>
    <t>2024061016:42:38</t>
  </si>
  <si>
    <t>2024061516:00:00</t>
  </si>
  <si>
    <t>2024061110:11:55</t>
  </si>
  <si>
    <t>2024061616:00:00</t>
  </si>
  <si>
    <t>2024061111:10:26</t>
  </si>
  <si>
    <t>2024061111:30:45</t>
  </si>
  <si>
    <t>2024061412:33:23</t>
  </si>
  <si>
    <t>2024061113:35:01</t>
  </si>
  <si>
    <t>2024061114:09:39</t>
  </si>
  <si>
    <t>2024061114:43:53</t>
  </si>
  <si>
    <t>2024061214:30:29</t>
  </si>
  <si>
    <t>2024061814:59:26</t>
  </si>
  <si>
    <t>2024062216:00:00</t>
  </si>
  <si>
    <t>2024061508:16:36</t>
  </si>
  <si>
    <t>2024061909:00:00</t>
  </si>
  <si>
    <t>2024061508:01:45</t>
  </si>
  <si>
    <t>2024061315:02:02</t>
  </si>
  <si>
    <t>2024062314:05:30</t>
  </si>
  <si>
    <t>2024062709:00:00</t>
  </si>
  <si>
    <t>2024061313:22:22</t>
  </si>
  <si>
    <t>2024061412:00:55</t>
  </si>
  <si>
    <r>
      <rPr>
        <sz val="9"/>
        <color indexed="63"/>
        <rFont val="Microsoft YaHei Light"/>
        <family val="2"/>
        <charset val="134"/>
      </rPr>
      <t>右膝</t>
    </r>
  </si>
  <si>
    <t>2024061413:09:27</t>
  </si>
  <si>
    <t>2024061510:22:24</t>
  </si>
  <si>
    <t>2024061514:23:19</t>
  </si>
  <si>
    <t>2024062014:00:00</t>
  </si>
  <si>
    <t>2024061520:35:17</t>
  </si>
  <si>
    <t>2024062116:00:00</t>
  </si>
  <si>
    <t>2024061614:14:29</t>
  </si>
  <si>
    <t>2024062010:08:13</t>
  </si>
  <si>
    <t>2024062309:00:00</t>
  </si>
  <si>
    <t>2024062020:11:43</t>
  </si>
  <si>
    <t>2024062416:00:00</t>
  </si>
  <si>
    <t>2024061814:03:27</t>
  </si>
  <si>
    <t>2024061814:30:28</t>
  </si>
  <si>
    <t>2024062013:50:57</t>
  </si>
  <si>
    <t>2024062316:00:00</t>
  </si>
  <si>
    <t>2024062014:37:31</t>
  </si>
  <si>
    <t>2024062715:37:07</t>
  </si>
  <si>
    <t>2024063016:00:00</t>
  </si>
  <si>
    <t>2024061914:00:09</t>
  </si>
  <si>
    <t>2024062713:24:28</t>
  </si>
  <si>
    <t>2024062314:58:28</t>
  </si>
  <si>
    <t>2024062616:00:00</t>
  </si>
  <si>
    <t>2024061914:08:04</t>
  </si>
  <si>
    <t>2024062211:59:26</t>
  </si>
  <si>
    <t>2024062609:00:00</t>
  </si>
  <si>
    <t>2024062008:41:20</t>
  </si>
  <si>
    <t>2024062014:36:59</t>
  </si>
  <si>
    <t>2024062014:47:51</t>
  </si>
  <si>
    <t>2024062015:58:44</t>
  </si>
  <si>
    <t>2024062111:23:54</t>
  </si>
  <si>
    <t>2024062113:47:46</t>
  </si>
  <si>
    <t>2024062210:29:12</t>
  </si>
  <si>
    <t>2024062809:00:00</t>
  </si>
  <si>
    <t>2024062211:08:25</t>
  </si>
  <si>
    <t>2024062318:53:44</t>
  </si>
  <si>
    <t>2024062314:01:09</t>
  </si>
  <si>
    <t>2024062816:00:00</t>
  </si>
  <si>
    <t>2024062314:02:45</t>
  </si>
  <si>
    <t>2024062716:00:00</t>
  </si>
  <si>
    <t>2024062315:31:39</t>
  </si>
  <si>
    <t>2024062413:38:27</t>
  </si>
  <si>
    <t>2024062714:38:11</t>
  </si>
  <si>
    <t>2024063009:00:00</t>
  </si>
  <si>
    <t>2024062414:49:35</t>
  </si>
  <si>
    <t>2024062414:50:54</t>
  </si>
  <si>
    <t>2024070114:27:08</t>
  </si>
  <si>
    <t>2024070416:00:00</t>
  </si>
  <si>
    <t>2024070313:54:32</t>
  </si>
  <si>
    <t>2024070609:00:00</t>
  </si>
  <si>
    <t>2024062714:50:25</t>
  </si>
  <si>
    <t>2024063011:52:40</t>
  </si>
  <si>
    <t>2024062515:16:04</t>
  </si>
  <si>
    <t>2024062912:26:28</t>
  </si>
  <si>
    <t>2024070309:33:48</t>
  </si>
  <si>
    <t>2024062612:00:57</t>
  </si>
  <si>
    <t>2024062614:02:14</t>
  </si>
  <si>
    <t>2024062709:06:25</t>
  </si>
  <si>
    <t>2024062712:32:53</t>
  </si>
  <si>
    <t>2024070216:00:00</t>
  </si>
  <si>
    <t>2024062714:04:59</t>
  </si>
  <si>
    <t xml:space="preserve"> </t>
  </si>
  <si>
    <t>2024062715:03:23</t>
  </si>
  <si>
    <t>2024070116:00:00</t>
  </si>
  <si>
    <t>2024062715:17:47</t>
  </si>
  <si>
    <t>2024062813:57:09</t>
  </si>
  <si>
    <t>2024062815:06:12</t>
  </si>
  <si>
    <t>2024070309:00:00</t>
  </si>
  <si>
    <t>2024063014:02:32</t>
  </si>
  <si>
    <t>2024070409:00:00</t>
  </si>
  <si>
    <r>
      <rPr>
        <sz val="9"/>
        <color rgb="FF333333"/>
        <rFont val="Microsoft YaHei Light"/>
        <family val="2"/>
        <charset val="134"/>
      </rPr>
      <t>左膝</t>
    </r>
    <r>
      <rPr>
        <sz val="9"/>
        <color rgb="FF333333"/>
        <rFont val="Times New Roman"/>
        <family val="1"/>
      </rPr>
      <t>ACL MPFL</t>
    </r>
  </si>
  <si>
    <t>2024063014:02:41</t>
  </si>
  <si>
    <t>2024063014:02:52</t>
  </si>
  <si>
    <t>2024063014:06:28</t>
  </si>
  <si>
    <t>2024070516:00:00</t>
  </si>
  <si>
    <t>2024063014:16:22</t>
  </si>
  <si>
    <t>2024063015:28:50</t>
  </si>
  <si>
    <t>2024063017:31:55</t>
  </si>
  <si>
    <t>2024070114:14:47</t>
  </si>
  <si>
    <t>2024070114:49:48</t>
  </si>
  <si>
    <t>2024070114:56:03</t>
  </si>
  <si>
    <t>2024070115:34:26</t>
  </si>
  <si>
    <t>2024070115:34:37</t>
  </si>
  <si>
    <t>2024070117:12:35</t>
  </si>
  <si>
    <t>2024070212:09:02</t>
  </si>
  <si>
    <t>2024070312:23:30</t>
  </si>
  <si>
    <t>2024070616:00:00</t>
  </si>
  <si>
    <t>2020011214:47:55</t>
  </si>
  <si>
    <t>2020011814:38:01</t>
  </si>
  <si>
    <t>2020011215:12:18</t>
  </si>
  <si>
    <t>2020011313:06:19</t>
  </si>
  <si>
    <t>2020011313:35:20</t>
  </si>
  <si>
    <t>2020012008:23:00</t>
  </si>
  <si>
    <r>
      <rPr>
        <sz val="9"/>
        <color rgb="FF333333"/>
        <rFont val="Microsoft YaHei Light"/>
        <family val="2"/>
        <charset val="134"/>
      </rPr>
      <t>右膝</t>
    </r>
    <r>
      <rPr>
        <sz val="9"/>
        <color rgb="FF333333"/>
        <rFont val="Times New Roman"/>
        <family val="1"/>
      </rPr>
      <t>ACL MPFL</t>
    </r>
  </si>
  <si>
    <t>2020011616:06:19</t>
  </si>
  <si>
    <t>2020012213:58:13</t>
  </si>
  <si>
    <t>2020011708:47:09</t>
  </si>
  <si>
    <t>2020012214:53:24</t>
  </si>
  <si>
    <t>2020031616:21:44</t>
  </si>
  <si>
    <t>2020032013:22:26</t>
  </si>
  <si>
    <t>2020032616:05:30</t>
  </si>
  <si>
    <t>2020040213:17:18</t>
  </si>
  <si>
    <t>2020032616:10:22</t>
  </si>
  <si>
    <t>2020040213:23:17</t>
  </si>
  <si>
    <t>2020032914:19:37</t>
  </si>
  <si>
    <t>2020040908:15:16</t>
  </si>
  <si>
    <t>2020040819:37:11</t>
  </si>
  <si>
    <t>2020041408:01:15</t>
  </si>
  <si>
    <t>2020041612:55:37</t>
  </si>
  <si>
    <t>2020042212:35:14</t>
  </si>
  <si>
    <t>2020041814:58:56</t>
  </si>
  <si>
    <t>2020042713:26:05</t>
  </si>
  <si>
    <t>2020042716:27:21</t>
  </si>
  <si>
    <t>2020050209:08:41</t>
  </si>
  <si>
    <t>2020051411:51:37</t>
  </si>
  <si>
    <t>2020052113:04:58</t>
  </si>
  <si>
    <t>2020051510:56:46</t>
  </si>
  <si>
    <t>2020052113:12:41</t>
  </si>
  <si>
    <t>2020052417:58:00</t>
  </si>
  <si>
    <t>2020053013:04:57</t>
  </si>
  <si>
    <r>
      <rPr>
        <sz val="9"/>
        <color rgb="FF333333"/>
        <rFont val="Microsoft YaHei Light"/>
        <family val="2"/>
        <charset val="134"/>
      </rPr>
      <t>翻修</t>
    </r>
  </si>
  <si>
    <t>2020052514:07:40</t>
  </si>
  <si>
    <t>2020060112:20:57</t>
  </si>
  <si>
    <t>2020060115:30:59</t>
  </si>
  <si>
    <t>2020060814:05:37</t>
  </si>
  <si>
    <t>2020061014:35:55</t>
  </si>
  <si>
    <t>2020061514:17:33</t>
  </si>
  <si>
    <t>2020061514:04:25</t>
  </si>
  <si>
    <t>2020062312:59:07</t>
  </si>
  <si>
    <t>2020062915:27:08</t>
  </si>
  <si>
    <t>2020070509:01:00</t>
  </si>
  <si>
    <t>2020070216:18:26</t>
  </si>
  <si>
    <t>2020070914:28:05</t>
  </si>
  <si>
    <t>2020070510:27:11</t>
  </si>
  <si>
    <t>2020071209:10:58</t>
  </si>
  <si>
    <t>2020070715:17:08</t>
  </si>
  <si>
    <t>2020071413:47:55</t>
  </si>
  <si>
    <t>2020071215:15:50</t>
  </si>
  <si>
    <t>2020071314:32:47</t>
  </si>
  <si>
    <r>
      <rPr>
        <sz val="9"/>
        <color rgb="FF333333"/>
        <rFont val="Microsoft YaHei Light"/>
        <family val="2"/>
        <charset val="134"/>
      </rPr>
      <t>未手术</t>
    </r>
  </si>
  <si>
    <t>2020071520:04:37</t>
  </si>
  <si>
    <t>2020073114:30:45</t>
  </si>
  <si>
    <t>2020071917:30:28</t>
  </si>
  <si>
    <t>2020072712:06:37</t>
  </si>
  <si>
    <t>2020072610:01:15</t>
  </si>
  <si>
    <t>2020080307:52:05</t>
  </si>
  <si>
    <t>2020072614:06:57</t>
  </si>
  <si>
    <t>2020073013:43:55</t>
  </si>
  <si>
    <t>2020080614:36:07</t>
  </si>
  <si>
    <t>2020081313:06:42</t>
  </si>
  <si>
    <t>2020080909:58:13</t>
  </si>
  <si>
    <t>2020081713:15:31</t>
  </si>
  <si>
    <t>2020090316:07:38</t>
  </si>
  <si>
    <t>2020091013:46:03</t>
  </si>
  <si>
    <t>2020090317:49:07</t>
  </si>
  <si>
    <t>2020091014:12:30</t>
  </si>
  <si>
    <t>2020091216:00:31</t>
  </si>
  <si>
    <t>2020091613:02:11</t>
  </si>
  <si>
    <r>
      <rPr>
        <sz val="9"/>
        <color rgb="FF333333"/>
        <rFont val="Microsoft YaHei Light"/>
        <family val="2"/>
        <charset val="134"/>
      </rPr>
      <t>右膝</t>
    </r>
    <r>
      <rPr>
        <sz val="9"/>
        <color rgb="FF333333"/>
        <rFont val="Times New Roman"/>
        <family val="1"/>
      </rPr>
      <t>ACL PCL</t>
    </r>
  </si>
  <si>
    <t>2020091321:59:18</t>
  </si>
  <si>
    <t>2020092009:18:03</t>
  </si>
  <si>
    <t>2020091418:05:21</t>
  </si>
  <si>
    <t>2020092013:17:43</t>
  </si>
  <si>
    <t>2020091815:31:01</t>
  </si>
  <si>
    <t>2020092313:47:58</t>
  </si>
  <si>
    <t>2020092014:41:21</t>
  </si>
  <si>
    <t>2020092710:04:08</t>
  </si>
  <si>
    <r>
      <rPr>
        <sz val="9"/>
        <color rgb="FF333333"/>
        <rFont val="Times New Roman"/>
        <family val="1"/>
      </rPr>
      <t>CT</t>
    </r>
    <r>
      <rPr>
        <sz val="9"/>
        <color rgb="FF333333"/>
        <rFont val="Microsoft YaHei Light"/>
        <family val="2"/>
        <charset val="134"/>
      </rPr>
      <t>未导出</t>
    </r>
  </si>
  <si>
    <t>2020113014:32:15</t>
  </si>
  <si>
    <t>2020120608:10:48</t>
  </si>
  <si>
    <t>2021020514:18:16</t>
  </si>
  <si>
    <t>2021021008:37:20</t>
  </si>
  <si>
    <t>2021050915:39:21</t>
  </si>
  <si>
    <t>2021051413:14:41</t>
  </si>
  <si>
    <t>2022072114:33:41</t>
  </si>
  <si>
    <t>2022072508:36:21</t>
  </si>
  <si>
    <t>2023031510:19:22</t>
  </si>
  <si>
    <t>2020071217:46:27</t>
  </si>
  <si>
    <t>2020071910:44:28</t>
  </si>
  <si>
    <r>
      <rPr>
        <sz val="9"/>
        <color rgb="FF333333"/>
        <rFont val="Times New Roman"/>
        <family val="1"/>
      </rPr>
      <t>MRI</t>
    </r>
    <r>
      <rPr>
        <sz val="9"/>
        <color rgb="FF333333"/>
        <rFont val="Microsoft YaHei Light"/>
        <family val="2"/>
        <charset val="134"/>
      </rPr>
      <t>、</t>
    </r>
    <r>
      <rPr>
        <sz val="9"/>
        <color rgb="FF333333"/>
        <rFont val="Times New Roman"/>
        <family val="1"/>
      </rPr>
      <t>CT</t>
    </r>
    <r>
      <rPr>
        <sz val="9"/>
        <color rgb="FF333333"/>
        <rFont val="Microsoft YaHei Light"/>
        <family val="2"/>
        <charset val="134"/>
      </rPr>
      <t>未导出</t>
    </r>
  </si>
  <si>
    <t>2023011808:35:39</t>
  </si>
  <si>
    <t>2023030616:09:18</t>
  </si>
  <si>
    <t>2023031311:52:56</t>
  </si>
  <si>
    <t>2023032014:14:30</t>
  </si>
  <si>
    <t>2023032914:26:46</t>
  </si>
  <si>
    <t>2023051716:26:46</t>
  </si>
  <si>
    <t>2023052116:00:00</t>
  </si>
  <si>
    <t>2023060812:03:06</t>
  </si>
  <si>
    <t>2023061814:39:02</t>
  </si>
  <si>
    <t>2023080419:54:14</t>
  </si>
  <si>
    <t>2023080914:00:00</t>
  </si>
  <si>
    <t>2023110915:43:51</t>
  </si>
  <si>
    <t>2023121513:06:53</t>
  </si>
  <si>
    <t>2020011616:24:43</t>
  </si>
  <si>
    <t>2020012113:34:05</t>
  </si>
  <si>
    <t>2020040515:27:44</t>
  </si>
  <si>
    <t>2020041208:34:48</t>
  </si>
  <si>
    <t>2020041215:08:26</t>
  </si>
  <si>
    <t>2020041908:18:46</t>
  </si>
  <si>
    <t>2020042315:21:46</t>
  </si>
  <si>
    <t>2020043014:44:04</t>
  </si>
  <si>
    <t>2020053114:55:33</t>
  </si>
  <si>
    <t>2020060708:59:41</t>
  </si>
  <si>
    <t>2020103114:09:17</t>
  </si>
  <si>
    <t>2020110507:55:08</t>
  </si>
  <si>
    <t>2020113014:27:45</t>
  </si>
  <si>
    <t>2020120414:01:03</t>
  </si>
  <si>
    <r>
      <rPr>
        <sz val="9"/>
        <color rgb="FF333333"/>
        <rFont val="Times New Roman"/>
        <family val="1"/>
      </rPr>
      <t>MRI</t>
    </r>
    <r>
      <rPr>
        <sz val="9"/>
        <color rgb="FF333333"/>
        <rFont val="Microsoft YaHei Light"/>
        <family val="2"/>
        <charset val="134"/>
      </rPr>
      <t>未导出</t>
    </r>
  </si>
  <si>
    <t>2021011116:06:41</t>
  </si>
  <si>
    <t>2021011513:37:07</t>
  </si>
  <si>
    <t>2021020216:01:44</t>
  </si>
  <si>
    <t>2021020513:00:44</t>
  </si>
  <si>
    <t>2021041707:55:41</t>
  </si>
  <si>
    <t>2021042012:53:00</t>
  </si>
  <si>
    <t>2022103114:49:46</t>
  </si>
  <si>
    <t>2022110316:00:00</t>
  </si>
  <si>
    <t>2023020116:01:29</t>
  </si>
  <si>
    <t>2023021210:48:11</t>
  </si>
  <si>
    <t>2023061015:37:27</t>
  </si>
  <si>
    <t>2023061516:00:00</t>
  </si>
  <si>
    <t>2024020215:22:07</t>
  </si>
  <si>
    <r>
      <rPr>
        <sz val="9"/>
        <color rgb="FF333333"/>
        <rFont val="Times New Roman"/>
        <family val="1"/>
      </rPr>
      <t>ACL</t>
    </r>
    <r>
      <rPr>
        <sz val="9"/>
        <color rgb="FF333333"/>
        <rFont val="Microsoft YaHei Light"/>
        <family val="2"/>
        <charset val="134"/>
      </rPr>
      <t>术后</t>
    </r>
  </si>
  <si>
    <t>2024070414:20:44</t>
  </si>
  <si>
    <t>2024070716:00:00</t>
  </si>
  <si>
    <t>2024070312:23:14</t>
  </si>
  <si>
    <t>2024070411:58:52</t>
  </si>
  <si>
    <t>2024070709:00:00</t>
  </si>
  <si>
    <t>2024070317:11:14</t>
  </si>
  <si>
    <t>2024070216:56:42</t>
  </si>
  <si>
    <t>2024070809:00:00</t>
  </si>
  <si>
    <t>2024070411:59:00</t>
  </si>
  <si>
    <t>2024070216:13:05</t>
  </si>
  <si>
    <t>2024070814:00:00</t>
  </si>
  <si>
    <t>2024070411:58:40</t>
  </si>
  <si>
    <t>2024070816:00:00</t>
  </si>
  <si>
    <t>2024070413:41:28</t>
  </si>
  <si>
    <t>2024070413:43:26</t>
  </si>
  <si>
    <t>2024070413:48:36</t>
  </si>
  <si>
    <t>6611654</t>
  </si>
  <si>
    <t>1932043</t>
  </si>
  <si>
    <t>2024070414:12:16</t>
  </si>
  <si>
    <t>6611901</t>
  </si>
  <si>
    <t>1931671</t>
  </si>
  <si>
    <t>2024070316:16:12</t>
  </si>
  <si>
    <t>2024070916:00:00</t>
  </si>
  <si>
    <t>6609756</t>
  </si>
  <si>
    <t>1931917</t>
  </si>
  <si>
    <t>2024070412:11:34</t>
  </si>
  <si>
    <t>2024071016:00:00</t>
  </si>
  <si>
    <t>6611091</t>
  </si>
  <si>
    <t>1932565</t>
  </si>
  <si>
    <t>2024070513:43:08</t>
  </si>
  <si>
    <t>5826696</t>
  </si>
  <si>
    <t>1932620</t>
  </si>
  <si>
    <t>2024070514:20:10</t>
  </si>
  <si>
    <t>6612360</t>
  </si>
  <si>
    <t>1932862</t>
  </si>
  <si>
    <t>2024070608:32:22</t>
  </si>
  <si>
    <t>6613135</t>
  </si>
  <si>
    <t>1933346</t>
  </si>
  <si>
    <t>2024070714:35:07</t>
  </si>
  <si>
    <t>6546827</t>
  </si>
  <si>
    <t>1933396</t>
  </si>
  <si>
    <t>2024070715:46:58</t>
  </si>
  <si>
    <t>2024071109:00:00</t>
  </si>
  <si>
    <t>6105090</t>
  </si>
  <si>
    <t>1932548</t>
  </si>
  <si>
    <t>2024070513:36:00</t>
  </si>
  <si>
    <t>2024071116:00:00</t>
  </si>
  <si>
    <t>6612185</t>
  </si>
  <si>
    <t>1933187</t>
  </si>
  <si>
    <t>2024070712:06:55</t>
  </si>
  <si>
    <t>6614671</t>
  </si>
  <si>
    <t>1933283</t>
  </si>
  <si>
    <t>2024070713:16:48</t>
  </si>
  <si>
    <t>6614679</t>
  </si>
  <si>
    <t>1933306</t>
  </si>
  <si>
    <t>2024070713:47:23</t>
  </si>
  <si>
    <t>6239615</t>
  </si>
  <si>
    <t>1933382</t>
  </si>
  <si>
    <t>2024070715:30:51</t>
  </si>
  <si>
    <t>6613781</t>
  </si>
  <si>
    <t>1933884</t>
  </si>
  <si>
    <t>2024070814:21:53</t>
  </si>
  <si>
    <t>6588008</t>
  </si>
  <si>
    <r>
      <rPr>
        <sz val="9"/>
        <color rgb="FF333333"/>
        <rFont val="微软雅黑 Light"/>
        <family val="2"/>
        <charset val="134"/>
      </rPr>
      <t>双膝</t>
    </r>
    <r>
      <rPr>
        <sz val="9"/>
        <color rgb="FF333333"/>
        <rFont val="Times New Roman"/>
        <family val="1"/>
      </rPr>
      <t>ACL</t>
    </r>
    <r>
      <rPr>
        <sz val="9"/>
        <color rgb="FF333333"/>
        <rFont val="微软雅黑 Light"/>
        <family val="2"/>
        <charset val="134"/>
      </rPr>
      <t>损伤</t>
    </r>
  </si>
  <si>
    <t>1933397</t>
  </si>
  <si>
    <t>2024070715:47:37</t>
  </si>
  <si>
    <t>2024071216:00:00</t>
  </si>
  <si>
    <t>6613780</t>
  </si>
  <si>
    <t>1933923</t>
  </si>
  <si>
    <t>2024070814:40:56</t>
  </si>
  <si>
    <t>6615296</t>
  </si>
  <si>
    <t>1934819</t>
  </si>
  <si>
    <t>2024071014:52:09</t>
  </si>
  <si>
    <t>2024071309:00:00</t>
  </si>
  <si>
    <t>6617216</t>
  </si>
  <si>
    <t>1933830</t>
  </si>
  <si>
    <t>2024070814:04:48</t>
  </si>
  <si>
    <t>2024071316:00:00</t>
  </si>
  <si>
    <t>6615293</t>
  </si>
  <si>
    <t>1934535</t>
  </si>
  <si>
    <t>2024071014:34:09</t>
  </si>
  <si>
    <t>6580419</t>
  </si>
  <si>
    <t>1934816</t>
  </si>
  <si>
    <t>2024071014:34:26</t>
  </si>
  <si>
    <t>6300127</t>
  </si>
  <si>
    <t>1932051</t>
  </si>
  <si>
    <t>2024071108:43:27</t>
  </si>
  <si>
    <t>2024071409:00:00</t>
  </si>
  <si>
    <t>6610667</t>
  </si>
  <si>
    <t>1935130</t>
  </si>
  <si>
    <t>2024071015:44:01</t>
  </si>
  <si>
    <t>6404571</t>
  </si>
  <si>
    <t>1927566</t>
  </si>
  <si>
    <t>2024071114:23:31</t>
  </si>
  <si>
    <t>2024071416:00:00</t>
  </si>
  <si>
    <t>6600154</t>
  </si>
  <si>
    <t>1934825</t>
  </si>
  <si>
    <t>2024071013:38:07</t>
  </si>
  <si>
    <t>6617942</t>
  </si>
  <si>
    <t>1934894</t>
  </si>
  <si>
    <t>2024071013:47:23</t>
  </si>
  <si>
    <t>6426870</t>
  </si>
  <si>
    <t>1935011</t>
  </si>
  <si>
    <t>2024071014:34:28</t>
  </si>
  <si>
    <t>6618254</t>
  </si>
  <si>
    <t>1935100</t>
  </si>
  <si>
    <t>2024071015:41:57</t>
  </si>
  <si>
    <t>6617948</t>
  </si>
  <si>
    <t>1935121</t>
  </si>
  <si>
    <t>2024071015:40:05</t>
  </si>
  <si>
    <t>6617949</t>
  </si>
  <si>
    <t>1935408</t>
  </si>
  <si>
    <t>2024071113:51:07</t>
  </si>
  <si>
    <t>2024071514:00:00</t>
  </si>
  <si>
    <t>6618440</t>
  </si>
  <si>
    <t>1932360</t>
  </si>
  <si>
    <t>2024071115:46:14</t>
  </si>
  <si>
    <t>2024071516:00:00</t>
  </si>
  <si>
    <t>6596921</t>
  </si>
  <si>
    <t>1934251</t>
  </si>
  <si>
    <t>2024070914:48:57</t>
  </si>
  <si>
    <t>6581363</t>
  </si>
  <si>
    <t>1934540</t>
  </si>
  <si>
    <t>2024071012:15:39</t>
  </si>
  <si>
    <t>4824520</t>
  </si>
  <si>
    <t>1935515</t>
  </si>
  <si>
    <t>2024071114:02:17</t>
  </si>
  <si>
    <t>6619909</t>
  </si>
  <si>
    <t>1935526</t>
  </si>
  <si>
    <t>2024071114:16:53</t>
  </si>
  <si>
    <t>6619749</t>
  </si>
  <si>
    <t>1935558</t>
  </si>
  <si>
    <t>2024071114:25:43</t>
  </si>
  <si>
    <t>6619901</t>
  </si>
  <si>
    <t>1935663</t>
  </si>
  <si>
    <t>2024071115:50:44</t>
  </si>
  <si>
    <t>6592399</t>
  </si>
  <si>
    <t>1911412</t>
  </si>
  <si>
    <t>2024071414:10:25</t>
  </si>
  <si>
    <t>2024071716:00:00</t>
  </si>
  <si>
    <t>3989061</t>
  </si>
  <si>
    <t>1931470</t>
  </si>
  <si>
    <t>2024071413:59:09</t>
  </si>
  <si>
    <t>6609295</t>
  </si>
  <si>
    <t>1935657</t>
  </si>
  <si>
    <t>2024071115:44:49</t>
  </si>
  <si>
    <t>6235276</t>
  </si>
  <si>
    <t>1936313</t>
  </si>
  <si>
    <t>2024071308:25:02</t>
  </si>
  <si>
    <t>5797322</t>
  </si>
  <si>
    <t>1935548</t>
  </si>
  <si>
    <t>2024071414:03:36</t>
  </si>
  <si>
    <t>2024071809:00:00</t>
  </si>
  <si>
    <t>6614479</t>
  </si>
  <si>
    <t>1936005</t>
  </si>
  <si>
    <t>2024071213:49:55</t>
  </si>
  <si>
    <t>6620685</t>
  </si>
  <si>
    <t>1929023</t>
  </si>
  <si>
    <t>2024071514:20:59</t>
  </si>
  <si>
    <t>2024071816:00:00</t>
  </si>
  <si>
    <t>1936114</t>
  </si>
  <si>
    <t>2024071310:45:42</t>
  </si>
  <si>
    <t>6620459</t>
  </si>
  <si>
    <t>1936848</t>
  </si>
  <si>
    <t>2024071414:48:57</t>
  </si>
  <si>
    <t>6621896</t>
  </si>
  <si>
    <t>1936856</t>
  </si>
  <si>
    <t>2024071414:47:39</t>
  </si>
  <si>
    <t>6621934</t>
  </si>
  <si>
    <t>1936905</t>
  </si>
  <si>
    <t>2024071416:43:45</t>
  </si>
  <si>
    <t>6386998</t>
  </si>
  <si>
    <t>1936929</t>
  </si>
  <si>
    <t>2024071513:33:30</t>
  </si>
  <si>
    <t>6594326</t>
  </si>
  <si>
    <t>1937307</t>
  </si>
  <si>
    <t>2024071513:53:45</t>
  </si>
  <si>
    <t>6623227</t>
  </si>
  <si>
    <t>1937329</t>
  </si>
  <si>
    <t>2024071514:08:23</t>
  </si>
  <si>
    <t>6351864</t>
  </si>
  <si>
    <t>1937427</t>
  </si>
  <si>
    <t>2024071514:59:22</t>
  </si>
  <si>
    <t>6599974</t>
  </si>
  <si>
    <t>1937458</t>
  </si>
  <si>
    <t>2024071515:20:42</t>
  </si>
  <si>
    <t>6624416</t>
  </si>
  <si>
    <t>1938059</t>
  </si>
  <si>
    <t>2024071713:51:36</t>
  </si>
  <si>
    <t>1936579</t>
  </si>
  <si>
    <t>2024071316:14:29</t>
  </si>
  <si>
    <t>2024071909:00:00</t>
  </si>
  <si>
    <t>4978838</t>
  </si>
  <si>
    <t>1936850</t>
  </si>
  <si>
    <t>2024071414:49:07</t>
  </si>
  <si>
    <t>5354623</t>
  </si>
  <si>
    <t>1936884</t>
  </si>
  <si>
    <t>2024071415:29:39</t>
  </si>
  <si>
    <t>2024071916:00:00</t>
  </si>
  <si>
    <t>6621925</t>
  </si>
  <si>
    <t>1937781</t>
  </si>
  <si>
    <t>2024071615:34:56</t>
  </si>
  <si>
    <t>2024071514:13:00</t>
  </si>
  <si>
    <t>2024072016:00:00</t>
  </si>
  <si>
    <t>2024071614:11:52</t>
  </si>
  <si>
    <t>2024071714:11:13</t>
  </si>
  <si>
    <t>2024071711:45:59</t>
  </si>
  <si>
    <t>2024071815:45:07</t>
  </si>
  <si>
    <t>2024071713:50:06</t>
  </si>
  <si>
    <t>2024072109:00:00</t>
  </si>
  <si>
    <t>2024071614:44:23</t>
  </si>
  <si>
    <t>2024072116:00:00</t>
  </si>
  <si>
    <t>2024071614:54:00</t>
  </si>
  <si>
    <t>2024071617:43:54</t>
  </si>
  <si>
    <t>2024071715:04:10</t>
  </si>
  <si>
    <t>2024071811:36:13</t>
  </si>
  <si>
    <t>2024071814:38:57</t>
  </si>
  <si>
    <t>2024071814:30:55</t>
  </si>
  <si>
    <t>2024072216:00:00</t>
  </si>
  <si>
    <r>
      <rPr>
        <sz val="9"/>
        <color rgb="FF333333"/>
        <rFont val="微软雅黑 Light"/>
        <family val="2"/>
        <charset val="134"/>
      </rPr>
      <t>左膝</t>
    </r>
    <r>
      <rPr>
        <sz val="9"/>
        <color rgb="FF333333"/>
        <rFont val="Times New Roman"/>
        <family val="1"/>
      </rPr>
      <t xml:space="preserve">ACL </t>
    </r>
    <r>
      <rPr>
        <sz val="9"/>
        <color rgb="FF333333"/>
        <rFont val="微软雅黑 Light"/>
        <family val="2"/>
        <charset val="134"/>
      </rPr>
      <t>髌三联</t>
    </r>
  </si>
  <si>
    <t>2024071712:01:39</t>
  </si>
  <si>
    <t>2024071713:40:02</t>
  </si>
  <si>
    <t>2024071715:40:18</t>
  </si>
  <si>
    <t>2024071810:41:15</t>
  </si>
  <si>
    <t>2024071813:38:59</t>
  </si>
  <si>
    <t>2024071814:05:09</t>
  </si>
  <si>
    <t>2024071814:38:45</t>
  </si>
  <si>
    <t>2024071815:47:26</t>
  </si>
  <si>
    <t>2024072116:02:17</t>
  </si>
  <si>
    <t>2024072416:00:00</t>
  </si>
  <si>
    <t>2024072114:29:26</t>
  </si>
  <si>
    <t>2024072114:21:05</t>
  </si>
  <si>
    <t>2024071813:51:49</t>
  </si>
  <si>
    <t>2024071814:31:05</t>
  </si>
  <si>
    <t>2024071815:30:19</t>
  </si>
  <si>
    <t>2024071914:17:58</t>
  </si>
  <si>
    <t>2024072114:42:29</t>
  </si>
  <si>
    <t>2024072509:00:00</t>
  </si>
  <si>
    <t>右膝ACL PLC</t>
  </si>
  <si>
    <t>2024071913:48:04</t>
  </si>
  <si>
    <t>2024072516:00:00</t>
  </si>
  <si>
    <t>2024072214:42:03</t>
  </si>
  <si>
    <t>游离体摘除</t>
  </si>
  <si>
    <t>2024072015:03:24</t>
  </si>
  <si>
    <t>2024072609:00:00</t>
  </si>
  <si>
    <t>2024072116:26:24</t>
  </si>
  <si>
    <t>2024072616:00:00</t>
  </si>
  <si>
    <t>2024072113:57:13</t>
  </si>
  <si>
    <t>右膝ACL止点骨折</t>
  </si>
  <si>
    <t>2024072411:39:31</t>
  </si>
  <si>
    <t>2024072714:00:00</t>
  </si>
  <si>
    <t>2024072115:10:58</t>
  </si>
  <si>
    <t>2024072716:00:00</t>
  </si>
  <si>
    <t>2024072114:20:38</t>
  </si>
  <si>
    <t>2024072115:37:52</t>
  </si>
  <si>
    <t>2024072214:21:29</t>
  </si>
  <si>
    <t>2024072514:42:19</t>
  </si>
  <si>
    <t>2024072809:00:00</t>
  </si>
  <si>
    <t>2024072411:57:17</t>
  </si>
  <si>
    <t>2024072411:23:18</t>
  </si>
  <si>
    <t>2024072816:00:00</t>
  </si>
  <si>
    <t>2024072414:38:49</t>
  </si>
  <si>
    <t>2024072313:16:19</t>
  </si>
  <si>
    <t>2024072414:14:56</t>
  </si>
  <si>
    <t>2024072315:56:02</t>
  </si>
  <si>
    <t>2024072413:43:25</t>
  </si>
  <si>
    <t>2024072413:57:22</t>
  </si>
  <si>
    <t>2024072513:20:46</t>
  </si>
  <si>
    <t>2024072916:00:00</t>
  </si>
  <si>
    <t>2024072514:47:30</t>
  </si>
  <si>
    <t>2024072515:03:07</t>
  </si>
  <si>
    <t>2024072717:44:48</t>
  </si>
  <si>
    <t>2024073109:00:00</t>
  </si>
  <si>
    <t>2024072814:13:51</t>
  </si>
  <si>
    <t>2024073116:00:00</t>
  </si>
  <si>
    <t>2024072615:08:33</t>
  </si>
  <si>
    <t>2024072814:14:01</t>
  </si>
  <si>
    <t>2024080109:00:00</t>
  </si>
  <si>
    <t>2024072815:46:05</t>
  </si>
  <si>
    <t>2024072914:46:01</t>
  </si>
  <si>
    <t>2024080116:00:00</t>
  </si>
  <si>
    <t>2024072712:25:35</t>
  </si>
  <si>
    <t>2024072814:42:02</t>
  </si>
  <si>
    <t>2024072814:14:10</t>
  </si>
  <si>
    <t>2024072915:24:19</t>
  </si>
  <si>
    <t>2024072614:32:59</t>
  </si>
  <si>
    <t>2024080216:00:00</t>
  </si>
  <si>
    <t>2024073108:59:48</t>
  </si>
  <si>
    <t>2024080309:00:00</t>
  </si>
  <si>
    <t>1943266</t>
  </si>
  <si>
    <t>2024072714:38:40</t>
  </si>
  <si>
    <t>2024072915:29:28</t>
  </si>
  <si>
    <t>2024073014:09:56</t>
  </si>
  <si>
    <r>
      <rPr>
        <sz val="9"/>
        <color rgb="FF333333"/>
        <rFont val="Times New Roman"/>
        <family val="1"/>
      </rPr>
      <t>ACL</t>
    </r>
    <r>
      <rPr>
        <sz val="9"/>
        <color rgb="FF333333"/>
        <rFont val="宋体"/>
        <family val="3"/>
        <charset val="134"/>
      </rPr>
      <t>囊肿</t>
    </r>
  </si>
  <si>
    <t>2024073114:06:48</t>
  </si>
  <si>
    <t>2024080405:22:44</t>
  </si>
  <si>
    <t>2024073108:52:11</t>
  </si>
  <si>
    <t>2024080409:00:00</t>
  </si>
  <si>
    <t>2024073109:10:05</t>
  </si>
  <si>
    <t>2024072712:17:03</t>
  </si>
  <si>
    <t>2024073114:39:40</t>
  </si>
  <si>
    <t>2024080416:00:00</t>
  </si>
  <si>
    <t>2024073113:40:07</t>
  </si>
  <si>
    <t>2024073114:03:25</t>
  </si>
  <si>
    <t>2024073114:13:47</t>
  </si>
  <si>
    <t>2024073013:34:22</t>
  </si>
  <si>
    <t>2024080509:00:00</t>
  </si>
  <si>
    <t>2024072915:34:35</t>
  </si>
  <si>
    <t>2024080516:00:00</t>
  </si>
  <si>
    <t>2024080114:34:33</t>
  </si>
  <si>
    <t>2024080114:34:26</t>
  </si>
  <si>
    <t>2024080115:46:07</t>
  </si>
  <si>
    <t>2024080218:41:57</t>
  </si>
  <si>
    <t>2024080716:00:00</t>
  </si>
  <si>
    <t>2024080312:32:34</t>
  </si>
  <si>
    <t>2024080214:02:40</t>
  </si>
  <si>
    <t>2024080809:00:00</t>
  </si>
  <si>
    <t>2024080515:18:01</t>
  </si>
  <si>
    <t>2024080816:00:00</t>
  </si>
  <si>
    <t>2024080415:46:51</t>
  </si>
  <si>
    <t>2024080313:37:47</t>
  </si>
  <si>
    <t>2024080512:29:41</t>
  </si>
  <si>
    <t>2024080514:07:20</t>
  </si>
  <si>
    <t>2024080514:57:38</t>
  </si>
  <si>
    <t>2024080515:24:48</t>
  </si>
  <si>
    <t>2024080213:43:14</t>
  </si>
  <si>
    <t>2024080916:00:00</t>
  </si>
  <si>
    <t>2024080413:52:01</t>
  </si>
  <si>
    <t>2024080515:20:48</t>
  </si>
  <si>
    <t>2024080614:57:50</t>
  </si>
  <si>
    <t>2024080714:38:51</t>
  </si>
  <si>
    <t>2024080413:56:49</t>
  </si>
  <si>
    <t>2024081009:00:00</t>
  </si>
  <si>
    <t>2024080514:08:34</t>
  </si>
  <si>
    <t>2024080213:39:20</t>
  </si>
  <si>
    <t>2024081016:00:00</t>
  </si>
  <si>
    <t>2024080314:48:53</t>
  </si>
  <si>
    <t>2024080414:38:45</t>
  </si>
  <si>
    <t>2024080614:44:46</t>
  </si>
  <si>
    <t>2024080714:35:46</t>
  </si>
  <si>
    <t>2024080515:59:30</t>
  </si>
  <si>
    <t>2024081109:00:00</t>
  </si>
  <si>
    <t>2024080713:50:29</t>
  </si>
  <si>
    <t>2024080809:40:01</t>
  </si>
  <si>
    <t>2024080718:31:46</t>
  </si>
  <si>
    <t>2024081116:00:00</t>
  </si>
  <si>
    <t>1947064</t>
  </si>
  <si>
    <t>2024080514:36:25</t>
  </si>
  <si>
    <t>2024080814:07:54</t>
  </si>
  <si>
    <t>2024080811:57:20</t>
  </si>
  <si>
    <t>2024081216:00:00</t>
  </si>
  <si>
    <t>2024080811:57:28</t>
  </si>
  <si>
    <t>2024080814:03:10</t>
  </si>
  <si>
    <t>右膝ACL MCL</t>
  </si>
  <si>
    <t>2024080814:07:16</t>
  </si>
  <si>
    <t>2024080814:17:38</t>
  </si>
  <si>
    <t>2024080716:32:11</t>
  </si>
  <si>
    <t>2024081309:00:00</t>
  </si>
  <si>
    <t>2024080814:05:26</t>
  </si>
  <si>
    <t>2024081409:00:00</t>
  </si>
  <si>
    <t>1949363</t>
  </si>
  <si>
    <t>2024080914:06:37</t>
  </si>
  <si>
    <t>2024080914:57:00</t>
  </si>
  <si>
    <t>2024080816:26:36</t>
  </si>
  <si>
    <t>2024081416:00:00</t>
  </si>
  <si>
    <t>1949309</t>
  </si>
  <si>
    <t>2024080913:33:28</t>
  </si>
  <si>
    <t>2024081016:34:45</t>
  </si>
  <si>
    <t>1949352</t>
  </si>
  <si>
    <t>2024080913:59:33</t>
  </si>
  <si>
    <t>2024081509:00:00</t>
  </si>
  <si>
    <t>2024081214:23:44</t>
  </si>
  <si>
    <t>2024081516:00:00</t>
  </si>
  <si>
    <t>1950032</t>
  </si>
  <si>
    <t>2024081114:28:25</t>
  </si>
  <si>
    <t>1950037</t>
  </si>
  <si>
    <t>2024081114:32:01</t>
  </si>
  <si>
    <t>2024081213:53:46</t>
  </si>
  <si>
    <t>2024081213:47:23</t>
  </si>
  <si>
    <t>2024081609:00:00</t>
  </si>
  <si>
    <t>2024081013:49:23</t>
  </si>
  <si>
    <t>2024081614:00:00</t>
  </si>
  <si>
    <t>2024081313:46:01</t>
  </si>
  <si>
    <t>2024081014:35:25</t>
  </si>
  <si>
    <t>2024081716:00:00</t>
  </si>
  <si>
    <t>1950051</t>
  </si>
  <si>
    <t>2024081114:59:19</t>
  </si>
  <si>
    <t>2024081215:14:14</t>
  </si>
  <si>
    <t>2024081315:08:45</t>
  </si>
  <si>
    <t>2024081414:23:18</t>
  </si>
  <si>
    <t>2024081816:00:00</t>
  </si>
  <si>
    <t>1951517</t>
  </si>
  <si>
    <t>2024081413:48:21</t>
  </si>
  <si>
    <t>2024081414:02:10</t>
  </si>
  <si>
    <t>2024081515:22:37</t>
  </si>
  <si>
    <t>2024081909:00:00</t>
  </si>
  <si>
    <t>2024081018:34:03</t>
  </si>
  <si>
    <t>2024081913:00:00</t>
  </si>
  <si>
    <t>1950002</t>
  </si>
  <si>
    <t>2024081114:00:10</t>
  </si>
  <si>
    <t>2024082016:00:00</t>
  </si>
  <si>
    <t>1950764</t>
  </si>
  <si>
    <t>2024081314:35:44</t>
  </si>
  <si>
    <t>1951025</t>
  </si>
  <si>
    <t>2024081314:14:32</t>
  </si>
  <si>
    <t>2024081814:29:40</t>
  </si>
  <si>
    <t>2024082116:00:00</t>
  </si>
  <si>
    <t>2024081610:47:10</t>
  </si>
  <si>
    <t>1952757</t>
  </si>
  <si>
    <t>2024081616:40:48</t>
  </si>
  <si>
    <t>1952762</t>
  </si>
  <si>
    <t>2024081616:24:55</t>
  </si>
  <si>
    <t>1952859</t>
  </si>
  <si>
    <t>2024081708:22:48</t>
  </si>
  <si>
    <t>2024081712:32:27</t>
  </si>
  <si>
    <r>
      <rPr>
        <sz val="9"/>
        <color rgb="FF333333"/>
        <rFont val="宋体"/>
        <family val="3"/>
        <charset val="134"/>
      </rPr>
      <t>右膝</t>
    </r>
    <r>
      <rPr>
        <sz val="9"/>
        <color rgb="FF333333"/>
        <rFont val="Times New Roman"/>
        <family val="1"/>
      </rPr>
      <t>ACL PMC</t>
    </r>
  </si>
  <si>
    <t>2024081813:58:31</t>
  </si>
  <si>
    <t>2024081612:51:24</t>
  </si>
  <si>
    <t>2024082209:00:00</t>
  </si>
  <si>
    <t>2024081916:02:14</t>
  </si>
  <si>
    <t>2024082213:00:00</t>
  </si>
  <si>
    <t>2024081615:54:59</t>
  </si>
  <si>
    <t>2024082216:00:00</t>
  </si>
  <si>
    <t>2024081913:39:04</t>
  </si>
  <si>
    <t>2024081914:37:57</t>
  </si>
  <si>
    <t>右膝ACL LCL</t>
  </si>
  <si>
    <t>2024081613:53:33</t>
  </si>
  <si>
    <t>2024082416:00:00</t>
  </si>
  <si>
    <t>2024081615:16:03</t>
  </si>
  <si>
    <t>2024081716:09:54</t>
  </si>
  <si>
    <t>2024082109:31:18</t>
  </si>
  <si>
    <t>2024082014:42:14</t>
  </si>
  <si>
    <t>2024082113:36:11</t>
  </si>
  <si>
    <t>左膝ACL止点</t>
  </si>
  <si>
    <t>2024082112:40:47</t>
  </si>
  <si>
    <t>2024082114:17:38</t>
  </si>
  <si>
    <t>2024082509:00:00</t>
  </si>
  <si>
    <t>2024081615:07:47</t>
  </si>
  <si>
    <t>2024081715:34:03</t>
  </si>
  <si>
    <t>2024082516:00:00</t>
  </si>
  <si>
    <t>2024082112:05:08</t>
  </si>
  <si>
    <t>2024082017:35:34</t>
  </si>
  <si>
    <t>2024082213:33:25</t>
  </si>
  <si>
    <t>2024082616:00:00</t>
  </si>
  <si>
    <t>2024082014:04:11</t>
  </si>
  <si>
    <t>2024082116:25:47</t>
  </si>
  <si>
    <t>2024082214:26:08</t>
  </si>
  <si>
    <t>2024082015:48:36</t>
  </si>
  <si>
    <t>2024082709:00:00</t>
  </si>
  <si>
    <t>2024082014:04:27</t>
  </si>
  <si>
    <t>2024082716:00:00</t>
  </si>
  <si>
    <t>2024082314:05:12</t>
  </si>
  <si>
    <t>2024082816:00:00</t>
  </si>
  <si>
    <t>2024082310:33:02</t>
  </si>
  <si>
    <t>2024082909:00:00</t>
  </si>
  <si>
    <t>2024082315:29:01</t>
  </si>
  <si>
    <t>2024082914:00:00</t>
  </si>
  <si>
    <t>2024082614:50:51</t>
  </si>
  <si>
    <t>2024082916:00:00</t>
  </si>
  <si>
    <t>2024082614:46:28</t>
  </si>
  <si>
    <t>2024082615:19:30</t>
  </si>
  <si>
    <t>2024082615:28:47</t>
  </si>
  <si>
    <t>2024082615:48:20</t>
  </si>
  <si>
    <t>ACL囊肿</t>
  </si>
  <si>
    <t>2024082317:38:52</t>
  </si>
  <si>
    <t>2024083009:00:00</t>
  </si>
  <si>
    <t>2024082414:27:04</t>
  </si>
  <si>
    <t>2024083016:00:00</t>
  </si>
  <si>
    <t>2024082414:46:24</t>
  </si>
  <si>
    <t>2024082416:18:13</t>
  </si>
  <si>
    <t>2024083109:00:00</t>
  </si>
  <si>
    <r>
      <rPr>
        <sz val="9"/>
        <color rgb="FF333333"/>
        <rFont val="宋体"/>
        <family val="3"/>
        <charset val="134"/>
      </rPr>
      <t>左膝</t>
    </r>
    <r>
      <rPr>
        <sz val="9"/>
        <color rgb="FF333333"/>
        <rFont val="Times New Roman"/>
        <family val="1"/>
      </rPr>
      <t>ACL PLC</t>
    </r>
  </si>
  <si>
    <t>2024082713:38:11</t>
  </si>
  <si>
    <t>2024083114:00:00</t>
  </si>
  <si>
    <t>2024082714:55:26</t>
  </si>
  <si>
    <t>2024082714:50:43</t>
  </si>
  <si>
    <t>2024082415:48:28</t>
  </si>
  <si>
    <t>2024083116:00:00</t>
  </si>
  <si>
    <t>2024082516:18:08</t>
  </si>
  <si>
    <t>2024082812:20:58</t>
  </si>
  <si>
    <t>1956135</t>
  </si>
  <si>
    <t>2024082415:23:39</t>
  </si>
  <si>
    <t>2024090109:00:00</t>
  </si>
  <si>
    <r>
      <rPr>
        <sz val="9"/>
        <rFont val="Times New Roman"/>
        <family val="1"/>
      </rPr>
      <t>ACL</t>
    </r>
    <r>
      <rPr>
        <sz val="9"/>
        <rFont val="宋体"/>
        <family val="3"/>
        <charset val="134"/>
      </rPr>
      <t>翻修</t>
    </r>
  </si>
  <si>
    <t>2024082809:39:43</t>
  </si>
  <si>
    <t>2024090116:00:00</t>
  </si>
  <si>
    <t>2024082809:09:17</t>
  </si>
  <si>
    <t>2024082614:20:35</t>
  </si>
  <si>
    <t>2024082814:47:36</t>
  </si>
  <si>
    <t>2024082907:44:58</t>
  </si>
  <si>
    <t>1958380</t>
  </si>
  <si>
    <t>2024082914:58:13</t>
  </si>
  <si>
    <t>2024090216:00:00</t>
  </si>
  <si>
    <t>2024082715:06:36</t>
  </si>
  <si>
    <t>2024090309:00:00</t>
  </si>
  <si>
    <t>2024082813:27:34</t>
  </si>
  <si>
    <t>2024090316:00:00</t>
  </si>
  <si>
    <t>2024082816:11:48</t>
  </si>
  <si>
    <t>2024082512:11:03</t>
  </si>
  <si>
    <t>2024090409:00:00</t>
  </si>
  <si>
    <t>2024083015:26:10</t>
  </si>
  <si>
    <t>1958439</t>
  </si>
  <si>
    <t>2024082915:48:53</t>
  </si>
  <si>
    <t>2024090412:03:25</t>
  </si>
  <si>
    <t>2024083112:11:40</t>
  </si>
  <si>
    <t>2024090416:00:00</t>
  </si>
  <si>
    <t>右膝ACL、PCL、PMC</t>
  </si>
  <si>
    <t>2024090115:10:58</t>
  </si>
  <si>
    <t>1959174</t>
  </si>
  <si>
    <t>2024083114:58:45</t>
  </si>
  <si>
    <t>2024090514:00:00</t>
  </si>
  <si>
    <t>1959176</t>
  </si>
  <si>
    <t>2024083114:56:38</t>
  </si>
  <si>
    <t>1959536</t>
  </si>
  <si>
    <t>2024090214:46:46</t>
  </si>
  <si>
    <t>2024090609:00:00</t>
  </si>
  <si>
    <t>2024090408:31:36</t>
  </si>
  <si>
    <t>2024090411:56:42</t>
  </si>
  <si>
    <t>2024090611:51:59</t>
  </si>
  <si>
    <t>2024083014:53:42</t>
  </si>
  <si>
    <t>2024090716:00:00</t>
  </si>
  <si>
    <t>2024083014:51:15</t>
  </si>
  <si>
    <t>2024083115:46:02</t>
  </si>
  <si>
    <t>2024090809:00:00</t>
  </si>
  <si>
    <t>1960213</t>
  </si>
  <si>
    <t>2024090310:37:12</t>
  </si>
  <si>
    <r>
      <rPr>
        <sz val="9"/>
        <rFont val="宋体"/>
        <family val="3"/>
        <charset val="134"/>
      </rPr>
      <t>右膝</t>
    </r>
    <r>
      <rPr>
        <sz val="9"/>
        <rFont val="Times New Roman"/>
        <family val="1"/>
      </rPr>
      <t>ACL</t>
    </r>
    <r>
      <rPr>
        <sz val="9"/>
        <rFont val="宋体"/>
        <family val="3"/>
        <charset val="134"/>
      </rPr>
      <t>止点</t>
    </r>
  </si>
  <si>
    <t>1951096</t>
  </si>
  <si>
    <t>2024090409:39:32</t>
  </si>
  <si>
    <t>2024090816:00:00</t>
  </si>
  <si>
    <t>左膝ACL、PCL</t>
  </si>
  <si>
    <t>2024090613:59:00</t>
  </si>
  <si>
    <r>
      <rPr>
        <sz val="9"/>
        <color rgb="FF333333"/>
        <rFont val="Times New Roman"/>
        <family val="1"/>
      </rPr>
      <t>59</t>
    </r>
    <r>
      <rPr>
        <sz val="9"/>
        <color rgb="FF333333"/>
        <rFont val="Microsoft YaHei Light"/>
        <family val="2"/>
        <charset val="134"/>
      </rPr>
      <t>岁</t>
    </r>
  </si>
  <si>
    <t>2024090313:44:35</t>
  </si>
  <si>
    <t>2024090508:15:54</t>
  </si>
  <si>
    <t>2024090316:26:22</t>
  </si>
  <si>
    <t>2024090411:07:34</t>
  </si>
  <si>
    <t>2024090413:46:38</t>
  </si>
  <si>
    <t>1960825</t>
  </si>
  <si>
    <t>2024090411:25:09</t>
  </si>
  <si>
    <t>1961214</t>
  </si>
  <si>
    <t>2024090514:40:57</t>
  </si>
  <si>
    <t>1960320</t>
  </si>
  <si>
    <t>2024090511:59:06</t>
  </si>
  <si>
    <t>2024090909:00:00</t>
  </si>
  <si>
    <t>2024090513:51:34</t>
  </si>
  <si>
    <t>2024090914:00:00</t>
  </si>
  <si>
    <t>2024090513:45:38</t>
  </si>
  <si>
    <t>2024090916:00:00</t>
  </si>
  <si>
    <t>1961444</t>
  </si>
  <si>
    <t>2024090514:33:09</t>
  </si>
  <si>
    <t>1961446</t>
  </si>
  <si>
    <t>2024090514:34:02</t>
  </si>
  <si>
    <t>1961518</t>
  </si>
  <si>
    <t>2024090515:46:38</t>
  </si>
  <si>
    <t>1961663</t>
  </si>
  <si>
    <t>2024090608:24:32</t>
  </si>
  <si>
    <t>右膝ACL PMC</t>
  </si>
  <si>
    <t>1961750</t>
  </si>
  <si>
    <t>2024090611:51:09</t>
  </si>
  <si>
    <t>2024090814:17:20</t>
  </si>
  <si>
    <t>2024091216:00:00</t>
  </si>
  <si>
    <t>2024090815:48:12</t>
  </si>
  <si>
    <t>2024090915:20:04</t>
  </si>
  <si>
    <t>2024090814:28:29</t>
  </si>
  <si>
    <t>2024091316:00:00</t>
  </si>
  <si>
    <t>2024090814:29:35</t>
  </si>
  <si>
    <r>
      <rPr>
        <sz val="9"/>
        <color rgb="FF333333"/>
        <rFont val="微软雅黑 Light"/>
        <family val="2"/>
        <charset val="134"/>
      </rPr>
      <t>男</t>
    </r>
  </si>
  <si>
    <t>2024090814:40:50</t>
  </si>
  <si>
    <t>2024091409:00:00</t>
  </si>
  <si>
    <r>
      <rPr>
        <sz val="9"/>
        <color rgb="FF333333"/>
        <rFont val="Times New Roman"/>
        <family val="1"/>
      </rPr>
      <t>32</t>
    </r>
    <r>
      <rPr>
        <sz val="9"/>
        <color rgb="FF333333"/>
        <rFont val="微软雅黑 Light"/>
        <family val="2"/>
        <charset val="134"/>
      </rPr>
      <t>岁</t>
    </r>
  </si>
  <si>
    <t>2024090814:45:37</t>
  </si>
  <si>
    <r>
      <rPr>
        <sz val="9"/>
        <color rgb="FF333333"/>
        <rFont val="Times New Roman"/>
        <family val="1"/>
      </rPr>
      <t>40</t>
    </r>
    <r>
      <rPr>
        <sz val="9"/>
        <color rgb="FF333333"/>
        <rFont val="微软雅黑 Light"/>
        <family val="2"/>
        <charset val="134"/>
      </rPr>
      <t>岁</t>
    </r>
  </si>
  <si>
    <r>
      <rPr>
        <sz val="9"/>
        <color rgb="FF333333"/>
        <rFont val="微软雅黑 Light"/>
        <family val="2"/>
        <charset val="134"/>
      </rPr>
      <t>女</t>
    </r>
  </si>
  <si>
    <t>2024090815:38:11</t>
  </si>
  <si>
    <r>
      <rPr>
        <sz val="9"/>
        <color rgb="FF333333"/>
        <rFont val="Times New Roman"/>
        <family val="1"/>
      </rPr>
      <t>34</t>
    </r>
    <r>
      <rPr>
        <sz val="9"/>
        <color rgb="FF333333"/>
        <rFont val="微软雅黑 Light"/>
        <family val="2"/>
        <charset val="134"/>
      </rPr>
      <t>岁</t>
    </r>
  </si>
  <si>
    <t>2024090917:07:10</t>
  </si>
  <si>
    <t>2024091416:00:00</t>
  </si>
  <si>
    <r>
      <rPr>
        <sz val="9"/>
        <color rgb="FF333333"/>
        <rFont val="Times New Roman"/>
        <family val="1"/>
      </rPr>
      <t>29</t>
    </r>
    <r>
      <rPr>
        <sz val="9"/>
        <color rgb="FF333333"/>
        <rFont val="微软雅黑 Light"/>
        <family val="2"/>
        <charset val="134"/>
      </rPr>
      <t>岁</t>
    </r>
  </si>
  <si>
    <t>2024090923:32:40</t>
  </si>
  <si>
    <r>
      <rPr>
        <sz val="9"/>
        <color rgb="FF333333"/>
        <rFont val="Times New Roman"/>
        <family val="1"/>
      </rPr>
      <t>37</t>
    </r>
    <r>
      <rPr>
        <sz val="9"/>
        <color rgb="FF333333"/>
        <rFont val="微软雅黑 Light"/>
        <family val="2"/>
        <charset val="134"/>
      </rPr>
      <t>岁</t>
    </r>
  </si>
  <si>
    <t>1964139</t>
  </si>
  <si>
    <t>2024091115:40:15</t>
  </si>
  <si>
    <r>
      <rPr>
        <sz val="9"/>
        <color rgb="FF333333"/>
        <rFont val="Times New Roman"/>
        <family val="1"/>
      </rPr>
      <t>27</t>
    </r>
    <r>
      <rPr>
        <sz val="9"/>
        <color rgb="FF333333"/>
        <rFont val="微软雅黑 Light"/>
        <family val="2"/>
        <charset val="134"/>
      </rPr>
      <t>岁</t>
    </r>
  </si>
  <si>
    <t>2024091215:45:19</t>
  </si>
  <si>
    <r>
      <rPr>
        <sz val="9"/>
        <color rgb="FF333333"/>
        <rFont val="Times New Roman"/>
        <family val="1"/>
      </rPr>
      <t>39</t>
    </r>
    <r>
      <rPr>
        <sz val="9"/>
        <color rgb="FF333333"/>
        <rFont val="微软雅黑 Light"/>
        <family val="2"/>
        <charset val="134"/>
      </rPr>
      <t>岁</t>
    </r>
  </si>
  <si>
    <t>1962289</t>
  </si>
  <si>
    <t>2024090716:07:41</t>
  </si>
  <si>
    <t>2024091509:00:00</t>
  </si>
  <si>
    <t>2024090915:30:44</t>
  </si>
  <si>
    <r>
      <rPr>
        <sz val="9"/>
        <color rgb="FF333333"/>
        <rFont val="Times New Roman"/>
        <family val="1"/>
      </rPr>
      <t>43</t>
    </r>
    <r>
      <rPr>
        <sz val="9"/>
        <color rgb="FF333333"/>
        <rFont val="微软雅黑 Light"/>
        <family val="2"/>
        <charset val="134"/>
      </rPr>
      <t>岁</t>
    </r>
  </si>
  <si>
    <t>2024091014:17:36</t>
  </si>
  <si>
    <r>
      <rPr>
        <sz val="9"/>
        <color rgb="FF333333"/>
        <rFont val="Times New Roman"/>
        <family val="1"/>
      </rPr>
      <t>36</t>
    </r>
    <r>
      <rPr>
        <sz val="9"/>
        <color rgb="FF333333"/>
        <rFont val="微软雅黑 Light"/>
        <family val="2"/>
        <charset val="134"/>
      </rPr>
      <t>岁</t>
    </r>
  </si>
  <si>
    <t>2024090919:55:19</t>
  </si>
  <si>
    <t>2024091516:00:00</t>
  </si>
  <si>
    <r>
      <rPr>
        <sz val="9"/>
        <color rgb="FF333333"/>
        <rFont val="Times New Roman"/>
        <family val="1"/>
      </rPr>
      <t>31</t>
    </r>
    <r>
      <rPr>
        <sz val="9"/>
        <color rgb="FF333333"/>
        <rFont val="微软雅黑 Light"/>
        <family val="2"/>
        <charset val="134"/>
      </rPr>
      <t>岁</t>
    </r>
  </si>
  <si>
    <t>2024091114:23:23</t>
  </si>
  <si>
    <r>
      <rPr>
        <sz val="9"/>
        <color rgb="FF333333"/>
        <rFont val="Times New Roman"/>
        <family val="1"/>
      </rPr>
      <t>35</t>
    </r>
    <r>
      <rPr>
        <sz val="9"/>
        <color rgb="FF333333"/>
        <rFont val="微软雅黑 Light"/>
        <family val="2"/>
        <charset val="134"/>
      </rPr>
      <t>岁</t>
    </r>
  </si>
  <si>
    <t>2024091308:35:41</t>
  </si>
  <si>
    <t>2024091215:41:50</t>
  </si>
  <si>
    <t>2024091609:00:00</t>
  </si>
  <si>
    <t>2024091208:22:11</t>
  </si>
  <si>
    <r>
      <rPr>
        <sz val="9"/>
        <color rgb="FF333333"/>
        <rFont val="Times New Roman"/>
        <family val="1"/>
      </rPr>
      <t>56</t>
    </r>
    <r>
      <rPr>
        <sz val="9"/>
        <color rgb="FF333333"/>
        <rFont val="微软雅黑 Light"/>
        <family val="2"/>
        <charset val="134"/>
      </rPr>
      <t>岁</t>
    </r>
  </si>
  <si>
    <t>2024091208:21:24</t>
  </si>
  <si>
    <r>
      <rPr>
        <sz val="9"/>
        <color rgb="FF333333"/>
        <rFont val="Times New Roman"/>
        <family val="1"/>
      </rPr>
      <t>41</t>
    </r>
    <r>
      <rPr>
        <sz val="9"/>
        <color rgb="FF333333"/>
        <rFont val="微软雅黑 Light"/>
        <family val="2"/>
        <charset val="134"/>
      </rPr>
      <t>岁</t>
    </r>
  </si>
  <si>
    <t>2024091115:10:38</t>
  </si>
  <si>
    <t>2024091212:24:30</t>
  </si>
  <si>
    <t>2024091709:00:00</t>
  </si>
  <si>
    <r>
      <rPr>
        <sz val="9"/>
        <color rgb="FF333333"/>
        <rFont val="Times New Roman"/>
        <family val="1"/>
      </rPr>
      <t>52</t>
    </r>
    <r>
      <rPr>
        <sz val="9"/>
        <color rgb="FF333333"/>
        <rFont val="微软雅黑 Light"/>
        <family val="2"/>
        <charset val="134"/>
      </rPr>
      <t>岁</t>
    </r>
  </si>
  <si>
    <r>
      <rPr>
        <sz val="9"/>
        <rFont val="宋体"/>
        <family val="3"/>
        <charset val="134"/>
      </rPr>
      <t>左膝</t>
    </r>
    <r>
      <rPr>
        <sz val="9"/>
        <rFont val="Times New Roman"/>
        <family val="1"/>
      </rPr>
      <t>ACL</t>
    </r>
    <r>
      <rPr>
        <sz val="9"/>
        <rFont val="宋体"/>
        <family val="3"/>
        <charset val="134"/>
      </rPr>
      <t>、</t>
    </r>
    <r>
      <rPr>
        <sz val="9"/>
        <rFont val="Times New Roman"/>
        <family val="1"/>
      </rPr>
      <t>LCL</t>
    </r>
  </si>
  <si>
    <t>2024091213:45:03</t>
  </si>
  <si>
    <r>
      <rPr>
        <sz val="9"/>
        <color rgb="FF333333"/>
        <rFont val="Times New Roman"/>
        <family val="1"/>
      </rPr>
      <t>30</t>
    </r>
    <r>
      <rPr>
        <sz val="9"/>
        <color rgb="FF333333"/>
        <rFont val="微软雅黑 Light"/>
        <family val="2"/>
        <charset val="134"/>
      </rPr>
      <t>岁</t>
    </r>
  </si>
  <si>
    <t>左膝ACL、LCL</t>
  </si>
  <si>
    <t>2024091408:03:34</t>
  </si>
  <si>
    <t>2024091809:00:00</t>
  </si>
  <si>
    <r>
      <rPr>
        <sz val="9"/>
        <color rgb="FF333333"/>
        <rFont val="Times New Roman"/>
        <family val="1"/>
      </rPr>
      <t>57</t>
    </r>
    <r>
      <rPr>
        <sz val="9"/>
        <color rgb="FF333333"/>
        <rFont val="微软雅黑 Light"/>
        <family val="2"/>
        <charset val="134"/>
      </rPr>
      <t>岁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</si>
</sst>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0_ "/>
  </numFmts>
  <fonts count="19">
    <font>
      <sz val="10"/>
      <name val="Arial"/>
      <charset val="134"/>
    </font>
    <font>
      <sz val="10"/>
      <name val="Times New Roman"/>
      <family val="1"/>
    </font>
    <font>
      <sz val="10"/>
      <name val="微软雅黑 Light"/>
      <family val="2"/>
      <charset val="134"/>
    </font>
    <font>
      <sz val="9"/>
      <name val="Times New Roman"/>
      <family val="1"/>
    </font>
    <font>
      <sz val="9"/>
      <color rgb="FF333333"/>
      <name val="Times New Roman"/>
      <family val="1"/>
    </font>
    <font>
      <sz val="9"/>
      <color rgb="FF333333"/>
      <name val="Microsoft YaHei Light"/>
      <family val="2"/>
      <charset val="134"/>
    </font>
    <font>
      <sz val="9"/>
      <color indexed="63"/>
      <name val="Times New Roman"/>
      <family val="1"/>
    </font>
    <font>
      <sz val="9"/>
      <name val="宋体"/>
      <family val="3"/>
      <charset val="134"/>
    </font>
    <font>
      <sz val="10"/>
      <name val="Microsoft YaHei Light"/>
      <family val="2"/>
      <charset val="134"/>
    </font>
    <font>
      <sz val="9"/>
      <color indexed="8"/>
      <name val="Times New Roman"/>
      <family val="1"/>
    </font>
    <font>
      <sz val="10"/>
      <color rgb="FF000000"/>
      <name val="Times New Roman"/>
      <family val="1"/>
    </font>
    <font>
      <sz val="9"/>
      <color rgb="FF333333"/>
      <name val="宋体"/>
      <family val="3"/>
      <charset val="134"/>
    </font>
    <font>
      <sz val="9"/>
      <color rgb="FF000000"/>
      <name val="Times New Roman"/>
      <family val="1"/>
    </font>
    <font>
      <sz val="9"/>
      <color indexed="63"/>
      <name val="Microsoft YaHei Light"/>
      <family val="2"/>
      <charset val="134"/>
    </font>
    <font>
      <sz val="9"/>
      <name val="Microsoft YaHei Light"/>
      <family val="2"/>
      <charset val="134"/>
    </font>
    <font>
      <sz val="9"/>
      <color rgb="FF333333"/>
      <name val="微软雅黑 Light"/>
      <family val="2"/>
      <charset val="134"/>
    </font>
    <font>
      <sz val="9"/>
      <color indexed="8"/>
      <name val="Microsoft YaHei Light"/>
      <family val="2"/>
      <charset val="134"/>
    </font>
    <font>
      <sz val="9"/>
      <color rgb="FF000000"/>
      <name val="Microsoft YaHei Light"/>
      <family val="2"/>
      <charset val="134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4.9897762993255407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7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0" borderId="0" xfId="0" applyFont="1">
      <alignment vertical="center"/>
    </xf>
    <xf numFmtId="176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9" fillId="4" borderId="1" xfId="0" applyFont="1" applyFill="1" applyBorder="1" applyAlignment="1">
      <alignment horizontal="center" vertical="center"/>
    </xf>
    <xf numFmtId="176" fontId="6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77" fontId="3" fillId="3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259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2022"/>
  <sheetViews>
    <sheetView showGridLines="0" zoomScale="120" zoomScaleNormal="120" workbookViewId="0">
      <pane ySplit="1" topLeftCell="A2" activePane="bottomLeft" state="frozen"/>
      <selection pane="bottomLeft" activeCell="C1" sqref="C1:C1048576"/>
    </sheetView>
  </sheetViews>
  <sheetFormatPr baseColWidth="10" defaultColWidth="9.1640625" defaultRowHeight="13"/>
  <cols>
    <col min="1" max="1" width="8.5" style="4" customWidth="1"/>
    <col min="2" max="2" width="5.83203125" style="5" customWidth="1"/>
    <col min="3" max="4" width="16.6640625" style="5" customWidth="1"/>
    <col min="5" max="5" width="6.5" style="5" customWidth="1"/>
    <col min="6" max="6" width="11" style="7" customWidth="1"/>
    <col min="7" max="7" width="5.6640625" style="5" customWidth="1"/>
    <col min="8" max="8" width="8.5" style="5" customWidth="1"/>
    <col min="9" max="9" width="7.6640625" style="5" customWidth="1"/>
    <col min="10" max="10" width="16.33203125" style="6" customWidth="1"/>
    <col min="11" max="11" width="10" style="6" customWidth="1"/>
    <col min="12" max="12" width="12.83203125" style="5" customWidth="1"/>
    <col min="13" max="13" width="18.5" style="5" customWidth="1"/>
    <col min="14" max="16384" width="9.1640625" style="8"/>
  </cols>
  <sheetData>
    <row r="1" spans="1:27" s="1" customFormat="1" ht="14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5" t="s">
        <v>11</v>
      </c>
      <c r="M1" s="11" t="s">
        <v>12</v>
      </c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spans="1:27" s="2" customFormat="1" ht="14">
      <c r="A2" s="12" t="s">
        <v>13</v>
      </c>
      <c r="B2" s="13" t="s">
        <v>14</v>
      </c>
      <c r="C2" s="13" t="s">
        <v>15</v>
      </c>
      <c r="D2" s="13" t="s">
        <v>16</v>
      </c>
      <c r="E2" s="13" t="s">
        <v>17</v>
      </c>
      <c r="F2" s="14"/>
      <c r="G2" s="14"/>
      <c r="H2" s="14"/>
      <c r="I2" s="14"/>
      <c r="J2" s="14">
        <f t="shared" ref="J2:J65" si="0">IF(G2&gt;0,1,0)</f>
        <v>0</v>
      </c>
      <c r="K2" s="14">
        <f t="shared" ref="K2:K65" si="1">IF(H2&gt;0,1,0)</f>
        <v>0</v>
      </c>
      <c r="L2" s="17">
        <f t="shared" ref="L2:L65" si="2">IF(G2&gt;0,IF(H2&gt;0,1,0),0)</f>
        <v>0</v>
      </c>
      <c r="M2" s="14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 spans="1:27" s="2" customFormat="1" ht="14">
      <c r="A3" s="12" t="s">
        <v>18</v>
      </c>
      <c r="B3" s="13" t="s">
        <v>14</v>
      </c>
      <c r="C3" s="13" t="s">
        <v>19</v>
      </c>
      <c r="D3" s="13" t="s">
        <v>20</v>
      </c>
      <c r="E3" s="13" t="s">
        <v>21</v>
      </c>
      <c r="F3" s="14"/>
      <c r="G3" s="14"/>
      <c r="H3" s="14"/>
      <c r="I3" s="14"/>
      <c r="J3" s="14">
        <f t="shared" si="0"/>
        <v>0</v>
      </c>
      <c r="K3" s="14">
        <f t="shared" si="1"/>
        <v>0</v>
      </c>
      <c r="L3" s="17">
        <f t="shared" si="2"/>
        <v>0</v>
      </c>
      <c r="M3" s="14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 spans="1:27" s="2" customFormat="1" ht="14">
      <c r="A4" s="12" t="s">
        <v>22</v>
      </c>
      <c r="B4" s="13" t="s">
        <v>14</v>
      </c>
      <c r="C4" s="13" t="s">
        <v>23</v>
      </c>
      <c r="D4" s="13" t="s">
        <v>24</v>
      </c>
      <c r="E4" s="13" t="s">
        <v>25</v>
      </c>
      <c r="F4" s="14"/>
      <c r="G4" s="14"/>
      <c r="H4" s="14"/>
      <c r="I4" s="14"/>
      <c r="J4" s="14">
        <f t="shared" si="0"/>
        <v>0</v>
      </c>
      <c r="K4" s="14">
        <f t="shared" si="1"/>
        <v>0</v>
      </c>
      <c r="L4" s="17">
        <f t="shared" si="2"/>
        <v>0</v>
      </c>
      <c r="M4" s="14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 spans="1:27" s="2" customFormat="1" ht="14">
      <c r="A5" s="12" t="s">
        <v>26</v>
      </c>
      <c r="B5" s="13" t="s">
        <v>14</v>
      </c>
      <c r="C5" s="13" t="s">
        <v>27</v>
      </c>
      <c r="D5" s="13" t="s">
        <v>28</v>
      </c>
      <c r="E5" s="13" t="s">
        <v>29</v>
      </c>
      <c r="F5" s="14"/>
      <c r="G5" s="14"/>
      <c r="H5" s="14"/>
      <c r="I5" s="14"/>
      <c r="J5" s="14">
        <f t="shared" si="0"/>
        <v>0</v>
      </c>
      <c r="K5" s="14">
        <f t="shared" si="1"/>
        <v>0</v>
      </c>
      <c r="L5" s="17">
        <f t="shared" si="2"/>
        <v>0</v>
      </c>
      <c r="M5" s="14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 spans="1:27" s="2" customFormat="1" ht="14">
      <c r="A6" s="12" t="s">
        <v>30</v>
      </c>
      <c r="B6" s="13" t="s">
        <v>14</v>
      </c>
      <c r="C6" s="13" t="s">
        <v>31</v>
      </c>
      <c r="D6" s="13" t="s">
        <v>28</v>
      </c>
      <c r="E6" s="13" t="s">
        <v>32</v>
      </c>
      <c r="F6" s="14"/>
      <c r="G6" s="14"/>
      <c r="H6" s="14"/>
      <c r="I6" s="14"/>
      <c r="J6" s="14">
        <f t="shared" si="0"/>
        <v>0</v>
      </c>
      <c r="K6" s="14">
        <f t="shared" si="1"/>
        <v>0</v>
      </c>
      <c r="L6" s="17">
        <f t="shared" si="2"/>
        <v>0</v>
      </c>
      <c r="M6" s="14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 spans="1:27" s="2" customFormat="1" ht="14">
      <c r="A7" s="12" t="s">
        <v>33</v>
      </c>
      <c r="B7" s="13" t="s">
        <v>14</v>
      </c>
      <c r="C7" s="13" t="s">
        <v>34</v>
      </c>
      <c r="D7" s="13" t="s">
        <v>35</v>
      </c>
      <c r="E7" s="13" t="s">
        <v>36</v>
      </c>
      <c r="F7" s="14"/>
      <c r="G7" s="14"/>
      <c r="H7" s="14"/>
      <c r="I7" s="14"/>
      <c r="J7" s="14">
        <f t="shared" si="0"/>
        <v>0</v>
      </c>
      <c r="K7" s="14">
        <f t="shared" si="1"/>
        <v>0</v>
      </c>
      <c r="L7" s="17">
        <f t="shared" si="2"/>
        <v>0</v>
      </c>
      <c r="M7" s="14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 spans="1:27" s="2" customFormat="1" ht="14">
      <c r="A8" s="12" t="s">
        <v>37</v>
      </c>
      <c r="B8" s="13" t="s">
        <v>14</v>
      </c>
      <c r="C8" s="13" t="s">
        <v>38</v>
      </c>
      <c r="D8" s="13" t="s">
        <v>39</v>
      </c>
      <c r="E8" s="13" t="s">
        <v>40</v>
      </c>
      <c r="F8" s="14"/>
      <c r="G8" s="14"/>
      <c r="H8" s="14"/>
      <c r="I8" s="14"/>
      <c r="J8" s="14">
        <f t="shared" si="0"/>
        <v>0</v>
      </c>
      <c r="K8" s="14">
        <f t="shared" si="1"/>
        <v>0</v>
      </c>
      <c r="L8" s="17">
        <f t="shared" si="2"/>
        <v>0</v>
      </c>
      <c r="M8" s="14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 spans="1:27" s="2" customFormat="1" ht="14">
      <c r="A9" s="12" t="s">
        <v>41</v>
      </c>
      <c r="B9" s="13" t="s">
        <v>14</v>
      </c>
      <c r="C9" s="13" t="s">
        <v>42</v>
      </c>
      <c r="D9" s="13" t="s">
        <v>39</v>
      </c>
      <c r="E9" s="13" t="s">
        <v>43</v>
      </c>
      <c r="F9" s="14"/>
      <c r="G9" s="14"/>
      <c r="H9" s="14"/>
      <c r="I9" s="14"/>
      <c r="J9" s="14">
        <f t="shared" si="0"/>
        <v>0</v>
      </c>
      <c r="K9" s="14">
        <f t="shared" si="1"/>
        <v>0</v>
      </c>
      <c r="L9" s="17">
        <f t="shared" si="2"/>
        <v>0</v>
      </c>
      <c r="M9" s="14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 spans="1:27" s="2" customFormat="1" ht="14">
      <c r="A10" s="12" t="s">
        <v>44</v>
      </c>
      <c r="B10" s="13" t="s">
        <v>14</v>
      </c>
      <c r="C10" s="13" t="s">
        <v>45</v>
      </c>
      <c r="D10" s="13" t="s">
        <v>39</v>
      </c>
      <c r="E10" s="13" t="s">
        <v>46</v>
      </c>
      <c r="F10" s="14"/>
      <c r="G10" s="14"/>
      <c r="H10" s="14"/>
      <c r="I10" s="14"/>
      <c r="J10" s="14">
        <f t="shared" si="0"/>
        <v>0</v>
      </c>
      <c r="K10" s="14">
        <f t="shared" si="1"/>
        <v>0</v>
      </c>
      <c r="L10" s="17">
        <f t="shared" si="2"/>
        <v>0</v>
      </c>
      <c r="M10" s="14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spans="1:27" s="2" customFormat="1" ht="14">
      <c r="A11" s="12" t="s">
        <v>47</v>
      </c>
      <c r="B11" s="13" t="s">
        <v>14</v>
      </c>
      <c r="C11" s="13" t="s">
        <v>48</v>
      </c>
      <c r="D11" s="13" t="s">
        <v>49</v>
      </c>
      <c r="E11" s="13" t="s">
        <v>50</v>
      </c>
      <c r="F11" s="14"/>
      <c r="G11" s="14"/>
      <c r="H11" s="14"/>
      <c r="I11" s="14"/>
      <c r="J11" s="14">
        <f t="shared" si="0"/>
        <v>0</v>
      </c>
      <c r="K11" s="14">
        <f t="shared" si="1"/>
        <v>0</v>
      </c>
      <c r="L11" s="17">
        <f t="shared" si="2"/>
        <v>0</v>
      </c>
      <c r="M11" s="14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 spans="1:27" s="2" customFormat="1" ht="14">
      <c r="A12" s="12" t="s">
        <v>51</v>
      </c>
      <c r="B12" s="13" t="s">
        <v>14</v>
      </c>
      <c r="C12" s="13" t="s">
        <v>52</v>
      </c>
      <c r="D12" s="13" t="s">
        <v>53</v>
      </c>
      <c r="E12" s="13" t="s">
        <v>17</v>
      </c>
      <c r="F12" s="14"/>
      <c r="G12" s="14"/>
      <c r="H12" s="14"/>
      <c r="I12" s="14"/>
      <c r="J12" s="14">
        <f t="shared" si="0"/>
        <v>0</v>
      </c>
      <c r="K12" s="14">
        <f t="shared" si="1"/>
        <v>0</v>
      </c>
      <c r="L12" s="17">
        <f t="shared" si="2"/>
        <v>0</v>
      </c>
      <c r="M12" s="14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spans="1:27" s="2" customFormat="1" ht="14">
      <c r="A13" s="12" t="s">
        <v>54</v>
      </c>
      <c r="B13" s="13" t="s">
        <v>14</v>
      </c>
      <c r="C13" s="13" t="s">
        <v>55</v>
      </c>
      <c r="D13" s="13" t="s">
        <v>56</v>
      </c>
      <c r="E13" s="13" t="s">
        <v>57</v>
      </c>
      <c r="F13" s="14"/>
      <c r="G13" s="14"/>
      <c r="H13" s="14"/>
      <c r="I13" s="14"/>
      <c r="J13" s="14">
        <f t="shared" si="0"/>
        <v>0</v>
      </c>
      <c r="K13" s="14">
        <f t="shared" si="1"/>
        <v>0</v>
      </c>
      <c r="L13" s="17">
        <f t="shared" si="2"/>
        <v>0</v>
      </c>
      <c r="M13" s="14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spans="1:27" s="2" customFormat="1" ht="14">
      <c r="A14" s="12" t="s">
        <v>58</v>
      </c>
      <c r="B14" s="13" t="s">
        <v>14</v>
      </c>
      <c r="C14" s="13" t="s">
        <v>59</v>
      </c>
      <c r="D14" s="13" t="s">
        <v>60</v>
      </c>
      <c r="E14" s="13" t="s">
        <v>29</v>
      </c>
      <c r="F14" s="14"/>
      <c r="G14" s="14"/>
      <c r="H14" s="14"/>
      <c r="I14" s="14"/>
      <c r="J14" s="14">
        <f t="shared" si="0"/>
        <v>0</v>
      </c>
      <c r="K14" s="14">
        <f t="shared" si="1"/>
        <v>0</v>
      </c>
      <c r="L14" s="17">
        <f t="shared" si="2"/>
        <v>0</v>
      </c>
      <c r="M14" s="14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 spans="1:27" s="2" customFormat="1" ht="14">
      <c r="A15" s="12" t="s">
        <v>61</v>
      </c>
      <c r="B15" s="13" t="s">
        <v>62</v>
      </c>
      <c r="C15" s="13" t="s">
        <v>63</v>
      </c>
      <c r="D15" s="13" t="s">
        <v>64</v>
      </c>
      <c r="E15" s="13" t="s">
        <v>21</v>
      </c>
      <c r="F15" s="14"/>
      <c r="G15" s="14"/>
      <c r="H15" s="14"/>
      <c r="I15" s="14"/>
      <c r="J15" s="14">
        <f t="shared" si="0"/>
        <v>0</v>
      </c>
      <c r="K15" s="14">
        <f t="shared" si="1"/>
        <v>0</v>
      </c>
      <c r="L15" s="17">
        <f t="shared" si="2"/>
        <v>0</v>
      </c>
      <c r="M15" s="14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 spans="1:27" s="2" customFormat="1" ht="14">
      <c r="A16" s="12" t="s">
        <v>65</v>
      </c>
      <c r="B16" s="13" t="s">
        <v>14</v>
      </c>
      <c r="C16" s="13" t="s">
        <v>66</v>
      </c>
      <c r="D16" s="13" t="s">
        <v>67</v>
      </c>
      <c r="E16" s="13" t="s">
        <v>68</v>
      </c>
      <c r="F16" s="14"/>
      <c r="G16" s="14"/>
      <c r="H16" s="14"/>
      <c r="I16" s="14"/>
      <c r="J16" s="14">
        <f t="shared" si="0"/>
        <v>0</v>
      </c>
      <c r="K16" s="14">
        <f t="shared" si="1"/>
        <v>0</v>
      </c>
      <c r="L16" s="17">
        <f t="shared" si="2"/>
        <v>0</v>
      </c>
      <c r="M16" s="14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 spans="1:27" s="2" customFormat="1" ht="14">
      <c r="A17" s="12" t="s">
        <v>69</v>
      </c>
      <c r="B17" s="13" t="s">
        <v>14</v>
      </c>
      <c r="C17" s="13" t="s">
        <v>70</v>
      </c>
      <c r="D17" s="13" t="s">
        <v>71</v>
      </c>
      <c r="E17" s="13" t="s">
        <v>72</v>
      </c>
      <c r="F17" s="14"/>
      <c r="G17" s="14"/>
      <c r="H17" s="14"/>
      <c r="I17" s="14"/>
      <c r="J17" s="14">
        <f t="shared" si="0"/>
        <v>0</v>
      </c>
      <c r="K17" s="14">
        <f t="shared" si="1"/>
        <v>0</v>
      </c>
      <c r="L17" s="17">
        <f t="shared" si="2"/>
        <v>0</v>
      </c>
      <c r="M17" s="14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 spans="1:27" s="2" customFormat="1" ht="14">
      <c r="A18" s="12" t="s">
        <v>73</v>
      </c>
      <c r="B18" s="13" t="s">
        <v>14</v>
      </c>
      <c r="C18" s="13" t="s">
        <v>74</v>
      </c>
      <c r="D18" s="13" t="s">
        <v>75</v>
      </c>
      <c r="E18" s="13" t="s">
        <v>76</v>
      </c>
      <c r="F18" s="14"/>
      <c r="G18" s="14"/>
      <c r="H18" s="14"/>
      <c r="I18" s="14"/>
      <c r="J18" s="14">
        <f t="shared" si="0"/>
        <v>0</v>
      </c>
      <c r="K18" s="14">
        <f t="shared" si="1"/>
        <v>0</v>
      </c>
      <c r="L18" s="17">
        <f t="shared" si="2"/>
        <v>0</v>
      </c>
      <c r="M18" s="14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 spans="1:27" s="2" customFormat="1" ht="14">
      <c r="A19" s="12" t="s">
        <v>77</v>
      </c>
      <c r="B19" s="13" t="s">
        <v>14</v>
      </c>
      <c r="C19" s="13" t="s">
        <v>78</v>
      </c>
      <c r="D19" s="13" t="s">
        <v>67</v>
      </c>
      <c r="E19" s="13" t="s">
        <v>79</v>
      </c>
      <c r="F19" s="14"/>
      <c r="G19" s="14"/>
      <c r="H19" s="14"/>
      <c r="I19" s="14"/>
      <c r="J19" s="14">
        <f t="shared" si="0"/>
        <v>0</v>
      </c>
      <c r="K19" s="14">
        <f t="shared" si="1"/>
        <v>0</v>
      </c>
      <c r="L19" s="17">
        <f t="shared" si="2"/>
        <v>0</v>
      </c>
      <c r="M19" s="14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 spans="1:27" s="2" customFormat="1" ht="14">
      <c r="A20" s="12" t="s">
        <v>80</v>
      </c>
      <c r="B20" s="13" t="s">
        <v>14</v>
      </c>
      <c r="C20" s="13" t="s">
        <v>81</v>
      </c>
      <c r="D20" s="13" t="s">
        <v>82</v>
      </c>
      <c r="E20" s="13" t="s">
        <v>83</v>
      </c>
      <c r="F20" s="14"/>
      <c r="G20" s="14"/>
      <c r="H20" s="14"/>
      <c r="I20" s="14"/>
      <c r="J20" s="14">
        <f t="shared" si="0"/>
        <v>0</v>
      </c>
      <c r="K20" s="14">
        <f t="shared" si="1"/>
        <v>0</v>
      </c>
      <c r="L20" s="17">
        <f t="shared" si="2"/>
        <v>0</v>
      </c>
      <c r="M20" s="14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spans="1:27" s="2" customFormat="1" ht="14">
      <c r="A21" s="12" t="s">
        <v>84</v>
      </c>
      <c r="B21" s="13" t="s">
        <v>14</v>
      </c>
      <c r="C21" s="13" t="s">
        <v>85</v>
      </c>
      <c r="D21" s="13" t="s">
        <v>82</v>
      </c>
      <c r="E21" s="13" t="s">
        <v>68</v>
      </c>
      <c r="F21" s="14"/>
      <c r="G21" s="14"/>
      <c r="H21" s="14"/>
      <c r="I21" s="14"/>
      <c r="J21" s="14">
        <f t="shared" si="0"/>
        <v>0</v>
      </c>
      <c r="K21" s="14">
        <f t="shared" si="1"/>
        <v>0</v>
      </c>
      <c r="L21" s="17">
        <f t="shared" si="2"/>
        <v>0</v>
      </c>
      <c r="M21" s="14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spans="1:27" s="2" customFormat="1" ht="14">
      <c r="A22" s="12" t="s">
        <v>86</v>
      </c>
      <c r="B22" s="13" t="s">
        <v>14</v>
      </c>
      <c r="C22" s="13" t="s">
        <v>87</v>
      </c>
      <c r="D22" s="13" t="s">
        <v>88</v>
      </c>
      <c r="E22" s="13" t="s">
        <v>32</v>
      </c>
      <c r="F22" s="14"/>
      <c r="G22" s="14"/>
      <c r="H22" s="14"/>
      <c r="I22" s="14"/>
      <c r="J22" s="14">
        <f t="shared" si="0"/>
        <v>0</v>
      </c>
      <c r="K22" s="14">
        <f t="shared" si="1"/>
        <v>0</v>
      </c>
      <c r="L22" s="17">
        <f t="shared" si="2"/>
        <v>0</v>
      </c>
      <c r="M22" s="14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spans="1:27" s="2" customFormat="1" ht="14">
      <c r="A23" s="12" t="s">
        <v>89</v>
      </c>
      <c r="B23" s="13" t="s">
        <v>14</v>
      </c>
      <c r="C23" s="13" t="s">
        <v>90</v>
      </c>
      <c r="D23" s="13" t="s">
        <v>82</v>
      </c>
      <c r="E23" s="13" t="s">
        <v>91</v>
      </c>
      <c r="F23" s="14"/>
      <c r="G23" s="14"/>
      <c r="H23" s="14"/>
      <c r="I23" s="14"/>
      <c r="J23" s="14">
        <f t="shared" si="0"/>
        <v>0</v>
      </c>
      <c r="K23" s="14">
        <f t="shared" si="1"/>
        <v>0</v>
      </c>
      <c r="L23" s="17">
        <f t="shared" si="2"/>
        <v>0</v>
      </c>
      <c r="M23" s="14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spans="1:27" s="2" customFormat="1" ht="14">
      <c r="A24" s="12" t="s">
        <v>92</v>
      </c>
      <c r="B24" s="13" t="s">
        <v>14</v>
      </c>
      <c r="C24" s="13" t="s">
        <v>93</v>
      </c>
      <c r="D24" s="13" t="s">
        <v>94</v>
      </c>
      <c r="E24" s="13" t="s">
        <v>17</v>
      </c>
      <c r="F24" s="14"/>
      <c r="G24" s="14"/>
      <c r="H24" s="14"/>
      <c r="I24" s="14"/>
      <c r="J24" s="14">
        <f t="shared" si="0"/>
        <v>0</v>
      </c>
      <c r="K24" s="14">
        <f t="shared" si="1"/>
        <v>0</v>
      </c>
      <c r="L24" s="17">
        <f t="shared" si="2"/>
        <v>0</v>
      </c>
      <c r="M24" s="14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spans="1:27" s="2" customFormat="1" ht="14">
      <c r="A25" s="12" t="s">
        <v>95</v>
      </c>
      <c r="B25" s="13" t="s">
        <v>14</v>
      </c>
      <c r="C25" s="13" t="s">
        <v>96</v>
      </c>
      <c r="D25" s="13" t="s">
        <v>94</v>
      </c>
      <c r="E25" s="13" t="s">
        <v>97</v>
      </c>
      <c r="F25" s="14"/>
      <c r="G25" s="14"/>
      <c r="H25" s="14"/>
      <c r="I25" s="14"/>
      <c r="J25" s="14">
        <f t="shared" si="0"/>
        <v>0</v>
      </c>
      <c r="K25" s="14">
        <f t="shared" si="1"/>
        <v>0</v>
      </c>
      <c r="L25" s="17">
        <f t="shared" si="2"/>
        <v>0</v>
      </c>
      <c r="M25" s="14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spans="1:27" s="2" customFormat="1" ht="14">
      <c r="A26" s="12" t="s">
        <v>98</v>
      </c>
      <c r="B26" s="13" t="s">
        <v>14</v>
      </c>
      <c r="C26" s="13" t="s">
        <v>99</v>
      </c>
      <c r="D26" s="13" t="s">
        <v>94</v>
      </c>
      <c r="E26" s="13" t="s">
        <v>29</v>
      </c>
      <c r="F26" s="14"/>
      <c r="G26" s="14"/>
      <c r="H26" s="14"/>
      <c r="I26" s="14"/>
      <c r="J26" s="14">
        <f t="shared" si="0"/>
        <v>0</v>
      </c>
      <c r="K26" s="14">
        <f t="shared" si="1"/>
        <v>0</v>
      </c>
      <c r="L26" s="17">
        <f t="shared" si="2"/>
        <v>0</v>
      </c>
      <c r="M26" s="14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spans="1:27" s="2" customFormat="1" ht="14">
      <c r="A27" s="12" t="s">
        <v>100</v>
      </c>
      <c r="B27" s="13" t="s">
        <v>62</v>
      </c>
      <c r="C27" s="13" t="s">
        <v>101</v>
      </c>
      <c r="D27" s="13" t="s">
        <v>94</v>
      </c>
      <c r="E27" s="13" t="s">
        <v>68</v>
      </c>
      <c r="F27" s="14"/>
      <c r="G27" s="14"/>
      <c r="H27" s="14"/>
      <c r="I27" s="14"/>
      <c r="J27" s="14">
        <f t="shared" si="0"/>
        <v>0</v>
      </c>
      <c r="K27" s="14">
        <f t="shared" si="1"/>
        <v>0</v>
      </c>
      <c r="L27" s="17">
        <f t="shared" si="2"/>
        <v>0</v>
      </c>
      <c r="M27" s="14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spans="1:27" s="2" customFormat="1" ht="14">
      <c r="A28" s="12" t="s">
        <v>102</v>
      </c>
      <c r="B28" s="13" t="s">
        <v>14</v>
      </c>
      <c r="C28" s="13" t="s">
        <v>103</v>
      </c>
      <c r="D28" s="13" t="s">
        <v>82</v>
      </c>
      <c r="E28" s="13" t="s">
        <v>104</v>
      </c>
      <c r="F28" s="14"/>
      <c r="G28" s="14"/>
      <c r="H28" s="14"/>
      <c r="I28" s="14"/>
      <c r="J28" s="14">
        <f t="shared" si="0"/>
        <v>0</v>
      </c>
      <c r="K28" s="14">
        <f t="shared" si="1"/>
        <v>0</v>
      </c>
      <c r="L28" s="17">
        <f t="shared" si="2"/>
        <v>0</v>
      </c>
      <c r="M28" s="14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spans="1:27" s="2" customFormat="1" ht="14">
      <c r="A29" s="12" t="s">
        <v>105</v>
      </c>
      <c r="B29" s="13" t="s">
        <v>14</v>
      </c>
      <c r="C29" s="13" t="s">
        <v>106</v>
      </c>
      <c r="D29" s="13" t="s">
        <v>94</v>
      </c>
      <c r="E29" s="13" t="s">
        <v>32</v>
      </c>
      <c r="F29" s="14"/>
      <c r="G29" s="14"/>
      <c r="H29" s="14"/>
      <c r="I29" s="14"/>
      <c r="J29" s="14">
        <f t="shared" si="0"/>
        <v>0</v>
      </c>
      <c r="K29" s="14">
        <f t="shared" si="1"/>
        <v>0</v>
      </c>
      <c r="L29" s="17">
        <f t="shared" si="2"/>
        <v>0</v>
      </c>
      <c r="M29" s="14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spans="1:27" s="2" customFormat="1" ht="14">
      <c r="A30" s="12" t="s">
        <v>107</v>
      </c>
      <c r="B30" s="13" t="s">
        <v>14</v>
      </c>
      <c r="C30" s="13" t="s">
        <v>108</v>
      </c>
      <c r="D30" s="13" t="s">
        <v>94</v>
      </c>
      <c r="E30" s="13" t="s">
        <v>17</v>
      </c>
      <c r="F30" s="14"/>
      <c r="G30" s="14"/>
      <c r="H30" s="14"/>
      <c r="I30" s="14"/>
      <c r="J30" s="14">
        <f t="shared" si="0"/>
        <v>0</v>
      </c>
      <c r="K30" s="14">
        <f t="shared" si="1"/>
        <v>0</v>
      </c>
      <c r="L30" s="17">
        <f t="shared" si="2"/>
        <v>0</v>
      </c>
      <c r="M30" s="14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spans="1:27" s="2" customFormat="1" ht="14">
      <c r="A31" s="12" t="s">
        <v>109</v>
      </c>
      <c r="B31" s="13" t="s">
        <v>14</v>
      </c>
      <c r="C31" s="13" t="s">
        <v>110</v>
      </c>
      <c r="D31" s="13" t="s">
        <v>111</v>
      </c>
      <c r="E31" s="13" t="s">
        <v>21</v>
      </c>
      <c r="F31" s="14"/>
      <c r="G31" s="14"/>
      <c r="H31" s="14"/>
      <c r="I31" s="14"/>
      <c r="J31" s="14">
        <f t="shared" si="0"/>
        <v>0</v>
      </c>
      <c r="K31" s="14">
        <f t="shared" si="1"/>
        <v>0</v>
      </c>
      <c r="L31" s="17">
        <f t="shared" si="2"/>
        <v>0</v>
      </c>
      <c r="M31" s="14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spans="1:27" s="2" customFormat="1" ht="14">
      <c r="A32" s="12" t="s">
        <v>112</v>
      </c>
      <c r="B32" s="13" t="s">
        <v>14</v>
      </c>
      <c r="C32" s="13" t="s">
        <v>113</v>
      </c>
      <c r="D32" s="13" t="s">
        <v>111</v>
      </c>
      <c r="E32" s="13" t="s">
        <v>114</v>
      </c>
      <c r="F32" s="14"/>
      <c r="G32" s="14"/>
      <c r="H32" s="14"/>
      <c r="I32" s="14"/>
      <c r="J32" s="14">
        <f t="shared" si="0"/>
        <v>0</v>
      </c>
      <c r="K32" s="14">
        <f t="shared" si="1"/>
        <v>0</v>
      </c>
      <c r="L32" s="17">
        <f t="shared" si="2"/>
        <v>0</v>
      </c>
      <c r="M32" s="14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 spans="1:27" s="2" customFormat="1" ht="14">
      <c r="A33" s="12" t="s">
        <v>115</v>
      </c>
      <c r="B33" s="13" t="s">
        <v>14</v>
      </c>
      <c r="C33" s="13" t="s">
        <v>116</v>
      </c>
      <c r="D33" s="13" t="s">
        <v>53</v>
      </c>
      <c r="E33" s="13" t="s">
        <v>72</v>
      </c>
      <c r="F33" s="14"/>
      <c r="G33" s="14"/>
      <c r="H33" s="14"/>
      <c r="I33" s="14"/>
      <c r="J33" s="14">
        <f t="shared" si="0"/>
        <v>0</v>
      </c>
      <c r="K33" s="14">
        <f t="shared" si="1"/>
        <v>0</v>
      </c>
      <c r="L33" s="17">
        <f t="shared" si="2"/>
        <v>0</v>
      </c>
      <c r="M33" s="14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 spans="1:27" s="2" customFormat="1" ht="14">
      <c r="A34" s="12" t="s">
        <v>117</v>
      </c>
      <c r="B34" s="13" t="s">
        <v>62</v>
      </c>
      <c r="C34" s="13" t="s">
        <v>118</v>
      </c>
      <c r="D34" s="13" t="s">
        <v>119</v>
      </c>
      <c r="E34" s="13" t="s">
        <v>120</v>
      </c>
      <c r="F34" s="14"/>
      <c r="G34" s="14"/>
      <c r="H34" s="14"/>
      <c r="I34" s="14"/>
      <c r="J34" s="14">
        <f t="shared" si="0"/>
        <v>0</v>
      </c>
      <c r="K34" s="14">
        <f t="shared" si="1"/>
        <v>0</v>
      </c>
      <c r="L34" s="17">
        <f t="shared" si="2"/>
        <v>0</v>
      </c>
      <c r="M34" s="14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 spans="1:27" s="2" customFormat="1" ht="14">
      <c r="A35" s="12" t="s">
        <v>121</v>
      </c>
      <c r="B35" s="13" t="s">
        <v>62</v>
      </c>
      <c r="C35" s="13" t="s">
        <v>122</v>
      </c>
      <c r="D35" s="13" t="s">
        <v>123</v>
      </c>
      <c r="E35" s="13" t="s">
        <v>46</v>
      </c>
      <c r="F35" s="14"/>
      <c r="G35" s="14"/>
      <c r="H35" s="14"/>
      <c r="I35" s="14"/>
      <c r="J35" s="14">
        <f t="shared" si="0"/>
        <v>0</v>
      </c>
      <c r="K35" s="14">
        <f t="shared" si="1"/>
        <v>0</v>
      </c>
      <c r="L35" s="17">
        <f t="shared" si="2"/>
        <v>0</v>
      </c>
      <c r="M35" s="14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 spans="1:27" s="2" customFormat="1" ht="14">
      <c r="A36" s="12" t="s">
        <v>124</v>
      </c>
      <c r="B36" s="13" t="s">
        <v>14</v>
      </c>
      <c r="C36" s="13" t="s">
        <v>125</v>
      </c>
      <c r="D36" s="13" t="s">
        <v>75</v>
      </c>
      <c r="E36" s="13" t="s">
        <v>126</v>
      </c>
      <c r="F36" s="14"/>
      <c r="G36" s="14"/>
      <c r="H36" s="14"/>
      <c r="I36" s="14"/>
      <c r="J36" s="14">
        <f t="shared" si="0"/>
        <v>0</v>
      </c>
      <c r="K36" s="14">
        <f t="shared" si="1"/>
        <v>0</v>
      </c>
      <c r="L36" s="17">
        <f t="shared" si="2"/>
        <v>0</v>
      </c>
      <c r="M36" s="14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 spans="1:27" s="2" customFormat="1" ht="14">
      <c r="A37" s="12" t="s">
        <v>127</v>
      </c>
      <c r="B37" s="13" t="s">
        <v>14</v>
      </c>
      <c r="C37" s="13" t="s">
        <v>128</v>
      </c>
      <c r="D37" s="13" t="s">
        <v>123</v>
      </c>
      <c r="E37" s="13" t="s">
        <v>91</v>
      </c>
      <c r="F37" s="14"/>
      <c r="G37" s="14"/>
      <c r="H37" s="14"/>
      <c r="I37" s="14"/>
      <c r="J37" s="14">
        <f t="shared" si="0"/>
        <v>0</v>
      </c>
      <c r="K37" s="14">
        <f t="shared" si="1"/>
        <v>0</v>
      </c>
      <c r="L37" s="17">
        <f t="shared" si="2"/>
        <v>0</v>
      </c>
      <c r="M37" s="14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 spans="1:27" s="2" customFormat="1" ht="14">
      <c r="A38" s="12" t="s">
        <v>129</v>
      </c>
      <c r="B38" s="13" t="s">
        <v>62</v>
      </c>
      <c r="C38" s="13" t="s">
        <v>130</v>
      </c>
      <c r="D38" s="13" t="s">
        <v>119</v>
      </c>
      <c r="E38" s="13" t="s">
        <v>25</v>
      </c>
      <c r="F38" s="14"/>
      <c r="G38" s="14"/>
      <c r="H38" s="14"/>
      <c r="I38" s="14"/>
      <c r="J38" s="14">
        <f t="shared" si="0"/>
        <v>0</v>
      </c>
      <c r="K38" s="14">
        <f t="shared" si="1"/>
        <v>0</v>
      </c>
      <c r="L38" s="17">
        <f t="shared" si="2"/>
        <v>0</v>
      </c>
      <c r="M38" s="14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spans="1:27" s="2" customFormat="1" ht="14">
      <c r="A39" s="12" t="s">
        <v>131</v>
      </c>
      <c r="B39" s="13" t="s">
        <v>14</v>
      </c>
      <c r="C39" s="13" t="s">
        <v>132</v>
      </c>
      <c r="D39" s="13" t="s">
        <v>75</v>
      </c>
      <c r="E39" s="13" t="s">
        <v>25</v>
      </c>
      <c r="F39" s="14"/>
      <c r="G39" s="14"/>
      <c r="H39" s="14"/>
      <c r="I39" s="14"/>
      <c r="J39" s="14">
        <f t="shared" si="0"/>
        <v>0</v>
      </c>
      <c r="K39" s="14">
        <f t="shared" si="1"/>
        <v>0</v>
      </c>
      <c r="L39" s="17">
        <f t="shared" si="2"/>
        <v>0</v>
      </c>
      <c r="M39" s="14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spans="1:27" s="2" customFormat="1" ht="14">
      <c r="A40" s="12" t="s">
        <v>133</v>
      </c>
      <c r="B40" s="13" t="s">
        <v>14</v>
      </c>
      <c r="C40" s="13" t="s">
        <v>134</v>
      </c>
      <c r="D40" s="13" t="s">
        <v>135</v>
      </c>
      <c r="E40" s="13" t="s">
        <v>136</v>
      </c>
      <c r="F40" s="14"/>
      <c r="G40" s="14"/>
      <c r="H40" s="14"/>
      <c r="I40" s="14"/>
      <c r="J40" s="14">
        <f t="shared" si="0"/>
        <v>0</v>
      </c>
      <c r="K40" s="14">
        <f t="shared" si="1"/>
        <v>0</v>
      </c>
      <c r="L40" s="17">
        <f t="shared" si="2"/>
        <v>0</v>
      </c>
      <c r="M40" s="14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 spans="1:27" s="2" customFormat="1" ht="14">
      <c r="A41" s="12" t="s">
        <v>137</v>
      </c>
      <c r="B41" s="13" t="s">
        <v>14</v>
      </c>
      <c r="C41" s="13" t="s">
        <v>138</v>
      </c>
      <c r="D41" s="13" t="s">
        <v>123</v>
      </c>
      <c r="E41" s="13" t="s">
        <v>83</v>
      </c>
      <c r="F41" s="14"/>
      <c r="G41" s="14"/>
      <c r="H41" s="14"/>
      <c r="I41" s="14"/>
      <c r="J41" s="14">
        <f t="shared" si="0"/>
        <v>0</v>
      </c>
      <c r="K41" s="14">
        <f t="shared" si="1"/>
        <v>0</v>
      </c>
      <c r="L41" s="17">
        <f t="shared" si="2"/>
        <v>0</v>
      </c>
      <c r="M41" s="14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 spans="1:27" s="2" customFormat="1" ht="14">
      <c r="A42" s="12" t="s">
        <v>139</v>
      </c>
      <c r="B42" s="13" t="s">
        <v>62</v>
      </c>
      <c r="C42" s="13" t="s">
        <v>140</v>
      </c>
      <c r="D42" s="13" t="s">
        <v>141</v>
      </c>
      <c r="E42" s="13" t="s">
        <v>50</v>
      </c>
      <c r="F42" s="14"/>
      <c r="G42" s="14"/>
      <c r="H42" s="14"/>
      <c r="I42" s="14"/>
      <c r="J42" s="14">
        <f t="shared" si="0"/>
        <v>0</v>
      </c>
      <c r="K42" s="14">
        <f t="shared" si="1"/>
        <v>0</v>
      </c>
      <c r="L42" s="17">
        <f t="shared" si="2"/>
        <v>0</v>
      </c>
      <c r="M42" s="14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 spans="1:27" s="2" customFormat="1" ht="14">
      <c r="A43" s="12" t="s">
        <v>142</v>
      </c>
      <c r="B43" s="13" t="s">
        <v>14</v>
      </c>
      <c r="C43" s="13" t="s">
        <v>143</v>
      </c>
      <c r="D43" s="13" t="s">
        <v>144</v>
      </c>
      <c r="E43" s="13" t="s">
        <v>17</v>
      </c>
      <c r="F43" s="14"/>
      <c r="G43" s="14"/>
      <c r="H43" s="14"/>
      <c r="I43" s="14"/>
      <c r="J43" s="14">
        <f t="shared" si="0"/>
        <v>0</v>
      </c>
      <c r="K43" s="14">
        <f t="shared" si="1"/>
        <v>0</v>
      </c>
      <c r="L43" s="17">
        <f t="shared" si="2"/>
        <v>0</v>
      </c>
      <c r="M43" s="14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 spans="1:27" s="2" customFormat="1" ht="14">
      <c r="A44" s="12" t="s">
        <v>145</v>
      </c>
      <c r="B44" s="13" t="s">
        <v>14</v>
      </c>
      <c r="C44" s="13" t="s">
        <v>146</v>
      </c>
      <c r="D44" s="13" t="s">
        <v>147</v>
      </c>
      <c r="E44" s="13" t="s">
        <v>21</v>
      </c>
      <c r="F44" s="14"/>
      <c r="G44" s="14"/>
      <c r="H44" s="14"/>
      <c r="I44" s="14"/>
      <c r="J44" s="14">
        <f t="shared" si="0"/>
        <v>0</v>
      </c>
      <c r="K44" s="14">
        <f t="shared" si="1"/>
        <v>0</v>
      </c>
      <c r="L44" s="17">
        <f t="shared" si="2"/>
        <v>0</v>
      </c>
      <c r="M44" s="14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 spans="1:27" s="2" customFormat="1" ht="14">
      <c r="A45" s="12" t="s">
        <v>148</v>
      </c>
      <c r="B45" s="13" t="s">
        <v>62</v>
      </c>
      <c r="C45" s="13" t="s">
        <v>149</v>
      </c>
      <c r="D45" s="13" t="s">
        <v>147</v>
      </c>
      <c r="E45" s="13" t="s">
        <v>150</v>
      </c>
      <c r="F45" s="14"/>
      <c r="G45" s="14"/>
      <c r="H45" s="14"/>
      <c r="I45" s="14"/>
      <c r="J45" s="14">
        <f t="shared" si="0"/>
        <v>0</v>
      </c>
      <c r="K45" s="14">
        <f t="shared" si="1"/>
        <v>0</v>
      </c>
      <c r="L45" s="17">
        <f t="shared" si="2"/>
        <v>0</v>
      </c>
      <c r="M45" s="14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 spans="1:27" s="2" customFormat="1" ht="14">
      <c r="A46" s="12" t="s">
        <v>151</v>
      </c>
      <c r="B46" s="13" t="s">
        <v>14</v>
      </c>
      <c r="C46" s="13" t="s">
        <v>152</v>
      </c>
      <c r="D46" s="13" t="s">
        <v>153</v>
      </c>
      <c r="E46" s="13" t="s">
        <v>97</v>
      </c>
      <c r="F46" s="14"/>
      <c r="G46" s="14"/>
      <c r="H46" s="14"/>
      <c r="I46" s="14"/>
      <c r="J46" s="14">
        <f t="shared" si="0"/>
        <v>0</v>
      </c>
      <c r="K46" s="14">
        <f t="shared" si="1"/>
        <v>0</v>
      </c>
      <c r="L46" s="17">
        <f t="shared" si="2"/>
        <v>0</v>
      </c>
      <c r="M46" s="14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 spans="1:27" s="2" customFormat="1" ht="14">
      <c r="A47" s="12" t="s">
        <v>154</v>
      </c>
      <c r="B47" s="13" t="s">
        <v>14</v>
      </c>
      <c r="C47" s="13" t="s">
        <v>155</v>
      </c>
      <c r="D47" s="13" t="s">
        <v>153</v>
      </c>
      <c r="E47" s="13" t="s">
        <v>156</v>
      </c>
      <c r="F47" s="14"/>
      <c r="G47" s="14"/>
      <c r="H47" s="14"/>
      <c r="I47" s="14"/>
      <c r="J47" s="14">
        <f t="shared" si="0"/>
        <v>0</v>
      </c>
      <c r="K47" s="14">
        <f t="shared" si="1"/>
        <v>0</v>
      </c>
      <c r="L47" s="17">
        <f t="shared" si="2"/>
        <v>0</v>
      </c>
      <c r="M47" s="14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 spans="1:27" s="2" customFormat="1" ht="14">
      <c r="A48" s="12" t="s">
        <v>157</v>
      </c>
      <c r="B48" s="13" t="s">
        <v>14</v>
      </c>
      <c r="C48" s="13" t="s">
        <v>158</v>
      </c>
      <c r="D48" s="13" t="s">
        <v>159</v>
      </c>
      <c r="E48" s="13" t="s">
        <v>136</v>
      </c>
      <c r="F48" s="14"/>
      <c r="G48" s="14"/>
      <c r="H48" s="14"/>
      <c r="I48" s="14"/>
      <c r="J48" s="14">
        <f t="shared" si="0"/>
        <v>0</v>
      </c>
      <c r="K48" s="14">
        <f t="shared" si="1"/>
        <v>0</v>
      </c>
      <c r="L48" s="17">
        <f t="shared" si="2"/>
        <v>0</v>
      </c>
      <c r="M48" s="14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 spans="1:27" s="2" customFormat="1" ht="14">
      <c r="A49" s="12" t="s">
        <v>160</v>
      </c>
      <c r="B49" s="13" t="s">
        <v>14</v>
      </c>
      <c r="C49" s="13" t="s">
        <v>161</v>
      </c>
      <c r="D49" s="13" t="s">
        <v>153</v>
      </c>
      <c r="E49" s="13" t="s">
        <v>91</v>
      </c>
      <c r="F49" s="14"/>
      <c r="G49" s="14"/>
      <c r="H49" s="14"/>
      <c r="I49" s="14"/>
      <c r="J49" s="14">
        <f t="shared" si="0"/>
        <v>0</v>
      </c>
      <c r="K49" s="14">
        <f t="shared" si="1"/>
        <v>0</v>
      </c>
      <c r="L49" s="17">
        <f t="shared" si="2"/>
        <v>0</v>
      </c>
      <c r="M49" s="14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 spans="1:27" s="2" customFormat="1" ht="14">
      <c r="A50" s="12" t="s">
        <v>162</v>
      </c>
      <c r="B50" s="13" t="s">
        <v>14</v>
      </c>
      <c r="C50" s="13" t="s">
        <v>163</v>
      </c>
      <c r="D50" s="13" t="s">
        <v>164</v>
      </c>
      <c r="E50" s="13" t="s">
        <v>36</v>
      </c>
      <c r="F50" s="14"/>
      <c r="G50" s="14"/>
      <c r="H50" s="14"/>
      <c r="I50" s="14"/>
      <c r="J50" s="14">
        <f t="shared" si="0"/>
        <v>0</v>
      </c>
      <c r="K50" s="14">
        <f t="shared" si="1"/>
        <v>0</v>
      </c>
      <c r="L50" s="17">
        <f t="shared" si="2"/>
        <v>0</v>
      </c>
      <c r="M50" s="14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 spans="1:27" s="2" customFormat="1" ht="14">
      <c r="A51" s="12" t="s">
        <v>165</v>
      </c>
      <c r="B51" s="13" t="s">
        <v>62</v>
      </c>
      <c r="C51" s="13" t="s">
        <v>166</v>
      </c>
      <c r="D51" s="13" t="s">
        <v>167</v>
      </c>
      <c r="E51" s="13" t="s">
        <v>126</v>
      </c>
      <c r="F51" s="14"/>
      <c r="G51" s="14"/>
      <c r="H51" s="14"/>
      <c r="I51" s="14"/>
      <c r="J51" s="14">
        <f t="shared" si="0"/>
        <v>0</v>
      </c>
      <c r="K51" s="14">
        <f t="shared" si="1"/>
        <v>0</v>
      </c>
      <c r="L51" s="17">
        <f t="shared" si="2"/>
        <v>0</v>
      </c>
      <c r="M51" s="14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 spans="1:27" s="2" customFormat="1" ht="14">
      <c r="A52" s="12" t="s">
        <v>168</v>
      </c>
      <c r="B52" s="13" t="s">
        <v>62</v>
      </c>
      <c r="C52" s="13" t="s">
        <v>169</v>
      </c>
      <c r="D52" s="13" t="s">
        <v>164</v>
      </c>
      <c r="E52" s="13" t="s">
        <v>126</v>
      </c>
      <c r="F52" s="14"/>
      <c r="G52" s="14"/>
      <c r="H52" s="14"/>
      <c r="I52" s="14"/>
      <c r="J52" s="14">
        <f t="shared" si="0"/>
        <v>0</v>
      </c>
      <c r="K52" s="14">
        <f t="shared" si="1"/>
        <v>0</v>
      </c>
      <c r="L52" s="17">
        <f t="shared" si="2"/>
        <v>0</v>
      </c>
      <c r="M52" s="14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 spans="1:27" s="2" customFormat="1" ht="14">
      <c r="A53" s="12" t="s">
        <v>170</v>
      </c>
      <c r="B53" s="13" t="s">
        <v>14</v>
      </c>
      <c r="C53" s="13" t="s">
        <v>171</v>
      </c>
      <c r="D53" s="13" t="s">
        <v>172</v>
      </c>
      <c r="E53" s="13" t="s">
        <v>126</v>
      </c>
      <c r="F53" s="14"/>
      <c r="G53" s="14"/>
      <c r="H53" s="14"/>
      <c r="I53" s="14"/>
      <c r="J53" s="14">
        <f t="shared" si="0"/>
        <v>0</v>
      </c>
      <c r="K53" s="14">
        <f t="shared" si="1"/>
        <v>0</v>
      </c>
      <c r="L53" s="17">
        <f t="shared" si="2"/>
        <v>0</v>
      </c>
      <c r="M53" s="14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 spans="1:27" s="2" customFormat="1" ht="14">
      <c r="A54" s="12" t="s">
        <v>173</v>
      </c>
      <c r="B54" s="13" t="s">
        <v>14</v>
      </c>
      <c r="C54" s="13" t="s">
        <v>174</v>
      </c>
      <c r="D54" s="13" t="s">
        <v>175</v>
      </c>
      <c r="E54" s="13" t="s">
        <v>136</v>
      </c>
      <c r="F54" s="14"/>
      <c r="G54" s="14"/>
      <c r="H54" s="14"/>
      <c r="I54" s="14"/>
      <c r="J54" s="14">
        <f t="shared" si="0"/>
        <v>0</v>
      </c>
      <c r="K54" s="14">
        <f t="shared" si="1"/>
        <v>0</v>
      </c>
      <c r="L54" s="17">
        <f t="shared" si="2"/>
        <v>0</v>
      </c>
      <c r="M54" s="14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 spans="1:27" s="2" customFormat="1" ht="14">
      <c r="A55" s="12" t="s">
        <v>176</v>
      </c>
      <c r="B55" s="13" t="s">
        <v>62</v>
      </c>
      <c r="C55" s="13" t="s">
        <v>177</v>
      </c>
      <c r="D55" s="13" t="s">
        <v>175</v>
      </c>
      <c r="E55" s="13" t="s">
        <v>46</v>
      </c>
      <c r="F55" s="14"/>
      <c r="G55" s="14"/>
      <c r="H55" s="14"/>
      <c r="I55" s="14"/>
      <c r="J55" s="14">
        <f t="shared" si="0"/>
        <v>0</v>
      </c>
      <c r="K55" s="14">
        <f t="shared" si="1"/>
        <v>0</v>
      </c>
      <c r="L55" s="17">
        <f t="shared" si="2"/>
        <v>0</v>
      </c>
      <c r="M55" s="14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 spans="1:27" s="2" customFormat="1" ht="14">
      <c r="A56" s="12" t="s">
        <v>178</v>
      </c>
      <c r="B56" s="13" t="s">
        <v>14</v>
      </c>
      <c r="C56" s="13" t="s">
        <v>179</v>
      </c>
      <c r="D56" s="13" t="s">
        <v>180</v>
      </c>
      <c r="E56" s="13" t="s">
        <v>46</v>
      </c>
      <c r="F56" s="14"/>
      <c r="G56" s="14"/>
      <c r="H56" s="14"/>
      <c r="I56" s="14"/>
      <c r="J56" s="14">
        <f t="shared" si="0"/>
        <v>0</v>
      </c>
      <c r="K56" s="14">
        <f t="shared" si="1"/>
        <v>0</v>
      </c>
      <c r="L56" s="17">
        <f t="shared" si="2"/>
        <v>0</v>
      </c>
      <c r="M56" s="14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 spans="1:27" s="2" customFormat="1" ht="14">
      <c r="A57" s="12" t="s">
        <v>181</v>
      </c>
      <c r="B57" s="13" t="s">
        <v>14</v>
      </c>
      <c r="C57" s="13" t="s">
        <v>182</v>
      </c>
      <c r="D57" s="13" t="s">
        <v>180</v>
      </c>
      <c r="E57" s="13" t="s">
        <v>183</v>
      </c>
      <c r="F57" s="14"/>
      <c r="G57" s="14"/>
      <c r="H57" s="14"/>
      <c r="I57" s="14"/>
      <c r="J57" s="14">
        <f t="shared" si="0"/>
        <v>0</v>
      </c>
      <c r="K57" s="14">
        <f t="shared" si="1"/>
        <v>0</v>
      </c>
      <c r="L57" s="17">
        <f t="shared" si="2"/>
        <v>0</v>
      </c>
      <c r="M57" s="14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 spans="1:27" s="2" customFormat="1" ht="14">
      <c r="A58" s="12" t="s">
        <v>184</v>
      </c>
      <c r="B58" s="13" t="s">
        <v>14</v>
      </c>
      <c r="C58" s="13" t="s">
        <v>185</v>
      </c>
      <c r="D58" s="13" t="s">
        <v>186</v>
      </c>
      <c r="E58" s="13" t="s">
        <v>68</v>
      </c>
      <c r="F58" s="14"/>
      <c r="G58" s="14"/>
      <c r="H58" s="14"/>
      <c r="I58" s="14"/>
      <c r="J58" s="14">
        <f t="shared" si="0"/>
        <v>0</v>
      </c>
      <c r="K58" s="14">
        <f t="shared" si="1"/>
        <v>0</v>
      </c>
      <c r="L58" s="17">
        <f t="shared" si="2"/>
        <v>0</v>
      </c>
      <c r="M58" s="14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 spans="1:27" s="2" customFormat="1" ht="14">
      <c r="A59" s="12" t="s">
        <v>187</v>
      </c>
      <c r="B59" s="13" t="s">
        <v>14</v>
      </c>
      <c r="C59" s="13" t="s">
        <v>188</v>
      </c>
      <c r="D59" s="13" t="s">
        <v>189</v>
      </c>
      <c r="E59" s="13" t="s">
        <v>190</v>
      </c>
      <c r="F59" s="14"/>
      <c r="G59" s="14"/>
      <c r="H59" s="14"/>
      <c r="I59" s="14"/>
      <c r="J59" s="14">
        <f t="shared" si="0"/>
        <v>0</v>
      </c>
      <c r="K59" s="14">
        <f t="shared" si="1"/>
        <v>0</v>
      </c>
      <c r="L59" s="17">
        <f t="shared" si="2"/>
        <v>0</v>
      </c>
      <c r="M59" s="14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 spans="1:27" s="2" customFormat="1" ht="14">
      <c r="A60" s="12" t="s">
        <v>191</v>
      </c>
      <c r="B60" s="13" t="s">
        <v>14</v>
      </c>
      <c r="C60" s="13" t="s">
        <v>192</v>
      </c>
      <c r="D60" s="13" t="s">
        <v>189</v>
      </c>
      <c r="E60" s="13" t="s">
        <v>97</v>
      </c>
      <c r="F60" s="14"/>
      <c r="G60" s="14"/>
      <c r="H60" s="14"/>
      <c r="I60" s="14"/>
      <c r="J60" s="14">
        <f t="shared" si="0"/>
        <v>0</v>
      </c>
      <c r="K60" s="14">
        <f t="shared" si="1"/>
        <v>0</v>
      </c>
      <c r="L60" s="17">
        <f t="shared" si="2"/>
        <v>0</v>
      </c>
      <c r="M60" s="14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 spans="1:27" s="2" customFormat="1" ht="14">
      <c r="A61" s="12" t="s">
        <v>193</v>
      </c>
      <c r="B61" s="13" t="s">
        <v>14</v>
      </c>
      <c r="C61" s="13" t="s">
        <v>194</v>
      </c>
      <c r="D61" s="13" t="s">
        <v>195</v>
      </c>
      <c r="E61" s="13" t="s">
        <v>17</v>
      </c>
      <c r="F61" s="14"/>
      <c r="G61" s="14"/>
      <c r="H61" s="14"/>
      <c r="I61" s="14"/>
      <c r="J61" s="14">
        <f t="shared" si="0"/>
        <v>0</v>
      </c>
      <c r="K61" s="14">
        <f t="shared" si="1"/>
        <v>0</v>
      </c>
      <c r="L61" s="17">
        <f t="shared" si="2"/>
        <v>0</v>
      </c>
      <c r="M61" s="14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 spans="1:27" s="2" customFormat="1" ht="14">
      <c r="A62" s="12" t="s">
        <v>196</v>
      </c>
      <c r="B62" s="13" t="s">
        <v>14</v>
      </c>
      <c r="C62" s="13" t="s">
        <v>197</v>
      </c>
      <c r="D62" s="13" t="s">
        <v>195</v>
      </c>
      <c r="E62" s="13" t="s">
        <v>183</v>
      </c>
      <c r="F62" s="14"/>
      <c r="G62" s="14"/>
      <c r="H62" s="14"/>
      <c r="I62" s="14"/>
      <c r="J62" s="14">
        <f t="shared" si="0"/>
        <v>0</v>
      </c>
      <c r="K62" s="14">
        <f t="shared" si="1"/>
        <v>0</v>
      </c>
      <c r="L62" s="17">
        <f t="shared" si="2"/>
        <v>0</v>
      </c>
      <c r="M62" s="14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 spans="1:27" s="2" customFormat="1" ht="14">
      <c r="A63" s="12" t="s">
        <v>198</v>
      </c>
      <c r="B63" s="13" t="s">
        <v>62</v>
      </c>
      <c r="C63" s="13" t="s">
        <v>199</v>
      </c>
      <c r="D63" s="13" t="s">
        <v>200</v>
      </c>
      <c r="E63" s="13" t="s">
        <v>201</v>
      </c>
      <c r="F63" s="14"/>
      <c r="G63" s="14"/>
      <c r="H63" s="14"/>
      <c r="I63" s="14"/>
      <c r="J63" s="14">
        <f t="shared" si="0"/>
        <v>0</v>
      </c>
      <c r="K63" s="14">
        <f t="shared" si="1"/>
        <v>0</v>
      </c>
      <c r="L63" s="17">
        <f t="shared" si="2"/>
        <v>0</v>
      </c>
      <c r="M63" s="14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 spans="1:27" s="2" customFormat="1" ht="14">
      <c r="A64" s="12" t="s">
        <v>202</v>
      </c>
      <c r="B64" s="13" t="s">
        <v>14</v>
      </c>
      <c r="C64" s="13" t="s">
        <v>203</v>
      </c>
      <c r="D64" s="13" t="s">
        <v>204</v>
      </c>
      <c r="E64" s="13" t="s">
        <v>205</v>
      </c>
      <c r="F64" s="14"/>
      <c r="G64" s="14"/>
      <c r="H64" s="14"/>
      <c r="I64" s="14"/>
      <c r="J64" s="14">
        <f t="shared" si="0"/>
        <v>0</v>
      </c>
      <c r="K64" s="14">
        <f t="shared" si="1"/>
        <v>0</v>
      </c>
      <c r="L64" s="17">
        <f t="shared" si="2"/>
        <v>0</v>
      </c>
      <c r="M64" s="14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 spans="1:27" s="2" customFormat="1" ht="14">
      <c r="A65" s="12" t="s">
        <v>206</v>
      </c>
      <c r="B65" s="13" t="s">
        <v>14</v>
      </c>
      <c r="C65" s="13" t="s">
        <v>207</v>
      </c>
      <c r="D65" s="13" t="s">
        <v>208</v>
      </c>
      <c r="E65" s="13" t="s">
        <v>68</v>
      </c>
      <c r="F65" s="14"/>
      <c r="G65" s="14"/>
      <c r="H65" s="14"/>
      <c r="I65" s="14"/>
      <c r="J65" s="14">
        <f t="shared" si="0"/>
        <v>0</v>
      </c>
      <c r="K65" s="14">
        <f t="shared" si="1"/>
        <v>0</v>
      </c>
      <c r="L65" s="17">
        <f t="shared" si="2"/>
        <v>0</v>
      </c>
      <c r="M65" s="14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 spans="1:27" s="2" customFormat="1" ht="14">
      <c r="A66" s="12" t="s">
        <v>209</v>
      </c>
      <c r="B66" s="13" t="s">
        <v>62</v>
      </c>
      <c r="C66" s="13" t="s">
        <v>210</v>
      </c>
      <c r="D66" s="13" t="s">
        <v>211</v>
      </c>
      <c r="E66" s="13" t="s">
        <v>21</v>
      </c>
      <c r="F66" s="14"/>
      <c r="G66" s="14"/>
      <c r="H66" s="14"/>
      <c r="I66" s="14"/>
      <c r="J66" s="14">
        <f t="shared" ref="J66:J129" si="3">IF(G66&gt;0,1,0)</f>
        <v>0</v>
      </c>
      <c r="K66" s="14">
        <f t="shared" ref="K66:K129" si="4">IF(H66&gt;0,1,0)</f>
        <v>0</v>
      </c>
      <c r="L66" s="17">
        <f t="shared" ref="L66:L129" si="5">IF(G66&gt;0,IF(H66&gt;0,1,0),0)</f>
        <v>0</v>
      </c>
      <c r="M66" s="14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 spans="1:27" s="2" customFormat="1" ht="14">
      <c r="A67" s="12" t="s">
        <v>212</v>
      </c>
      <c r="B67" s="13" t="s">
        <v>62</v>
      </c>
      <c r="C67" s="13" t="s">
        <v>213</v>
      </c>
      <c r="D67" s="13" t="s">
        <v>214</v>
      </c>
      <c r="E67" s="13" t="s">
        <v>215</v>
      </c>
      <c r="F67" s="14"/>
      <c r="G67" s="14"/>
      <c r="H67" s="14"/>
      <c r="I67" s="14"/>
      <c r="J67" s="14">
        <f t="shared" si="3"/>
        <v>0</v>
      </c>
      <c r="K67" s="14">
        <f t="shared" si="4"/>
        <v>0</v>
      </c>
      <c r="L67" s="17">
        <f t="shared" si="5"/>
        <v>0</v>
      </c>
      <c r="M67" s="14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 spans="1:27" s="2" customFormat="1" ht="14">
      <c r="A68" s="12" t="s">
        <v>216</v>
      </c>
      <c r="B68" s="13" t="s">
        <v>14</v>
      </c>
      <c r="C68" s="13" t="s">
        <v>217</v>
      </c>
      <c r="D68" s="13" t="s">
        <v>211</v>
      </c>
      <c r="E68" s="13" t="s">
        <v>136</v>
      </c>
      <c r="F68" s="14"/>
      <c r="G68" s="14"/>
      <c r="H68" s="14"/>
      <c r="I68" s="14"/>
      <c r="J68" s="14">
        <f t="shared" si="3"/>
        <v>0</v>
      </c>
      <c r="K68" s="14">
        <f t="shared" si="4"/>
        <v>0</v>
      </c>
      <c r="L68" s="17">
        <f t="shared" si="5"/>
        <v>0</v>
      </c>
      <c r="M68" s="14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 spans="1:27" s="2" customFormat="1" ht="14">
      <c r="A69" s="12" t="s">
        <v>218</v>
      </c>
      <c r="B69" s="13" t="s">
        <v>14</v>
      </c>
      <c r="C69" s="13" t="s">
        <v>219</v>
      </c>
      <c r="D69" s="13" t="s">
        <v>211</v>
      </c>
      <c r="E69" s="13" t="s">
        <v>220</v>
      </c>
      <c r="F69" s="14"/>
      <c r="G69" s="14"/>
      <c r="H69" s="14"/>
      <c r="I69" s="14"/>
      <c r="J69" s="14">
        <f t="shared" si="3"/>
        <v>0</v>
      </c>
      <c r="K69" s="14">
        <f t="shared" si="4"/>
        <v>0</v>
      </c>
      <c r="L69" s="17">
        <f t="shared" si="5"/>
        <v>0</v>
      </c>
      <c r="M69" s="14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 spans="1:27" s="2" customFormat="1" ht="14">
      <c r="A70" s="12" t="s">
        <v>221</v>
      </c>
      <c r="B70" s="13" t="s">
        <v>14</v>
      </c>
      <c r="C70" s="13" t="s">
        <v>222</v>
      </c>
      <c r="D70" s="13" t="s">
        <v>223</v>
      </c>
      <c r="E70" s="13" t="s">
        <v>183</v>
      </c>
      <c r="F70" s="14"/>
      <c r="G70" s="14"/>
      <c r="H70" s="14"/>
      <c r="I70" s="14"/>
      <c r="J70" s="14">
        <f t="shared" si="3"/>
        <v>0</v>
      </c>
      <c r="K70" s="14">
        <f t="shared" si="4"/>
        <v>0</v>
      </c>
      <c r="L70" s="17">
        <f t="shared" si="5"/>
        <v>0</v>
      </c>
      <c r="M70" s="14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 spans="1:27" s="2" customFormat="1" ht="14">
      <c r="A71" s="12" t="s">
        <v>224</v>
      </c>
      <c r="B71" s="13" t="s">
        <v>14</v>
      </c>
      <c r="C71" s="13" t="s">
        <v>225</v>
      </c>
      <c r="D71" s="13" t="s">
        <v>226</v>
      </c>
      <c r="E71" s="13" t="s">
        <v>83</v>
      </c>
      <c r="F71" s="14"/>
      <c r="G71" s="14"/>
      <c r="H71" s="14"/>
      <c r="I71" s="14"/>
      <c r="J71" s="14">
        <f t="shared" si="3"/>
        <v>0</v>
      </c>
      <c r="K71" s="14">
        <f t="shared" si="4"/>
        <v>0</v>
      </c>
      <c r="L71" s="17">
        <f t="shared" si="5"/>
        <v>0</v>
      </c>
      <c r="M71" s="14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 spans="1:27" s="2" customFormat="1" ht="14">
      <c r="A72" s="12" t="s">
        <v>227</v>
      </c>
      <c r="B72" s="13" t="s">
        <v>14</v>
      </c>
      <c r="C72" s="13" t="s">
        <v>228</v>
      </c>
      <c r="D72" s="13" t="s">
        <v>229</v>
      </c>
      <c r="E72" s="13" t="s">
        <v>32</v>
      </c>
      <c r="F72" s="14"/>
      <c r="G72" s="14"/>
      <c r="H72" s="14"/>
      <c r="I72" s="14"/>
      <c r="J72" s="14">
        <f t="shared" si="3"/>
        <v>0</v>
      </c>
      <c r="K72" s="14">
        <f t="shared" si="4"/>
        <v>0</v>
      </c>
      <c r="L72" s="17">
        <f t="shared" si="5"/>
        <v>0</v>
      </c>
      <c r="M72" s="14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 spans="1:27" s="2" customFormat="1" ht="14">
      <c r="A73" s="12" t="s">
        <v>230</v>
      </c>
      <c r="B73" s="13" t="s">
        <v>14</v>
      </c>
      <c r="C73" s="13" t="s">
        <v>231</v>
      </c>
      <c r="D73" s="13" t="s">
        <v>232</v>
      </c>
      <c r="E73" s="13" t="s">
        <v>156</v>
      </c>
      <c r="F73" s="14"/>
      <c r="G73" s="14"/>
      <c r="H73" s="14"/>
      <c r="I73" s="14"/>
      <c r="J73" s="14">
        <f t="shared" si="3"/>
        <v>0</v>
      </c>
      <c r="K73" s="14">
        <f t="shared" si="4"/>
        <v>0</v>
      </c>
      <c r="L73" s="17">
        <f t="shared" si="5"/>
        <v>0</v>
      </c>
      <c r="M73" s="14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spans="1:27" s="2" customFormat="1" ht="14">
      <c r="A74" s="12" t="s">
        <v>233</v>
      </c>
      <c r="B74" s="13" t="s">
        <v>14</v>
      </c>
      <c r="C74" s="13" t="s">
        <v>234</v>
      </c>
      <c r="D74" s="13" t="s">
        <v>226</v>
      </c>
      <c r="E74" s="13" t="s">
        <v>29</v>
      </c>
      <c r="F74" s="14"/>
      <c r="G74" s="14"/>
      <c r="H74" s="14"/>
      <c r="I74" s="14"/>
      <c r="J74" s="14">
        <f t="shared" si="3"/>
        <v>0</v>
      </c>
      <c r="K74" s="14">
        <f t="shared" si="4"/>
        <v>0</v>
      </c>
      <c r="L74" s="17">
        <f t="shared" si="5"/>
        <v>0</v>
      </c>
      <c r="M74" s="14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spans="1:27" s="2" customFormat="1" ht="14">
      <c r="A75" s="12" t="s">
        <v>235</v>
      </c>
      <c r="B75" s="13" t="s">
        <v>62</v>
      </c>
      <c r="C75" s="13" t="s">
        <v>236</v>
      </c>
      <c r="D75" s="13" t="s">
        <v>237</v>
      </c>
      <c r="E75" s="13" t="s">
        <v>238</v>
      </c>
      <c r="F75" s="14"/>
      <c r="G75" s="14"/>
      <c r="H75" s="14"/>
      <c r="I75" s="14"/>
      <c r="J75" s="14">
        <f t="shared" si="3"/>
        <v>0</v>
      </c>
      <c r="K75" s="14">
        <f t="shared" si="4"/>
        <v>0</v>
      </c>
      <c r="L75" s="17">
        <f t="shared" si="5"/>
        <v>0</v>
      </c>
      <c r="M75" s="14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 spans="1:27" s="2" customFormat="1" ht="14">
      <c r="A76" s="12" t="s">
        <v>239</v>
      </c>
      <c r="B76" s="13" t="s">
        <v>14</v>
      </c>
      <c r="C76" s="13" t="s">
        <v>240</v>
      </c>
      <c r="D76" s="13" t="s">
        <v>241</v>
      </c>
      <c r="E76" s="13" t="s">
        <v>91</v>
      </c>
      <c r="F76" s="14"/>
      <c r="G76" s="14"/>
      <c r="H76" s="14"/>
      <c r="I76" s="14"/>
      <c r="J76" s="14">
        <f t="shared" si="3"/>
        <v>0</v>
      </c>
      <c r="K76" s="14">
        <f t="shared" si="4"/>
        <v>0</v>
      </c>
      <c r="L76" s="17">
        <f t="shared" si="5"/>
        <v>0</v>
      </c>
      <c r="M76" s="14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 spans="1:27" s="2" customFormat="1" ht="14">
      <c r="A77" s="12" t="s">
        <v>242</v>
      </c>
      <c r="B77" s="13" t="s">
        <v>14</v>
      </c>
      <c r="C77" s="13" t="s">
        <v>243</v>
      </c>
      <c r="D77" s="13" t="s">
        <v>244</v>
      </c>
      <c r="E77" s="13" t="s">
        <v>215</v>
      </c>
      <c r="F77" s="14"/>
      <c r="G77" s="14"/>
      <c r="H77" s="14"/>
      <c r="I77" s="14"/>
      <c r="J77" s="14">
        <f t="shared" si="3"/>
        <v>0</v>
      </c>
      <c r="K77" s="14">
        <f t="shared" si="4"/>
        <v>0</v>
      </c>
      <c r="L77" s="17">
        <f t="shared" si="5"/>
        <v>0</v>
      </c>
      <c r="M77" s="14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 spans="1:27" s="2" customFormat="1" ht="14">
      <c r="A78" s="12" t="s">
        <v>245</v>
      </c>
      <c r="B78" s="13" t="s">
        <v>14</v>
      </c>
      <c r="C78" s="13" t="s">
        <v>246</v>
      </c>
      <c r="D78" s="13" t="s">
        <v>244</v>
      </c>
      <c r="E78" s="13" t="s">
        <v>247</v>
      </c>
      <c r="F78" s="14"/>
      <c r="G78" s="14"/>
      <c r="H78" s="14"/>
      <c r="I78" s="14"/>
      <c r="J78" s="14">
        <f t="shared" si="3"/>
        <v>0</v>
      </c>
      <c r="K78" s="14">
        <f t="shared" si="4"/>
        <v>0</v>
      </c>
      <c r="L78" s="17">
        <f t="shared" si="5"/>
        <v>0</v>
      </c>
      <c r="M78" s="14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 spans="1:27" s="2" customFormat="1" ht="14">
      <c r="A79" s="12" t="s">
        <v>248</v>
      </c>
      <c r="B79" s="13" t="s">
        <v>14</v>
      </c>
      <c r="C79" s="13" t="s">
        <v>249</v>
      </c>
      <c r="D79" s="13" t="s">
        <v>237</v>
      </c>
      <c r="E79" s="13" t="s">
        <v>25</v>
      </c>
      <c r="F79" s="14"/>
      <c r="G79" s="14"/>
      <c r="H79" s="14"/>
      <c r="I79" s="14"/>
      <c r="J79" s="14">
        <f t="shared" si="3"/>
        <v>0</v>
      </c>
      <c r="K79" s="14">
        <f t="shared" si="4"/>
        <v>0</v>
      </c>
      <c r="L79" s="17">
        <f t="shared" si="5"/>
        <v>0</v>
      </c>
      <c r="M79" s="14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 spans="1:27" s="2" customFormat="1" ht="14">
      <c r="A80" s="12" t="s">
        <v>250</v>
      </c>
      <c r="B80" s="13" t="s">
        <v>62</v>
      </c>
      <c r="C80" s="13" t="s">
        <v>251</v>
      </c>
      <c r="D80" s="13" t="s">
        <v>252</v>
      </c>
      <c r="E80" s="13" t="s">
        <v>68</v>
      </c>
      <c r="F80" s="14"/>
      <c r="G80" s="14"/>
      <c r="H80" s="14"/>
      <c r="I80" s="14"/>
      <c r="J80" s="14">
        <f t="shared" si="3"/>
        <v>0</v>
      </c>
      <c r="K80" s="14">
        <f t="shared" si="4"/>
        <v>0</v>
      </c>
      <c r="L80" s="17">
        <f t="shared" si="5"/>
        <v>0</v>
      </c>
      <c r="M80" s="14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 spans="1:27" s="2" customFormat="1" ht="14">
      <c r="A81" s="12" t="s">
        <v>253</v>
      </c>
      <c r="B81" s="13" t="s">
        <v>14</v>
      </c>
      <c r="C81" s="13" t="s">
        <v>254</v>
      </c>
      <c r="D81" s="13" t="s">
        <v>255</v>
      </c>
      <c r="E81" s="13" t="s">
        <v>36</v>
      </c>
      <c r="F81" s="14"/>
      <c r="G81" s="14"/>
      <c r="H81" s="14"/>
      <c r="I81" s="14"/>
      <c r="J81" s="14">
        <f t="shared" si="3"/>
        <v>0</v>
      </c>
      <c r="K81" s="14">
        <f t="shared" si="4"/>
        <v>0</v>
      </c>
      <c r="L81" s="17">
        <f t="shared" si="5"/>
        <v>0</v>
      </c>
      <c r="M81" s="14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spans="1:27" s="2" customFormat="1" ht="14">
      <c r="A82" s="12" t="s">
        <v>256</v>
      </c>
      <c r="B82" s="13" t="s">
        <v>62</v>
      </c>
      <c r="C82" s="13" t="s">
        <v>257</v>
      </c>
      <c r="D82" s="13" t="s">
        <v>258</v>
      </c>
      <c r="E82" s="13" t="s">
        <v>57</v>
      </c>
      <c r="F82" s="14"/>
      <c r="G82" s="14"/>
      <c r="H82" s="14"/>
      <c r="I82" s="14"/>
      <c r="J82" s="14">
        <f t="shared" si="3"/>
        <v>0</v>
      </c>
      <c r="K82" s="14">
        <f t="shared" si="4"/>
        <v>0</v>
      </c>
      <c r="L82" s="17">
        <f t="shared" si="5"/>
        <v>0</v>
      </c>
      <c r="M82" s="14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 spans="1:27" s="2" customFormat="1" ht="14">
      <c r="A83" s="12" t="s">
        <v>259</v>
      </c>
      <c r="B83" s="13" t="s">
        <v>14</v>
      </c>
      <c r="C83" s="13" t="s">
        <v>260</v>
      </c>
      <c r="D83" s="13" t="s">
        <v>261</v>
      </c>
      <c r="E83" s="13" t="s">
        <v>215</v>
      </c>
      <c r="F83" s="14"/>
      <c r="G83" s="14"/>
      <c r="H83" s="14"/>
      <c r="I83" s="14"/>
      <c r="J83" s="14">
        <f t="shared" si="3"/>
        <v>0</v>
      </c>
      <c r="K83" s="14">
        <f t="shared" si="4"/>
        <v>0</v>
      </c>
      <c r="L83" s="17">
        <f t="shared" si="5"/>
        <v>0</v>
      </c>
      <c r="M83" s="14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 spans="1:27" s="2" customFormat="1" ht="14">
      <c r="A84" s="12" t="s">
        <v>262</v>
      </c>
      <c r="B84" s="13" t="s">
        <v>14</v>
      </c>
      <c r="C84" s="13" t="s">
        <v>263</v>
      </c>
      <c r="D84" s="13" t="s">
        <v>264</v>
      </c>
      <c r="E84" s="13" t="s">
        <v>72</v>
      </c>
      <c r="F84" s="14"/>
      <c r="G84" s="14"/>
      <c r="H84" s="14"/>
      <c r="I84" s="14"/>
      <c r="J84" s="14">
        <f t="shared" si="3"/>
        <v>0</v>
      </c>
      <c r="K84" s="14">
        <f t="shared" si="4"/>
        <v>0</v>
      </c>
      <c r="L84" s="17">
        <f t="shared" si="5"/>
        <v>0</v>
      </c>
      <c r="M84" s="14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 spans="1:27" s="2" customFormat="1" ht="14">
      <c r="A85" s="12" t="s">
        <v>265</v>
      </c>
      <c r="B85" s="13" t="s">
        <v>14</v>
      </c>
      <c r="C85" s="13" t="s">
        <v>266</v>
      </c>
      <c r="D85" s="13" t="s">
        <v>264</v>
      </c>
      <c r="E85" s="13" t="s">
        <v>267</v>
      </c>
      <c r="F85" s="14"/>
      <c r="G85" s="14"/>
      <c r="H85" s="14"/>
      <c r="I85" s="14"/>
      <c r="J85" s="14">
        <f t="shared" si="3"/>
        <v>0</v>
      </c>
      <c r="K85" s="14">
        <f t="shared" si="4"/>
        <v>0</v>
      </c>
      <c r="L85" s="17">
        <f t="shared" si="5"/>
        <v>0</v>
      </c>
      <c r="M85" s="14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 spans="1:27" s="2" customFormat="1" ht="14">
      <c r="A86" s="12" t="s">
        <v>268</v>
      </c>
      <c r="B86" s="13" t="s">
        <v>14</v>
      </c>
      <c r="C86" s="13" t="s">
        <v>269</v>
      </c>
      <c r="D86" s="13" t="s">
        <v>264</v>
      </c>
      <c r="E86" s="13" t="s">
        <v>68</v>
      </c>
      <c r="F86" s="14"/>
      <c r="G86" s="14"/>
      <c r="H86" s="14"/>
      <c r="I86" s="14"/>
      <c r="J86" s="14">
        <f t="shared" si="3"/>
        <v>0</v>
      </c>
      <c r="K86" s="14">
        <f t="shared" si="4"/>
        <v>0</v>
      </c>
      <c r="L86" s="17">
        <f t="shared" si="5"/>
        <v>0</v>
      </c>
      <c r="M86" s="14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 spans="1:27" s="2" customFormat="1" ht="14">
      <c r="A87" s="12" t="s">
        <v>270</v>
      </c>
      <c r="B87" s="13" t="s">
        <v>14</v>
      </c>
      <c r="C87" s="13" t="s">
        <v>271</v>
      </c>
      <c r="D87" s="13" t="s">
        <v>264</v>
      </c>
      <c r="E87" s="13" t="s">
        <v>267</v>
      </c>
      <c r="F87" s="14"/>
      <c r="G87" s="14"/>
      <c r="H87" s="14"/>
      <c r="I87" s="14"/>
      <c r="J87" s="14">
        <f t="shared" si="3"/>
        <v>0</v>
      </c>
      <c r="K87" s="14">
        <f t="shared" si="4"/>
        <v>0</v>
      </c>
      <c r="L87" s="17">
        <f t="shared" si="5"/>
        <v>0</v>
      </c>
      <c r="M87" s="14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 spans="1:27" s="2" customFormat="1" ht="14">
      <c r="A88" s="12" t="s">
        <v>272</v>
      </c>
      <c r="B88" s="13" t="s">
        <v>14</v>
      </c>
      <c r="C88" s="13" t="s">
        <v>273</v>
      </c>
      <c r="D88" s="13" t="s">
        <v>274</v>
      </c>
      <c r="E88" s="13" t="s">
        <v>104</v>
      </c>
      <c r="F88" s="14"/>
      <c r="G88" s="14"/>
      <c r="H88" s="14"/>
      <c r="I88" s="14"/>
      <c r="J88" s="14">
        <f t="shared" si="3"/>
        <v>0</v>
      </c>
      <c r="K88" s="14">
        <f t="shared" si="4"/>
        <v>0</v>
      </c>
      <c r="L88" s="17">
        <f t="shared" si="5"/>
        <v>0</v>
      </c>
      <c r="M88" s="14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 spans="1:27" s="2" customFormat="1" ht="14">
      <c r="A89" s="12" t="s">
        <v>275</v>
      </c>
      <c r="B89" s="13" t="s">
        <v>62</v>
      </c>
      <c r="C89" s="13" t="s">
        <v>276</v>
      </c>
      <c r="D89" s="13" t="s">
        <v>277</v>
      </c>
      <c r="E89" s="13" t="s">
        <v>97</v>
      </c>
      <c r="F89" s="14"/>
      <c r="G89" s="14"/>
      <c r="H89" s="14"/>
      <c r="I89" s="14"/>
      <c r="J89" s="14">
        <f t="shared" si="3"/>
        <v>0</v>
      </c>
      <c r="K89" s="14">
        <f t="shared" si="4"/>
        <v>0</v>
      </c>
      <c r="L89" s="17">
        <f t="shared" si="5"/>
        <v>0</v>
      </c>
      <c r="M89" s="14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 spans="1:27" s="2" customFormat="1" ht="14">
      <c r="A90" s="12" t="s">
        <v>278</v>
      </c>
      <c r="B90" s="13" t="s">
        <v>14</v>
      </c>
      <c r="C90" s="13" t="s">
        <v>279</v>
      </c>
      <c r="D90" s="13" t="s">
        <v>277</v>
      </c>
      <c r="E90" s="13" t="s">
        <v>114</v>
      </c>
      <c r="F90" s="14"/>
      <c r="G90" s="14"/>
      <c r="H90" s="14"/>
      <c r="I90" s="14"/>
      <c r="J90" s="14">
        <f t="shared" si="3"/>
        <v>0</v>
      </c>
      <c r="K90" s="14">
        <f t="shared" si="4"/>
        <v>0</v>
      </c>
      <c r="L90" s="17">
        <f t="shared" si="5"/>
        <v>0</v>
      </c>
      <c r="M90" s="14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 spans="1:27" s="2" customFormat="1" ht="14">
      <c r="A91" s="12" t="s">
        <v>280</v>
      </c>
      <c r="B91" s="13" t="s">
        <v>62</v>
      </c>
      <c r="C91" s="13" t="s">
        <v>281</v>
      </c>
      <c r="D91" s="13" t="s">
        <v>282</v>
      </c>
      <c r="E91" s="13" t="s">
        <v>43</v>
      </c>
      <c r="F91" s="14"/>
      <c r="G91" s="14"/>
      <c r="H91" s="14"/>
      <c r="I91" s="14"/>
      <c r="J91" s="14">
        <f t="shared" si="3"/>
        <v>0</v>
      </c>
      <c r="K91" s="14">
        <f t="shared" si="4"/>
        <v>0</v>
      </c>
      <c r="L91" s="17">
        <f t="shared" si="5"/>
        <v>0</v>
      </c>
      <c r="M91" s="14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 spans="1:27" s="2" customFormat="1" ht="14">
      <c r="A92" s="12" t="s">
        <v>283</v>
      </c>
      <c r="B92" s="13" t="s">
        <v>62</v>
      </c>
      <c r="C92" s="13" t="s">
        <v>284</v>
      </c>
      <c r="D92" s="13" t="s">
        <v>252</v>
      </c>
      <c r="E92" s="13" t="s">
        <v>285</v>
      </c>
      <c r="F92" s="14"/>
      <c r="G92" s="14"/>
      <c r="H92" s="14"/>
      <c r="I92" s="14"/>
      <c r="J92" s="14">
        <f t="shared" si="3"/>
        <v>0</v>
      </c>
      <c r="K92" s="14">
        <f t="shared" si="4"/>
        <v>0</v>
      </c>
      <c r="L92" s="17">
        <f t="shared" si="5"/>
        <v>0</v>
      </c>
      <c r="M92" s="14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 spans="1:27" s="2" customFormat="1" ht="14">
      <c r="A93" s="12" t="s">
        <v>286</v>
      </c>
      <c r="B93" s="13" t="s">
        <v>14</v>
      </c>
      <c r="C93" s="13" t="s">
        <v>287</v>
      </c>
      <c r="D93" s="13" t="s">
        <v>288</v>
      </c>
      <c r="E93" s="13" t="s">
        <v>68</v>
      </c>
      <c r="F93" s="14"/>
      <c r="G93" s="14"/>
      <c r="H93" s="14"/>
      <c r="I93" s="14"/>
      <c r="J93" s="14">
        <f t="shared" si="3"/>
        <v>0</v>
      </c>
      <c r="K93" s="14">
        <f t="shared" si="4"/>
        <v>0</v>
      </c>
      <c r="L93" s="17">
        <f t="shared" si="5"/>
        <v>0</v>
      </c>
      <c r="M93" s="14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 spans="1:27" s="2" customFormat="1" ht="14">
      <c r="A94" s="12" t="s">
        <v>289</v>
      </c>
      <c r="B94" s="13" t="s">
        <v>14</v>
      </c>
      <c r="C94" s="13" t="s">
        <v>290</v>
      </c>
      <c r="D94" s="13" t="s">
        <v>252</v>
      </c>
      <c r="E94" s="13" t="s">
        <v>50</v>
      </c>
      <c r="F94" s="14"/>
      <c r="G94" s="14"/>
      <c r="H94" s="14"/>
      <c r="I94" s="14"/>
      <c r="J94" s="14">
        <f t="shared" si="3"/>
        <v>0</v>
      </c>
      <c r="K94" s="14">
        <f t="shared" si="4"/>
        <v>0</v>
      </c>
      <c r="L94" s="17">
        <f t="shared" si="5"/>
        <v>0</v>
      </c>
      <c r="M94" s="14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 spans="1:27" s="2" customFormat="1" ht="14">
      <c r="A95" s="12" t="s">
        <v>291</v>
      </c>
      <c r="B95" s="13" t="s">
        <v>14</v>
      </c>
      <c r="C95" s="13" t="s">
        <v>292</v>
      </c>
      <c r="D95" s="13" t="s">
        <v>293</v>
      </c>
      <c r="E95" s="13" t="s">
        <v>46</v>
      </c>
      <c r="F95" s="14"/>
      <c r="G95" s="14"/>
      <c r="H95" s="14"/>
      <c r="I95" s="14"/>
      <c r="J95" s="14">
        <f t="shared" si="3"/>
        <v>0</v>
      </c>
      <c r="K95" s="14">
        <f t="shared" si="4"/>
        <v>0</v>
      </c>
      <c r="L95" s="17">
        <f t="shared" si="5"/>
        <v>0</v>
      </c>
      <c r="M95" s="14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 spans="1:27" s="2" customFormat="1" ht="14">
      <c r="A96" s="12" t="s">
        <v>294</v>
      </c>
      <c r="B96" s="13" t="s">
        <v>14</v>
      </c>
      <c r="C96" s="13" t="s">
        <v>295</v>
      </c>
      <c r="D96" s="13" t="s">
        <v>293</v>
      </c>
      <c r="E96" s="13" t="s">
        <v>76</v>
      </c>
      <c r="F96" s="14"/>
      <c r="G96" s="14"/>
      <c r="H96" s="14"/>
      <c r="I96" s="14"/>
      <c r="J96" s="14">
        <f t="shared" si="3"/>
        <v>0</v>
      </c>
      <c r="K96" s="14">
        <f t="shared" si="4"/>
        <v>0</v>
      </c>
      <c r="L96" s="17">
        <f t="shared" si="5"/>
        <v>0</v>
      </c>
      <c r="M96" s="14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 spans="1:27" s="2" customFormat="1" ht="14">
      <c r="A97" s="12" t="s">
        <v>296</v>
      </c>
      <c r="B97" s="13" t="s">
        <v>62</v>
      </c>
      <c r="C97" s="13" t="s">
        <v>297</v>
      </c>
      <c r="D97" s="13" t="s">
        <v>298</v>
      </c>
      <c r="E97" s="13" t="s">
        <v>150</v>
      </c>
      <c r="F97" s="14"/>
      <c r="G97" s="14"/>
      <c r="H97" s="14"/>
      <c r="I97" s="14"/>
      <c r="J97" s="14">
        <f t="shared" si="3"/>
        <v>0</v>
      </c>
      <c r="K97" s="14">
        <f t="shared" si="4"/>
        <v>0</v>
      </c>
      <c r="L97" s="17">
        <f t="shared" si="5"/>
        <v>0</v>
      </c>
      <c r="M97" s="14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 spans="1:27" s="2" customFormat="1" ht="14">
      <c r="A98" s="12" t="s">
        <v>299</v>
      </c>
      <c r="B98" s="13" t="s">
        <v>14</v>
      </c>
      <c r="C98" s="13" t="s">
        <v>300</v>
      </c>
      <c r="D98" s="13" t="s">
        <v>301</v>
      </c>
      <c r="E98" s="13" t="s">
        <v>150</v>
      </c>
      <c r="F98" s="14"/>
      <c r="G98" s="14"/>
      <c r="H98" s="14"/>
      <c r="I98" s="14"/>
      <c r="J98" s="14">
        <f t="shared" si="3"/>
        <v>0</v>
      </c>
      <c r="K98" s="14">
        <f t="shared" si="4"/>
        <v>0</v>
      </c>
      <c r="L98" s="17">
        <f t="shared" si="5"/>
        <v>0</v>
      </c>
      <c r="M98" s="14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 spans="1:27" s="2" customFormat="1" ht="14">
      <c r="A99" s="12" t="s">
        <v>302</v>
      </c>
      <c r="B99" s="13" t="s">
        <v>14</v>
      </c>
      <c r="C99" s="13" t="s">
        <v>303</v>
      </c>
      <c r="D99" s="13" t="s">
        <v>298</v>
      </c>
      <c r="E99" s="13" t="s">
        <v>57</v>
      </c>
      <c r="F99" s="14"/>
      <c r="G99" s="14"/>
      <c r="H99" s="14"/>
      <c r="I99" s="14"/>
      <c r="J99" s="14">
        <f t="shared" si="3"/>
        <v>0</v>
      </c>
      <c r="K99" s="14">
        <f t="shared" si="4"/>
        <v>0</v>
      </c>
      <c r="L99" s="17">
        <f t="shared" si="5"/>
        <v>0</v>
      </c>
      <c r="M99" s="14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 spans="1:27" s="2" customFormat="1" ht="14">
      <c r="A100" s="12" t="s">
        <v>304</v>
      </c>
      <c r="B100" s="13" t="s">
        <v>14</v>
      </c>
      <c r="C100" s="13" t="s">
        <v>305</v>
      </c>
      <c r="D100" s="13" t="s">
        <v>306</v>
      </c>
      <c r="E100" s="13" t="s">
        <v>156</v>
      </c>
      <c r="F100" s="14"/>
      <c r="G100" s="14"/>
      <c r="H100" s="14"/>
      <c r="I100" s="14"/>
      <c r="J100" s="14">
        <f t="shared" si="3"/>
        <v>0</v>
      </c>
      <c r="K100" s="14">
        <f t="shared" si="4"/>
        <v>0</v>
      </c>
      <c r="L100" s="17">
        <f t="shared" si="5"/>
        <v>0</v>
      </c>
      <c r="M100" s="14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 spans="1:27" s="2" customFormat="1" ht="14">
      <c r="A101" s="12" t="s">
        <v>307</v>
      </c>
      <c r="B101" s="13" t="s">
        <v>62</v>
      </c>
      <c r="C101" s="13" t="s">
        <v>308</v>
      </c>
      <c r="D101" s="13" t="s">
        <v>309</v>
      </c>
      <c r="E101" s="13" t="s">
        <v>40</v>
      </c>
      <c r="F101" s="14"/>
      <c r="G101" s="14"/>
      <c r="H101" s="14"/>
      <c r="I101" s="14"/>
      <c r="J101" s="14">
        <f t="shared" si="3"/>
        <v>0</v>
      </c>
      <c r="K101" s="14">
        <f t="shared" si="4"/>
        <v>0</v>
      </c>
      <c r="L101" s="17">
        <f t="shared" si="5"/>
        <v>0</v>
      </c>
      <c r="M101" s="14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 spans="1:27" s="2" customFormat="1" ht="14">
      <c r="A102" s="12" t="s">
        <v>310</v>
      </c>
      <c r="B102" s="13" t="s">
        <v>14</v>
      </c>
      <c r="C102" s="13" t="s">
        <v>311</v>
      </c>
      <c r="D102" s="13" t="s">
        <v>312</v>
      </c>
      <c r="E102" s="13" t="s">
        <v>220</v>
      </c>
      <c r="F102" s="14"/>
      <c r="G102" s="14"/>
      <c r="H102" s="14"/>
      <c r="I102" s="14"/>
      <c r="J102" s="14">
        <f t="shared" si="3"/>
        <v>0</v>
      </c>
      <c r="K102" s="14">
        <f t="shared" si="4"/>
        <v>0</v>
      </c>
      <c r="L102" s="17">
        <f t="shared" si="5"/>
        <v>0</v>
      </c>
      <c r="M102" s="14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 spans="1:27" s="2" customFormat="1" ht="14">
      <c r="A103" s="12" t="s">
        <v>313</v>
      </c>
      <c r="B103" s="13" t="s">
        <v>14</v>
      </c>
      <c r="C103" s="13" t="s">
        <v>314</v>
      </c>
      <c r="D103" s="13" t="s">
        <v>315</v>
      </c>
      <c r="E103" s="13" t="s">
        <v>17</v>
      </c>
      <c r="F103" s="14"/>
      <c r="G103" s="14"/>
      <c r="H103" s="14"/>
      <c r="I103" s="14"/>
      <c r="J103" s="14">
        <f t="shared" si="3"/>
        <v>0</v>
      </c>
      <c r="K103" s="14">
        <f t="shared" si="4"/>
        <v>0</v>
      </c>
      <c r="L103" s="17">
        <f t="shared" si="5"/>
        <v>0</v>
      </c>
      <c r="M103" s="14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 spans="1:27" s="2" customFormat="1" ht="14">
      <c r="A104" s="12" t="s">
        <v>316</v>
      </c>
      <c r="B104" s="13" t="s">
        <v>14</v>
      </c>
      <c r="C104" s="13" t="s">
        <v>317</v>
      </c>
      <c r="D104" s="13" t="s">
        <v>318</v>
      </c>
      <c r="E104" s="13" t="s">
        <v>319</v>
      </c>
      <c r="F104" s="14"/>
      <c r="G104" s="14"/>
      <c r="H104" s="14"/>
      <c r="I104" s="14"/>
      <c r="J104" s="14">
        <f t="shared" si="3"/>
        <v>0</v>
      </c>
      <c r="K104" s="14">
        <f t="shared" si="4"/>
        <v>0</v>
      </c>
      <c r="L104" s="17">
        <f t="shared" si="5"/>
        <v>0</v>
      </c>
      <c r="M104" s="14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 spans="1:27" s="2" customFormat="1" ht="14">
      <c r="A105" s="12" t="s">
        <v>320</v>
      </c>
      <c r="B105" s="13" t="s">
        <v>62</v>
      </c>
      <c r="C105" s="13" t="s">
        <v>321</v>
      </c>
      <c r="D105" s="13" t="s">
        <v>312</v>
      </c>
      <c r="E105" s="13" t="s">
        <v>215</v>
      </c>
      <c r="F105" s="14"/>
      <c r="G105" s="14"/>
      <c r="H105" s="14"/>
      <c r="I105" s="14"/>
      <c r="J105" s="14">
        <f t="shared" si="3"/>
        <v>0</v>
      </c>
      <c r="K105" s="14">
        <f t="shared" si="4"/>
        <v>0</v>
      </c>
      <c r="L105" s="17">
        <f t="shared" si="5"/>
        <v>0</v>
      </c>
      <c r="M105" s="14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 spans="1:27" s="2" customFormat="1" ht="14">
      <c r="A106" s="12" t="s">
        <v>322</v>
      </c>
      <c r="B106" s="13" t="s">
        <v>14</v>
      </c>
      <c r="C106" s="13" t="s">
        <v>323</v>
      </c>
      <c r="D106" s="13" t="s">
        <v>312</v>
      </c>
      <c r="E106" s="13" t="s">
        <v>72</v>
      </c>
      <c r="F106" s="14"/>
      <c r="G106" s="14"/>
      <c r="H106" s="14"/>
      <c r="I106" s="14"/>
      <c r="J106" s="14">
        <f t="shared" si="3"/>
        <v>0</v>
      </c>
      <c r="K106" s="14">
        <f t="shared" si="4"/>
        <v>0</v>
      </c>
      <c r="L106" s="17">
        <f t="shared" si="5"/>
        <v>0</v>
      </c>
      <c r="M106" s="14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 spans="1:27" s="2" customFormat="1" ht="14">
      <c r="A107" s="12" t="s">
        <v>324</v>
      </c>
      <c r="B107" s="13" t="s">
        <v>14</v>
      </c>
      <c r="C107" s="13" t="s">
        <v>325</v>
      </c>
      <c r="D107" s="13" t="s">
        <v>326</v>
      </c>
      <c r="E107" s="13" t="s">
        <v>285</v>
      </c>
      <c r="F107" s="14"/>
      <c r="G107" s="14"/>
      <c r="H107" s="14"/>
      <c r="I107" s="14"/>
      <c r="J107" s="14">
        <f t="shared" si="3"/>
        <v>0</v>
      </c>
      <c r="K107" s="14">
        <f t="shared" si="4"/>
        <v>0</v>
      </c>
      <c r="L107" s="17">
        <f t="shared" si="5"/>
        <v>0</v>
      </c>
      <c r="M107" s="14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 spans="1:27" s="2" customFormat="1" ht="14">
      <c r="A108" s="12" t="s">
        <v>327</v>
      </c>
      <c r="B108" s="13" t="s">
        <v>14</v>
      </c>
      <c r="C108" s="13" t="s">
        <v>328</v>
      </c>
      <c r="D108" s="13" t="s">
        <v>318</v>
      </c>
      <c r="E108" s="13" t="s">
        <v>29</v>
      </c>
      <c r="F108" s="14"/>
      <c r="G108" s="14"/>
      <c r="H108" s="14"/>
      <c r="I108" s="14"/>
      <c r="J108" s="14">
        <f t="shared" si="3"/>
        <v>0</v>
      </c>
      <c r="K108" s="14">
        <f t="shared" si="4"/>
        <v>0</v>
      </c>
      <c r="L108" s="17">
        <f t="shared" si="5"/>
        <v>0</v>
      </c>
      <c r="M108" s="14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spans="1:27" s="2" customFormat="1" ht="14">
      <c r="A109" s="12" t="s">
        <v>329</v>
      </c>
      <c r="B109" s="13" t="s">
        <v>62</v>
      </c>
      <c r="C109" s="13" t="s">
        <v>330</v>
      </c>
      <c r="D109" s="13" t="s">
        <v>318</v>
      </c>
      <c r="E109" s="13" t="s">
        <v>215</v>
      </c>
      <c r="F109" s="14"/>
      <c r="G109" s="14"/>
      <c r="H109" s="14"/>
      <c r="I109" s="14"/>
      <c r="J109" s="14">
        <f t="shared" si="3"/>
        <v>0</v>
      </c>
      <c r="K109" s="14">
        <f t="shared" si="4"/>
        <v>0</v>
      </c>
      <c r="L109" s="17">
        <f t="shared" si="5"/>
        <v>0</v>
      </c>
      <c r="M109" s="14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spans="1:27" s="2" customFormat="1" ht="14">
      <c r="A110" s="12" t="s">
        <v>331</v>
      </c>
      <c r="B110" s="13" t="s">
        <v>14</v>
      </c>
      <c r="C110" s="13" t="s">
        <v>332</v>
      </c>
      <c r="D110" s="13" t="s">
        <v>301</v>
      </c>
      <c r="E110" s="13" t="s">
        <v>40</v>
      </c>
      <c r="F110" s="14"/>
      <c r="G110" s="14"/>
      <c r="H110" s="14"/>
      <c r="I110" s="14"/>
      <c r="J110" s="14">
        <f t="shared" si="3"/>
        <v>0</v>
      </c>
      <c r="K110" s="14">
        <f t="shared" si="4"/>
        <v>0</v>
      </c>
      <c r="L110" s="17">
        <f t="shared" si="5"/>
        <v>0</v>
      </c>
      <c r="M110" s="14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 spans="1:27" s="2" customFormat="1" ht="14">
      <c r="A111" s="12" t="s">
        <v>333</v>
      </c>
      <c r="B111" s="13" t="s">
        <v>14</v>
      </c>
      <c r="C111" s="13" t="s">
        <v>334</v>
      </c>
      <c r="D111" s="13" t="s">
        <v>335</v>
      </c>
      <c r="E111" s="13" t="s">
        <v>40</v>
      </c>
      <c r="F111" s="14"/>
      <c r="G111" s="14"/>
      <c r="H111" s="14"/>
      <c r="I111" s="14"/>
      <c r="J111" s="14">
        <f t="shared" si="3"/>
        <v>0</v>
      </c>
      <c r="K111" s="14">
        <f t="shared" si="4"/>
        <v>0</v>
      </c>
      <c r="L111" s="17">
        <f t="shared" si="5"/>
        <v>0</v>
      </c>
      <c r="M111" s="14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 spans="1:27" s="2" customFormat="1" ht="14">
      <c r="A112" s="12" t="s">
        <v>336</v>
      </c>
      <c r="B112" s="13" t="s">
        <v>14</v>
      </c>
      <c r="C112" s="13" t="s">
        <v>337</v>
      </c>
      <c r="D112" s="13" t="s">
        <v>301</v>
      </c>
      <c r="E112" s="13" t="s">
        <v>36</v>
      </c>
      <c r="F112" s="14"/>
      <c r="G112" s="14"/>
      <c r="H112" s="14"/>
      <c r="I112" s="14"/>
      <c r="J112" s="14">
        <f t="shared" si="3"/>
        <v>0</v>
      </c>
      <c r="K112" s="14">
        <f t="shared" si="4"/>
        <v>0</v>
      </c>
      <c r="L112" s="17">
        <f t="shared" si="5"/>
        <v>0</v>
      </c>
      <c r="M112" s="14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 spans="1:27" s="2" customFormat="1" ht="14">
      <c r="A113" s="12" t="s">
        <v>338</v>
      </c>
      <c r="B113" s="13" t="s">
        <v>62</v>
      </c>
      <c r="C113" s="13" t="s">
        <v>339</v>
      </c>
      <c r="D113" s="13" t="s">
        <v>340</v>
      </c>
      <c r="E113" s="13" t="s">
        <v>114</v>
      </c>
      <c r="F113" s="14"/>
      <c r="G113" s="14"/>
      <c r="H113" s="14"/>
      <c r="I113" s="14"/>
      <c r="J113" s="14">
        <f t="shared" si="3"/>
        <v>0</v>
      </c>
      <c r="K113" s="14">
        <f t="shared" si="4"/>
        <v>0</v>
      </c>
      <c r="L113" s="17">
        <f t="shared" si="5"/>
        <v>0</v>
      </c>
      <c r="M113" s="14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 spans="1:27" s="2" customFormat="1" ht="14">
      <c r="A114" s="12" t="s">
        <v>341</v>
      </c>
      <c r="B114" s="13" t="s">
        <v>14</v>
      </c>
      <c r="C114" s="13" t="s">
        <v>342</v>
      </c>
      <c r="D114" s="13" t="s">
        <v>340</v>
      </c>
      <c r="E114" s="13" t="s">
        <v>36</v>
      </c>
      <c r="F114" s="14"/>
      <c r="G114" s="14"/>
      <c r="H114" s="14"/>
      <c r="I114" s="14"/>
      <c r="J114" s="14">
        <f t="shared" si="3"/>
        <v>0</v>
      </c>
      <c r="K114" s="14">
        <f t="shared" si="4"/>
        <v>0</v>
      </c>
      <c r="L114" s="17">
        <f t="shared" si="5"/>
        <v>0</v>
      </c>
      <c r="M114" s="14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 spans="1:27" s="2" customFormat="1" ht="14">
      <c r="A115" s="12" t="s">
        <v>343</v>
      </c>
      <c r="B115" s="13" t="s">
        <v>14</v>
      </c>
      <c r="C115" s="13" t="s">
        <v>344</v>
      </c>
      <c r="D115" s="13" t="s">
        <v>340</v>
      </c>
      <c r="E115" s="13" t="s">
        <v>183</v>
      </c>
      <c r="F115" s="14"/>
      <c r="G115" s="14"/>
      <c r="H115" s="14"/>
      <c r="I115" s="14"/>
      <c r="J115" s="14">
        <f t="shared" si="3"/>
        <v>0</v>
      </c>
      <c r="K115" s="14">
        <f t="shared" si="4"/>
        <v>0</v>
      </c>
      <c r="L115" s="17">
        <f t="shared" si="5"/>
        <v>0</v>
      </c>
      <c r="M115" s="14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 spans="1:27" s="2" customFormat="1" ht="14">
      <c r="A116" s="12" t="s">
        <v>345</v>
      </c>
      <c r="B116" s="13" t="s">
        <v>62</v>
      </c>
      <c r="C116" s="13" t="s">
        <v>346</v>
      </c>
      <c r="D116" s="13" t="s">
        <v>347</v>
      </c>
      <c r="E116" s="13" t="s">
        <v>215</v>
      </c>
      <c r="F116" s="14"/>
      <c r="G116" s="14"/>
      <c r="H116" s="14"/>
      <c r="I116" s="14"/>
      <c r="J116" s="14">
        <f t="shared" si="3"/>
        <v>0</v>
      </c>
      <c r="K116" s="14">
        <f t="shared" si="4"/>
        <v>0</v>
      </c>
      <c r="L116" s="17">
        <f t="shared" si="5"/>
        <v>0</v>
      </c>
      <c r="M116" s="14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 spans="1:27" s="2" customFormat="1" ht="14">
      <c r="A117" s="12" t="s">
        <v>348</v>
      </c>
      <c r="B117" s="13" t="s">
        <v>14</v>
      </c>
      <c r="C117" s="13" t="s">
        <v>349</v>
      </c>
      <c r="D117" s="13" t="s">
        <v>350</v>
      </c>
      <c r="E117" s="13" t="s">
        <v>36</v>
      </c>
      <c r="F117" s="14"/>
      <c r="G117" s="14"/>
      <c r="H117" s="14"/>
      <c r="I117" s="14"/>
      <c r="J117" s="14">
        <f t="shared" si="3"/>
        <v>0</v>
      </c>
      <c r="K117" s="14">
        <f t="shared" si="4"/>
        <v>0</v>
      </c>
      <c r="L117" s="17">
        <f t="shared" si="5"/>
        <v>0</v>
      </c>
      <c r="M117" s="14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 spans="1:27" s="2" customFormat="1" ht="14">
      <c r="A118" s="12" t="s">
        <v>351</v>
      </c>
      <c r="B118" s="13" t="s">
        <v>14</v>
      </c>
      <c r="C118" s="13" t="s">
        <v>352</v>
      </c>
      <c r="D118" s="13" t="s">
        <v>353</v>
      </c>
      <c r="E118" s="13" t="s">
        <v>354</v>
      </c>
      <c r="F118" s="14"/>
      <c r="G118" s="14"/>
      <c r="H118" s="14"/>
      <c r="I118" s="14"/>
      <c r="J118" s="14">
        <f t="shared" si="3"/>
        <v>0</v>
      </c>
      <c r="K118" s="14">
        <f t="shared" si="4"/>
        <v>0</v>
      </c>
      <c r="L118" s="17">
        <f t="shared" si="5"/>
        <v>0</v>
      </c>
      <c r="M118" s="14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 spans="1:27" s="2" customFormat="1" ht="14">
      <c r="A119" s="12" t="s">
        <v>355</v>
      </c>
      <c r="B119" s="13" t="s">
        <v>14</v>
      </c>
      <c r="C119" s="13" t="s">
        <v>356</v>
      </c>
      <c r="D119" s="13" t="s">
        <v>353</v>
      </c>
      <c r="E119" s="13" t="s">
        <v>114</v>
      </c>
      <c r="F119" s="14"/>
      <c r="G119" s="14"/>
      <c r="H119" s="14"/>
      <c r="I119" s="14"/>
      <c r="J119" s="14">
        <f t="shared" si="3"/>
        <v>0</v>
      </c>
      <c r="K119" s="14">
        <f t="shared" si="4"/>
        <v>0</v>
      </c>
      <c r="L119" s="17">
        <f t="shared" si="5"/>
        <v>0</v>
      </c>
      <c r="M119" s="14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 spans="1:27" s="2" customFormat="1" ht="14">
      <c r="A120" s="12" t="s">
        <v>357</v>
      </c>
      <c r="B120" s="13" t="s">
        <v>62</v>
      </c>
      <c r="C120" s="13" t="s">
        <v>358</v>
      </c>
      <c r="D120" s="13" t="s">
        <v>359</v>
      </c>
      <c r="E120" s="13" t="s">
        <v>285</v>
      </c>
      <c r="F120" s="14"/>
      <c r="G120" s="14"/>
      <c r="H120" s="14"/>
      <c r="I120" s="14"/>
      <c r="J120" s="14">
        <f t="shared" si="3"/>
        <v>0</v>
      </c>
      <c r="K120" s="14">
        <f t="shared" si="4"/>
        <v>0</v>
      </c>
      <c r="L120" s="17">
        <f t="shared" si="5"/>
        <v>0</v>
      </c>
      <c r="M120" s="14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 spans="1:27" s="2" customFormat="1" ht="14">
      <c r="A121" s="12" t="s">
        <v>360</v>
      </c>
      <c r="B121" s="13" t="s">
        <v>14</v>
      </c>
      <c r="C121" s="13" t="s">
        <v>361</v>
      </c>
      <c r="D121" s="13" t="s">
        <v>359</v>
      </c>
      <c r="E121" s="13" t="s">
        <v>97</v>
      </c>
      <c r="F121" s="14"/>
      <c r="G121" s="14"/>
      <c r="H121" s="14"/>
      <c r="I121" s="14"/>
      <c r="J121" s="14">
        <f t="shared" si="3"/>
        <v>0</v>
      </c>
      <c r="K121" s="14">
        <f t="shared" si="4"/>
        <v>0</v>
      </c>
      <c r="L121" s="17">
        <f t="shared" si="5"/>
        <v>0</v>
      </c>
      <c r="M121" s="14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 spans="1:27" s="2" customFormat="1" ht="14">
      <c r="A122" s="12" t="s">
        <v>362</v>
      </c>
      <c r="B122" s="13" t="s">
        <v>62</v>
      </c>
      <c r="C122" s="13" t="s">
        <v>363</v>
      </c>
      <c r="D122" s="13" t="s">
        <v>364</v>
      </c>
      <c r="E122" s="13" t="s">
        <v>365</v>
      </c>
      <c r="F122" s="14"/>
      <c r="G122" s="14"/>
      <c r="H122" s="14"/>
      <c r="I122" s="14"/>
      <c r="J122" s="14">
        <f t="shared" si="3"/>
        <v>0</v>
      </c>
      <c r="K122" s="14">
        <f t="shared" si="4"/>
        <v>0</v>
      </c>
      <c r="L122" s="17">
        <f t="shared" si="5"/>
        <v>0</v>
      </c>
      <c r="M122" s="14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 spans="1:27" s="2" customFormat="1" ht="14">
      <c r="A123" s="12" t="s">
        <v>366</v>
      </c>
      <c r="B123" s="13" t="s">
        <v>62</v>
      </c>
      <c r="C123" s="13" t="s">
        <v>367</v>
      </c>
      <c r="D123" s="13" t="s">
        <v>368</v>
      </c>
      <c r="E123" s="13" t="s">
        <v>369</v>
      </c>
      <c r="F123" s="14"/>
      <c r="G123" s="14"/>
      <c r="H123" s="14"/>
      <c r="I123" s="14"/>
      <c r="J123" s="14">
        <f t="shared" si="3"/>
        <v>0</v>
      </c>
      <c r="K123" s="14">
        <f t="shared" si="4"/>
        <v>0</v>
      </c>
      <c r="L123" s="17">
        <f t="shared" si="5"/>
        <v>0</v>
      </c>
      <c r="M123" s="14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 spans="1:27" s="2" customFormat="1" ht="14">
      <c r="A124" s="12" t="s">
        <v>370</v>
      </c>
      <c r="B124" s="13" t="s">
        <v>62</v>
      </c>
      <c r="C124" s="13" t="s">
        <v>371</v>
      </c>
      <c r="D124" s="13" t="s">
        <v>364</v>
      </c>
      <c r="E124" s="13" t="s">
        <v>97</v>
      </c>
      <c r="F124" s="14"/>
      <c r="G124" s="14"/>
      <c r="H124" s="14"/>
      <c r="I124" s="14"/>
      <c r="J124" s="14">
        <f t="shared" si="3"/>
        <v>0</v>
      </c>
      <c r="K124" s="14">
        <f t="shared" si="4"/>
        <v>0</v>
      </c>
      <c r="L124" s="17">
        <f t="shared" si="5"/>
        <v>0</v>
      </c>
      <c r="M124" s="14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 spans="1:27" s="2" customFormat="1" ht="14">
      <c r="A125" s="12" t="s">
        <v>372</v>
      </c>
      <c r="B125" s="13" t="s">
        <v>14</v>
      </c>
      <c r="C125" s="13" t="s">
        <v>373</v>
      </c>
      <c r="D125" s="13" t="s">
        <v>368</v>
      </c>
      <c r="E125" s="13" t="s">
        <v>156</v>
      </c>
      <c r="F125" s="14"/>
      <c r="G125" s="14"/>
      <c r="H125" s="14"/>
      <c r="I125" s="14"/>
      <c r="J125" s="14">
        <f t="shared" si="3"/>
        <v>0</v>
      </c>
      <c r="K125" s="14">
        <f t="shared" si="4"/>
        <v>0</v>
      </c>
      <c r="L125" s="17">
        <f t="shared" si="5"/>
        <v>0</v>
      </c>
      <c r="M125" s="14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 spans="1:27" s="2" customFormat="1" ht="14">
      <c r="A126" s="12" t="s">
        <v>374</v>
      </c>
      <c r="B126" s="13" t="s">
        <v>14</v>
      </c>
      <c r="C126" s="13" t="s">
        <v>375</v>
      </c>
      <c r="D126" s="13" t="s">
        <v>368</v>
      </c>
      <c r="E126" s="13" t="s">
        <v>220</v>
      </c>
      <c r="F126" s="14"/>
      <c r="G126" s="14"/>
      <c r="H126" s="14"/>
      <c r="I126" s="14"/>
      <c r="J126" s="14">
        <f t="shared" si="3"/>
        <v>0</v>
      </c>
      <c r="K126" s="14">
        <f t="shared" si="4"/>
        <v>0</v>
      </c>
      <c r="L126" s="17">
        <f t="shared" si="5"/>
        <v>0</v>
      </c>
      <c r="M126" s="14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 spans="1:27" s="2" customFormat="1" ht="14">
      <c r="A127" s="12" t="s">
        <v>376</v>
      </c>
      <c r="B127" s="13" t="s">
        <v>14</v>
      </c>
      <c r="C127" s="13" t="s">
        <v>377</v>
      </c>
      <c r="D127" s="13" t="s">
        <v>378</v>
      </c>
      <c r="E127" s="13" t="s">
        <v>36</v>
      </c>
      <c r="F127" s="14"/>
      <c r="G127" s="14"/>
      <c r="H127" s="14"/>
      <c r="I127" s="14"/>
      <c r="J127" s="14">
        <f t="shared" si="3"/>
        <v>0</v>
      </c>
      <c r="K127" s="14">
        <f t="shared" si="4"/>
        <v>0</v>
      </c>
      <c r="L127" s="17">
        <f t="shared" si="5"/>
        <v>0</v>
      </c>
      <c r="M127" s="14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 spans="1:27" s="2" customFormat="1" ht="14">
      <c r="A128" s="12" t="s">
        <v>379</v>
      </c>
      <c r="B128" s="13" t="s">
        <v>14</v>
      </c>
      <c r="C128" s="13" t="s">
        <v>380</v>
      </c>
      <c r="D128" s="13" t="s">
        <v>381</v>
      </c>
      <c r="E128" s="13" t="s">
        <v>40</v>
      </c>
      <c r="F128" s="14"/>
      <c r="G128" s="14"/>
      <c r="H128" s="14"/>
      <c r="I128" s="14"/>
      <c r="J128" s="14">
        <f t="shared" si="3"/>
        <v>0</v>
      </c>
      <c r="K128" s="14">
        <f t="shared" si="4"/>
        <v>0</v>
      </c>
      <c r="L128" s="17">
        <f t="shared" si="5"/>
        <v>0</v>
      </c>
      <c r="M128" s="14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 spans="1:27" s="2" customFormat="1" ht="14">
      <c r="A129" s="12" t="s">
        <v>382</v>
      </c>
      <c r="B129" s="13" t="s">
        <v>62</v>
      </c>
      <c r="C129" s="13" t="s">
        <v>383</v>
      </c>
      <c r="D129" s="13" t="s">
        <v>384</v>
      </c>
      <c r="E129" s="13" t="s">
        <v>114</v>
      </c>
      <c r="F129" s="14"/>
      <c r="G129" s="14"/>
      <c r="H129" s="14"/>
      <c r="I129" s="14"/>
      <c r="J129" s="14">
        <f t="shared" si="3"/>
        <v>0</v>
      </c>
      <c r="K129" s="14">
        <f t="shared" si="4"/>
        <v>0</v>
      </c>
      <c r="L129" s="17">
        <f t="shared" si="5"/>
        <v>0</v>
      </c>
      <c r="M129" s="14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 spans="1:27" s="2" customFormat="1" ht="14">
      <c r="A130" s="12" t="s">
        <v>385</v>
      </c>
      <c r="B130" s="13" t="s">
        <v>14</v>
      </c>
      <c r="C130" s="13" t="s">
        <v>386</v>
      </c>
      <c r="D130" s="13" t="s">
        <v>381</v>
      </c>
      <c r="E130" s="13" t="s">
        <v>72</v>
      </c>
      <c r="F130" s="14"/>
      <c r="G130" s="14"/>
      <c r="H130" s="14"/>
      <c r="I130" s="14"/>
      <c r="J130" s="14">
        <f t="shared" ref="J130:J193" si="6">IF(G130&gt;0,1,0)</f>
        <v>0</v>
      </c>
      <c r="K130" s="14">
        <f t="shared" ref="K130:K193" si="7">IF(H130&gt;0,1,0)</f>
        <v>0</v>
      </c>
      <c r="L130" s="17">
        <f t="shared" ref="L130:L193" si="8">IF(G130&gt;0,IF(H130&gt;0,1,0),0)</f>
        <v>0</v>
      </c>
      <c r="M130" s="14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 spans="1:27" s="2" customFormat="1" ht="14">
      <c r="A131" s="12" t="s">
        <v>387</v>
      </c>
      <c r="B131" s="13" t="s">
        <v>14</v>
      </c>
      <c r="C131" s="13" t="s">
        <v>388</v>
      </c>
      <c r="D131" s="13" t="s">
        <v>389</v>
      </c>
      <c r="E131" s="13" t="s">
        <v>220</v>
      </c>
      <c r="F131" s="14"/>
      <c r="G131" s="14"/>
      <c r="H131" s="14"/>
      <c r="I131" s="14"/>
      <c r="J131" s="14">
        <f t="shared" si="6"/>
        <v>0</v>
      </c>
      <c r="K131" s="14">
        <f t="shared" si="7"/>
        <v>0</v>
      </c>
      <c r="L131" s="17">
        <f t="shared" si="8"/>
        <v>0</v>
      </c>
      <c r="M131" s="14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 spans="1:27" s="2" customFormat="1" ht="14">
      <c r="A132" s="12" t="s">
        <v>390</v>
      </c>
      <c r="B132" s="13" t="s">
        <v>14</v>
      </c>
      <c r="C132" s="13" t="s">
        <v>391</v>
      </c>
      <c r="D132" s="13" t="s">
        <v>381</v>
      </c>
      <c r="E132" s="13" t="s">
        <v>156</v>
      </c>
      <c r="F132" s="14"/>
      <c r="G132" s="14"/>
      <c r="H132" s="14"/>
      <c r="I132" s="14"/>
      <c r="J132" s="14">
        <f t="shared" si="6"/>
        <v>0</v>
      </c>
      <c r="K132" s="14">
        <f t="shared" si="7"/>
        <v>0</v>
      </c>
      <c r="L132" s="17">
        <f t="shared" si="8"/>
        <v>0</v>
      </c>
      <c r="M132" s="14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 spans="1:27" s="2" customFormat="1" ht="14">
      <c r="A133" s="12" t="s">
        <v>392</v>
      </c>
      <c r="B133" s="13" t="s">
        <v>62</v>
      </c>
      <c r="C133" s="13" t="s">
        <v>393</v>
      </c>
      <c r="D133" s="13" t="s">
        <v>394</v>
      </c>
      <c r="E133" s="13" t="s">
        <v>91</v>
      </c>
      <c r="F133" s="14"/>
      <c r="G133" s="14"/>
      <c r="H133" s="14"/>
      <c r="I133" s="14"/>
      <c r="J133" s="14">
        <f t="shared" si="6"/>
        <v>0</v>
      </c>
      <c r="K133" s="14">
        <f t="shared" si="7"/>
        <v>0</v>
      </c>
      <c r="L133" s="17">
        <f t="shared" si="8"/>
        <v>0</v>
      </c>
      <c r="M133" s="14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 spans="1:27" s="2" customFormat="1" ht="14">
      <c r="A134" s="12" t="s">
        <v>395</v>
      </c>
      <c r="B134" s="13" t="s">
        <v>14</v>
      </c>
      <c r="C134" s="13" t="s">
        <v>396</v>
      </c>
      <c r="D134" s="13" t="s">
        <v>397</v>
      </c>
      <c r="E134" s="13" t="s">
        <v>398</v>
      </c>
      <c r="F134" s="14"/>
      <c r="G134" s="14"/>
      <c r="H134" s="14"/>
      <c r="I134" s="14"/>
      <c r="J134" s="14">
        <f t="shared" si="6"/>
        <v>0</v>
      </c>
      <c r="K134" s="14">
        <f t="shared" si="7"/>
        <v>0</v>
      </c>
      <c r="L134" s="17">
        <f t="shared" si="8"/>
        <v>0</v>
      </c>
      <c r="M134" s="14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 spans="1:27" s="2" customFormat="1" ht="14">
      <c r="A135" s="12" t="s">
        <v>399</v>
      </c>
      <c r="B135" s="13" t="s">
        <v>14</v>
      </c>
      <c r="C135" s="13" t="s">
        <v>400</v>
      </c>
      <c r="D135" s="13" t="s">
        <v>401</v>
      </c>
      <c r="E135" s="13" t="s">
        <v>402</v>
      </c>
      <c r="F135" s="14"/>
      <c r="G135" s="14"/>
      <c r="H135" s="14"/>
      <c r="I135" s="14"/>
      <c r="J135" s="14">
        <f t="shared" si="6"/>
        <v>0</v>
      </c>
      <c r="K135" s="14">
        <f t="shared" si="7"/>
        <v>0</v>
      </c>
      <c r="L135" s="17">
        <f t="shared" si="8"/>
        <v>0</v>
      </c>
      <c r="M135" s="14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 spans="1:27" s="2" customFormat="1" ht="14">
      <c r="A136" s="12" t="s">
        <v>403</v>
      </c>
      <c r="B136" s="13" t="s">
        <v>14</v>
      </c>
      <c r="C136" s="13" t="s">
        <v>404</v>
      </c>
      <c r="D136" s="13" t="s">
        <v>405</v>
      </c>
      <c r="E136" s="13" t="s">
        <v>29</v>
      </c>
      <c r="F136" s="14"/>
      <c r="G136" s="14"/>
      <c r="H136" s="14"/>
      <c r="I136" s="14"/>
      <c r="J136" s="14">
        <f t="shared" si="6"/>
        <v>0</v>
      </c>
      <c r="K136" s="14">
        <f t="shared" si="7"/>
        <v>0</v>
      </c>
      <c r="L136" s="17">
        <f t="shared" si="8"/>
        <v>0</v>
      </c>
      <c r="M136" s="14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 spans="1:27" s="2" customFormat="1" ht="14">
      <c r="A137" s="12" t="s">
        <v>406</v>
      </c>
      <c r="B137" s="13" t="s">
        <v>14</v>
      </c>
      <c r="C137" s="13" t="s">
        <v>407</v>
      </c>
      <c r="D137" s="13" t="s">
        <v>405</v>
      </c>
      <c r="E137" s="13" t="s">
        <v>205</v>
      </c>
      <c r="F137" s="14"/>
      <c r="G137" s="14"/>
      <c r="H137" s="14"/>
      <c r="I137" s="14"/>
      <c r="J137" s="14">
        <f t="shared" si="6"/>
        <v>0</v>
      </c>
      <c r="K137" s="14">
        <f t="shared" si="7"/>
        <v>0</v>
      </c>
      <c r="L137" s="17">
        <f t="shared" si="8"/>
        <v>0</v>
      </c>
      <c r="M137" s="14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 spans="1:27" s="2" customFormat="1" ht="14">
      <c r="A138" s="12" t="s">
        <v>408</v>
      </c>
      <c r="B138" s="13" t="s">
        <v>14</v>
      </c>
      <c r="C138" s="13" t="s">
        <v>409</v>
      </c>
      <c r="D138" s="13" t="s">
        <v>410</v>
      </c>
      <c r="E138" s="13" t="s">
        <v>36</v>
      </c>
      <c r="F138" s="14"/>
      <c r="G138" s="14"/>
      <c r="H138" s="14"/>
      <c r="I138" s="14"/>
      <c r="J138" s="14">
        <f t="shared" si="6"/>
        <v>0</v>
      </c>
      <c r="K138" s="14">
        <f t="shared" si="7"/>
        <v>0</v>
      </c>
      <c r="L138" s="17">
        <f t="shared" si="8"/>
        <v>0</v>
      </c>
      <c r="M138" s="14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 spans="1:27" s="2" customFormat="1" ht="14">
      <c r="A139" s="12" t="s">
        <v>411</v>
      </c>
      <c r="B139" s="13" t="s">
        <v>62</v>
      </c>
      <c r="C139" s="13" t="s">
        <v>412</v>
      </c>
      <c r="D139" s="13" t="s">
        <v>401</v>
      </c>
      <c r="E139" s="13" t="s">
        <v>57</v>
      </c>
      <c r="F139" s="14"/>
      <c r="G139" s="14"/>
      <c r="H139" s="14"/>
      <c r="I139" s="14"/>
      <c r="J139" s="14">
        <f t="shared" si="6"/>
        <v>0</v>
      </c>
      <c r="K139" s="14">
        <f t="shared" si="7"/>
        <v>0</v>
      </c>
      <c r="L139" s="17">
        <f t="shared" si="8"/>
        <v>0</v>
      </c>
      <c r="M139" s="14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 spans="1:27" s="2" customFormat="1" ht="14">
      <c r="A140" s="12" t="s">
        <v>413</v>
      </c>
      <c r="B140" s="13" t="s">
        <v>14</v>
      </c>
      <c r="C140" s="13" t="s">
        <v>414</v>
      </c>
      <c r="D140" s="13" t="s">
        <v>401</v>
      </c>
      <c r="E140" s="13" t="s">
        <v>29</v>
      </c>
      <c r="F140" s="14"/>
      <c r="G140" s="14"/>
      <c r="H140" s="14"/>
      <c r="I140" s="14"/>
      <c r="J140" s="14">
        <f t="shared" si="6"/>
        <v>0</v>
      </c>
      <c r="K140" s="14">
        <f t="shared" si="7"/>
        <v>0</v>
      </c>
      <c r="L140" s="17">
        <f t="shared" si="8"/>
        <v>0</v>
      </c>
      <c r="M140" s="14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 spans="1:27" s="2" customFormat="1" ht="14">
      <c r="A141" s="12" t="s">
        <v>415</v>
      </c>
      <c r="B141" s="13" t="s">
        <v>14</v>
      </c>
      <c r="C141" s="13" t="s">
        <v>416</v>
      </c>
      <c r="D141" s="13" t="s">
        <v>401</v>
      </c>
      <c r="E141" s="13" t="s">
        <v>201</v>
      </c>
      <c r="F141" s="14"/>
      <c r="G141" s="14"/>
      <c r="H141" s="14"/>
      <c r="I141" s="14"/>
      <c r="J141" s="14">
        <f t="shared" si="6"/>
        <v>0</v>
      </c>
      <c r="K141" s="14">
        <f t="shared" si="7"/>
        <v>0</v>
      </c>
      <c r="L141" s="17">
        <f t="shared" si="8"/>
        <v>0</v>
      </c>
      <c r="M141" s="14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 spans="1:27" s="2" customFormat="1" ht="14">
      <c r="A142" s="12" t="s">
        <v>417</v>
      </c>
      <c r="B142" s="13" t="s">
        <v>62</v>
      </c>
      <c r="C142" s="13" t="s">
        <v>418</v>
      </c>
      <c r="D142" s="13" t="s">
        <v>419</v>
      </c>
      <c r="E142" s="13" t="s">
        <v>29</v>
      </c>
      <c r="F142" s="14"/>
      <c r="G142" s="14"/>
      <c r="H142" s="14"/>
      <c r="I142" s="14"/>
      <c r="J142" s="14">
        <f t="shared" si="6"/>
        <v>0</v>
      </c>
      <c r="K142" s="14">
        <f t="shared" si="7"/>
        <v>0</v>
      </c>
      <c r="L142" s="17">
        <f t="shared" si="8"/>
        <v>0</v>
      </c>
      <c r="M142" s="14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 spans="1:27" s="2" customFormat="1" ht="14">
      <c r="A143" s="12" t="s">
        <v>420</v>
      </c>
      <c r="B143" s="13" t="s">
        <v>62</v>
      </c>
      <c r="C143" s="13" t="s">
        <v>421</v>
      </c>
      <c r="D143" s="13" t="s">
        <v>410</v>
      </c>
      <c r="E143" s="13" t="s">
        <v>57</v>
      </c>
      <c r="F143" s="14"/>
      <c r="G143" s="14"/>
      <c r="H143" s="14"/>
      <c r="I143" s="14"/>
      <c r="J143" s="14">
        <f t="shared" si="6"/>
        <v>0</v>
      </c>
      <c r="K143" s="14">
        <f t="shared" si="7"/>
        <v>0</v>
      </c>
      <c r="L143" s="17">
        <f t="shared" si="8"/>
        <v>0</v>
      </c>
      <c r="M143" s="14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spans="1:27" s="2" customFormat="1" ht="14">
      <c r="A144" s="12" t="s">
        <v>422</v>
      </c>
      <c r="B144" s="13" t="s">
        <v>14</v>
      </c>
      <c r="C144" s="13" t="s">
        <v>423</v>
      </c>
      <c r="D144" s="13" t="s">
        <v>410</v>
      </c>
      <c r="E144" s="13" t="s">
        <v>136</v>
      </c>
      <c r="F144" s="14"/>
      <c r="G144" s="14"/>
      <c r="H144" s="14"/>
      <c r="I144" s="14"/>
      <c r="J144" s="14">
        <f t="shared" si="6"/>
        <v>0</v>
      </c>
      <c r="K144" s="14">
        <f t="shared" si="7"/>
        <v>0</v>
      </c>
      <c r="L144" s="17">
        <f t="shared" si="8"/>
        <v>0</v>
      </c>
      <c r="M144" s="14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spans="1:27" s="2" customFormat="1" ht="14">
      <c r="A145" s="12" t="s">
        <v>424</v>
      </c>
      <c r="B145" s="13" t="s">
        <v>14</v>
      </c>
      <c r="C145" s="13" t="s">
        <v>425</v>
      </c>
      <c r="D145" s="13" t="s">
        <v>426</v>
      </c>
      <c r="E145" s="13" t="s">
        <v>57</v>
      </c>
      <c r="F145" s="14"/>
      <c r="G145" s="14"/>
      <c r="H145" s="14"/>
      <c r="I145" s="14"/>
      <c r="J145" s="14">
        <f t="shared" si="6"/>
        <v>0</v>
      </c>
      <c r="K145" s="14">
        <f t="shared" si="7"/>
        <v>0</v>
      </c>
      <c r="L145" s="17">
        <f t="shared" si="8"/>
        <v>0</v>
      </c>
      <c r="M145" s="14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 spans="1:27" s="2" customFormat="1" ht="14">
      <c r="A146" s="12" t="s">
        <v>427</v>
      </c>
      <c r="B146" s="13" t="s">
        <v>14</v>
      </c>
      <c r="C146" s="13" t="s">
        <v>428</v>
      </c>
      <c r="D146" s="13" t="s">
        <v>429</v>
      </c>
      <c r="E146" s="13" t="s">
        <v>247</v>
      </c>
      <c r="F146" s="14"/>
      <c r="G146" s="14"/>
      <c r="H146" s="14"/>
      <c r="I146" s="14"/>
      <c r="J146" s="14">
        <f t="shared" si="6"/>
        <v>0</v>
      </c>
      <c r="K146" s="14">
        <f t="shared" si="7"/>
        <v>0</v>
      </c>
      <c r="L146" s="17">
        <f t="shared" si="8"/>
        <v>0</v>
      </c>
      <c r="M146" s="14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 spans="1:27" s="2" customFormat="1" ht="14">
      <c r="A147" s="12" t="s">
        <v>430</v>
      </c>
      <c r="B147" s="13" t="s">
        <v>14</v>
      </c>
      <c r="C147" s="13" t="s">
        <v>431</v>
      </c>
      <c r="D147" s="13" t="s">
        <v>426</v>
      </c>
      <c r="E147" s="13" t="s">
        <v>220</v>
      </c>
      <c r="F147" s="14"/>
      <c r="G147" s="14"/>
      <c r="H147" s="14"/>
      <c r="I147" s="14"/>
      <c r="J147" s="14">
        <f t="shared" si="6"/>
        <v>0</v>
      </c>
      <c r="K147" s="14">
        <f t="shared" si="7"/>
        <v>0</v>
      </c>
      <c r="L147" s="17">
        <f t="shared" si="8"/>
        <v>0</v>
      </c>
      <c r="M147" s="14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 spans="1:27" s="2" customFormat="1" ht="14">
      <c r="A148" s="12" t="s">
        <v>432</v>
      </c>
      <c r="B148" s="13" t="s">
        <v>14</v>
      </c>
      <c r="C148" s="13" t="s">
        <v>433</v>
      </c>
      <c r="D148" s="13" t="s">
        <v>429</v>
      </c>
      <c r="E148" s="13" t="s">
        <v>354</v>
      </c>
      <c r="F148" s="14"/>
      <c r="G148" s="14"/>
      <c r="H148" s="14"/>
      <c r="I148" s="14"/>
      <c r="J148" s="14">
        <f t="shared" si="6"/>
        <v>0</v>
      </c>
      <c r="K148" s="14">
        <f t="shared" si="7"/>
        <v>0</v>
      </c>
      <c r="L148" s="17">
        <f t="shared" si="8"/>
        <v>0</v>
      </c>
      <c r="M148" s="14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 spans="1:27" s="2" customFormat="1" ht="14">
      <c r="A149" s="12" t="s">
        <v>434</v>
      </c>
      <c r="B149" s="13" t="s">
        <v>62</v>
      </c>
      <c r="C149" s="13" t="s">
        <v>435</v>
      </c>
      <c r="D149" s="13" t="s">
        <v>429</v>
      </c>
      <c r="E149" s="13" t="s">
        <v>17</v>
      </c>
      <c r="F149" s="14"/>
      <c r="G149" s="14"/>
      <c r="H149" s="14"/>
      <c r="I149" s="14"/>
      <c r="J149" s="14">
        <f t="shared" si="6"/>
        <v>0</v>
      </c>
      <c r="K149" s="14">
        <f t="shared" si="7"/>
        <v>0</v>
      </c>
      <c r="L149" s="17">
        <f t="shared" si="8"/>
        <v>0</v>
      </c>
      <c r="M149" s="14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 spans="1:27" s="2" customFormat="1" ht="14">
      <c r="A150" s="12" t="s">
        <v>436</v>
      </c>
      <c r="B150" s="13" t="s">
        <v>14</v>
      </c>
      <c r="C150" s="13" t="s">
        <v>437</v>
      </c>
      <c r="D150" s="13" t="s">
        <v>389</v>
      </c>
      <c r="E150" s="13" t="s">
        <v>267</v>
      </c>
      <c r="F150" s="14"/>
      <c r="G150" s="14"/>
      <c r="H150" s="14"/>
      <c r="I150" s="14"/>
      <c r="J150" s="14">
        <f t="shared" si="6"/>
        <v>0</v>
      </c>
      <c r="K150" s="14">
        <f t="shared" si="7"/>
        <v>0</v>
      </c>
      <c r="L150" s="17">
        <f t="shared" si="8"/>
        <v>0</v>
      </c>
      <c r="M150" s="14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 spans="1:27" s="2" customFormat="1" ht="14">
      <c r="A151" s="12" t="s">
        <v>438</v>
      </c>
      <c r="B151" s="13" t="s">
        <v>14</v>
      </c>
      <c r="C151" s="13" t="s">
        <v>439</v>
      </c>
      <c r="D151" s="13" t="s">
        <v>389</v>
      </c>
      <c r="E151" s="13" t="s">
        <v>136</v>
      </c>
      <c r="F151" s="14"/>
      <c r="G151" s="14"/>
      <c r="H151" s="14"/>
      <c r="I151" s="14"/>
      <c r="J151" s="14">
        <f t="shared" si="6"/>
        <v>0</v>
      </c>
      <c r="K151" s="14">
        <f t="shared" si="7"/>
        <v>0</v>
      </c>
      <c r="L151" s="17">
        <f t="shared" si="8"/>
        <v>0</v>
      </c>
      <c r="M151" s="14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 spans="1:27" s="2" customFormat="1" ht="14">
      <c r="A152" s="12" t="s">
        <v>440</v>
      </c>
      <c r="B152" s="13" t="s">
        <v>14</v>
      </c>
      <c r="C152" s="13" t="s">
        <v>441</v>
      </c>
      <c r="D152" s="13" t="s">
        <v>442</v>
      </c>
      <c r="E152" s="13" t="s">
        <v>443</v>
      </c>
      <c r="F152" s="14"/>
      <c r="G152" s="14"/>
      <c r="H152" s="14"/>
      <c r="I152" s="14"/>
      <c r="J152" s="14">
        <f t="shared" si="6"/>
        <v>0</v>
      </c>
      <c r="K152" s="14">
        <f t="shared" si="7"/>
        <v>0</v>
      </c>
      <c r="L152" s="17">
        <f t="shared" si="8"/>
        <v>0</v>
      </c>
      <c r="M152" s="14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 spans="1:27" s="2" customFormat="1" ht="14">
      <c r="A153" s="12" t="s">
        <v>444</v>
      </c>
      <c r="B153" s="13" t="s">
        <v>14</v>
      </c>
      <c r="C153" s="13" t="s">
        <v>445</v>
      </c>
      <c r="D153" s="13" t="s">
        <v>389</v>
      </c>
      <c r="E153" s="13" t="s">
        <v>446</v>
      </c>
      <c r="F153" s="14"/>
      <c r="G153" s="14"/>
      <c r="H153" s="14"/>
      <c r="I153" s="14"/>
      <c r="J153" s="14">
        <f t="shared" si="6"/>
        <v>0</v>
      </c>
      <c r="K153" s="14">
        <f t="shared" si="7"/>
        <v>0</v>
      </c>
      <c r="L153" s="17">
        <f t="shared" si="8"/>
        <v>0</v>
      </c>
      <c r="M153" s="14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 spans="1:27" s="2" customFormat="1" ht="14">
      <c r="A154" s="12" t="s">
        <v>447</v>
      </c>
      <c r="B154" s="13" t="s">
        <v>14</v>
      </c>
      <c r="C154" s="13" t="s">
        <v>448</v>
      </c>
      <c r="D154" s="13" t="s">
        <v>449</v>
      </c>
      <c r="E154" s="13" t="s">
        <v>43</v>
      </c>
      <c r="F154" s="14"/>
      <c r="G154" s="14"/>
      <c r="H154" s="14"/>
      <c r="I154" s="14"/>
      <c r="J154" s="14">
        <f t="shared" si="6"/>
        <v>0</v>
      </c>
      <c r="K154" s="14">
        <f t="shared" si="7"/>
        <v>0</v>
      </c>
      <c r="L154" s="17">
        <f t="shared" si="8"/>
        <v>0</v>
      </c>
      <c r="M154" s="14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 spans="1:27" s="2" customFormat="1" ht="14">
      <c r="A155" s="12" t="s">
        <v>450</v>
      </c>
      <c r="B155" s="13" t="s">
        <v>14</v>
      </c>
      <c r="C155" s="13" t="s">
        <v>451</v>
      </c>
      <c r="D155" s="13" t="s">
        <v>452</v>
      </c>
      <c r="E155" s="13" t="s">
        <v>136</v>
      </c>
      <c r="F155" s="14"/>
      <c r="G155" s="14"/>
      <c r="H155" s="14"/>
      <c r="I155" s="14"/>
      <c r="J155" s="14">
        <f t="shared" si="6"/>
        <v>0</v>
      </c>
      <c r="K155" s="14">
        <f t="shared" si="7"/>
        <v>0</v>
      </c>
      <c r="L155" s="17">
        <f t="shared" si="8"/>
        <v>0</v>
      </c>
      <c r="M155" s="14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 spans="1:27" s="2" customFormat="1" ht="14">
      <c r="A156" s="12" t="s">
        <v>453</v>
      </c>
      <c r="B156" s="13" t="s">
        <v>14</v>
      </c>
      <c r="C156" s="13" t="s">
        <v>454</v>
      </c>
      <c r="D156" s="13" t="s">
        <v>455</v>
      </c>
      <c r="E156" s="13" t="s">
        <v>114</v>
      </c>
      <c r="F156" s="14"/>
      <c r="G156" s="14"/>
      <c r="H156" s="14"/>
      <c r="I156" s="14"/>
      <c r="J156" s="14">
        <f t="shared" si="6"/>
        <v>0</v>
      </c>
      <c r="K156" s="14">
        <f t="shared" si="7"/>
        <v>0</v>
      </c>
      <c r="L156" s="17">
        <f t="shared" si="8"/>
        <v>0</v>
      </c>
      <c r="M156" s="14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 spans="1:27" s="2" customFormat="1" ht="14">
      <c r="A157" s="12" t="s">
        <v>456</v>
      </c>
      <c r="B157" s="13" t="s">
        <v>62</v>
      </c>
      <c r="C157" s="13" t="s">
        <v>457</v>
      </c>
      <c r="D157" s="13" t="s">
        <v>458</v>
      </c>
      <c r="E157" s="13" t="s">
        <v>205</v>
      </c>
      <c r="F157" s="14"/>
      <c r="G157" s="14"/>
      <c r="H157" s="14"/>
      <c r="I157" s="14"/>
      <c r="J157" s="14">
        <f t="shared" si="6"/>
        <v>0</v>
      </c>
      <c r="K157" s="14">
        <f t="shared" si="7"/>
        <v>0</v>
      </c>
      <c r="L157" s="17">
        <f t="shared" si="8"/>
        <v>0</v>
      </c>
      <c r="M157" s="14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 spans="1:27" s="2" customFormat="1" ht="14">
      <c r="A158" s="12" t="s">
        <v>459</v>
      </c>
      <c r="B158" s="13" t="s">
        <v>14</v>
      </c>
      <c r="C158" s="13" t="s">
        <v>460</v>
      </c>
      <c r="D158" s="13" t="s">
        <v>455</v>
      </c>
      <c r="E158" s="13" t="s">
        <v>40</v>
      </c>
      <c r="F158" s="14"/>
      <c r="G158" s="14"/>
      <c r="H158" s="14"/>
      <c r="I158" s="14"/>
      <c r="J158" s="14">
        <f t="shared" si="6"/>
        <v>0</v>
      </c>
      <c r="K158" s="14">
        <f t="shared" si="7"/>
        <v>0</v>
      </c>
      <c r="L158" s="17">
        <f t="shared" si="8"/>
        <v>0</v>
      </c>
      <c r="M158" s="14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 spans="1:27" s="2" customFormat="1" ht="14">
      <c r="A159" s="12" t="s">
        <v>461</v>
      </c>
      <c r="B159" s="13" t="s">
        <v>62</v>
      </c>
      <c r="C159" s="13" t="s">
        <v>462</v>
      </c>
      <c r="D159" s="13" t="s">
        <v>463</v>
      </c>
      <c r="E159" s="13" t="s">
        <v>402</v>
      </c>
      <c r="F159" s="14"/>
      <c r="G159" s="14"/>
      <c r="H159" s="14"/>
      <c r="I159" s="14"/>
      <c r="J159" s="14">
        <f t="shared" si="6"/>
        <v>0</v>
      </c>
      <c r="K159" s="14">
        <f t="shared" si="7"/>
        <v>0</v>
      </c>
      <c r="L159" s="17">
        <f t="shared" si="8"/>
        <v>0</v>
      </c>
      <c r="M159" s="14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 spans="1:27" s="2" customFormat="1" ht="14">
      <c r="A160" s="12" t="s">
        <v>464</v>
      </c>
      <c r="B160" s="13" t="s">
        <v>14</v>
      </c>
      <c r="C160" s="13" t="s">
        <v>465</v>
      </c>
      <c r="D160" s="13" t="s">
        <v>466</v>
      </c>
      <c r="E160" s="13" t="s">
        <v>25</v>
      </c>
      <c r="F160" s="14"/>
      <c r="G160" s="14"/>
      <c r="H160" s="14"/>
      <c r="I160" s="14"/>
      <c r="J160" s="14">
        <f t="shared" si="6"/>
        <v>0</v>
      </c>
      <c r="K160" s="14">
        <f t="shared" si="7"/>
        <v>0</v>
      </c>
      <c r="L160" s="17">
        <f t="shared" si="8"/>
        <v>0</v>
      </c>
      <c r="M160" s="14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 spans="1:27" s="2" customFormat="1" ht="14">
      <c r="A161" s="12" t="s">
        <v>467</v>
      </c>
      <c r="B161" s="13" t="s">
        <v>14</v>
      </c>
      <c r="C161" s="13" t="s">
        <v>468</v>
      </c>
      <c r="D161" s="13" t="s">
        <v>469</v>
      </c>
      <c r="E161" s="13" t="s">
        <v>68</v>
      </c>
      <c r="F161" s="14"/>
      <c r="G161" s="14"/>
      <c r="H161" s="14"/>
      <c r="I161" s="14"/>
      <c r="J161" s="14">
        <f t="shared" si="6"/>
        <v>0</v>
      </c>
      <c r="K161" s="14">
        <f t="shared" si="7"/>
        <v>0</v>
      </c>
      <c r="L161" s="17">
        <f t="shared" si="8"/>
        <v>0</v>
      </c>
      <c r="M161" s="14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 spans="1:27" s="2" customFormat="1" ht="14">
      <c r="A162" s="12" t="s">
        <v>470</v>
      </c>
      <c r="B162" s="13" t="s">
        <v>14</v>
      </c>
      <c r="C162" s="13" t="s">
        <v>471</v>
      </c>
      <c r="D162" s="13" t="s">
        <v>472</v>
      </c>
      <c r="E162" s="13" t="s">
        <v>72</v>
      </c>
      <c r="F162" s="14"/>
      <c r="G162" s="14"/>
      <c r="H162" s="14"/>
      <c r="I162" s="14"/>
      <c r="J162" s="14">
        <f t="shared" si="6"/>
        <v>0</v>
      </c>
      <c r="K162" s="14">
        <f t="shared" si="7"/>
        <v>0</v>
      </c>
      <c r="L162" s="17">
        <f t="shared" si="8"/>
        <v>0</v>
      </c>
      <c r="M162" s="14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 spans="1:27" s="2" customFormat="1" ht="14">
      <c r="A163" s="12" t="s">
        <v>473</v>
      </c>
      <c r="B163" s="13" t="s">
        <v>62</v>
      </c>
      <c r="C163" s="13" t="s">
        <v>474</v>
      </c>
      <c r="D163" s="13" t="s">
        <v>472</v>
      </c>
      <c r="E163" s="13" t="s">
        <v>446</v>
      </c>
      <c r="F163" s="14"/>
      <c r="G163" s="14"/>
      <c r="H163" s="14"/>
      <c r="I163" s="14"/>
      <c r="J163" s="14">
        <f t="shared" si="6"/>
        <v>0</v>
      </c>
      <c r="K163" s="14">
        <f t="shared" si="7"/>
        <v>0</v>
      </c>
      <c r="L163" s="17">
        <f t="shared" si="8"/>
        <v>0</v>
      </c>
      <c r="M163" s="14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 spans="1:27" s="2" customFormat="1" ht="14">
      <c r="A164" s="12" t="s">
        <v>475</v>
      </c>
      <c r="B164" s="13" t="s">
        <v>62</v>
      </c>
      <c r="C164" s="13" t="s">
        <v>476</v>
      </c>
      <c r="D164" s="13" t="s">
        <v>477</v>
      </c>
      <c r="E164" s="13" t="s">
        <v>40</v>
      </c>
      <c r="F164" s="14"/>
      <c r="G164" s="14"/>
      <c r="H164" s="14"/>
      <c r="I164" s="14"/>
      <c r="J164" s="14">
        <f t="shared" si="6"/>
        <v>0</v>
      </c>
      <c r="K164" s="14">
        <f t="shared" si="7"/>
        <v>0</v>
      </c>
      <c r="L164" s="17">
        <f t="shared" si="8"/>
        <v>0</v>
      </c>
      <c r="M164" s="14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 spans="1:27" s="2" customFormat="1" ht="14">
      <c r="A165" s="12" t="s">
        <v>478</v>
      </c>
      <c r="B165" s="13" t="s">
        <v>14</v>
      </c>
      <c r="C165" s="13" t="s">
        <v>479</v>
      </c>
      <c r="D165" s="13" t="s">
        <v>477</v>
      </c>
      <c r="E165" s="13" t="s">
        <v>43</v>
      </c>
      <c r="F165" s="14"/>
      <c r="G165" s="14"/>
      <c r="H165" s="14"/>
      <c r="I165" s="14"/>
      <c r="J165" s="14">
        <f t="shared" si="6"/>
        <v>0</v>
      </c>
      <c r="K165" s="14">
        <f t="shared" si="7"/>
        <v>0</v>
      </c>
      <c r="L165" s="17">
        <f t="shared" si="8"/>
        <v>0</v>
      </c>
      <c r="M165" s="14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 spans="1:27" s="2" customFormat="1" ht="14">
      <c r="A166" s="12" t="s">
        <v>480</v>
      </c>
      <c r="B166" s="13" t="s">
        <v>62</v>
      </c>
      <c r="C166" s="13" t="s">
        <v>481</v>
      </c>
      <c r="D166" s="13" t="s">
        <v>482</v>
      </c>
      <c r="E166" s="13" t="s">
        <v>83</v>
      </c>
      <c r="F166" s="14"/>
      <c r="G166" s="14"/>
      <c r="H166" s="14"/>
      <c r="I166" s="14"/>
      <c r="J166" s="14">
        <f t="shared" si="6"/>
        <v>0</v>
      </c>
      <c r="K166" s="14">
        <f t="shared" si="7"/>
        <v>0</v>
      </c>
      <c r="L166" s="17">
        <f t="shared" si="8"/>
        <v>0</v>
      </c>
      <c r="M166" s="14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 spans="1:27" s="2" customFormat="1" ht="14">
      <c r="A167" s="12" t="s">
        <v>483</v>
      </c>
      <c r="B167" s="13" t="s">
        <v>14</v>
      </c>
      <c r="C167" s="13" t="s">
        <v>484</v>
      </c>
      <c r="D167" s="13" t="s">
        <v>485</v>
      </c>
      <c r="E167" s="13" t="s">
        <v>29</v>
      </c>
      <c r="F167" s="14"/>
      <c r="G167" s="14"/>
      <c r="H167" s="14"/>
      <c r="I167" s="14"/>
      <c r="J167" s="14">
        <f t="shared" si="6"/>
        <v>0</v>
      </c>
      <c r="K167" s="14">
        <f t="shared" si="7"/>
        <v>0</v>
      </c>
      <c r="L167" s="17">
        <f t="shared" si="8"/>
        <v>0</v>
      </c>
      <c r="M167" s="14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 spans="1:27" s="2" customFormat="1" ht="14">
      <c r="A168" s="12" t="s">
        <v>486</v>
      </c>
      <c r="B168" s="13" t="s">
        <v>14</v>
      </c>
      <c r="C168" s="13" t="s">
        <v>487</v>
      </c>
      <c r="D168" s="13" t="s">
        <v>485</v>
      </c>
      <c r="E168" s="13" t="s">
        <v>488</v>
      </c>
      <c r="F168" s="14"/>
      <c r="G168" s="14"/>
      <c r="H168" s="14"/>
      <c r="I168" s="14"/>
      <c r="J168" s="14">
        <f t="shared" si="6"/>
        <v>0</v>
      </c>
      <c r="K168" s="14">
        <f t="shared" si="7"/>
        <v>0</v>
      </c>
      <c r="L168" s="17">
        <f t="shared" si="8"/>
        <v>0</v>
      </c>
      <c r="M168" s="14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 spans="1:27" s="2" customFormat="1" ht="14">
      <c r="A169" s="12" t="s">
        <v>489</v>
      </c>
      <c r="B169" s="13" t="s">
        <v>62</v>
      </c>
      <c r="C169" s="13" t="s">
        <v>490</v>
      </c>
      <c r="D169" s="13" t="s">
        <v>469</v>
      </c>
      <c r="E169" s="13" t="s">
        <v>114</v>
      </c>
      <c r="F169" s="14"/>
      <c r="G169" s="14"/>
      <c r="H169" s="14"/>
      <c r="I169" s="14"/>
      <c r="J169" s="14">
        <f t="shared" si="6"/>
        <v>0</v>
      </c>
      <c r="K169" s="14">
        <f t="shared" si="7"/>
        <v>0</v>
      </c>
      <c r="L169" s="17">
        <f t="shared" si="8"/>
        <v>0</v>
      </c>
      <c r="M169" s="14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 spans="1:27" s="2" customFormat="1" ht="14">
      <c r="A170" s="12" t="s">
        <v>491</v>
      </c>
      <c r="B170" s="13" t="s">
        <v>14</v>
      </c>
      <c r="C170" s="13" t="s">
        <v>492</v>
      </c>
      <c r="D170" s="13" t="s">
        <v>469</v>
      </c>
      <c r="E170" s="13" t="s">
        <v>446</v>
      </c>
      <c r="F170" s="14"/>
      <c r="G170" s="14"/>
      <c r="H170" s="14"/>
      <c r="I170" s="14"/>
      <c r="J170" s="14">
        <f t="shared" si="6"/>
        <v>0</v>
      </c>
      <c r="K170" s="14">
        <f t="shared" si="7"/>
        <v>0</v>
      </c>
      <c r="L170" s="17">
        <f t="shared" si="8"/>
        <v>0</v>
      </c>
      <c r="M170" s="14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 spans="1:27" s="2" customFormat="1" ht="14">
      <c r="A171" s="12" t="s">
        <v>493</v>
      </c>
      <c r="B171" s="13" t="s">
        <v>14</v>
      </c>
      <c r="C171" s="13" t="s">
        <v>494</v>
      </c>
      <c r="D171" s="13" t="s">
        <v>495</v>
      </c>
      <c r="E171" s="13" t="s">
        <v>215</v>
      </c>
      <c r="F171" s="14"/>
      <c r="G171" s="14"/>
      <c r="H171" s="14"/>
      <c r="I171" s="14"/>
      <c r="J171" s="14">
        <f t="shared" si="6"/>
        <v>0</v>
      </c>
      <c r="K171" s="14">
        <f t="shared" si="7"/>
        <v>0</v>
      </c>
      <c r="L171" s="17">
        <f t="shared" si="8"/>
        <v>0</v>
      </c>
      <c r="M171" s="14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 spans="1:27" s="2" customFormat="1" ht="14">
      <c r="A172" s="12" t="s">
        <v>496</v>
      </c>
      <c r="B172" s="13" t="s">
        <v>14</v>
      </c>
      <c r="C172" s="13" t="s">
        <v>497</v>
      </c>
      <c r="D172" s="13" t="s">
        <v>495</v>
      </c>
      <c r="E172" s="13" t="s">
        <v>25</v>
      </c>
      <c r="F172" s="14"/>
      <c r="G172" s="14"/>
      <c r="H172" s="14"/>
      <c r="I172" s="14"/>
      <c r="J172" s="14">
        <f t="shared" si="6"/>
        <v>0</v>
      </c>
      <c r="K172" s="14">
        <f t="shared" si="7"/>
        <v>0</v>
      </c>
      <c r="L172" s="17">
        <f t="shared" si="8"/>
        <v>0</v>
      </c>
      <c r="M172" s="14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 spans="1:27" s="2" customFormat="1" ht="14">
      <c r="A173" s="12" t="s">
        <v>498</v>
      </c>
      <c r="B173" s="13" t="s">
        <v>14</v>
      </c>
      <c r="C173" s="13" t="s">
        <v>499</v>
      </c>
      <c r="D173" s="13" t="s">
        <v>500</v>
      </c>
      <c r="E173" s="13" t="s">
        <v>17</v>
      </c>
      <c r="F173" s="14"/>
      <c r="G173" s="14"/>
      <c r="H173" s="14"/>
      <c r="I173" s="14"/>
      <c r="J173" s="14">
        <f t="shared" si="6"/>
        <v>0</v>
      </c>
      <c r="K173" s="14">
        <f t="shared" si="7"/>
        <v>0</v>
      </c>
      <c r="L173" s="17">
        <f t="shared" si="8"/>
        <v>0</v>
      </c>
      <c r="M173" s="14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 spans="1:27" s="2" customFormat="1" ht="14">
      <c r="A174" s="12" t="s">
        <v>501</v>
      </c>
      <c r="B174" s="13" t="s">
        <v>62</v>
      </c>
      <c r="C174" s="13" t="s">
        <v>502</v>
      </c>
      <c r="D174" s="13" t="s">
        <v>503</v>
      </c>
      <c r="E174" s="13" t="s">
        <v>446</v>
      </c>
      <c r="F174" s="14"/>
      <c r="G174" s="14"/>
      <c r="H174" s="14"/>
      <c r="I174" s="14"/>
      <c r="J174" s="14">
        <f t="shared" si="6"/>
        <v>0</v>
      </c>
      <c r="K174" s="14">
        <f t="shared" si="7"/>
        <v>0</v>
      </c>
      <c r="L174" s="17">
        <f t="shared" si="8"/>
        <v>0</v>
      </c>
      <c r="M174" s="14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 spans="1:27" s="2" customFormat="1" ht="14">
      <c r="A175" s="12" t="s">
        <v>504</v>
      </c>
      <c r="B175" s="13" t="s">
        <v>14</v>
      </c>
      <c r="C175" s="13" t="s">
        <v>505</v>
      </c>
      <c r="D175" s="13" t="s">
        <v>506</v>
      </c>
      <c r="E175" s="13" t="s">
        <v>79</v>
      </c>
      <c r="F175" s="14"/>
      <c r="G175" s="14"/>
      <c r="H175" s="14"/>
      <c r="I175" s="14"/>
      <c r="J175" s="14">
        <f t="shared" si="6"/>
        <v>0</v>
      </c>
      <c r="K175" s="14">
        <f t="shared" si="7"/>
        <v>0</v>
      </c>
      <c r="L175" s="17">
        <f t="shared" si="8"/>
        <v>0</v>
      </c>
      <c r="M175" s="14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 spans="1:27" s="2" customFormat="1" ht="14">
      <c r="A176" s="12" t="s">
        <v>507</v>
      </c>
      <c r="B176" s="13" t="s">
        <v>14</v>
      </c>
      <c r="C176" s="13" t="s">
        <v>508</v>
      </c>
      <c r="D176" s="13" t="s">
        <v>506</v>
      </c>
      <c r="E176" s="13" t="s">
        <v>220</v>
      </c>
      <c r="F176" s="14"/>
      <c r="G176" s="14"/>
      <c r="H176" s="14"/>
      <c r="I176" s="14"/>
      <c r="J176" s="14">
        <f t="shared" si="6"/>
        <v>0</v>
      </c>
      <c r="K176" s="14">
        <f t="shared" si="7"/>
        <v>0</v>
      </c>
      <c r="L176" s="17">
        <f t="shared" si="8"/>
        <v>0</v>
      </c>
      <c r="M176" s="14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 spans="1:27" s="2" customFormat="1" ht="14">
      <c r="A177" s="12" t="s">
        <v>509</v>
      </c>
      <c r="B177" s="13" t="s">
        <v>14</v>
      </c>
      <c r="C177" s="13" t="s">
        <v>510</v>
      </c>
      <c r="D177" s="13" t="s">
        <v>511</v>
      </c>
      <c r="E177" s="13" t="s">
        <v>32</v>
      </c>
      <c r="F177" s="14"/>
      <c r="G177" s="14"/>
      <c r="H177" s="14"/>
      <c r="I177" s="14"/>
      <c r="J177" s="14">
        <f t="shared" si="6"/>
        <v>0</v>
      </c>
      <c r="K177" s="14">
        <f t="shared" si="7"/>
        <v>0</v>
      </c>
      <c r="L177" s="17">
        <f t="shared" si="8"/>
        <v>0</v>
      </c>
      <c r="M177" s="14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 spans="1:27" s="2" customFormat="1" ht="14">
      <c r="A178" s="12" t="s">
        <v>512</v>
      </c>
      <c r="B178" s="13" t="s">
        <v>14</v>
      </c>
      <c r="C178" s="13" t="s">
        <v>513</v>
      </c>
      <c r="D178" s="13" t="s">
        <v>514</v>
      </c>
      <c r="E178" s="13" t="s">
        <v>156</v>
      </c>
      <c r="F178" s="14"/>
      <c r="G178" s="14"/>
      <c r="H178" s="14"/>
      <c r="I178" s="14"/>
      <c r="J178" s="14">
        <f t="shared" si="6"/>
        <v>0</v>
      </c>
      <c r="K178" s="14">
        <f t="shared" si="7"/>
        <v>0</v>
      </c>
      <c r="L178" s="17">
        <f t="shared" si="8"/>
        <v>0</v>
      </c>
      <c r="M178" s="14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spans="1:27" s="2" customFormat="1" ht="14">
      <c r="A179" s="12" t="s">
        <v>515</v>
      </c>
      <c r="B179" s="13" t="s">
        <v>14</v>
      </c>
      <c r="C179" s="13" t="s">
        <v>516</v>
      </c>
      <c r="D179" s="13" t="s">
        <v>517</v>
      </c>
      <c r="E179" s="13" t="s">
        <v>83</v>
      </c>
      <c r="F179" s="14"/>
      <c r="G179" s="14"/>
      <c r="H179" s="14"/>
      <c r="I179" s="14"/>
      <c r="J179" s="14">
        <f t="shared" si="6"/>
        <v>0</v>
      </c>
      <c r="K179" s="14">
        <f t="shared" si="7"/>
        <v>0</v>
      </c>
      <c r="L179" s="17">
        <f t="shared" si="8"/>
        <v>0</v>
      </c>
      <c r="M179" s="14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spans="1:27" s="2" customFormat="1" ht="14">
      <c r="A180" s="12" t="s">
        <v>518</v>
      </c>
      <c r="B180" s="13" t="s">
        <v>62</v>
      </c>
      <c r="C180" s="13" t="s">
        <v>519</v>
      </c>
      <c r="D180" s="13" t="s">
        <v>520</v>
      </c>
      <c r="E180" s="13" t="s">
        <v>488</v>
      </c>
      <c r="F180" s="14"/>
      <c r="G180" s="14"/>
      <c r="H180" s="14"/>
      <c r="I180" s="14"/>
      <c r="J180" s="14">
        <f t="shared" si="6"/>
        <v>0</v>
      </c>
      <c r="K180" s="14">
        <f t="shared" si="7"/>
        <v>0</v>
      </c>
      <c r="L180" s="17">
        <f t="shared" si="8"/>
        <v>0</v>
      </c>
      <c r="M180" s="14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 spans="1:27" s="2" customFormat="1" ht="14">
      <c r="A181" s="12" t="s">
        <v>521</v>
      </c>
      <c r="B181" s="13" t="s">
        <v>14</v>
      </c>
      <c r="C181" s="13" t="s">
        <v>522</v>
      </c>
      <c r="D181" s="13" t="s">
        <v>523</v>
      </c>
      <c r="E181" s="13" t="s">
        <v>46</v>
      </c>
      <c r="F181" s="14"/>
      <c r="G181" s="14"/>
      <c r="H181" s="14"/>
      <c r="I181" s="14"/>
      <c r="J181" s="14">
        <f t="shared" si="6"/>
        <v>0</v>
      </c>
      <c r="K181" s="14">
        <f t="shared" si="7"/>
        <v>0</v>
      </c>
      <c r="L181" s="17">
        <f t="shared" si="8"/>
        <v>0</v>
      </c>
      <c r="M181" s="14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 spans="1:27" s="2" customFormat="1" ht="14">
      <c r="A182" s="12" t="s">
        <v>524</v>
      </c>
      <c r="B182" s="13" t="s">
        <v>62</v>
      </c>
      <c r="C182" s="13" t="s">
        <v>525</v>
      </c>
      <c r="D182" s="13" t="s">
        <v>526</v>
      </c>
      <c r="E182" s="13" t="s">
        <v>83</v>
      </c>
      <c r="F182" s="14"/>
      <c r="G182" s="14"/>
      <c r="H182" s="14"/>
      <c r="I182" s="14"/>
      <c r="J182" s="14">
        <f t="shared" si="6"/>
        <v>0</v>
      </c>
      <c r="K182" s="14">
        <f t="shared" si="7"/>
        <v>0</v>
      </c>
      <c r="L182" s="17">
        <f t="shared" si="8"/>
        <v>0</v>
      </c>
      <c r="M182" s="14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 spans="1:27" s="2" customFormat="1" ht="14">
      <c r="A183" s="12" t="s">
        <v>527</v>
      </c>
      <c r="B183" s="13" t="s">
        <v>14</v>
      </c>
      <c r="C183" s="13" t="s">
        <v>528</v>
      </c>
      <c r="D183" s="13" t="s">
        <v>529</v>
      </c>
      <c r="E183" s="13" t="s">
        <v>97</v>
      </c>
      <c r="F183" s="14"/>
      <c r="G183" s="14"/>
      <c r="H183" s="14"/>
      <c r="I183" s="14"/>
      <c r="J183" s="14">
        <f t="shared" si="6"/>
        <v>0</v>
      </c>
      <c r="K183" s="14">
        <f t="shared" si="7"/>
        <v>0</v>
      </c>
      <c r="L183" s="17">
        <f t="shared" si="8"/>
        <v>0</v>
      </c>
      <c r="M183" s="14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 spans="1:27" s="2" customFormat="1" ht="14">
      <c r="A184" s="12" t="s">
        <v>530</v>
      </c>
      <c r="B184" s="13" t="s">
        <v>14</v>
      </c>
      <c r="C184" s="13" t="s">
        <v>531</v>
      </c>
      <c r="D184" s="13" t="s">
        <v>526</v>
      </c>
      <c r="E184" s="13" t="s">
        <v>40</v>
      </c>
      <c r="F184" s="14"/>
      <c r="G184" s="14"/>
      <c r="H184" s="14"/>
      <c r="I184" s="14"/>
      <c r="J184" s="14">
        <f t="shared" si="6"/>
        <v>0</v>
      </c>
      <c r="K184" s="14">
        <f t="shared" si="7"/>
        <v>0</v>
      </c>
      <c r="L184" s="17">
        <f t="shared" si="8"/>
        <v>0</v>
      </c>
      <c r="M184" s="14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 spans="1:27" s="2" customFormat="1" ht="14">
      <c r="A185" s="12" t="s">
        <v>532</v>
      </c>
      <c r="B185" s="13" t="s">
        <v>14</v>
      </c>
      <c r="C185" s="13" t="s">
        <v>533</v>
      </c>
      <c r="D185" s="13" t="s">
        <v>500</v>
      </c>
      <c r="E185" s="13" t="s">
        <v>40</v>
      </c>
      <c r="F185" s="14"/>
      <c r="G185" s="14"/>
      <c r="H185" s="14"/>
      <c r="I185" s="14"/>
      <c r="J185" s="14">
        <f t="shared" si="6"/>
        <v>0</v>
      </c>
      <c r="K185" s="14">
        <f t="shared" si="7"/>
        <v>0</v>
      </c>
      <c r="L185" s="17">
        <f t="shared" si="8"/>
        <v>0</v>
      </c>
      <c r="M185" s="14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 spans="1:27" s="2" customFormat="1" ht="14">
      <c r="A186" s="12" t="s">
        <v>534</v>
      </c>
      <c r="B186" s="13" t="s">
        <v>14</v>
      </c>
      <c r="C186" s="13" t="s">
        <v>535</v>
      </c>
      <c r="D186" s="13" t="s">
        <v>536</v>
      </c>
      <c r="E186" s="13" t="s">
        <v>57</v>
      </c>
      <c r="F186" s="14"/>
      <c r="G186" s="14"/>
      <c r="H186" s="14"/>
      <c r="I186" s="14"/>
      <c r="J186" s="14">
        <f t="shared" si="6"/>
        <v>0</v>
      </c>
      <c r="K186" s="14">
        <f t="shared" si="7"/>
        <v>0</v>
      </c>
      <c r="L186" s="17">
        <f t="shared" si="8"/>
        <v>0</v>
      </c>
      <c r="M186" s="14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 spans="1:27" s="2" customFormat="1" ht="14">
      <c r="A187" s="12" t="s">
        <v>537</v>
      </c>
      <c r="B187" s="13" t="s">
        <v>14</v>
      </c>
      <c r="C187" s="13" t="s">
        <v>538</v>
      </c>
      <c r="D187" s="13" t="s">
        <v>539</v>
      </c>
      <c r="E187" s="13" t="s">
        <v>285</v>
      </c>
      <c r="F187" s="14"/>
      <c r="G187" s="14"/>
      <c r="H187" s="14"/>
      <c r="I187" s="14"/>
      <c r="J187" s="14">
        <f t="shared" si="6"/>
        <v>0</v>
      </c>
      <c r="K187" s="14">
        <f t="shared" si="7"/>
        <v>0</v>
      </c>
      <c r="L187" s="17">
        <f t="shared" si="8"/>
        <v>0</v>
      </c>
      <c r="M187" s="14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 spans="1:27" s="2" customFormat="1" ht="14">
      <c r="A188" s="12" t="s">
        <v>540</v>
      </c>
      <c r="B188" s="13" t="s">
        <v>14</v>
      </c>
      <c r="C188" s="13" t="s">
        <v>541</v>
      </c>
      <c r="D188" s="13" t="s">
        <v>542</v>
      </c>
      <c r="E188" s="13" t="s">
        <v>36</v>
      </c>
      <c r="F188" s="14"/>
      <c r="G188" s="14"/>
      <c r="H188" s="14"/>
      <c r="I188" s="14"/>
      <c r="J188" s="14">
        <f t="shared" si="6"/>
        <v>0</v>
      </c>
      <c r="K188" s="14">
        <f t="shared" si="7"/>
        <v>0</v>
      </c>
      <c r="L188" s="17">
        <f t="shared" si="8"/>
        <v>0</v>
      </c>
      <c r="M188" s="14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 spans="1:27" s="2" customFormat="1" ht="14">
      <c r="A189" s="12" t="s">
        <v>543</v>
      </c>
      <c r="B189" s="13" t="s">
        <v>14</v>
      </c>
      <c r="C189" s="13" t="s">
        <v>544</v>
      </c>
      <c r="D189" s="13" t="s">
        <v>526</v>
      </c>
      <c r="E189" s="13" t="s">
        <v>46</v>
      </c>
      <c r="F189" s="14"/>
      <c r="G189" s="14"/>
      <c r="H189" s="14"/>
      <c r="I189" s="14"/>
      <c r="J189" s="14">
        <f t="shared" si="6"/>
        <v>0</v>
      </c>
      <c r="K189" s="14">
        <f t="shared" si="7"/>
        <v>0</v>
      </c>
      <c r="L189" s="17">
        <f t="shared" si="8"/>
        <v>0</v>
      </c>
      <c r="M189" s="14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 spans="1:27" s="2" customFormat="1" ht="14">
      <c r="A190" s="12" t="s">
        <v>545</v>
      </c>
      <c r="B190" s="13" t="s">
        <v>14</v>
      </c>
      <c r="C190" s="13" t="s">
        <v>546</v>
      </c>
      <c r="D190" s="13" t="s">
        <v>542</v>
      </c>
      <c r="E190" s="13" t="s">
        <v>46</v>
      </c>
      <c r="F190" s="14"/>
      <c r="G190" s="14"/>
      <c r="H190" s="14"/>
      <c r="I190" s="14"/>
      <c r="J190" s="14">
        <f t="shared" si="6"/>
        <v>0</v>
      </c>
      <c r="K190" s="14">
        <f t="shared" si="7"/>
        <v>0</v>
      </c>
      <c r="L190" s="17">
        <f t="shared" si="8"/>
        <v>0</v>
      </c>
      <c r="M190" s="14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 spans="1:27" s="2" customFormat="1" ht="14">
      <c r="A191" s="12" t="s">
        <v>547</v>
      </c>
      <c r="B191" s="13" t="s">
        <v>14</v>
      </c>
      <c r="C191" s="13" t="s">
        <v>548</v>
      </c>
      <c r="D191" s="13" t="s">
        <v>529</v>
      </c>
      <c r="E191" s="13" t="s">
        <v>97</v>
      </c>
      <c r="F191" s="14"/>
      <c r="G191" s="14"/>
      <c r="H191" s="14"/>
      <c r="I191" s="14"/>
      <c r="J191" s="14">
        <f t="shared" si="6"/>
        <v>0</v>
      </c>
      <c r="K191" s="14">
        <f t="shared" si="7"/>
        <v>0</v>
      </c>
      <c r="L191" s="17">
        <f t="shared" si="8"/>
        <v>0</v>
      </c>
      <c r="M191" s="14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 spans="1:27" s="2" customFormat="1" ht="14">
      <c r="A192" s="12" t="s">
        <v>549</v>
      </c>
      <c r="B192" s="13" t="s">
        <v>14</v>
      </c>
      <c r="C192" s="13" t="s">
        <v>550</v>
      </c>
      <c r="D192" s="13" t="s">
        <v>529</v>
      </c>
      <c r="E192" s="13" t="s">
        <v>72</v>
      </c>
      <c r="F192" s="14"/>
      <c r="G192" s="14"/>
      <c r="H192" s="14"/>
      <c r="I192" s="14"/>
      <c r="J192" s="14">
        <f t="shared" si="6"/>
        <v>0</v>
      </c>
      <c r="K192" s="14">
        <f t="shared" si="7"/>
        <v>0</v>
      </c>
      <c r="L192" s="17">
        <f t="shared" si="8"/>
        <v>0</v>
      </c>
      <c r="M192" s="14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 spans="1:27" s="2" customFormat="1" ht="14">
      <c r="A193" s="12" t="s">
        <v>551</v>
      </c>
      <c r="B193" s="13" t="s">
        <v>14</v>
      </c>
      <c r="C193" s="13" t="s">
        <v>552</v>
      </c>
      <c r="D193" s="13" t="s">
        <v>529</v>
      </c>
      <c r="E193" s="13" t="s">
        <v>43</v>
      </c>
      <c r="F193" s="14"/>
      <c r="G193" s="14"/>
      <c r="H193" s="14"/>
      <c r="I193" s="14"/>
      <c r="J193" s="14">
        <f t="shared" si="6"/>
        <v>0</v>
      </c>
      <c r="K193" s="14">
        <f t="shared" si="7"/>
        <v>0</v>
      </c>
      <c r="L193" s="17">
        <f t="shared" si="8"/>
        <v>0</v>
      </c>
      <c r="M193" s="14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 spans="1:27" s="2" customFormat="1" ht="14">
      <c r="A194" s="12" t="s">
        <v>553</v>
      </c>
      <c r="B194" s="13" t="s">
        <v>62</v>
      </c>
      <c r="C194" s="13" t="s">
        <v>554</v>
      </c>
      <c r="D194" s="13" t="s">
        <v>555</v>
      </c>
      <c r="E194" s="13" t="s">
        <v>183</v>
      </c>
      <c r="F194" s="14"/>
      <c r="G194" s="14"/>
      <c r="H194" s="14"/>
      <c r="I194" s="14"/>
      <c r="J194" s="14">
        <f t="shared" ref="J194:J257" si="9">IF(G194&gt;0,1,0)</f>
        <v>0</v>
      </c>
      <c r="K194" s="14">
        <f t="shared" ref="K194:K257" si="10">IF(H194&gt;0,1,0)</f>
        <v>0</v>
      </c>
      <c r="L194" s="17">
        <f t="shared" ref="L194:L257" si="11">IF(G194&gt;0,IF(H194&gt;0,1,0),0)</f>
        <v>0</v>
      </c>
      <c r="M194" s="14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 spans="1:27" s="2" customFormat="1" ht="14">
      <c r="A195" s="12" t="s">
        <v>556</v>
      </c>
      <c r="B195" s="13" t="s">
        <v>14</v>
      </c>
      <c r="C195" s="13" t="s">
        <v>557</v>
      </c>
      <c r="D195" s="13" t="s">
        <v>514</v>
      </c>
      <c r="E195" s="13" t="s">
        <v>238</v>
      </c>
      <c r="F195" s="14"/>
      <c r="G195" s="14"/>
      <c r="H195" s="14"/>
      <c r="I195" s="14"/>
      <c r="J195" s="14">
        <f t="shared" si="9"/>
        <v>0</v>
      </c>
      <c r="K195" s="14">
        <f t="shared" si="10"/>
        <v>0</v>
      </c>
      <c r="L195" s="17">
        <f t="shared" si="11"/>
        <v>0</v>
      </c>
      <c r="M195" s="14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 spans="1:27" s="2" customFormat="1" ht="14">
      <c r="A196" s="12" t="s">
        <v>558</v>
      </c>
      <c r="B196" s="13" t="s">
        <v>14</v>
      </c>
      <c r="C196" s="13" t="s">
        <v>559</v>
      </c>
      <c r="D196" s="13" t="s">
        <v>560</v>
      </c>
      <c r="E196" s="13" t="s">
        <v>220</v>
      </c>
      <c r="F196" s="14"/>
      <c r="G196" s="14"/>
      <c r="H196" s="14"/>
      <c r="I196" s="14"/>
      <c r="J196" s="14">
        <f t="shared" si="9"/>
        <v>0</v>
      </c>
      <c r="K196" s="14">
        <f t="shared" si="10"/>
        <v>0</v>
      </c>
      <c r="L196" s="17">
        <f t="shared" si="11"/>
        <v>0</v>
      </c>
      <c r="M196" s="14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 spans="1:27" s="2" customFormat="1" ht="14">
      <c r="A197" s="12" t="s">
        <v>561</v>
      </c>
      <c r="B197" s="13" t="s">
        <v>14</v>
      </c>
      <c r="C197" s="13" t="s">
        <v>562</v>
      </c>
      <c r="D197" s="13" t="s">
        <v>560</v>
      </c>
      <c r="E197" s="13" t="s">
        <v>215</v>
      </c>
      <c r="F197" s="14"/>
      <c r="G197" s="14"/>
      <c r="H197" s="14"/>
      <c r="I197" s="14"/>
      <c r="J197" s="14">
        <f t="shared" si="9"/>
        <v>0</v>
      </c>
      <c r="K197" s="14">
        <f t="shared" si="10"/>
        <v>0</v>
      </c>
      <c r="L197" s="17">
        <f t="shared" si="11"/>
        <v>0</v>
      </c>
      <c r="M197" s="14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 spans="1:27" s="2" customFormat="1" ht="14">
      <c r="A198" s="12" t="s">
        <v>563</v>
      </c>
      <c r="B198" s="13" t="s">
        <v>14</v>
      </c>
      <c r="C198" s="13" t="s">
        <v>564</v>
      </c>
      <c r="D198" s="13" t="s">
        <v>565</v>
      </c>
      <c r="E198" s="13" t="s">
        <v>183</v>
      </c>
      <c r="F198" s="14"/>
      <c r="G198" s="14"/>
      <c r="H198" s="14"/>
      <c r="I198" s="14"/>
      <c r="J198" s="14">
        <f t="shared" si="9"/>
        <v>0</v>
      </c>
      <c r="K198" s="14">
        <f t="shared" si="10"/>
        <v>0</v>
      </c>
      <c r="L198" s="17">
        <f t="shared" si="11"/>
        <v>0</v>
      </c>
      <c r="M198" s="14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 spans="1:27" s="2" customFormat="1" ht="14">
      <c r="A199" s="12" t="s">
        <v>566</v>
      </c>
      <c r="B199" s="13" t="s">
        <v>14</v>
      </c>
      <c r="C199" s="13" t="s">
        <v>567</v>
      </c>
      <c r="D199" s="13" t="s">
        <v>514</v>
      </c>
      <c r="E199" s="13" t="s">
        <v>46</v>
      </c>
      <c r="F199" s="14"/>
      <c r="G199" s="14"/>
      <c r="H199" s="14"/>
      <c r="I199" s="14"/>
      <c r="J199" s="14">
        <f t="shared" si="9"/>
        <v>0</v>
      </c>
      <c r="K199" s="14">
        <f t="shared" si="10"/>
        <v>0</v>
      </c>
      <c r="L199" s="17">
        <f t="shared" si="11"/>
        <v>0</v>
      </c>
      <c r="M199" s="14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 spans="1:27" s="2" customFormat="1" ht="14">
      <c r="A200" s="12" t="s">
        <v>568</v>
      </c>
      <c r="B200" s="13" t="s">
        <v>14</v>
      </c>
      <c r="C200" s="13" t="s">
        <v>569</v>
      </c>
      <c r="D200" s="13" t="s">
        <v>514</v>
      </c>
      <c r="E200" s="13" t="s">
        <v>46</v>
      </c>
      <c r="F200" s="14"/>
      <c r="G200" s="14"/>
      <c r="H200" s="14"/>
      <c r="I200" s="14"/>
      <c r="J200" s="14">
        <f t="shared" si="9"/>
        <v>0</v>
      </c>
      <c r="K200" s="14">
        <f t="shared" si="10"/>
        <v>0</v>
      </c>
      <c r="L200" s="17">
        <f t="shared" si="11"/>
        <v>0</v>
      </c>
      <c r="M200" s="14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 spans="1:27" s="2" customFormat="1" ht="14">
      <c r="A201" s="12" t="s">
        <v>570</v>
      </c>
      <c r="B201" s="13" t="s">
        <v>62</v>
      </c>
      <c r="C201" s="13" t="s">
        <v>571</v>
      </c>
      <c r="D201" s="13" t="s">
        <v>560</v>
      </c>
      <c r="E201" s="13" t="s">
        <v>183</v>
      </c>
      <c r="F201" s="14"/>
      <c r="G201" s="14"/>
      <c r="H201" s="14"/>
      <c r="I201" s="14"/>
      <c r="J201" s="14">
        <f t="shared" si="9"/>
        <v>0</v>
      </c>
      <c r="K201" s="14">
        <f t="shared" si="10"/>
        <v>0</v>
      </c>
      <c r="L201" s="17">
        <f t="shared" si="11"/>
        <v>0</v>
      </c>
      <c r="M201" s="14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 spans="1:27" s="2" customFormat="1" ht="14">
      <c r="A202" s="12" t="s">
        <v>572</v>
      </c>
      <c r="B202" s="13" t="s">
        <v>14</v>
      </c>
      <c r="C202" s="13" t="s">
        <v>573</v>
      </c>
      <c r="D202" s="13" t="s">
        <v>574</v>
      </c>
      <c r="E202" s="13" t="s">
        <v>68</v>
      </c>
      <c r="F202" s="14"/>
      <c r="G202" s="14"/>
      <c r="H202" s="14"/>
      <c r="I202" s="14"/>
      <c r="J202" s="14">
        <f t="shared" si="9"/>
        <v>0</v>
      </c>
      <c r="K202" s="14">
        <f t="shared" si="10"/>
        <v>0</v>
      </c>
      <c r="L202" s="17">
        <f t="shared" si="11"/>
        <v>0</v>
      </c>
      <c r="M202" s="14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 spans="1:27" s="2" customFormat="1" ht="14">
      <c r="A203" s="12" t="s">
        <v>575</v>
      </c>
      <c r="B203" s="13" t="s">
        <v>14</v>
      </c>
      <c r="C203" s="13" t="s">
        <v>576</v>
      </c>
      <c r="D203" s="13" t="s">
        <v>574</v>
      </c>
      <c r="E203" s="13" t="s">
        <v>285</v>
      </c>
      <c r="F203" s="14"/>
      <c r="G203" s="14"/>
      <c r="H203" s="14"/>
      <c r="I203" s="14"/>
      <c r="J203" s="14">
        <f t="shared" si="9"/>
        <v>0</v>
      </c>
      <c r="K203" s="14">
        <f t="shared" si="10"/>
        <v>0</v>
      </c>
      <c r="L203" s="17">
        <f t="shared" si="11"/>
        <v>0</v>
      </c>
      <c r="M203" s="14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 spans="1:27" s="2" customFormat="1" ht="14">
      <c r="A204" s="12" t="s">
        <v>577</v>
      </c>
      <c r="B204" s="13" t="s">
        <v>62</v>
      </c>
      <c r="C204" s="13" t="s">
        <v>578</v>
      </c>
      <c r="D204" s="13" t="s">
        <v>565</v>
      </c>
      <c r="E204" s="13" t="s">
        <v>25</v>
      </c>
      <c r="F204" s="14"/>
      <c r="G204" s="14"/>
      <c r="H204" s="14"/>
      <c r="I204" s="14"/>
      <c r="J204" s="14">
        <f t="shared" si="9"/>
        <v>0</v>
      </c>
      <c r="K204" s="14">
        <f t="shared" si="10"/>
        <v>0</v>
      </c>
      <c r="L204" s="17">
        <f t="shared" si="11"/>
        <v>0</v>
      </c>
      <c r="M204" s="14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 spans="1:27" s="2" customFormat="1" ht="14">
      <c r="A205" s="12" t="s">
        <v>579</v>
      </c>
      <c r="B205" s="13" t="s">
        <v>14</v>
      </c>
      <c r="C205" s="13" t="s">
        <v>580</v>
      </c>
      <c r="D205" s="13" t="s">
        <v>565</v>
      </c>
      <c r="E205" s="13" t="s">
        <v>43</v>
      </c>
      <c r="F205" s="14"/>
      <c r="G205" s="14"/>
      <c r="H205" s="14"/>
      <c r="I205" s="14"/>
      <c r="J205" s="14">
        <f t="shared" si="9"/>
        <v>0</v>
      </c>
      <c r="K205" s="14">
        <f t="shared" si="10"/>
        <v>0</v>
      </c>
      <c r="L205" s="17">
        <f t="shared" si="11"/>
        <v>0</v>
      </c>
      <c r="M205" s="14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 spans="1:27" s="2" customFormat="1" ht="14">
      <c r="A206" s="12" t="s">
        <v>581</v>
      </c>
      <c r="B206" s="13" t="s">
        <v>14</v>
      </c>
      <c r="C206" s="13" t="s">
        <v>582</v>
      </c>
      <c r="D206" s="13" t="s">
        <v>583</v>
      </c>
      <c r="E206" s="13" t="s">
        <v>488</v>
      </c>
      <c r="F206" s="14"/>
      <c r="G206" s="14"/>
      <c r="H206" s="14"/>
      <c r="I206" s="14"/>
      <c r="J206" s="14">
        <f t="shared" si="9"/>
        <v>0</v>
      </c>
      <c r="K206" s="14">
        <f t="shared" si="10"/>
        <v>0</v>
      </c>
      <c r="L206" s="17">
        <f t="shared" si="11"/>
        <v>0</v>
      </c>
      <c r="M206" s="14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 spans="1:27" s="2" customFormat="1" ht="14">
      <c r="A207" s="12" t="s">
        <v>584</v>
      </c>
      <c r="B207" s="13" t="s">
        <v>14</v>
      </c>
      <c r="C207" s="13" t="s">
        <v>585</v>
      </c>
      <c r="D207" s="13" t="s">
        <v>583</v>
      </c>
      <c r="E207" s="13" t="s">
        <v>17</v>
      </c>
      <c r="F207" s="14"/>
      <c r="G207" s="14"/>
      <c r="H207" s="14"/>
      <c r="I207" s="14"/>
      <c r="J207" s="14">
        <f t="shared" si="9"/>
        <v>0</v>
      </c>
      <c r="K207" s="14">
        <f t="shared" si="10"/>
        <v>0</v>
      </c>
      <c r="L207" s="17">
        <f t="shared" si="11"/>
        <v>0</v>
      </c>
      <c r="M207" s="14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 spans="1:27" s="2" customFormat="1" ht="14">
      <c r="A208" s="12" t="s">
        <v>586</v>
      </c>
      <c r="B208" s="13" t="s">
        <v>62</v>
      </c>
      <c r="C208" s="13" t="s">
        <v>587</v>
      </c>
      <c r="D208" s="13" t="s">
        <v>588</v>
      </c>
      <c r="E208" s="13" t="s">
        <v>17</v>
      </c>
      <c r="F208" s="14"/>
      <c r="G208" s="14"/>
      <c r="H208" s="14"/>
      <c r="I208" s="14"/>
      <c r="J208" s="14">
        <f t="shared" si="9"/>
        <v>0</v>
      </c>
      <c r="K208" s="14">
        <f t="shared" si="10"/>
        <v>0</v>
      </c>
      <c r="L208" s="17">
        <f t="shared" si="11"/>
        <v>0</v>
      </c>
      <c r="M208" s="14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 spans="1:27" s="2" customFormat="1" ht="14">
      <c r="A209" s="12" t="s">
        <v>589</v>
      </c>
      <c r="B209" s="13" t="s">
        <v>14</v>
      </c>
      <c r="C209" s="13" t="s">
        <v>590</v>
      </c>
      <c r="D209" s="13" t="s">
        <v>588</v>
      </c>
      <c r="E209" s="13" t="s">
        <v>32</v>
      </c>
      <c r="F209" s="14"/>
      <c r="G209" s="14"/>
      <c r="H209" s="14"/>
      <c r="I209" s="14"/>
      <c r="J209" s="14">
        <f t="shared" si="9"/>
        <v>0</v>
      </c>
      <c r="K209" s="14">
        <f t="shared" si="10"/>
        <v>0</v>
      </c>
      <c r="L209" s="17">
        <f t="shared" si="11"/>
        <v>0</v>
      </c>
      <c r="M209" s="14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 spans="1:27" s="2" customFormat="1" ht="14">
      <c r="A210" s="12" t="s">
        <v>591</v>
      </c>
      <c r="B210" s="13" t="s">
        <v>14</v>
      </c>
      <c r="C210" s="13" t="s">
        <v>592</v>
      </c>
      <c r="D210" s="13" t="s">
        <v>593</v>
      </c>
      <c r="E210" s="13" t="s">
        <v>220</v>
      </c>
      <c r="F210" s="14"/>
      <c r="G210" s="14"/>
      <c r="H210" s="14"/>
      <c r="I210" s="14"/>
      <c r="J210" s="14">
        <f t="shared" si="9"/>
        <v>0</v>
      </c>
      <c r="K210" s="14">
        <f t="shared" si="10"/>
        <v>0</v>
      </c>
      <c r="L210" s="17">
        <f t="shared" si="11"/>
        <v>0</v>
      </c>
      <c r="M210" s="14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 spans="1:27" s="2" customFormat="1" ht="14">
      <c r="A211" s="12" t="s">
        <v>594</v>
      </c>
      <c r="B211" s="13" t="s">
        <v>62</v>
      </c>
      <c r="C211" s="13" t="s">
        <v>595</v>
      </c>
      <c r="D211" s="13" t="s">
        <v>596</v>
      </c>
      <c r="E211" s="13" t="s">
        <v>120</v>
      </c>
      <c r="F211" s="14"/>
      <c r="G211" s="14"/>
      <c r="H211" s="14"/>
      <c r="I211" s="14"/>
      <c r="J211" s="14">
        <f t="shared" si="9"/>
        <v>0</v>
      </c>
      <c r="K211" s="14">
        <f t="shared" si="10"/>
        <v>0</v>
      </c>
      <c r="L211" s="17">
        <f t="shared" si="11"/>
        <v>0</v>
      </c>
      <c r="M211" s="14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 spans="1:27" s="2" customFormat="1" ht="14">
      <c r="A212" s="12" t="s">
        <v>597</v>
      </c>
      <c r="B212" s="13" t="s">
        <v>14</v>
      </c>
      <c r="C212" s="13" t="s">
        <v>598</v>
      </c>
      <c r="D212" s="13" t="s">
        <v>599</v>
      </c>
      <c r="E212" s="13" t="s">
        <v>17</v>
      </c>
      <c r="F212" s="14"/>
      <c r="G212" s="14"/>
      <c r="H212" s="14"/>
      <c r="I212" s="14"/>
      <c r="J212" s="14">
        <f t="shared" si="9"/>
        <v>0</v>
      </c>
      <c r="K212" s="14">
        <f t="shared" si="10"/>
        <v>0</v>
      </c>
      <c r="L212" s="17">
        <f t="shared" si="11"/>
        <v>0</v>
      </c>
      <c r="M212" s="14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 spans="1:27" s="2" customFormat="1" ht="14">
      <c r="A213" s="12" t="s">
        <v>600</v>
      </c>
      <c r="B213" s="13" t="s">
        <v>14</v>
      </c>
      <c r="C213" s="13" t="s">
        <v>601</v>
      </c>
      <c r="D213" s="13" t="s">
        <v>602</v>
      </c>
      <c r="E213" s="13" t="s">
        <v>25</v>
      </c>
      <c r="F213" s="14"/>
      <c r="G213" s="14"/>
      <c r="H213" s="14"/>
      <c r="I213" s="14"/>
      <c r="J213" s="14">
        <f t="shared" si="9"/>
        <v>0</v>
      </c>
      <c r="K213" s="14">
        <f t="shared" si="10"/>
        <v>0</v>
      </c>
      <c r="L213" s="17">
        <f t="shared" si="11"/>
        <v>0</v>
      </c>
      <c r="M213" s="14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spans="1:27" s="2" customFormat="1" ht="14">
      <c r="A214" s="12" t="s">
        <v>603</v>
      </c>
      <c r="B214" s="13" t="s">
        <v>14</v>
      </c>
      <c r="C214" s="13" t="s">
        <v>604</v>
      </c>
      <c r="D214" s="13" t="s">
        <v>596</v>
      </c>
      <c r="E214" s="13" t="s">
        <v>267</v>
      </c>
      <c r="F214" s="14"/>
      <c r="G214" s="14"/>
      <c r="H214" s="14"/>
      <c r="I214" s="14"/>
      <c r="J214" s="14">
        <f t="shared" si="9"/>
        <v>0</v>
      </c>
      <c r="K214" s="14">
        <f t="shared" si="10"/>
        <v>0</v>
      </c>
      <c r="L214" s="17">
        <f t="shared" si="11"/>
        <v>0</v>
      </c>
      <c r="M214" s="14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spans="1:27" s="2" customFormat="1" ht="14">
      <c r="A215" s="12" t="s">
        <v>605</v>
      </c>
      <c r="B215" s="13" t="s">
        <v>14</v>
      </c>
      <c r="C215" s="13" t="s">
        <v>606</v>
      </c>
      <c r="D215" s="13" t="s">
        <v>596</v>
      </c>
      <c r="E215" s="13" t="s">
        <v>21</v>
      </c>
      <c r="F215" s="14"/>
      <c r="G215" s="14"/>
      <c r="H215" s="14"/>
      <c r="I215" s="14"/>
      <c r="J215" s="14">
        <f t="shared" si="9"/>
        <v>0</v>
      </c>
      <c r="K215" s="14">
        <f t="shared" si="10"/>
        <v>0</v>
      </c>
      <c r="L215" s="17">
        <f t="shared" si="11"/>
        <v>0</v>
      </c>
      <c r="M215" s="14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 spans="1:27" s="2" customFormat="1" ht="14">
      <c r="A216" s="12" t="s">
        <v>607</v>
      </c>
      <c r="B216" s="13" t="s">
        <v>62</v>
      </c>
      <c r="C216" s="13" t="s">
        <v>608</v>
      </c>
      <c r="D216" s="13" t="s">
        <v>599</v>
      </c>
      <c r="E216" s="13" t="s">
        <v>17</v>
      </c>
      <c r="F216" s="14"/>
      <c r="G216" s="14"/>
      <c r="H216" s="14"/>
      <c r="I216" s="14"/>
      <c r="J216" s="14">
        <f t="shared" si="9"/>
        <v>0</v>
      </c>
      <c r="K216" s="14">
        <f t="shared" si="10"/>
        <v>0</v>
      </c>
      <c r="L216" s="17">
        <f t="shared" si="11"/>
        <v>0</v>
      </c>
      <c r="M216" s="14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 spans="1:27" s="2" customFormat="1" ht="14">
      <c r="A217" s="12" t="s">
        <v>609</v>
      </c>
      <c r="B217" s="13" t="s">
        <v>62</v>
      </c>
      <c r="C217" s="13" t="s">
        <v>610</v>
      </c>
      <c r="D217" s="13" t="s">
        <v>611</v>
      </c>
      <c r="E217" s="13" t="s">
        <v>126</v>
      </c>
      <c r="F217" s="14"/>
      <c r="G217" s="14"/>
      <c r="H217" s="14"/>
      <c r="I217" s="14"/>
      <c r="J217" s="14">
        <f t="shared" si="9"/>
        <v>0</v>
      </c>
      <c r="K217" s="14">
        <f t="shared" si="10"/>
        <v>0</v>
      </c>
      <c r="L217" s="17">
        <f t="shared" si="11"/>
        <v>0</v>
      </c>
      <c r="M217" s="14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 spans="1:27" s="2" customFormat="1" ht="14">
      <c r="A218" s="12" t="s">
        <v>612</v>
      </c>
      <c r="B218" s="13" t="s">
        <v>14</v>
      </c>
      <c r="C218" s="13" t="s">
        <v>613</v>
      </c>
      <c r="D218" s="13" t="s">
        <v>596</v>
      </c>
      <c r="E218" s="13" t="s">
        <v>40</v>
      </c>
      <c r="F218" s="14"/>
      <c r="G218" s="14"/>
      <c r="H218" s="14"/>
      <c r="I218" s="14"/>
      <c r="J218" s="14">
        <f t="shared" si="9"/>
        <v>0</v>
      </c>
      <c r="K218" s="14">
        <f t="shared" si="10"/>
        <v>0</v>
      </c>
      <c r="L218" s="17">
        <f t="shared" si="11"/>
        <v>0</v>
      </c>
      <c r="M218" s="14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 spans="1:27" s="2" customFormat="1" ht="14">
      <c r="A219" s="12" t="s">
        <v>614</v>
      </c>
      <c r="B219" s="13" t="s">
        <v>14</v>
      </c>
      <c r="C219" s="13" t="s">
        <v>615</v>
      </c>
      <c r="D219" s="13" t="s">
        <v>616</v>
      </c>
      <c r="E219" s="13" t="s">
        <v>43</v>
      </c>
      <c r="F219" s="14"/>
      <c r="G219" s="14"/>
      <c r="H219" s="14"/>
      <c r="I219" s="14"/>
      <c r="J219" s="14">
        <f t="shared" si="9"/>
        <v>0</v>
      </c>
      <c r="K219" s="14">
        <f t="shared" si="10"/>
        <v>0</v>
      </c>
      <c r="L219" s="17">
        <f t="shared" si="11"/>
        <v>0</v>
      </c>
      <c r="M219" s="14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 spans="1:27" s="2" customFormat="1" ht="14">
      <c r="A220" s="12" t="s">
        <v>617</v>
      </c>
      <c r="B220" s="13" t="s">
        <v>62</v>
      </c>
      <c r="C220" s="13" t="s">
        <v>618</v>
      </c>
      <c r="D220" s="13" t="s">
        <v>602</v>
      </c>
      <c r="E220" s="13" t="s">
        <v>25</v>
      </c>
      <c r="F220" s="14"/>
      <c r="G220" s="14"/>
      <c r="H220" s="14"/>
      <c r="I220" s="14"/>
      <c r="J220" s="14">
        <f t="shared" si="9"/>
        <v>0</v>
      </c>
      <c r="K220" s="14">
        <f t="shared" si="10"/>
        <v>0</v>
      </c>
      <c r="L220" s="17">
        <f t="shared" si="11"/>
        <v>0</v>
      </c>
      <c r="M220" s="14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 spans="1:27" s="2" customFormat="1" ht="14">
      <c r="A221" s="12" t="s">
        <v>619</v>
      </c>
      <c r="B221" s="13" t="s">
        <v>62</v>
      </c>
      <c r="C221" s="13" t="s">
        <v>620</v>
      </c>
      <c r="D221" s="13" t="s">
        <v>602</v>
      </c>
      <c r="E221" s="13" t="s">
        <v>201</v>
      </c>
      <c r="F221" s="14"/>
      <c r="G221" s="14"/>
      <c r="H221" s="14"/>
      <c r="I221" s="14"/>
      <c r="J221" s="14">
        <f t="shared" si="9"/>
        <v>0</v>
      </c>
      <c r="K221" s="14">
        <f t="shared" si="10"/>
        <v>0</v>
      </c>
      <c r="L221" s="17">
        <f t="shared" si="11"/>
        <v>0</v>
      </c>
      <c r="M221" s="14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 spans="1:27" s="2" customFormat="1" ht="14">
      <c r="A222" s="12" t="s">
        <v>621</v>
      </c>
      <c r="B222" s="13" t="s">
        <v>62</v>
      </c>
      <c r="C222" s="13" t="s">
        <v>622</v>
      </c>
      <c r="D222" s="13" t="s">
        <v>611</v>
      </c>
      <c r="E222" s="13" t="s">
        <v>205</v>
      </c>
      <c r="F222" s="14"/>
      <c r="G222" s="14"/>
      <c r="H222" s="14"/>
      <c r="I222" s="14"/>
      <c r="J222" s="14">
        <f t="shared" si="9"/>
        <v>0</v>
      </c>
      <c r="K222" s="14">
        <f t="shared" si="10"/>
        <v>0</v>
      </c>
      <c r="L222" s="17">
        <f t="shared" si="11"/>
        <v>0</v>
      </c>
      <c r="M222" s="14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 spans="1:27" s="2" customFormat="1" ht="14">
      <c r="A223" s="12" t="s">
        <v>623</v>
      </c>
      <c r="B223" s="13" t="s">
        <v>14</v>
      </c>
      <c r="C223" s="13" t="s">
        <v>624</v>
      </c>
      <c r="D223" s="13" t="s">
        <v>602</v>
      </c>
      <c r="E223" s="13" t="s">
        <v>25</v>
      </c>
      <c r="F223" s="14"/>
      <c r="G223" s="14"/>
      <c r="H223" s="14"/>
      <c r="I223" s="14"/>
      <c r="J223" s="14">
        <f t="shared" si="9"/>
        <v>0</v>
      </c>
      <c r="K223" s="14">
        <f t="shared" si="10"/>
        <v>0</v>
      </c>
      <c r="L223" s="17">
        <f t="shared" si="11"/>
        <v>0</v>
      </c>
      <c r="M223" s="14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 spans="1:27" s="2" customFormat="1" ht="14">
      <c r="A224" s="12" t="s">
        <v>625</v>
      </c>
      <c r="B224" s="13" t="s">
        <v>14</v>
      </c>
      <c r="C224" s="13" t="s">
        <v>626</v>
      </c>
      <c r="D224" s="13" t="s">
        <v>602</v>
      </c>
      <c r="E224" s="13" t="s">
        <v>36</v>
      </c>
      <c r="F224" s="14"/>
      <c r="G224" s="14"/>
      <c r="H224" s="14"/>
      <c r="I224" s="14"/>
      <c r="J224" s="14">
        <f t="shared" si="9"/>
        <v>0</v>
      </c>
      <c r="K224" s="14">
        <f t="shared" si="10"/>
        <v>0</v>
      </c>
      <c r="L224" s="17">
        <f t="shared" si="11"/>
        <v>0</v>
      </c>
      <c r="M224" s="14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 spans="1:27" s="2" customFormat="1" ht="14">
      <c r="A225" s="12" t="s">
        <v>627</v>
      </c>
      <c r="B225" s="13" t="s">
        <v>14</v>
      </c>
      <c r="C225" s="13" t="s">
        <v>628</v>
      </c>
      <c r="D225" s="13" t="s">
        <v>602</v>
      </c>
      <c r="E225" s="13" t="s">
        <v>285</v>
      </c>
      <c r="F225" s="14"/>
      <c r="G225" s="14"/>
      <c r="H225" s="14"/>
      <c r="I225" s="14"/>
      <c r="J225" s="14">
        <f t="shared" si="9"/>
        <v>0</v>
      </c>
      <c r="K225" s="14">
        <f t="shared" si="10"/>
        <v>0</v>
      </c>
      <c r="L225" s="17">
        <f t="shared" si="11"/>
        <v>0</v>
      </c>
      <c r="M225" s="14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 spans="1:27" s="2" customFormat="1" ht="14">
      <c r="A226" s="12" t="s">
        <v>629</v>
      </c>
      <c r="B226" s="13" t="s">
        <v>62</v>
      </c>
      <c r="C226" s="13" t="s">
        <v>630</v>
      </c>
      <c r="D226" s="13" t="s">
        <v>631</v>
      </c>
      <c r="E226" s="13" t="s">
        <v>126</v>
      </c>
      <c r="F226" s="14"/>
      <c r="G226" s="14"/>
      <c r="H226" s="14"/>
      <c r="I226" s="14"/>
      <c r="J226" s="14">
        <f t="shared" si="9"/>
        <v>0</v>
      </c>
      <c r="K226" s="14">
        <f t="shared" si="10"/>
        <v>0</v>
      </c>
      <c r="L226" s="17">
        <f t="shared" si="11"/>
        <v>0</v>
      </c>
      <c r="M226" s="14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 spans="1:27" s="2" customFormat="1" ht="14">
      <c r="A227" s="12" t="s">
        <v>632</v>
      </c>
      <c r="B227" s="13" t="s">
        <v>14</v>
      </c>
      <c r="C227" s="13" t="s">
        <v>633</v>
      </c>
      <c r="D227" s="13" t="s">
        <v>634</v>
      </c>
      <c r="E227" s="13" t="s">
        <v>97</v>
      </c>
      <c r="F227" s="14"/>
      <c r="G227" s="14"/>
      <c r="H227" s="14"/>
      <c r="I227" s="14"/>
      <c r="J227" s="14">
        <f t="shared" si="9"/>
        <v>0</v>
      </c>
      <c r="K227" s="14">
        <f t="shared" si="10"/>
        <v>0</v>
      </c>
      <c r="L227" s="17">
        <f t="shared" si="11"/>
        <v>0</v>
      </c>
      <c r="M227" s="14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 spans="1:27" s="2" customFormat="1" ht="14">
      <c r="A228" s="12" t="s">
        <v>635</v>
      </c>
      <c r="B228" s="13" t="s">
        <v>62</v>
      </c>
      <c r="C228" s="13" t="s">
        <v>636</v>
      </c>
      <c r="D228" s="13" t="s">
        <v>637</v>
      </c>
      <c r="E228" s="13" t="s">
        <v>120</v>
      </c>
      <c r="F228" s="14"/>
      <c r="G228" s="14"/>
      <c r="H228" s="14"/>
      <c r="I228" s="14"/>
      <c r="J228" s="14">
        <f t="shared" si="9"/>
        <v>0</v>
      </c>
      <c r="K228" s="14">
        <f t="shared" si="10"/>
        <v>0</v>
      </c>
      <c r="L228" s="17">
        <f t="shared" si="11"/>
        <v>0</v>
      </c>
      <c r="M228" s="14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 spans="1:27" s="2" customFormat="1" ht="14">
      <c r="A229" s="12" t="s">
        <v>638</v>
      </c>
      <c r="B229" s="13" t="s">
        <v>14</v>
      </c>
      <c r="C229" s="13" t="s">
        <v>639</v>
      </c>
      <c r="D229" s="13" t="s">
        <v>640</v>
      </c>
      <c r="E229" s="13" t="s">
        <v>156</v>
      </c>
      <c r="F229" s="14"/>
      <c r="G229" s="14"/>
      <c r="H229" s="14"/>
      <c r="I229" s="14"/>
      <c r="J229" s="14">
        <f t="shared" si="9"/>
        <v>0</v>
      </c>
      <c r="K229" s="14">
        <f t="shared" si="10"/>
        <v>0</v>
      </c>
      <c r="L229" s="17">
        <f t="shared" si="11"/>
        <v>0</v>
      </c>
      <c r="M229" s="14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 spans="1:27" s="2" customFormat="1" ht="14">
      <c r="A230" s="12" t="s">
        <v>641</v>
      </c>
      <c r="B230" s="13" t="s">
        <v>14</v>
      </c>
      <c r="C230" s="13" t="s">
        <v>642</v>
      </c>
      <c r="D230" s="13" t="s">
        <v>640</v>
      </c>
      <c r="E230" s="13" t="s">
        <v>215</v>
      </c>
      <c r="F230" s="14"/>
      <c r="G230" s="14"/>
      <c r="H230" s="14"/>
      <c r="I230" s="14"/>
      <c r="J230" s="14">
        <f t="shared" si="9"/>
        <v>0</v>
      </c>
      <c r="K230" s="14">
        <f t="shared" si="10"/>
        <v>0</v>
      </c>
      <c r="L230" s="17">
        <f t="shared" si="11"/>
        <v>0</v>
      </c>
      <c r="M230" s="14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 spans="1:27" s="2" customFormat="1" ht="14">
      <c r="A231" s="12" t="s">
        <v>643</v>
      </c>
      <c r="B231" s="13" t="s">
        <v>14</v>
      </c>
      <c r="C231" s="13" t="s">
        <v>644</v>
      </c>
      <c r="D231" s="13" t="s">
        <v>640</v>
      </c>
      <c r="E231" s="13" t="s">
        <v>267</v>
      </c>
      <c r="F231" s="14"/>
      <c r="G231" s="14"/>
      <c r="H231" s="14"/>
      <c r="I231" s="14"/>
      <c r="J231" s="14">
        <f t="shared" si="9"/>
        <v>0</v>
      </c>
      <c r="K231" s="14">
        <f t="shared" si="10"/>
        <v>0</v>
      </c>
      <c r="L231" s="17">
        <f t="shared" si="11"/>
        <v>0</v>
      </c>
      <c r="M231" s="14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 spans="1:27" s="2" customFormat="1" ht="14">
      <c r="A232" s="12" t="s">
        <v>645</v>
      </c>
      <c r="B232" s="13" t="s">
        <v>14</v>
      </c>
      <c r="C232" s="13" t="s">
        <v>646</v>
      </c>
      <c r="D232" s="13" t="s">
        <v>637</v>
      </c>
      <c r="E232" s="13" t="s">
        <v>68</v>
      </c>
      <c r="F232" s="14"/>
      <c r="G232" s="14"/>
      <c r="H232" s="14"/>
      <c r="I232" s="14"/>
      <c r="J232" s="14">
        <f t="shared" si="9"/>
        <v>0</v>
      </c>
      <c r="K232" s="14">
        <f t="shared" si="10"/>
        <v>0</v>
      </c>
      <c r="L232" s="17">
        <f t="shared" si="11"/>
        <v>0</v>
      </c>
      <c r="M232" s="14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 spans="1:27" s="2" customFormat="1" ht="14">
      <c r="A233" s="12" t="s">
        <v>647</v>
      </c>
      <c r="B233" s="13" t="s">
        <v>62</v>
      </c>
      <c r="C233" s="13" t="s">
        <v>648</v>
      </c>
      <c r="D233" s="13" t="s">
        <v>637</v>
      </c>
      <c r="E233" s="13" t="s">
        <v>25</v>
      </c>
      <c r="F233" s="14"/>
      <c r="G233" s="14"/>
      <c r="H233" s="14"/>
      <c r="I233" s="14"/>
      <c r="J233" s="14">
        <f t="shared" si="9"/>
        <v>0</v>
      </c>
      <c r="K233" s="14">
        <f t="shared" si="10"/>
        <v>0</v>
      </c>
      <c r="L233" s="17">
        <f t="shared" si="11"/>
        <v>0</v>
      </c>
      <c r="M233" s="14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 spans="1:27" s="2" customFormat="1" ht="14">
      <c r="A234" s="12" t="s">
        <v>649</v>
      </c>
      <c r="B234" s="13" t="s">
        <v>14</v>
      </c>
      <c r="C234" s="13" t="s">
        <v>650</v>
      </c>
      <c r="D234" s="13" t="s">
        <v>651</v>
      </c>
      <c r="E234" s="13" t="s">
        <v>83</v>
      </c>
      <c r="F234" s="14"/>
      <c r="G234" s="14"/>
      <c r="H234" s="14"/>
      <c r="I234" s="14"/>
      <c r="J234" s="14">
        <f t="shared" si="9"/>
        <v>0</v>
      </c>
      <c r="K234" s="14">
        <f t="shared" si="10"/>
        <v>0</v>
      </c>
      <c r="L234" s="17">
        <f t="shared" si="11"/>
        <v>0</v>
      </c>
      <c r="M234" s="14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 spans="1:27" s="2" customFormat="1" ht="14">
      <c r="A235" s="12" t="s">
        <v>652</v>
      </c>
      <c r="B235" s="13" t="s">
        <v>62</v>
      </c>
      <c r="C235" s="13" t="s">
        <v>653</v>
      </c>
      <c r="D235" s="13" t="s">
        <v>651</v>
      </c>
      <c r="E235" s="13" t="s">
        <v>156</v>
      </c>
      <c r="F235" s="14"/>
      <c r="G235" s="14"/>
      <c r="H235" s="14"/>
      <c r="I235" s="14"/>
      <c r="J235" s="14">
        <f t="shared" si="9"/>
        <v>0</v>
      </c>
      <c r="K235" s="14">
        <f t="shared" si="10"/>
        <v>0</v>
      </c>
      <c r="L235" s="17">
        <f t="shared" si="11"/>
        <v>0</v>
      </c>
      <c r="M235" s="14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 spans="1:27" s="2" customFormat="1" ht="14">
      <c r="A236" s="12" t="s">
        <v>654</v>
      </c>
      <c r="B236" s="13" t="s">
        <v>14</v>
      </c>
      <c r="C236" s="13" t="s">
        <v>655</v>
      </c>
      <c r="D236" s="13" t="s">
        <v>651</v>
      </c>
      <c r="E236" s="13" t="s">
        <v>46</v>
      </c>
      <c r="F236" s="14"/>
      <c r="G236" s="14"/>
      <c r="H236" s="14"/>
      <c r="I236" s="14"/>
      <c r="J236" s="14">
        <f t="shared" si="9"/>
        <v>0</v>
      </c>
      <c r="K236" s="14">
        <f t="shared" si="10"/>
        <v>0</v>
      </c>
      <c r="L236" s="17">
        <f t="shared" si="11"/>
        <v>0</v>
      </c>
      <c r="M236" s="14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 spans="1:27" s="2" customFormat="1" ht="14">
      <c r="A237" s="12" t="s">
        <v>656</v>
      </c>
      <c r="B237" s="13" t="s">
        <v>14</v>
      </c>
      <c r="C237" s="13" t="s">
        <v>657</v>
      </c>
      <c r="D237" s="13" t="s">
        <v>651</v>
      </c>
      <c r="E237" s="13" t="s">
        <v>17</v>
      </c>
      <c r="F237" s="14"/>
      <c r="G237" s="14"/>
      <c r="H237" s="14"/>
      <c r="I237" s="14"/>
      <c r="J237" s="14">
        <f t="shared" si="9"/>
        <v>0</v>
      </c>
      <c r="K237" s="14">
        <f t="shared" si="10"/>
        <v>0</v>
      </c>
      <c r="L237" s="17">
        <f t="shared" si="11"/>
        <v>0</v>
      </c>
      <c r="M237" s="14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 spans="1:27" s="2" customFormat="1" ht="14">
      <c r="A238" s="12" t="s">
        <v>658</v>
      </c>
      <c r="B238" s="13" t="s">
        <v>14</v>
      </c>
      <c r="C238" s="13" t="s">
        <v>659</v>
      </c>
      <c r="D238" s="13" t="s">
        <v>660</v>
      </c>
      <c r="E238" s="13" t="s">
        <v>267</v>
      </c>
      <c r="F238" s="14"/>
      <c r="G238" s="14"/>
      <c r="H238" s="14"/>
      <c r="I238" s="14"/>
      <c r="J238" s="14">
        <f t="shared" si="9"/>
        <v>0</v>
      </c>
      <c r="K238" s="14">
        <f t="shared" si="10"/>
        <v>0</v>
      </c>
      <c r="L238" s="17">
        <f t="shared" si="11"/>
        <v>0</v>
      </c>
      <c r="M238" s="14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 spans="1:27" s="2" customFormat="1" ht="14">
      <c r="A239" s="12" t="s">
        <v>661</v>
      </c>
      <c r="B239" s="13" t="s">
        <v>14</v>
      </c>
      <c r="C239" s="13" t="s">
        <v>662</v>
      </c>
      <c r="D239" s="13" t="s">
        <v>663</v>
      </c>
      <c r="E239" s="13" t="s">
        <v>72</v>
      </c>
      <c r="F239" s="14"/>
      <c r="G239" s="14"/>
      <c r="H239" s="14"/>
      <c r="I239" s="14"/>
      <c r="J239" s="14">
        <f t="shared" si="9"/>
        <v>0</v>
      </c>
      <c r="K239" s="14">
        <f t="shared" si="10"/>
        <v>0</v>
      </c>
      <c r="L239" s="17">
        <f t="shared" si="11"/>
        <v>0</v>
      </c>
      <c r="M239" s="14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 spans="1:27" s="2" customFormat="1" ht="14">
      <c r="A240" s="12" t="s">
        <v>664</v>
      </c>
      <c r="B240" s="13" t="s">
        <v>62</v>
      </c>
      <c r="C240" s="13" t="s">
        <v>665</v>
      </c>
      <c r="D240" s="13" t="s">
        <v>666</v>
      </c>
      <c r="E240" s="13" t="s">
        <v>354</v>
      </c>
      <c r="F240" s="14"/>
      <c r="G240" s="14"/>
      <c r="H240" s="14"/>
      <c r="I240" s="14"/>
      <c r="J240" s="14">
        <f t="shared" si="9"/>
        <v>0</v>
      </c>
      <c r="K240" s="14">
        <f t="shared" si="10"/>
        <v>0</v>
      </c>
      <c r="L240" s="17">
        <f t="shared" si="11"/>
        <v>0</v>
      </c>
      <c r="M240" s="14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 spans="1:27" s="2" customFormat="1" ht="14">
      <c r="A241" s="12" t="s">
        <v>667</v>
      </c>
      <c r="B241" s="13" t="s">
        <v>14</v>
      </c>
      <c r="C241" s="13" t="s">
        <v>668</v>
      </c>
      <c r="D241" s="13" t="s">
        <v>663</v>
      </c>
      <c r="E241" s="13" t="s">
        <v>29</v>
      </c>
      <c r="F241" s="14"/>
      <c r="G241" s="14"/>
      <c r="H241" s="14"/>
      <c r="I241" s="14"/>
      <c r="J241" s="14">
        <f t="shared" si="9"/>
        <v>0</v>
      </c>
      <c r="K241" s="14">
        <f t="shared" si="10"/>
        <v>0</v>
      </c>
      <c r="L241" s="17">
        <f t="shared" si="11"/>
        <v>0</v>
      </c>
      <c r="M241" s="14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 spans="1:27" s="2" customFormat="1" ht="14">
      <c r="A242" s="12" t="s">
        <v>669</v>
      </c>
      <c r="B242" s="13" t="s">
        <v>14</v>
      </c>
      <c r="C242" s="13" t="s">
        <v>670</v>
      </c>
      <c r="D242" s="13" t="s">
        <v>666</v>
      </c>
      <c r="E242" s="13" t="s">
        <v>40</v>
      </c>
      <c r="F242" s="14"/>
      <c r="G242" s="14"/>
      <c r="H242" s="14"/>
      <c r="I242" s="14"/>
      <c r="J242" s="14">
        <f t="shared" si="9"/>
        <v>0</v>
      </c>
      <c r="K242" s="14">
        <f t="shared" si="10"/>
        <v>0</v>
      </c>
      <c r="L242" s="17">
        <f t="shared" si="11"/>
        <v>0</v>
      </c>
      <c r="M242" s="14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 spans="1:27" s="2" customFormat="1" ht="14">
      <c r="A243" s="12" t="s">
        <v>671</v>
      </c>
      <c r="B243" s="13" t="s">
        <v>14</v>
      </c>
      <c r="C243" s="13" t="s">
        <v>672</v>
      </c>
      <c r="D243" s="13" t="s">
        <v>673</v>
      </c>
      <c r="E243" s="13" t="s">
        <v>40</v>
      </c>
      <c r="F243" s="14"/>
      <c r="G243" s="14"/>
      <c r="H243" s="14"/>
      <c r="I243" s="14"/>
      <c r="J243" s="14">
        <f t="shared" si="9"/>
        <v>0</v>
      </c>
      <c r="K243" s="14">
        <f t="shared" si="10"/>
        <v>0</v>
      </c>
      <c r="L243" s="17">
        <f t="shared" si="11"/>
        <v>0</v>
      </c>
      <c r="M243" s="14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 spans="1:27" s="2" customFormat="1" ht="14">
      <c r="A244" s="12" t="s">
        <v>674</v>
      </c>
      <c r="B244" s="13" t="s">
        <v>14</v>
      </c>
      <c r="C244" s="13" t="s">
        <v>675</v>
      </c>
      <c r="D244" s="13" t="s">
        <v>676</v>
      </c>
      <c r="E244" s="13" t="s">
        <v>25</v>
      </c>
      <c r="F244" s="14"/>
      <c r="G244" s="14"/>
      <c r="H244" s="14"/>
      <c r="I244" s="14"/>
      <c r="J244" s="14">
        <f t="shared" si="9"/>
        <v>0</v>
      </c>
      <c r="K244" s="14">
        <f t="shared" si="10"/>
        <v>0</v>
      </c>
      <c r="L244" s="17">
        <f t="shared" si="11"/>
        <v>0</v>
      </c>
      <c r="M244" s="14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 spans="1:27" s="2" customFormat="1" ht="14">
      <c r="A245" s="12" t="s">
        <v>677</v>
      </c>
      <c r="B245" s="13" t="s">
        <v>14</v>
      </c>
      <c r="C245" s="13" t="s">
        <v>678</v>
      </c>
      <c r="D245" s="13" t="s">
        <v>679</v>
      </c>
      <c r="E245" s="13" t="s">
        <v>46</v>
      </c>
      <c r="F245" s="14"/>
      <c r="G245" s="14"/>
      <c r="H245" s="14"/>
      <c r="I245" s="14"/>
      <c r="J245" s="14">
        <f t="shared" si="9"/>
        <v>0</v>
      </c>
      <c r="K245" s="14">
        <f t="shared" si="10"/>
        <v>0</v>
      </c>
      <c r="L245" s="17">
        <f t="shared" si="11"/>
        <v>0</v>
      </c>
      <c r="M245" s="14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 spans="1:27" s="2" customFormat="1" ht="14">
      <c r="A246" s="12" t="s">
        <v>680</v>
      </c>
      <c r="B246" s="13" t="s">
        <v>14</v>
      </c>
      <c r="C246" s="13" t="s">
        <v>681</v>
      </c>
      <c r="D246" s="13" t="s">
        <v>593</v>
      </c>
      <c r="E246" s="13" t="s">
        <v>220</v>
      </c>
      <c r="F246" s="14"/>
      <c r="G246" s="14"/>
      <c r="H246" s="14"/>
      <c r="I246" s="14"/>
      <c r="J246" s="14">
        <f t="shared" si="9"/>
        <v>0</v>
      </c>
      <c r="K246" s="14">
        <f t="shared" si="10"/>
        <v>0</v>
      </c>
      <c r="L246" s="17">
        <f t="shared" si="11"/>
        <v>0</v>
      </c>
      <c r="M246" s="14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 spans="1:27" s="2" customFormat="1" ht="14">
      <c r="A247" s="12" t="s">
        <v>682</v>
      </c>
      <c r="B247" s="13" t="s">
        <v>14</v>
      </c>
      <c r="C247" s="13" t="s">
        <v>683</v>
      </c>
      <c r="D247" s="13" t="s">
        <v>593</v>
      </c>
      <c r="E247" s="13" t="s">
        <v>446</v>
      </c>
      <c r="F247" s="14"/>
      <c r="G247" s="14"/>
      <c r="H247" s="14"/>
      <c r="I247" s="14"/>
      <c r="J247" s="14">
        <f t="shared" si="9"/>
        <v>0</v>
      </c>
      <c r="K247" s="14">
        <f t="shared" si="10"/>
        <v>0</v>
      </c>
      <c r="L247" s="17">
        <f t="shared" si="11"/>
        <v>0</v>
      </c>
      <c r="M247" s="14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 spans="1:27" s="2" customFormat="1" ht="14">
      <c r="A248" s="12" t="s">
        <v>684</v>
      </c>
      <c r="B248" s="13" t="s">
        <v>62</v>
      </c>
      <c r="C248" s="13" t="s">
        <v>685</v>
      </c>
      <c r="D248" s="13" t="s">
        <v>686</v>
      </c>
      <c r="E248" s="13" t="s">
        <v>120</v>
      </c>
      <c r="F248" s="14"/>
      <c r="G248" s="14"/>
      <c r="H248" s="14"/>
      <c r="I248" s="14"/>
      <c r="J248" s="14">
        <f t="shared" si="9"/>
        <v>0</v>
      </c>
      <c r="K248" s="14">
        <f t="shared" si="10"/>
        <v>0</v>
      </c>
      <c r="L248" s="17">
        <f t="shared" si="11"/>
        <v>0</v>
      </c>
      <c r="M248" s="14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 spans="1:27" s="2" customFormat="1" ht="14">
      <c r="A249" s="12" t="s">
        <v>687</v>
      </c>
      <c r="B249" s="13" t="s">
        <v>14</v>
      </c>
      <c r="C249" s="13" t="s">
        <v>688</v>
      </c>
      <c r="D249" s="13" t="s">
        <v>686</v>
      </c>
      <c r="E249" s="13" t="s">
        <v>446</v>
      </c>
      <c r="F249" s="14"/>
      <c r="G249" s="14"/>
      <c r="H249" s="14"/>
      <c r="I249" s="14"/>
      <c r="J249" s="14">
        <f t="shared" si="9"/>
        <v>0</v>
      </c>
      <c r="K249" s="14">
        <f t="shared" si="10"/>
        <v>0</v>
      </c>
      <c r="L249" s="17">
        <f t="shared" si="11"/>
        <v>0</v>
      </c>
      <c r="M249" s="14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 spans="1:27" s="2" customFormat="1" ht="14">
      <c r="A250" s="12" t="s">
        <v>689</v>
      </c>
      <c r="B250" s="13" t="s">
        <v>14</v>
      </c>
      <c r="C250" s="13" t="s">
        <v>690</v>
      </c>
      <c r="D250" s="13" t="s">
        <v>686</v>
      </c>
      <c r="E250" s="13" t="s">
        <v>97</v>
      </c>
      <c r="F250" s="14"/>
      <c r="G250" s="14"/>
      <c r="H250" s="14"/>
      <c r="I250" s="14"/>
      <c r="J250" s="14">
        <f t="shared" si="9"/>
        <v>0</v>
      </c>
      <c r="K250" s="14">
        <f t="shared" si="10"/>
        <v>0</v>
      </c>
      <c r="L250" s="17">
        <f t="shared" si="11"/>
        <v>0</v>
      </c>
      <c r="M250" s="14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 spans="1:27" s="2" customFormat="1" ht="14">
      <c r="A251" s="12" t="s">
        <v>691</v>
      </c>
      <c r="B251" s="13" t="s">
        <v>14</v>
      </c>
      <c r="C251" s="13" t="s">
        <v>692</v>
      </c>
      <c r="D251" s="13" t="s">
        <v>686</v>
      </c>
      <c r="E251" s="13" t="s">
        <v>183</v>
      </c>
      <c r="F251" s="14"/>
      <c r="G251" s="14"/>
      <c r="H251" s="14"/>
      <c r="I251" s="14"/>
      <c r="J251" s="14">
        <f t="shared" si="9"/>
        <v>0</v>
      </c>
      <c r="K251" s="14">
        <f t="shared" si="10"/>
        <v>0</v>
      </c>
      <c r="L251" s="17">
        <f t="shared" si="11"/>
        <v>0</v>
      </c>
      <c r="M251" s="14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 spans="1:27" s="2" customFormat="1" ht="14">
      <c r="A252" s="12" t="s">
        <v>693</v>
      </c>
      <c r="B252" s="13" t="s">
        <v>14</v>
      </c>
      <c r="C252" s="13" t="s">
        <v>694</v>
      </c>
      <c r="D252" s="13" t="s">
        <v>695</v>
      </c>
      <c r="E252" s="13" t="s">
        <v>17</v>
      </c>
      <c r="F252" s="14"/>
      <c r="G252" s="14"/>
      <c r="H252" s="14"/>
      <c r="I252" s="14"/>
      <c r="J252" s="14">
        <f t="shared" si="9"/>
        <v>0</v>
      </c>
      <c r="K252" s="14">
        <f t="shared" si="10"/>
        <v>0</v>
      </c>
      <c r="L252" s="17">
        <f t="shared" si="11"/>
        <v>0</v>
      </c>
      <c r="M252" s="14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 spans="1:27" s="2" customFormat="1" ht="14">
      <c r="A253" s="12" t="s">
        <v>696</v>
      </c>
      <c r="B253" s="13" t="s">
        <v>14</v>
      </c>
      <c r="C253" s="13" t="s">
        <v>697</v>
      </c>
      <c r="D253" s="13" t="s">
        <v>698</v>
      </c>
      <c r="E253" s="13" t="s">
        <v>25</v>
      </c>
      <c r="F253" s="14"/>
      <c r="G253" s="14"/>
      <c r="H253" s="14"/>
      <c r="I253" s="14"/>
      <c r="J253" s="14">
        <f t="shared" si="9"/>
        <v>0</v>
      </c>
      <c r="K253" s="14">
        <f t="shared" si="10"/>
        <v>0</v>
      </c>
      <c r="L253" s="17">
        <f t="shared" si="11"/>
        <v>0</v>
      </c>
      <c r="M253" s="14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 spans="1:27" s="2" customFormat="1" ht="14">
      <c r="A254" s="12" t="s">
        <v>699</v>
      </c>
      <c r="B254" s="13" t="s">
        <v>14</v>
      </c>
      <c r="C254" s="13" t="s">
        <v>700</v>
      </c>
      <c r="D254" s="13" t="s">
        <v>701</v>
      </c>
      <c r="E254" s="13" t="s">
        <v>120</v>
      </c>
      <c r="F254" s="14"/>
      <c r="G254" s="14"/>
      <c r="H254" s="14"/>
      <c r="I254" s="14"/>
      <c r="J254" s="14">
        <f t="shared" si="9"/>
        <v>0</v>
      </c>
      <c r="K254" s="14">
        <f t="shared" si="10"/>
        <v>0</v>
      </c>
      <c r="L254" s="17">
        <f t="shared" si="11"/>
        <v>0</v>
      </c>
      <c r="M254" s="14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 spans="1:27" s="2" customFormat="1" ht="14">
      <c r="A255" s="12" t="s">
        <v>702</v>
      </c>
      <c r="B255" s="13" t="s">
        <v>14</v>
      </c>
      <c r="C255" s="13" t="s">
        <v>703</v>
      </c>
      <c r="D255" s="13" t="s">
        <v>704</v>
      </c>
      <c r="E255" s="13" t="s">
        <v>40</v>
      </c>
      <c r="F255" s="14"/>
      <c r="G255" s="14"/>
      <c r="H255" s="14"/>
      <c r="I255" s="14"/>
      <c r="J255" s="14">
        <f t="shared" si="9"/>
        <v>0</v>
      </c>
      <c r="K255" s="14">
        <f t="shared" si="10"/>
        <v>0</v>
      </c>
      <c r="L255" s="17">
        <f t="shared" si="11"/>
        <v>0</v>
      </c>
      <c r="M255" s="14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 spans="1:27" s="2" customFormat="1" ht="14">
      <c r="A256" s="12" t="s">
        <v>705</v>
      </c>
      <c r="B256" s="13" t="s">
        <v>14</v>
      </c>
      <c r="C256" s="13" t="s">
        <v>706</v>
      </c>
      <c r="D256" s="13" t="s">
        <v>707</v>
      </c>
      <c r="E256" s="13" t="s">
        <v>104</v>
      </c>
      <c r="F256" s="14"/>
      <c r="G256" s="14"/>
      <c r="H256" s="14"/>
      <c r="I256" s="14"/>
      <c r="J256" s="14">
        <f t="shared" si="9"/>
        <v>0</v>
      </c>
      <c r="K256" s="14">
        <f t="shared" si="10"/>
        <v>0</v>
      </c>
      <c r="L256" s="17">
        <f t="shared" si="11"/>
        <v>0</v>
      </c>
      <c r="M256" s="14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 spans="1:27" s="2" customFormat="1" ht="14">
      <c r="A257" s="12" t="s">
        <v>708</v>
      </c>
      <c r="B257" s="13" t="s">
        <v>62</v>
      </c>
      <c r="C257" s="13" t="s">
        <v>709</v>
      </c>
      <c r="D257" s="13" t="s">
        <v>686</v>
      </c>
      <c r="E257" s="13" t="s">
        <v>25</v>
      </c>
      <c r="F257" s="14"/>
      <c r="G257" s="14"/>
      <c r="H257" s="14"/>
      <c r="I257" s="14"/>
      <c r="J257" s="14">
        <f t="shared" si="9"/>
        <v>0</v>
      </c>
      <c r="K257" s="14">
        <f t="shared" si="10"/>
        <v>0</v>
      </c>
      <c r="L257" s="17">
        <f t="shared" si="11"/>
        <v>0</v>
      </c>
      <c r="M257" s="14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 spans="1:27" s="2" customFormat="1" ht="14">
      <c r="A258" s="12" t="s">
        <v>710</v>
      </c>
      <c r="B258" s="13" t="s">
        <v>62</v>
      </c>
      <c r="C258" s="13" t="s">
        <v>711</v>
      </c>
      <c r="D258" s="13" t="s">
        <v>695</v>
      </c>
      <c r="E258" s="13" t="s">
        <v>446</v>
      </c>
      <c r="F258" s="14"/>
      <c r="G258" s="14"/>
      <c r="H258" s="14"/>
      <c r="I258" s="14"/>
      <c r="J258" s="14">
        <f t="shared" ref="J258:J321" si="12">IF(G258&gt;0,1,0)</f>
        <v>0</v>
      </c>
      <c r="K258" s="14">
        <f t="shared" ref="K258:K321" si="13">IF(H258&gt;0,1,0)</f>
        <v>0</v>
      </c>
      <c r="L258" s="17">
        <f t="shared" ref="L258:L321" si="14">IF(G258&gt;0,IF(H258&gt;0,1,0),0)</f>
        <v>0</v>
      </c>
      <c r="M258" s="14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 spans="1:27" s="2" customFormat="1" ht="14">
      <c r="A259" s="12" t="s">
        <v>712</v>
      </c>
      <c r="B259" s="13" t="s">
        <v>62</v>
      </c>
      <c r="C259" s="13" t="s">
        <v>713</v>
      </c>
      <c r="D259" s="13" t="s">
        <v>695</v>
      </c>
      <c r="E259" s="13" t="s">
        <v>17</v>
      </c>
      <c r="F259" s="14"/>
      <c r="G259" s="14"/>
      <c r="H259" s="14"/>
      <c r="I259" s="14"/>
      <c r="J259" s="14">
        <f t="shared" si="12"/>
        <v>0</v>
      </c>
      <c r="K259" s="14">
        <f t="shared" si="13"/>
        <v>0</v>
      </c>
      <c r="L259" s="17">
        <f t="shared" si="14"/>
        <v>0</v>
      </c>
      <c r="M259" s="14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 spans="1:27" s="2" customFormat="1" ht="14">
      <c r="A260" s="12" t="s">
        <v>714</v>
      </c>
      <c r="B260" s="13" t="s">
        <v>62</v>
      </c>
      <c r="C260" s="13" t="s">
        <v>715</v>
      </c>
      <c r="D260" s="13" t="s">
        <v>704</v>
      </c>
      <c r="E260" s="13" t="s">
        <v>21</v>
      </c>
      <c r="F260" s="14"/>
      <c r="G260" s="14"/>
      <c r="H260" s="14"/>
      <c r="I260" s="14"/>
      <c r="J260" s="14">
        <f t="shared" si="12"/>
        <v>0</v>
      </c>
      <c r="K260" s="14">
        <f t="shared" si="13"/>
        <v>0</v>
      </c>
      <c r="L260" s="17">
        <f t="shared" si="14"/>
        <v>0</v>
      </c>
      <c r="M260" s="14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 spans="1:27" s="2" customFormat="1" ht="14">
      <c r="A261" s="12" t="s">
        <v>716</v>
      </c>
      <c r="B261" s="13" t="s">
        <v>14</v>
      </c>
      <c r="C261" s="13" t="s">
        <v>717</v>
      </c>
      <c r="D261" s="13" t="s">
        <v>718</v>
      </c>
      <c r="E261" s="13" t="s">
        <v>29</v>
      </c>
      <c r="F261" s="14"/>
      <c r="G261" s="14"/>
      <c r="H261" s="14"/>
      <c r="I261" s="14"/>
      <c r="J261" s="14">
        <f t="shared" si="12"/>
        <v>0</v>
      </c>
      <c r="K261" s="14">
        <f t="shared" si="13"/>
        <v>0</v>
      </c>
      <c r="L261" s="17">
        <f t="shared" si="14"/>
        <v>0</v>
      </c>
      <c r="M261" s="14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 spans="1:27" s="2" customFormat="1" ht="14">
      <c r="A262" s="12" t="s">
        <v>719</v>
      </c>
      <c r="B262" s="13" t="s">
        <v>14</v>
      </c>
      <c r="C262" s="13" t="s">
        <v>720</v>
      </c>
      <c r="D262" s="13" t="s">
        <v>721</v>
      </c>
      <c r="E262" s="13" t="s">
        <v>29</v>
      </c>
      <c r="F262" s="14"/>
      <c r="G262" s="14"/>
      <c r="H262" s="14"/>
      <c r="I262" s="14"/>
      <c r="J262" s="14">
        <f t="shared" si="12"/>
        <v>0</v>
      </c>
      <c r="K262" s="14">
        <f t="shared" si="13"/>
        <v>0</v>
      </c>
      <c r="L262" s="17">
        <f t="shared" si="14"/>
        <v>0</v>
      </c>
      <c r="M262" s="14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 spans="1:27" s="2" customFormat="1" ht="14">
      <c r="A263" s="12" t="s">
        <v>722</v>
      </c>
      <c r="B263" s="13" t="s">
        <v>14</v>
      </c>
      <c r="C263" s="13" t="s">
        <v>723</v>
      </c>
      <c r="D263" s="13" t="s">
        <v>679</v>
      </c>
      <c r="E263" s="13" t="s">
        <v>205</v>
      </c>
      <c r="F263" s="14"/>
      <c r="G263" s="14"/>
      <c r="H263" s="14"/>
      <c r="I263" s="14"/>
      <c r="J263" s="14">
        <f t="shared" si="12"/>
        <v>0</v>
      </c>
      <c r="K263" s="14">
        <f t="shared" si="13"/>
        <v>0</v>
      </c>
      <c r="L263" s="17">
        <f t="shared" si="14"/>
        <v>0</v>
      </c>
      <c r="M263" s="14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 spans="1:27" s="2" customFormat="1" ht="14">
      <c r="A264" s="12" t="s">
        <v>724</v>
      </c>
      <c r="B264" s="13" t="s">
        <v>62</v>
      </c>
      <c r="C264" s="13" t="s">
        <v>725</v>
      </c>
      <c r="D264" s="13" t="s">
        <v>726</v>
      </c>
      <c r="E264" s="13" t="s">
        <v>29</v>
      </c>
      <c r="F264" s="14"/>
      <c r="G264" s="14"/>
      <c r="H264" s="14"/>
      <c r="I264" s="14"/>
      <c r="J264" s="14">
        <f t="shared" si="12"/>
        <v>0</v>
      </c>
      <c r="K264" s="14">
        <f t="shared" si="13"/>
        <v>0</v>
      </c>
      <c r="L264" s="17">
        <f t="shared" si="14"/>
        <v>0</v>
      </c>
      <c r="M264" s="14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 spans="1:27" s="2" customFormat="1" ht="14">
      <c r="A265" s="12" t="s">
        <v>727</v>
      </c>
      <c r="B265" s="13" t="s">
        <v>14</v>
      </c>
      <c r="C265" s="13" t="s">
        <v>728</v>
      </c>
      <c r="D265" s="13" t="s">
        <v>729</v>
      </c>
      <c r="E265" s="13" t="s">
        <v>17</v>
      </c>
      <c r="F265" s="14"/>
      <c r="G265" s="14"/>
      <c r="H265" s="14"/>
      <c r="I265" s="14"/>
      <c r="J265" s="14">
        <f t="shared" si="12"/>
        <v>0</v>
      </c>
      <c r="K265" s="14">
        <f t="shared" si="13"/>
        <v>0</v>
      </c>
      <c r="L265" s="17">
        <f t="shared" si="14"/>
        <v>0</v>
      </c>
      <c r="M265" s="14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 spans="1:27" s="2" customFormat="1" ht="14">
      <c r="A266" s="12" t="s">
        <v>730</v>
      </c>
      <c r="B266" s="13" t="s">
        <v>62</v>
      </c>
      <c r="C266" s="13" t="s">
        <v>731</v>
      </c>
      <c r="D266" s="13" t="s">
        <v>732</v>
      </c>
      <c r="E266" s="13" t="s">
        <v>32</v>
      </c>
      <c r="F266" s="14"/>
      <c r="G266" s="14"/>
      <c r="H266" s="14"/>
      <c r="I266" s="14"/>
      <c r="J266" s="14">
        <f t="shared" si="12"/>
        <v>0</v>
      </c>
      <c r="K266" s="14">
        <f t="shared" si="13"/>
        <v>0</v>
      </c>
      <c r="L266" s="17">
        <f t="shared" si="14"/>
        <v>0</v>
      </c>
      <c r="M266" s="14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 spans="1:27" s="2" customFormat="1" ht="14">
      <c r="A267" s="12" t="s">
        <v>733</v>
      </c>
      <c r="B267" s="13" t="s">
        <v>14</v>
      </c>
      <c r="C267" s="13" t="s">
        <v>734</v>
      </c>
      <c r="D267" s="13" t="s">
        <v>735</v>
      </c>
      <c r="E267" s="13" t="s">
        <v>91</v>
      </c>
      <c r="F267" s="14"/>
      <c r="G267" s="14"/>
      <c r="H267" s="14"/>
      <c r="I267" s="14"/>
      <c r="J267" s="14">
        <f t="shared" si="12"/>
        <v>0</v>
      </c>
      <c r="K267" s="14">
        <f t="shared" si="13"/>
        <v>0</v>
      </c>
      <c r="L267" s="17">
        <f t="shared" si="14"/>
        <v>0</v>
      </c>
      <c r="M267" s="14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 spans="1:27" s="2" customFormat="1" ht="14">
      <c r="A268" s="12" t="s">
        <v>736</v>
      </c>
      <c r="B268" s="13" t="s">
        <v>14</v>
      </c>
      <c r="C268" s="13" t="s">
        <v>737</v>
      </c>
      <c r="D268" s="13" t="s">
        <v>738</v>
      </c>
      <c r="E268" s="13" t="s">
        <v>83</v>
      </c>
      <c r="F268" s="14"/>
      <c r="G268" s="14"/>
      <c r="H268" s="14"/>
      <c r="I268" s="14"/>
      <c r="J268" s="14">
        <f t="shared" si="12"/>
        <v>0</v>
      </c>
      <c r="K268" s="14">
        <f t="shared" si="13"/>
        <v>0</v>
      </c>
      <c r="L268" s="17">
        <f t="shared" si="14"/>
        <v>0</v>
      </c>
      <c r="M268" s="14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 spans="1:27" s="2" customFormat="1" ht="14">
      <c r="A269" s="12" t="s">
        <v>739</v>
      </c>
      <c r="B269" s="13" t="s">
        <v>62</v>
      </c>
      <c r="C269" s="13" t="s">
        <v>740</v>
      </c>
      <c r="D269" s="13" t="s">
        <v>741</v>
      </c>
      <c r="E269" s="13" t="s">
        <v>126</v>
      </c>
      <c r="F269" s="14"/>
      <c r="G269" s="14"/>
      <c r="H269" s="14"/>
      <c r="I269" s="14"/>
      <c r="J269" s="14">
        <f t="shared" si="12"/>
        <v>0</v>
      </c>
      <c r="K269" s="14">
        <f t="shared" si="13"/>
        <v>0</v>
      </c>
      <c r="L269" s="17">
        <f t="shared" si="14"/>
        <v>0</v>
      </c>
      <c r="M269" s="14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 spans="1:27" s="2" customFormat="1" ht="14">
      <c r="A270" s="12" t="s">
        <v>742</v>
      </c>
      <c r="B270" s="13" t="s">
        <v>14</v>
      </c>
      <c r="C270" s="13" t="s">
        <v>743</v>
      </c>
      <c r="D270" s="13" t="s">
        <v>744</v>
      </c>
      <c r="E270" s="13" t="s">
        <v>46</v>
      </c>
      <c r="F270" s="14"/>
      <c r="G270" s="14"/>
      <c r="H270" s="14"/>
      <c r="I270" s="14"/>
      <c r="J270" s="14">
        <f t="shared" si="12"/>
        <v>0</v>
      </c>
      <c r="K270" s="14">
        <f t="shared" si="13"/>
        <v>0</v>
      </c>
      <c r="L270" s="17">
        <f t="shared" si="14"/>
        <v>0</v>
      </c>
      <c r="M270" s="14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 spans="1:27" s="2" customFormat="1" ht="14">
      <c r="A271" s="12" t="s">
        <v>745</v>
      </c>
      <c r="B271" s="13" t="s">
        <v>14</v>
      </c>
      <c r="C271" s="13" t="s">
        <v>746</v>
      </c>
      <c r="D271" s="13" t="s">
        <v>747</v>
      </c>
      <c r="E271" s="13" t="s">
        <v>201</v>
      </c>
      <c r="F271" s="14"/>
      <c r="G271" s="14"/>
      <c r="H271" s="14"/>
      <c r="I271" s="14"/>
      <c r="J271" s="14">
        <f t="shared" si="12"/>
        <v>0</v>
      </c>
      <c r="K271" s="14">
        <f t="shared" si="13"/>
        <v>0</v>
      </c>
      <c r="L271" s="17">
        <f t="shared" si="14"/>
        <v>0</v>
      </c>
      <c r="M271" s="14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 spans="1:27" s="2" customFormat="1" ht="14">
      <c r="A272" s="12" t="s">
        <v>748</v>
      </c>
      <c r="B272" s="13" t="s">
        <v>14</v>
      </c>
      <c r="C272" s="13" t="s">
        <v>749</v>
      </c>
      <c r="D272" s="13" t="s">
        <v>750</v>
      </c>
      <c r="E272" s="13" t="s">
        <v>68</v>
      </c>
      <c r="F272" s="14"/>
      <c r="G272" s="14"/>
      <c r="H272" s="14"/>
      <c r="I272" s="14"/>
      <c r="J272" s="14">
        <f t="shared" si="12"/>
        <v>0</v>
      </c>
      <c r="K272" s="14">
        <f t="shared" si="13"/>
        <v>0</v>
      </c>
      <c r="L272" s="17">
        <f t="shared" si="14"/>
        <v>0</v>
      </c>
      <c r="M272" s="14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 spans="1:27" s="2" customFormat="1" ht="14">
      <c r="A273" s="12" t="s">
        <v>751</v>
      </c>
      <c r="B273" s="13" t="s">
        <v>14</v>
      </c>
      <c r="C273" s="13" t="s">
        <v>752</v>
      </c>
      <c r="D273" s="13" t="s">
        <v>753</v>
      </c>
      <c r="E273" s="13" t="s">
        <v>68</v>
      </c>
      <c r="F273" s="14"/>
      <c r="G273" s="14"/>
      <c r="H273" s="14"/>
      <c r="I273" s="14"/>
      <c r="J273" s="14">
        <f t="shared" si="12"/>
        <v>0</v>
      </c>
      <c r="K273" s="14">
        <f t="shared" si="13"/>
        <v>0</v>
      </c>
      <c r="L273" s="17">
        <f t="shared" si="14"/>
        <v>0</v>
      </c>
      <c r="M273" s="14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 spans="1:27" s="2" customFormat="1" ht="14">
      <c r="A274" s="12" t="s">
        <v>754</v>
      </c>
      <c r="B274" s="13" t="s">
        <v>14</v>
      </c>
      <c r="C274" s="13" t="s">
        <v>755</v>
      </c>
      <c r="D274" s="13" t="s">
        <v>753</v>
      </c>
      <c r="E274" s="13" t="s">
        <v>183</v>
      </c>
      <c r="F274" s="14"/>
      <c r="G274" s="14"/>
      <c r="H274" s="14"/>
      <c r="I274" s="14"/>
      <c r="J274" s="14">
        <f t="shared" si="12"/>
        <v>0</v>
      </c>
      <c r="K274" s="14">
        <f t="shared" si="13"/>
        <v>0</v>
      </c>
      <c r="L274" s="17">
        <f t="shared" si="14"/>
        <v>0</v>
      </c>
      <c r="M274" s="14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 spans="1:27" s="2" customFormat="1" ht="14">
      <c r="A275" s="12" t="s">
        <v>756</v>
      </c>
      <c r="B275" s="13" t="s">
        <v>14</v>
      </c>
      <c r="C275" s="13" t="s">
        <v>757</v>
      </c>
      <c r="D275" s="13" t="s">
        <v>753</v>
      </c>
      <c r="E275" s="13" t="s">
        <v>97</v>
      </c>
      <c r="F275" s="14"/>
      <c r="G275" s="14"/>
      <c r="H275" s="14"/>
      <c r="I275" s="14"/>
      <c r="J275" s="14">
        <f t="shared" si="12"/>
        <v>0</v>
      </c>
      <c r="K275" s="14">
        <f t="shared" si="13"/>
        <v>0</v>
      </c>
      <c r="L275" s="17">
        <f t="shared" si="14"/>
        <v>0</v>
      </c>
      <c r="M275" s="14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 spans="1:27" s="2" customFormat="1" ht="14">
      <c r="A276" s="12" t="s">
        <v>758</v>
      </c>
      <c r="B276" s="13" t="s">
        <v>62</v>
      </c>
      <c r="C276" s="13" t="s">
        <v>759</v>
      </c>
      <c r="D276" s="13" t="s">
        <v>760</v>
      </c>
      <c r="E276" s="13" t="s">
        <v>68</v>
      </c>
      <c r="F276" s="14"/>
      <c r="G276" s="14"/>
      <c r="H276" s="14"/>
      <c r="I276" s="14"/>
      <c r="J276" s="14">
        <f t="shared" si="12"/>
        <v>0</v>
      </c>
      <c r="K276" s="14">
        <f t="shared" si="13"/>
        <v>0</v>
      </c>
      <c r="L276" s="17">
        <f t="shared" si="14"/>
        <v>0</v>
      </c>
      <c r="M276" s="14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 spans="1:27" s="2" customFormat="1" ht="14">
      <c r="A277" s="12" t="s">
        <v>761</v>
      </c>
      <c r="B277" s="13" t="s">
        <v>14</v>
      </c>
      <c r="C277" s="13" t="s">
        <v>762</v>
      </c>
      <c r="D277" s="13" t="s">
        <v>763</v>
      </c>
      <c r="E277" s="13" t="s">
        <v>285</v>
      </c>
      <c r="F277" s="14"/>
      <c r="G277" s="14"/>
      <c r="H277" s="14"/>
      <c r="I277" s="14"/>
      <c r="J277" s="14">
        <f t="shared" si="12"/>
        <v>0</v>
      </c>
      <c r="K277" s="14">
        <f t="shared" si="13"/>
        <v>0</v>
      </c>
      <c r="L277" s="17">
        <f t="shared" si="14"/>
        <v>0</v>
      </c>
      <c r="M277" s="14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 spans="1:27" s="2" customFormat="1" ht="14">
      <c r="A278" s="12" t="s">
        <v>764</v>
      </c>
      <c r="B278" s="13" t="s">
        <v>14</v>
      </c>
      <c r="C278" s="13" t="s">
        <v>765</v>
      </c>
      <c r="D278" s="13" t="s">
        <v>766</v>
      </c>
      <c r="E278" s="13" t="s">
        <v>68</v>
      </c>
      <c r="F278" s="14"/>
      <c r="G278" s="14"/>
      <c r="H278" s="14"/>
      <c r="I278" s="14"/>
      <c r="J278" s="14">
        <f t="shared" si="12"/>
        <v>0</v>
      </c>
      <c r="K278" s="14">
        <f t="shared" si="13"/>
        <v>0</v>
      </c>
      <c r="L278" s="17">
        <f t="shared" si="14"/>
        <v>0</v>
      </c>
      <c r="M278" s="14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 spans="1:27" s="2" customFormat="1" ht="14">
      <c r="A279" s="12" t="s">
        <v>767</v>
      </c>
      <c r="B279" s="13" t="s">
        <v>14</v>
      </c>
      <c r="C279" s="13" t="s">
        <v>768</v>
      </c>
      <c r="D279" s="13" t="s">
        <v>760</v>
      </c>
      <c r="E279" s="13" t="s">
        <v>183</v>
      </c>
      <c r="F279" s="14"/>
      <c r="G279" s="14"/>
      <c r="H279" s="14"/>
      <c r="I279" s="14"/>
      <c r="J279" s="14">
        <f t="shared" si="12"/>
        <v>0</v>
      </c>
      <c r="K279" s="14">
        <f t="shared" si="13"/>
        <v>0</v>
      </c>
      <c r="L279" s="17">
        <f t="shared" si="14"/>
        <v>0</v>
      </c>
      <c r="M279" s="14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 spans="1:27" s="2" customFormat="1" ht="14">
      <c r="A280" s="12" t="s">
        <v>769</v>
      </c>
      <c r="B280" s="13" t="s">
        <v>62</v>
      </c>
      <c r="C280" s="13" t="s">
        <v>770</v>
      </c>
      <c r="D280" s="13" t="s">
        <v>771</v>
      </c>
      <c r="E280" s="13" t="s">
        <v>126</v>
      </c>
      <c r="F280" s="14"/>
      <c r="G280" s="14"/>
      <c r="H280" s="14"/>
      <c r="I280" s="14"/>
      <c r="J280" s="14">
        <f t="shared" si="12"/>
        <v>0</v>
      </c>
      <c r="K280" s="14">
        <f t="shared" si="13"/>
        <v>0</v>
      </c>
      <c r="L280" s="17">
        <f t="shared" si="14"/>
        <v>0</v>
      </c>
      <c r="M280" s="14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 spans="1:27" s="2" customFormat="1" ht="14">
      <c r="A281" s="12" t="s">
        <v>772</v>
      </c>
      <c r="B281" s="13" t="s">
        <v>14</v>
      </c>
      <c r="C281" s="13" t="s">
        <v>773</v>
      </c>
      <c r="D281" s="13" t="s">
        <v>771</v>
      </c>
      <c r="E281" s="13" t="s">
        <v>91</v>
      </c>
      <c r="F281" s="14"/>
      <c r="G281" s="14"/>
      <c r="H281" s="14"/>
      <c r="I281" s="14"/>
      <c r="J281" s="14">
        <f t="shared" si="12"/>
        <v>0</v>
      </c>
      <c r="K281" s="14">
        <f t="shared" si="13"/>
        <v>0</v>
      </c>
      <c r="L281" s="17">
        <f t="shared" si="14"/>
        <v>0</v>
      </c>
      <c r="M281" s="14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 spans="1:27" s="2" customFormat="1" ht="14">
      <c r="A282" s="12" t="s">
        <v>774</v>
      </c>
      <c r="B282" s="13" t="s">
        <v>14</v>
      </c>
      <c r="C282" s="13" t="s">
        <v>775</v>
      </c>
      <c r="D282" s="13" t="s">
        <v>766</v>
      </c>
      <c r="E282" s="13" t="s">
        <v>32</v>
      </c>
      <c r="F282" s="14"/>
      <c r="G282" s="14"/>
      <c r="H282" s="14"/>
      <c r="I282" s="14"/>
      <c r="J282" s="14">
        <f t="shared" si="12"/>
        <v>0</v>
      </c>
      <c r="K282" s="14">
        <f t="shared" si="13"/>
        <v>0</v>
      </c>
      <c r="L282" s="17">
        <f t="shared" si="14"/>
        <v>0</v>
      </c>
      <c r="M282" s="14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 spans="1:27" s="2" customFormat="1" ht="14">
      <c r="A283" s="12" t="s">
        <v>776</v>
      </c>
      <c r="B283" s="13" t="s">
        <v>14</v>
      </c>
      <c r="C283" s="13" t="s">
        <v>777</v>
      </c>
      <c r="D283" s="13" t="s">
        <v>753</v>
      </c>
      <c r="E283" s="13" t="s">
        <v>32</v>
      </c>
      <c r="F283" s="14"/>
      <c r="G283" s="14"/>
      <c r="H283" s="14"/>
      <c r="I283" s="14"/>
      <c r="J283" s="14">
        <f t="shared" si="12"/>
        <v>0</v>
      </c>
      <c r="K283" s="14">
        <f t="shared" si="13"/>
        <v>0</v>
      </c>
      <c r="L283" s="17">
        <f t="shared" si="14"/>
        <v>0</v>
      </c>
      <c r="M283" s="14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 spans="1:27" s="2" customFormat="1" ht="14">
      <c r="A284" s="12" t="s">
        <v>778</v>
      </c>
      <c r="B284" s="13" t="s">
        <v>62</v>
      </c>
      <c r="C284" s="13" t="s">
        <v>779</v>
      </c>
      <c r="D284" s="13" t="s">
        <v>780</v>
      </c>
      <c r="E284" s="13" t="s">
        <v>114</v>
      </c>
      <c r="F284" s="14"/>
      <c r="G284" s="14"/>
      <c r="H284" s="14"/>
      <c r="I284" s="14"/>
      <c r="J284" s="14">
        <f t="shared" si="12"/>
        <v>0</v>
      </c>
      <c r="K284" s="14">
        <f t="shared" si="13"/>
        <v>0</v>
      </c>
      <c r="L284" s="17">
        <f t="shared" si="14"/>
        <v>0</v>
      </c>
      <c r="M284" s="14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 spans="1:27" s="2" customFormat="1" ht="14">
      <c r="A285" s="12" t="s">
        <v>781</v>
      </c>
      <c r="B285" s="13" t="s">
        <v>14</v>
      </c>
      <c r="C285" s="13" t="s">
        <v>782</v>
      </c>
      <c r="D285" s="13" t="s">
        <v>783</v>
      </c>
      <c r="E285" s="13" t="s">
        <v>488</v>
      </c>
      <c r="F285" s="14"/>
      <c r="G285" s="14"/>
      <c r="H285" s="14"/>
      <c r="I285" s="14"/>
      <c r="J285" s="14">
        <f t="shared" si="12"/>
        <v>0</v>
      </c>
      <c r="K285" s="14">
        <f t="shared" si="13"/>
        <v>0</v>
      </c>
      <c r="L285" s="17">
        <f t="shared" si="14"/>
        <v>0</v>
      </c>
      <c r="M285" s="14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 spans="1:27" s="2" customFormat="1" ht="14">
      <c r="A286" s="12" t="s">
        <v>784</v>
      </c>
      <c r="B286" s="13" t="s">
        <v>14</v>
      </c>
      <c r="C286" s="13" t="s">
        <v>785</v>
      </c>
      <c r="D286" s="13" t="s">
        <v>783</v>
      </c>
      <c r="E286" s="13" t="s">
        <v>267</v>
      </c>
      <c r="F286" s="14"/>
      <c r="G286" s="14"/>
      <c r="H286" s="14"/>
      <c r="I286" s="14"/>
      <c r="J286" s="14">
        <f t="shared" si="12"/>
        <v>0</v>
      </c>
      <c r="K286" s="14">
        <f t="shared" si="13"/>
        <v>0</v>
      </c>
      <c r="L286" s="17">
        <f t="shared" si="14"/>
        <v>0</v>
      </c>
      <c r="M286" s="14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 spans="1:27" s="2" customFormat="1" ht="14">
      <c r="A287" s="12" t="s">
        <v>786</v>
      </c>
      <c r="B287" s="13" t="s">
        <v>14</v>
      </c>
      <c r="C287" s="13" t="s">
        <v>787</v>
      </c>
      <c r="D287" s="13" t="s">
        <v>788</v>
      </c>
      <c r="E287" s="13" t="s">
        <v>789</v>
      </c>
      <c r="F287" s="14"/>
      <c r="G287" s="14"/>
      <c r="H287" s="14"/>
      <c r="I287" s="14"/>
      <c r="J287" s="14">
        <f t="shared" si="12"/>
        <v>0</v>
      </c>
      <c r="K287" s="14">
        <f t="shared" si="13"/>
        <v>0</v>
      </c>
      <c r="L287" s="17">
        <f t="shared" si="14"/>
        <v>0</v>
      </c>
      <c r="M287" s="14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 spans="1:27" s="2" customFormat="1" ht="14">
      <c r="A288" s="12" t="s">
        <v>790</v>
      </c>
      <c r="B288" s="13" t="s">
        <v>14</v>
      </c>
      <c r="C288" s="13" t="s">
        <v>791</v>
      </c>
      <c r="D288" s="13" t="s">
        <v>780</v>
      </c>
      <c r="E288" s="13" t="s">
        <v>72</v>
      </c>
      <c r="F288" s="14"/>
      <c r="G288" s="14"/>
      <c r="H288" s="14"/>
      <c r="I288" s="14"/>
      <c r="J288" s="14">
        <f t="shared" si="12"/>
        <v>0</v>
      </c>
      <c r="K288" s="14">
        <f t="shared" si="13"/>
        <v>0</v>
      </c>
      <c r="L288" s="17">
        <f t="shared" si="14"/>
        <v>0</v>
      </c>
      <c r="M288" s="14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 spans="1:27" s="2" customFormat="1" ht="14">
      <c r="A289" s="12" t="s">
        <v>792</v>
      </c>
      <c r="B289" s="13" t="s">
        <v>14</v>
      </c>
      <c r="C289" s="13" t="s">
        <v>793</v>
      </c>
      <c r="D289" s="13" t="s">
        <v>780</v>
      </c>
      <c r="E289" s="13" t="s">
        <v>446</v>
      </c>
      <c r="F289" s="14"/>
      <c r="G289" s="14"/>
      <c r="H289" s="14"/>
      <c r="I289" s="14"/>
      <c r="J289" s="14">
        <f t="shared" si="12"/>
        <v>0</v>
      </c>
      <c r="K289" s="14">
        <f t="shared" si="13"/>
        <v>0</v>
      </c>
      <c r="L289" s="17">
        <f t="shared" si="14"/>
        <v>0</v>
      </c>
      <c r="M289" s="14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 spans="1:27" s="2" customFormat="1" ht="14">
      <c r="A290" s="12" t="s">
        <v>794</v>
      </c>
      <c r="B290" s="13" t="s">
        <v>14</v>
      </c>
      <c r="C290" s="13" t="s">
        <v>795</v>
      </c>
      <c r="D290" s="13" t="s">
        <v>788</v>
      </c>
      <c r="E290" s="13" t="s">
        <v>68</v>
      </c>
      <c r="F290" s="14"/>
      <c r="G290" s="14"/>
      <c r="H290" s="14"/>
      <c r="I290" s="14"/>
      <c r="J290" s="14">
        <f t="shared" si="12"/>
        <v>0</v>
      </c>
      <c r="K290" s="14">
        <f t="shared" si="13"/>
        <v>0</v>
      </c>
      <c r="L290" s="17">
        <f t="shared" si="14"/>
        <v>0</v>
      </c>
      <c r="M290" s="14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 spans="1:27" s="2" customFormat="1" ht="14">
      <c r="A291" s="12" t="s">
        <v>796</v>
      </c>
      <c r="B291" s="13" t="s">
        <v>62</v>
      </c>
      <c r="C291" s="13" t="s">
        <v>797</v>
      </c>
      <c r="D291" s="13" t="s">
        <v>780</v>
      </c>
      <c r="E291" s="13" t="s">
        <v>220</v>
      </c>
      <c r="F291" s="14"/>
      <c r="G291" s="14"/>
      <c r="H291" s="14"/>
      <c r="I291" s="14"/>
      <c r="J291" s="14">
        <f t="shared" si="12"/>
        <v>0</v>
      </c>
      <c r="K291" s="14">
        <f t="shared" si="13"/>
        <v>0</v>
      </c>
      <c r="L291" s="17">
        <f t="shared" si="14"/>
        <v>0</v>
      </c>
      <c r="M291" s="14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 spans="1:27" s="2" customFormat="1" ht="14">
      <c r="A292" s="12" t="s">
        <v>798</v>
      </c>
      <c r="B292" s="13" t="s">
        <v>14</v>
      </c>
      <c r="C292" s="13" t="s">
        <v>799</v>
      </c>
      <c r="D292" s="13" t="s">
        <v>780</v>
      </c>
      <c r="E292" s="13" t="s">
        <v>29</v>
      </c>
      <c r="F292" s="14"/>
      <c r="G292" s="14"/>
      <c r="H292" s="14"/>
      <c r="I292" s="14"/>
      <c r="J292" s="14">
        <f t="shared" si="12"/>
        <v>0</v>
      </c>
      <c r="K292" s="14">
        <f t="shared" si="13"/>
        <v>0</v>
      </c>
      <c r="L292" s="17">
        <f t="shared" si="14"/>
        <v>0</v>
      </c>
      <c r="M292" s="14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 spans="1:27" s="2" customFormat="1" ht="14">
      <c r="A293" s="12" t="s">
        <v>800</v>
      </c>
      <c r="B293" s="13" t="s">
        <v>14</v>
      </c>
      <c r="C293" s="13" t="s">
        <v>801</v>
      </c>
      <c r="D293" s="13" t="s">
        <v>780</v>
      </c>
      <c r="E293" s="13" t="s">
        <v>285</v>
      </c>
      <c r="F293" s="14"/>
      <c r="G293" s="14"/>
      <c r="H293" s="14"/>
      <c r="I293" s="14"/>
      <c r="J293" s="14">
        <f t="shared" si="12"/>
        <v>0</v>
      </c>
      <c r="K293" s="14">
        <f t="shared" si="13"/>
        <v>0</v>
      </c>
      <c r="L293" s="17">
        <f t="shared" si="14"/>
        <v>0</v>
      </c>
      <c r="M293" s="14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 spans="1:27" s="2" customFormat="1" ht="14">
      <c r="A294" s="12" t="s">
        <v>802</v>
      </c>
      <c r="B294" s="13" t="s">
        <v>14</v>
      </c>
      <c r="C294" s="13" t="s">
        <v>803</v>
      </c>
      <c r="D294" s="13" t="s">
        <v>804</v>
      </c>
      <c r="E294" s="13" t="s">
        <v>25</v>
      </c>
      <c r="F294" s="14"/>
      <c r="G294" s="14"/>
      <c r="H294" s="14"/>
      <c r="I294" s="14"/>
      <c r="J294" s="14">
        <f t="shared" si="12"/>
        <v>0</v>
      </c>
      <c r="K294" s="14">
        <f t="shared" si="13"/>
        <v>0</v>
      </c>
      <c r="L294" s="17">
        <f t="shared" si="14"/>
        <v>0</v>
      </c>
      <c r="M294" s="14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 spans="1:27" s="2" customFormat="1" ht="14">
      <c r="A295" s="12" t="s">
        <v>805</v>
      </c>
      <c r="B295" s="13" t="s">
        <v>14</v>
      </c>
      <c r="C295" s="13" t="s">
        <v>806</v>
      </c>
      <c r="D295" s="13" t="s">
        <v>807</v>
      </c>
      <c r="E295" s="13" t="s">
        <v>68</v>
      </c>
      <c r="F295" s="14"/>
      <c r="G295" s="14"/>
      <c r="H295" s="14"/>
      <c r="I295" s="14"/>
      <c r="J295" s="14">
        <f t="shared" si="12"/>
        <v>0</v>
      </c>
      <c r="K295" s="14">
        <f t="shared" si="13"/>
        <v>0</v>
      </c>
      <c r="L295" s="17">
        <f t="shared" si="14"/>
        <v>0</v>
      </c>
      <c r="M295" s="14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 spans="1:27" s="2" customFormat="1" ht="14">
      <c r="A296" s="12" t="s">
        <v>808</v>
      </c>
      <c r="B296" s="13" t="s">
        <v>14</v>
      </c>
      <c r="C296" s="13" t="s">
        <v>809</v>
      </c>
      <c r="D296" s="13" t="s">
        <v>810</v>
      </c>
      <c r="E296" s="13" t="s">
        <v>17</v>
      </c>
      <c r="F296" s="14"/>
      <c r="G296" s="14"/>
      <c r="H296" s="14"/>
      <c r="I296" s="14"/>
      <c r="J296" s="14">
        <f t="shared" si="12"/>
        <v>0</v>
      </c>
      <c r="K296" s="14">
        <f t="shared" si="13"/>
        <v>0</v>
      </c>
      <c r="L296" s="17">
        <f t="shared" si="14"/>
        <v>0</v>
      </c>
      <c r="M296" s="14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 spans="1:27" s="2" customFormat="1" ht="14">
      <c r="A297" s="12" t="s">
        <v>811</v>
      </c>
      <c r="B297" s="13" t="s">
        <v>14</v>
      </c>
      <c r="C297" s="13" t="s">
        <v>812</v>
      </c>
      <c r="D297" s="13" t="s">
        <v>813</v>
      </c>
      <c r="E297" s="13" t="s">
        <v>220</v>
      </c>
      <c r="F297" s="14"/>
      <c r="G297" s="14"/>
      <c r="H297" s="14"/>
      <c r="I297" s="14"/>
      <c r="J297" s="14">
        <f t="shared" si="12"/>
        <v>0</v>
      </c>
      <c r="K297" s="14">
        <f t="shared" si="13"/>
        <v>0</v>
      </c>
      <c r="L297" s="17">
        <f t="shared" si="14"/>
        <v>0</v>
      </c>
      <c r="M297" s="14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 spans="1:27" s="2" customFormat="1" ht="14">
      <c r="A298" s="12" t="s">
        <v>814</v>
      </c>
      <c r="B298" s="13" t="s">
        <v>14</v>
      </c>
      <c r="C298" s="13" t="s">
        <v>815</v>
      </c>
      <c r="D298" s="13" t="s">
        <v>813</v>
      </c>
      <c r="E298" s="13" t="s">
        <v>215</v>
      </c>
      <c r="F298" s="14"/>
      <c r="G298" s="14"/>
      <c r="H298" s="14"/>
      <c r="I298" s="14"/>
      <c r="J298" s="14">
        <f t="shared" si="12"/>
        <v>0</v>
      </c>
      <c r="K298" s="14">
        <f t="shared" si="13"/>
        <v>0</v>
      </c>
      <c r="L298" s="17">
        <f t="shared" si="14"/>
        <v>0</v>
      </c>
      <c r="M298" s="14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 spans="1:27" s="2" customFormat="1" ht="14">
      <c r="A299" s="12" t="s">
        <v>816</v>
      </c>
      <c r="B299" s="13" t="s">
        <v>14</v>
      </c>
      <c r="C299" s="13" t="s">
        <v>817</v>
      </c>
      <c r="D299" s="13" t="s">
        <v>810</v>
      </c>
      <c r="E299" s="13" t="s">
        <v>68</v>
      </c>
      <c r="F299" s="14"/>
      <c r="G299" s="14"/>
      <c r="H299" s="14"/>
      <c r="I299" s="14"/>
      <c r="J299" s="14">
        <f t="shared" si="12"/>
        <v>0</v>
      </c>
      <c r="K299" s="14">
        <f t="shared" si="13"/>
        <v>0</v>
      </c>
      <c r="L299" s="17">
        <f t="shared" si="14"/>
        <v>0</v>
      </c>
      <c r="M299" s="14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 spans="1:27" s="2" customFormat="1" ht="14">
      <c r="A300" s="12" t="s">
        <v>818</v>
      </c>
      <c r="B300" s="13" t="s">
        <v>62</v>
      </c>
      <c r="C300" s="13" t="s">
        <v>819</v>
      </c>
      <c r="D300" s="13" t="s">
        <v>810</v>
      </c>
      <c r="E300" s="13" t="s">
        <v>354</v>
      </c>
      <c r="F300" s="14"/>
      <c r="G300" s="14"/>
      <c r="H300" s="14"/>
      <c r="I300" s="14"/>
      <c r="J300" s="14">
        <f t="shared" si="12"/>
        <v>0</v>
      </c>
      <c r="K300" s="14">
        <f t="shared" si="13"/>
        <v>0</v>
      </c>
      <c r="L300" s="17">
        <f t="shared" si="14"/>
        <v>0</v>
      </c>
      <c r="M300" s="14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 spans="1:27" s="2" customFormat="1" ht="14">
      <c r="A301" s="12" t="s">
        <v>820</v>
      </c>
      <c r="B301" s="13" t="s">
        <v>14</v>
      </c>
      <c r="C301" s="13" t="s">
        <v>821</v>
      </c>
      <c r="D301" s="13" t="s">
        <v>822</v>
      </c>
      <c r="E301" s="13" t="s">
        <v>156</v>
      </c>
      <c r="F301" s="14"/>
      <c r="G301" s="14"/>
      <c r="H301" s="14"/>
      <c r="I301" s="14"/>
      <c r="J301" s="14">
        <f t="shared" si="12"/>
        <v>0</v>
      </c>
      <c r="K301" s="14">
        <f t="shared" si="13"/>
        <v>0</v>
      </c>
      <c r="L301" s="17">
        <f t="shared" si="14"/>
        <v>0</v>
      </c>
      <c r="M301" s="14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 spans="1:27" s="2" customFormat="1" ht="14">
      <c r="A302" s="12" t="s">
        <v>823</v>
      </c>
      <c r="B302" s="13" t="s">
        <v>14</v>
      </c>
      <c r="C302" s="13" t="s">
        <v>824</v>
      </c>
      <c r="D302" s="13" t="s">
        <v>822</v>
      </c>
      <c r="E302" s="13" t="s">
        <v>17</v>
      </c>
      <c r="F302" s="14"/>
      <c r="G302" s="14"/>
      <c r="H302" s="14"/>
      <c r="I302" s="14"/>
      <c r="J302" s="14">
        <f t="shared" si="12"/>
        <v>0</v>
      </c>
      <c r="K302" s="14">
        <f t="shared" si="13"/>
        <v>0</v>
      </c>
      <c r="L302" s="17">
        <f t="shared" si="14"/>
        <v>0</v>
      </c>
      <c r="M302" s="14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 spans="1:27" s="2" customFormat="1" ht="14">
      <c r="A303" s="12" t="s">
        <v>825</v>
      </c>
      <c r="B303" s="13" t="s">
        <v>62</v>
      </c>
      <c r="C303" s="13" t="s">
        <v>826</v>
      </c>
      <c r="D303" s="13" t="s">
        <v>827</v>
      </c>
      <c r="E303" s="13" t="s">
        <v>21</v>
      </c>
      <c r="F303" s="14"/>
      <c r="G303" s="14"/>
      <c r="H303" s="14"/>
      <c r="I303" s="14"/>
      <c r="J303" s="14">
        <f t="shared" si="12"/>
        <v>0</v>
      </c>
      <c r="K303" s="14">
        <f t="shared" si="13"/>
        <v>0</v>
      </c>
      <c r="L303" s="17">
        <f t="shared" si="14"/>
        <v>0</v>
      </c>
      <c r="M303" s="14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 spans="1:27" s="2" customFormat="1" ht="14">
      <c r="A304" s="12" t="s">
        <v>828</v>
      </c>
      <c r="B304" s="13" t="s">
        <v>14</v>
      </c>
      <c r="C304" s="13" t="s">
        <v>829</v>
      </c>
      <c r="D304" s="13" t="s">
        <v>830</v>
      </c>
      <c r="E304" s="13" t="s">
        <v>136</v>
      </c>
      <c r="F304" s="14"/>
      <c r="G304" s="14"/>
      <c r="H304" s="14"/>
      <c r="I304" s="14"/>
      <c r="J304" s="14">
        <f t="shared" si="12"/>
        <v>0</v>
      </c>
      <c r="K304" s="14">
        <f t="shared" si="13"/>
        <v>0</v>
      </c>
      <c r="L304" s="17">
        <f t="shared" si="14"/>
        <v>0</v>
      </c>
      <c r="M304" s="14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 spans="1:27" s="2" customFormat="1" ht="14">
      <c r="A305" s="12" t="s">
        <v>831</v>
      </c>
      <c r="B305" s="13" t="s">
        <v>14</v>
      </c>
      <c r="C305" s="13" t="s">
        <v>832</v>
      </c>
      <c r="D305" s="13" t="s">
        <v>833</v>
      </c>
      <c r="E305" s="13" t="s">
        <v>17</v>
      </c>
      <c r="F305" s="14"/>
      <c r="G305" s="14"/>
      <c r="H305" s="14"/>
      <c r="I305" s="14"/>
      <c r="J305" s="14">
        <f t="shared" si="12"/>
        <v>0</v>
      </c>
      <c r="K305" s="14">
        <f t="shared" si="13"/>
        <v>0</v>
      </c>
      <c r="L305" s="17">
        <f t="shared" si="14"/>
        <v>0</v>
      </c>
      <c r="M305" s="14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 spans="1:27" s="2" customFormat="1" ht="14">
      <c r="A306" s="12" t="s">
        <v>834</v>
      </c>
      <c r="B306" s="13" t="s">
        <v>14</v>
      </c>
      <c r="C306" s="13" t="s">
        <v>835</v>
      </c>
      <c r="D306" s="13" t="s">
        <v>836</v>
      </c>
      <c r="E306" s="13" t="s">
        <v>837</v>
      </c>
      <c r="F306" s="14"/>
      <c r="G306" s="14"/>
      <c r="H306" s="14"/>
      <c r="I306" s="14"/>
      <c r="J306" s="14">
        <f t="shared" si="12"/>
        <v>0</v>
      </c>
      <c r="K306" s="14">
        <f t="shared" si="13"/>
        <v>0</v>
      </c>
      <c r="L306" s="17">
        <f t="shared" si="14"/>
        <v>0</v>
      </c>
      <c r="M306" s="14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 spans="1:27" s="2" customFormat="1" ht="14">
      <c r="A307" s="12" t="s">
        <v>838</v>
      </c>
      <c r="B307" s="13" t="s">
        <v>62</v>
      </c>
      <c r="C307" s="13" t="s">
        <v>839</v>
      </c>
      <c r="D307" s="13" t="s">
        <v>830</v>
      </c>
      <c r="E307" s="13" t="s">
        <v>201</v>
      </c>
      <c r="F307" s="14"/>
      <c r="G307" s="14"/>
      <c r="H307" s="14"/>
      <c r="I307" s="14"/>
      <c r="J307" s="14">
        <f t="shared" si="12"/>
        <v>0</v>
      </c>
      <c r="K307" s="14">
        <f t="shared" si="13"/>
        <v>0</v>
      </c>
      <c r="L307" s="17">
        <f t="shared" si="14"/>
        <v>0</v>
      </c>
      <c r="M307" s="14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 spans="1:27" s="2" customFormat="1" ht="14">
      <c r="A308" s="12" t="s">
        <v>840</v>
      </c>
      <c r="B308" s="13" t="s">
        <v>62</v>
      </c>
      <c r="C308" s="13" t="s">
        <v>841</v>
      </c>
      <c r="D308" s="13" t="s">
        <v>830</v>
      </c>
      <c r="E308" s="13" t="s">
        <v>104</v>
      </c>
      <c r="F308" s="14"/>
      <c r="G308" s="14"/>
      <c r="H308" s="14"/>
      <c r="I308" s="14"/>
      <c r="J308" s="14">
        <f t="shared" si="12"/>
        <v>0</v>
      </c>
      <c r="K308" s="14">
        <f t="shared" si="13"/>
        <v>0</v>
      </c>
      <c r="L308" s="17">
        <f t="shared" si="14"/>
        <v>0</v>
      </c>
      <c r="M308" s="14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 spans="1:27" s="2" customFormat="1" ht="14">
      <c r="A309" s="12" t="s">
        <v>842</v>
      </c>
      <c r="B309" s="13" t="s">
        <v>14</v>
      </c>
      <c r="C309" s="13" t="s">
        <v>843</v>
      </c>
      <c r="D309" s="13" t="s">
        <v>833</v>
      </c>
      <c r="E309" s="13" t="s">
        <v>220</v>
      </c>
      <c r="F309" s="14"/>
      <c r="G309" s="14"/>
      <c r="H309" s="14"/>
      <c r="I309" s="14"/>
      <c r="J309" s="14">
        <f t="shared" si="12"/>
        <v>0</v>
      </c>
      <c r="K309" s="14">
        <f t="shared" si="13"/>
        <v>0</v>
      </c>
      <c r="L309" s="17">
        <f t="shared" si="14"/>
        <v>0</v>
      </c>
      <c r="M309" s="14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 spans="1:27" s="2" customFormat="1" ht="14">
      <c r="A310" s="12" t="s">
        <v>844</v>
      </c>
      <c r="B310" s="13" t="s">
        <v>62</v>
      </c>
      <c r="C310" s="13" t="s">
        <v>845</v>
      </c>
      <c r="D310" s="13" t="s">
        <v>846</v>
      </c>
      <c r="E310" s="13" t="s">
        <v>21</v>
      </c>
      <c r="F310" s="14"/>
      <c r="G310" s="14"/>
      <c r="H310" s="14"/>
      <c r="I310" s="14"/>
      <c r="J310" s="14">
        <f t="shared" si="12"/>
        <v>0</v>
      </c>
      <c r="K310" s="14">
        <f t="shared" si="13"/>
        <v>0</v>
      </c>
      <c r="L310" s="17">
        <f t="shared" si="14"/>
        <v>0</v>
      </c>
      <c r="M310" s="14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 spans="1:27" s="2" customFormat="1" ht="14">
      <c r="A311" s="12" t="s">
        <v>847</v>
      </c>
      <c r="B311" s="13" t="s">
        <v>14</v>
      </c>
      <c r="C311" s="13" t="s">
        <v>848</v>
      </c>
      <c r="D311" s="13" t="s">
        <v>846</v>
      </c>
      <c r="E311" s="13" t="s">
        <v>21</v>
      </c>
      <c r="F311" s="14"/>
      <c r="G311" s="14"/>
      <c r="H311" s="14"/>
      <c r="I311" s="14"/>
      <c r="J311" s="14">
        <f t="shared" si="12"/>
        <v>0</v>
      </c>
      <c r="K311" s="14">
        <f t="shared" si="13"/>
        <v>0</v>
      </c>
      <c r="L311" s="17">
        <f t="shared" si="14"/>
        <v>0</v>
      </c>
      <c r="M311" s="14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 spans="1:27" s="2" customFormat="1" ht="14">
      <c r="A312" s="12" t="s">
        <v>849</v>
      </c>
      <c r="B312" s="13" t="s">
        <v>62</v>
      </c>
      <c r="C312" s="13" t="s">
        <v>850</v>
      </c>
      <c r="D312" s="13" t="s">
        <v>851</v>
      </c>
      <c r="E312" s="13" t="s">
        <v>97</v>
      </c>
      <c r="F312" s="14"/>
      <c r="G312" s="14"/>
      <c r="H312" s="14"/>
      <c r="I312" s="14"/>
      <c r="J312" s="14">
        <f t="shared" si="12"/>
        <v>0</v>
      </c>
      <c r="K312" s="14">
        <f t="shared" si="13"/>
        <v>0</v>
      </c>
      <c r="L312" s="17">
        <f t="shared" si="14"/>
        <v>0</v>
      </c>
      <c r="M312" s="14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 spans="1:27" s="2" customFormat="1" ht="14">
      <c r="A313" s="12" t="s">
        <v>852</v>
      </c>
      <c r="B313" s="13" t="s">
        <v>14</v>
      </c>
      <c r="C313" s="13" t="s">
        <v>853</v>
      </c>
      <c r="D313" s="13" t="s">
        <v>854</v>
      </c>
      <c r="E313" s="13" t="s">
        <v>40</v>
      </c>
      <c r="F313" s="14"/>
      <c r="G313" s="14"/>
      <c r="H313" s="14"/>
      <c r="I313" s="14"/>
      <c r="J313" s="14">
        <f t="shared" si="12"/>
        <v>0</v>
      </c>
      <c r="K313" s="14">
        <f t="shared" si="13"/>
        <v>0</v>
      </c>
      <c r="L313" s="17">
        <f t="shared" si="14"/>
        <v>0</v>
      </c>
      <c r="M313" s="14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 spans="1:27" s="2" customFormat="1" ht="14">
      <c r="A314" s="12" t="s">
        <v>855</v>
      </c>
      <c r="B314" s="13" t="s">
        <v>14</v>
      </c>
      <c r="C314" s="13" t="s">
        <v>856</v>
      </c>
      <c r="D314" s="13" t="s">
        <v>854</v>
      </c>
      <c r="E314" s="13" t="s">
        <v>57</v>
      </c>
      <c r="F314" s="14"/>
      <c r="G314" s="14"/>
      <c r="H314" s="14"/>
      <c r="I314" s="14"/>
      <c r="J314" s="14">
        <f t="shared" si="12"/>
        <v>0</v>
      </c>
      <c r="K314" s="14">
        <f t="shared" si="13"/>
        <v>0</v>
      </c>
      <c r="L314" s="17">
        <f t="shared" si="14"/>
        <v>0</v>
      </c>
      <c r="M314" s="14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 spans="1:27" s="2" customFormat="1" ht="14">
      <c r="A315" s="12" t="s">
        <v>857</v>
      </c>
      <c r="B315" s="13" t="s">
        <v>14</v>
      </c>
      <c r="C315" s="13" t="s">
        <v>858</v>
      </c>
      <c r="D315" s="13" t="s">
        <v>854</v>
      </c>
      <c r="E315" s="13" t="s">
        <v>859</v>
      </c>
      <c r="F315" s="14"/>
      <c r="G315" s="14"/>
      <c r="H315" s="14"/>
      <c r="I315" s="14"/>
      <c r="J315" s="14">
        <f t="shared" si="12"/>
        <v>0</v>
      </c>
      <c r="K315" s="14">
        <f t="shared" si="13"/>
        <v>0</v>
      </c>
      <c r="L315" s="17">
        <f t="shared" si="14"/>
        <v>0</v>
      </c>
      <c r="M315" s="14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 spans="1:27" s="2" customFormat="1" ht="14">
      <c r="A316" s="12" t="s">
        <v>860</v>
      </c>
      <c r="B316" s="13" t="s">
        <v>14</v>
      </c>
      <c r="C316" s="13" t="s">
        <v>861</v>
      </c>
      <c r="D316" s="13" t="s">
        <v>862</v>
      </c>
      <c r="E316" s="13" t="s">
        <v>68</v>
      </c>
      <c r="F316" s="14"/>
      <c r="G316" s="14"/>
      <c r="H316" s="14"/>
      <c r="I316" s="14"/>
      <c r="J316" s="14">
        <f t="shared" si="12"/>
        <v>0</v>
      </c>
      <c r="K316" s="14">
        <f t="shared" si="13"/>
        <v>0</v>
      </c>
      <c r="L316" s="17">
        <f t="shared" si="14"/>
        <v>0</v>
      </c>
      <c r="M316" s="14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 spans="1:27" s="2" customFormat="1" ht="14">
      <c r="A317" s="12" t="s">
        <v>863</v>
      </c>
      <c r="B317" s="13" t="s">
        <v>14</v>
      </c>
      <c r="C317" s="13" t="s">
        <v>864</v>
      </c>
      <c r="D317" s="13" t="s">
        <v>865</v>
      </c>
      <c r="E317" s="13" t="s">
        <v>40</v>
      </c>
      <c r="F317" s="14"/>
      <c r="G317" s="14"/>
      <c r="H317" s="14"/>
      <c r="I317" s="14"/>
      <c r="J317" s="14">
        <f t="shared" si="12"/>
        <v>0</v>
      </c>
      <c r="K317" s="14">
        <f t="shared" si="13"/>
        <v>0</v>
      </c>
      <c r="L317" s="17">
        <f t="shared" si="14"/>
        <v>0</v>
      </c>
      <c r="M317" s="14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 spans="1:27" s="2" customFormat="1" ht="14">
      <c r="A318" s="12" t="s">
        <v>866</v>
      </c>
      <c r="B318" s="13" t="s">
        <v>14</v>
      </c>
      <c r="C318" s="13" t="s">
        <v>867</v>
      </c>
      <c r="D318" s="13" t="s">
        <v>868</v>
      </c>
      <c r="E318" s="13" t="s">
        <v>183</v>
      </c>
      <c r="F318" s="14"/>
      <c r="G318" s="14"/>
      <c r="H318" s="14"/>
      <c r="I318" s="14"/>
      <c r="J318" s="14">
        <f t="shared" si="12"/>
        <v>0</v>
      </c>
      <c r="K318" s="14">
        <f t="shared" si="13"/>
        <v>0</v>
      </c>
      <c r="L318" s="17">
        <f t="shared" si="14"/>
        <v>0</v>
      </c>
      <c r="M318" s="14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 spans="1:27" s="2" customFormat="1" ht="14">
      <c r="A319" s="12" t="s">
        <v>869</v>
      </c>
      <c r="B319" s="13" t="s">
        <v>14</v>
      </c>
      <c r="C319" s="13" t="s">
        <v>870</v>
      </c>
      <c r="D319" s="13" t="s">
        <v>871</v>
      </c>
      <c r="E319" s="13" t="s">
        <v>68</v>
      </c>
      <c r="F319" s="14"/>
      <c r="G319" s="14"/>
      <c r="H319" s="14"/>
      <c r="I319" s="14"/>
      <c r="J319" s="14">
        <f t="shared" si="12"/>
        <v>0</v>
      </c>
      <c r="K319" s="14">
        <f t="shared" si="13"/>
        <v>0</v>
      </c>
      <c r="L319" s="17">
        <f t="shared" si="14"/>
        <v>0</v>
      </c>
      <c r="M319" s="14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 spans="1:27" s="2" customFormat="1" ht="14">
      <c r="A320" s="12" t="s">
        <v>872</v>
      </c>
      <c r="B320" s="13" t="s">
        <v>14</v>
      </c>
      <c r="C320" s="13" t="s">
        <v>873</v>
      </c>
      <c r="D320" s="13" t="s">
        <v>862</v>
      </c>
      <c r="E320" s="13" t="s">
        <v>21</v>
      </c>
      <c r="F320" s="14"/>
      <c r="G320" s="14"/>
      <c r="H320" s="14"/>
      <c r="I320" s="14"/>
      <c r="J320" s="14">
        <f t="shared" si="12"/>
        <v>0</v>
      </c>
      <c r="K320" s="14">
        <f t="shared" si="13"/>
        <v>0</v>
      </c>
      <c r="L320" s="17">
        <f t="shared" si="14"/>
        <v>0</v>
      </c>
      <c r="M320" s="14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 spans="1:27" s="2" customFormat="1" ht="14">
      <c r="A321" s="12" t="s">
        <v>874</v>
      </c>
      <c r="B321" s="13" t="s">
        <v>62</v>
      </c>
      <c r="C321" s="13" t="s">
        <v>875</v>
      </c>
      <c r="D321" s="13" t="s">
        <v>871</v>
      </c>
      <c r="E321" s="13" t="s">
        <v>79</v>
      </c>
      <c r="F321" s="14"/>
      <c r="G321" s="14"/>
      <c r="H321" s="14"/>
      <c r="I321" s="14"/>
      <c r="J321" s="14">
        <f t="shared" si="12"/>
        <v>0</v>
      </c>
      <c r="K321" s="14">
        <f t="shared" si="13"/>
        <v>0</v>
      </c>
      <c r="L321" s="17">
        <f t="shared" si="14"/>
        <v>0</v>
      </c>
      <c r="M321" s="14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 spans="1:27" s="2" customFormat="1" ht="14">
      <c r="A322" s="12" t="s">
        <v>876</v>
      </c>
      <c r="B322" s="13" t="s">
        <v>14</v>
      </c>
      <c r="C322" s="13" t="s">
        <v>877</v>
      </c>
      <c r="D322" s="13" t="s">
        <v>878</v>
      </c>
      <c r="E322" s="13" t="s">
        <v>46</v>
      </c>
      <c r="F322" s="14"/>
      <c r="G322" s="14"/>
      <c r="H322" s="14"/>
      <c r="I322" s="14"/>
      <c r="J322" s="14">
        <f t="shared" ref="J322:J385" si="15">IF(G322&gt;0,1,0)</f>
        <v>0</v>
      </c>
      <c r="K322" s="14">
        <f t="shared" ref="K322:K385" si="16">IF(H322&gt;0,1,0)</f>
        <v>0</v>
      </c>
      <c r="L322" s="17">
        <f t="shared" ref="L322:L385" si="17">IF(G322&gt;0,IF(H322&gt;0,1,0),0)</f>
        <v>0</v>
      </c>
      <c r="M322" s="14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 spans="1:27" s="2" customFormat="1" ht="14">
      <c r="A323" s="12" t="s">
        <v>879</v>
      </c>
      <c r="B323" s="13" t="s">
        <v>14</v>
      </c>
      <c r="C323" s="13" t="s">
        <v>880</v>
      </c>
      <c r="D323" s="13" t="s">
        <v>881</v>
      </c>
      <c r="E323" s="13" t="s">
        <v>183</v>
      </c>
      <c r="F323" s="14"/>
      <c r="G323" s="14"/>
      <c r="H323" s="14"/>
      <c r="I323" s="14"/>
      <c r="J323" s="14">
        <f t="shared" si="15"/>
        <v>0</v>
      </c>
      <c r="K323" s="14">
        <f t="shared" si="16"/>
        <v>0</v>
      </c>
      <c r="L323" s="17">
        <f t="shared" si="17"/>
        <v>0</v>
      </c>
      <c r="M323" s="14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 spans="1:27" s="2" customFormat="1" ht="14">
      <c r="A324" s="12" t="s">
        <v>882</v>
      </c>
      <c r="B324" s="13" t="s">
        <v>14</v>
      </c>
      <c r="C324" s="13" t="s">
        <v>883</v>
      </c>
      <c r="D324" s="13" t="s">
        <v>884</v>
      </c>
      <c r="E324" s="13" t="s">
        <v>40</v>
      </c>
      <c r="F324" s="14"/>
      <c r="G324" s="14"/>
      <c r="H324" s="14"/>
      <c r="I324" s="14"/>
      <c r="J324" s="14">
        <f t="shared" si="15"/>
        <v>0</v>
      </c>
      <c r="K324" s="14">
        <f t="shared" si="16"/>
        <v>0</v>
      </c>
      <c r="L324" s="17">
        <f t="shared" si="17"/>
        <v>0</v>
      </c>
      <c r="M324" s="14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 spans="1:27" s="2" customFormat="1" ht="14">
      <c r="A325" s="12" t="s">
        <v>885</v>
      </c>
      <c r="B325" s="13" t="s">
        <v>14</v>
      </c>
      <c r="C325" s="13" t="s">
        <v>886</v>
      </c>
      <c r="D325" s="13" t="s">
        <v>887</v>
      </c>
      <c r="E325" s="13" t="s">
        <v>25</v>
      </c>
      <c r="F325" s="14"/>
      <c r="G325" s="14"/>
      <c r="H325" s="14"/>
      <c r="I325" s="14"/>
      <c r="J325" s="14">
        <f t="shared" si="15"/>
        <v>0</v>
      </c>
      <c r="K325" s="14">
        <f t="shared" si="16"/>
        <v>0</v>
      </c>
      <c r="L325" s="17">
        <f t="shared" si="17"/>
        <v>0</v>
      </c>
      <c r="M325" s="14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 spans="1:27" s="2" customFormat="1" ht="14">
      <c r="A326" s="12" t="s">
        <v>888</v>
      </c>
      <c r="B326" s="13" t="s">
        <v>14</v>
      </c>
      <c r="C326" s="13" t="s">
        <v>889</v>
      </c>
      <c r="D326" s="13" t="s">
        <v>890</v>
      </c>
      <c r="E326" s="13" t="s">
        <v>29</v>
      </c>
      <c r="F326" s="14"/>
      <c r="G326" s="14"/>
      <c r="H326" s="14"/>
      <c r="I326" s="14"/>
      <c r="J326" s="14">
        <f t="shared" si="15"/>
        <v>0</v>
      </c>
      <c r="K326" s="14">
        <f t="shared" si="16"/>
        <v>0</v>
      </c>
      <c r="L326" s="17">
        <f t="shared" si="17"/>
        <v>0</v>
      </c>
      <c r="M326" s="14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 spans="1:27" s="2" customFormat="1" ht="14">
      <c r="A327" s="12" t="s">
        <v>891</v>
      </c>
      <c r="B327" s="13" t="s">
        <v>14</v>
      </c>
      <c r="C327" s="13" t="s">
        <v>892</v>
      </c>
      <c r="D327" s="13" t="s">
        <v>893</v>
      </c>
      <c r="E327" s="13" t="s">
        <v>25</v>
      </c>
      <c r="F327" s="14"/>
      <c r="G327" s="14"/>
      <c r="H327" s="14"/>
      <c r="I327" s="14"/>
      <c r="J327" s="14">
        <f t="shared" si="15"/>
        <v>0</v>
      </c>
      <c r="K327" s="14">
        <f t="shared" si="16"/>
        <v>0</v>
      </c>
      <c r="L327" s="17">
        <f t="shared" si="17"/>
        <v>0</v>
      </c>
      <c r="M327" s="14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 spans="1:27" s="2" customFormat="1" ht="14">
      <c r="A328" s="12" t="s">
        <v>894</v>
      </c>
      <c r="B328" s="13" t="s">
        <v>14</v>
      </c>
      <c r="C328" s="13" t="s">
        <v>895</v>
      </c>
      <c r="D328" s="13" t="s">
        <v>896</v>
      </c>
      <c r="E328" s="13" t="s">
        <v>29</v>
      </c>
      <c r="F328" s="14"/>
      <c r="G328" s="14"/>
      <c r="H328" s="14"/>
      <c r="I328" s="14"/>
      <c r="J328" s="14">
        <f t="shared" si="15"/>
        <v>0</v>
      </c>
      <c r="K328" s="14">
        <f t="shared" si="16"/>
        <v>0</v>
      </c>
      <c r="L328" s="17">
        <f t="shared" si="17"/>
        <v>0</v>
      </c>
      <c r="M328" s="14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 spans="1:27" s="2" customFormat="1" ht="14">
      <c r="A329" s="12" t="s">
        <v>897</v>
      </c>
      <c r="B329" s="13" t="s">
        <v>62</v>
      </c>
      <c r="C329" s="13" t="s">
        <v>898</v>
      </c>
      <c r="D329" s="13" t="s">
        <v>899</v>
      </c>
      <c r="E329" s="13" t="s">
        <v>136</v>
      </c>
      <c r="F329" s="14"/>
      <c r="G329" s="14"/>
      <c r="H329" s="14"/>
      <c r="I329" s="14"/>
      <c r="J329" s="14">
        <f t="shared" si="15"/>
        <v>0</v>
      </c>
      <c r="K329" s="14">
        <f t="shared" si="16"/>
        <v>0</v>
      </c>
      <c r="L329" s="17">
        <f t="shared" si="17"/>
        <v>0</v>
      </c>
      <c r="M329" s="14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 spans="1:27" s="2" customFormat="1" ht="14">
      <c r="A330" s="12" t="s">
        <v>900</v>
      </c>
      <c r="B330" s="13" t="s">
        <v>62</v>
      </c>
      <c r="C330" s="13" t="s">
        <v>901</v>
      </c>
      <c r="D330" s="13" t="s">
        <v>902</v>
      </c>
      <c r="E330" s="13" t="s">
        <v>91</v>
      </c>
      <c r="F330" s="14"/>
      <c r="G330" s="14"/>
      <c r="H330" s="14"/>
      <c r="I330" s="14"/>
      <c r="J330" s="14">
        <f t="shared" si="15"/>
        <v>0</v>
      </c>
      <c r="K330" s="14">
        <f t="shared" si="16"/>
        <v>0</v>
      </c>
      <c r="L330" s="17">
        <f t="shared" si="17"/>
        <v>0</v>
      </c>
      <c r="M330" s="14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 spans="1:27" s="2" customFormat="1" ht="14">
      <c r="A331" s="12" t="s">
        <v>903</v>
      </c>
      <c r="B331" s="13" t="s">
        <v>14</v>
      </c>
      <c r="C331" s="13" t="s">
        <v>904</v>
      </c>
      <c r="D331" s="13" t="s">
        <v>905</v>
      </c>
      <c r="E331" s="13" t="s">
        <v>201</v>
      </c>
      <c r="F331" s="14"/>
      <c r="G331" s="14"/>
      <c r="H331" s="14"/>
      <c r="I331" s="14"/>
      <c r="J331" s="14">
        <f t="shared" si="15"/>
        <v>0</v>
      </c>
      <c r="K331" s="14">
        <f t="shared" si="16"/>
        <v>0</v>
      </c>
      <c r="L331" s="17">
        <f t="shared" si="17"/>
        <v>0</v>
      </c>
      <c r="M331" s="14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 spans="1:27" s="2" customFormat="1" ht="14">
      <c r="A332" s="12" t="s">
        <v>906</v>
      </c>
      <c r="B332" s="13" t="s">
        <v>62</v>
      </c>
      <c r="C332" s="13" t="s">
        <v>907</v>
      </c>
      <c r="D332" s="13" t="s">
        <v>899</v>
      </c>
      <c r="E332" s="13" t="s">
        <v>68</v>
      </c>
      <c r="F332" s="14"/>
      <c r="G332" s="14"/>
      <c r="H332" s="14"/>
      <c r="I332" s="14"/>
      <c r="J332" s="14">
        <f t="shared" si="15"/>
        <v>0</v>
      </c>
      <c r="K332" s="14">
        <f t="shared" si="16"/>
        <v>0</v>
      </c>
      <c r="L332" s="17">
        <f t="shared" si="17"/>
        <v>0</v>
      </c>
      <c r="M332" s="14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 spans="1:27" s="2" customFormat="1" ht="14">
      <c r="A333" s="12" t="s">
        <v>908</v>
      </c>
      <c r="B333" s="13" t="s">
        <v>62</v>
      </c>
      <c r="C333" s="13" t="s">
        <v>909</v>
      </c>
      <c r="D333" s="13" t="s">
        <v>905</v>
      </c>
      <c r="E333" s="13" t="s">
        <v>46</v>
      </c>
      <c r="F333" s="14"/>
      <c r="G333" s="14"/>
      <c r="H333" s="14"/>
      <c r="I333" s="14"/>
      <c r="J333" s="14">
        <f t="shared" si="15"/>
        <v>0</v>
      </c>
      <c r="K333" s="14">
        <f t="shared" si="16"/>
        <v>0</v>
      </c>
      <c r="L333" s="17">
        <f t="shared" si="17"/>
        <v>0</v>
      </c>
      <c r="M333" s="14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 spans="1:27" s="2" customFormat="1" ht="14">
      <c r="A334" s="12" t="s">
        <v>910</v>
      </c>
      <c r="B334" s="13" t="s">
        <v>14</v>
      </c>
      <c r="C334" s="13" t="s">
        <v>911</v>
      </c>
      <c r="D334" s="13" t="s">
        <v>912</v>
      </c>
      <c r="E334" s="13" t="s">
        <v>91</v>
      </c>
      <c r="F334" s="14"/>
      <c r="G334" s="14"/>
      <c r="H334" s="14"/>
      <c r="I334" s="14"/>
      <c r="J334" s="14">
        <f t="shared" si="15"/>
        <v>0</v>
      </c>
      <c r="K334" s="14">
        <f t="shared" si="16"/>
        <v>0</v>
      </c>
      <c r="L334" s="17">
        <f t="shared" si="17"/>
        <v>0</v>
      </c>
      <c r="M334" s="14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 spans="1:27" s="2" customFormat="1" ht="14">
      <c r="A335" s="12" t="s">
        <v>913</v>
      </c>
      <c r="B335" s="13" t="s">
        <v>14</v>
      </c>
      <c r="C335" s="13" t="s">
        <v>914</v>
      </c>
      <c r="D335" s="13" t="s">
        <v>912</v>
      </c>
      <c r="E335" s="13" t="s">
        <v>72</v>
      </c>
      <c r="F335" s="14"/>
      <c r="G335" s="14"/>
      <c r="H335" s="14"/>
      <c r="I335" s="14"/>
      <c r="J335" s="14">
        <f t="shared" si="15"/>
        <v>0</v>
      </c>
      <c r="K335" s="14">
        <f t="shared" si="16"/>
        <v>0</v>
      </c>
      <c r="L335" s="17">
        <f t="shared" si="17"/>
        <v>0</v>
      </c>
      <c r="M335" s="14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 spans="1:27" s="2" customFormat="1" ht="14">
      <c r="A336" s="12" t="s">
        <v>915</v>
      </c>
      <c r="B336" s="13" t="s">
        <v>14</v>
      </c>
      <c r="C336" s="13" t="s">
        <v>916</v>
      </c>
      <c r="D336" s="13" t="s">
        <v>912</v>
      </c>
      <c r="E336" s="13" t="s">
        <v>57</v>
      </c>
      <c r="F336" s="14"/>
      <c r="G336" s="14"/>
      <c r="H336" s="14"/>
      <c r="I336" s="14"/>
      <c r="J336" s="14">
        <f t="shared" si="15"/>
        <v>0</v>
      </c>
      <c r="K336" s="14">
        <f t="shared" si="16"/>
        <v>0</v>
      </c>
      <c r="L336" s="17">
        <f t="shared" si="17"/>
        <v>0</v>
      </c>
      <c r="M336" s="14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 spans="1:27" s="2" customFormat="1" ht="14">
      <c r="A337" s="12" t="s">
        <v>917</v>
      </c>
      <c r="B337" s="13" t="s">
        <v>14</v>
      </c>
      <c r="C337" s="13" t="s">
        <v>918</v>
      </c>
      <c r="D337" s="13" t="s">
        <v>919</v>
      </c>
      <c r="E337" s="13" t="s">
        <v>68</v>
      </c>
      <c r="F337" s="14"/>
      <c r="G337" s="14"/>
      <c r="H337" s="14"/>
      <c r="I337" s="14"/>
      <c r="J337" s="14">
        <f t="shared" si="15"/>
        <v>0</v>
      </c>
      <c r="K337" s="14">
        <f t="shared" si="16"/>
        <v>0</v>
      </c>
      <c r="L337" s="17">
        <f t="shared" si="17"/>
        <v>0</v>
      </c>
      <c r="M337" s="14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 spans="1:27" s="2" customFormat="1" ht="14">
      <c r="A338" s="12" t="s">
        <v>920</v>
      </c>
      <c r="B338" s="13" t="s">
        <v>62</v>
      </c>
      <c r="C338" s="13" t="s">
        <v>921</v>
      </c>
      <c r="D338" s="13" t="s">
        <v>922</v>
      </c>
      <c r="E338" s="13" t="s">
        <v>156</v>
      </c>
      <c r="F338" s="14"/>
      <c r="G338" s="14"/>
      <c r="H338" s="14"/>
      <c r="I338" s="14"/>
      <c r="J338" s="14">
        <f t="shared" si="15"/>
        <v>0</v>
      </c>
      <c r="K338" s="14">
        <f t="shared" si="16"/>
        <v>0</v>
      </c>
      <c r="L338" s="17">
        <f t="shared" si="17"/>
        <v>0</v>
      </c>
      <c r="M338" s="14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 spans="1:27" s="2" customFormat="1" ht="14">
      <c r="A339" s="12" t="s">
        <v>923</v>
      </c>
      <c r="B339" s="13" t="s">
        <v>14</v>
      </c>
      <c r="C339" s="13" t="s">
        <v>924</v>
      </c>
      <c r="D339" s="13" t="s">
        <v>905</v>
      </c>
      <c r="E339" s="13" t="s">
        <v>29</v>
      </c>
      <c r="F339" s="14"/>
      <c r="G339" s="14"/>
      <c r="H339" s="14"/>
      <c r="I339" s="14"/>
      <c r="J339" s="14">
        <f t="shared" si="15"/>
        <v>0</v>
      </c>
      <c r="K339" s="14">
        <f t="shared" si="16"/>
        <v>0</v>
      </c>
      <c r="L339" s="17">
        <f t="shared" si="17"/>
        <v>0</v>
      </c>
      <c r="M339" s="14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 spans="1:27" s="2" customFormat="1" ht="14">
      <c r="A340" s="12" t="s">
        <v>925</v>
      </c>
      <c r="B340" s="13" t="s">
        <v>14</v>
      </c>
      <c r="C340" s="13" t="s">
        <v>926</v>
      </c>
      <c r="D340" s="13" t="s">
        <v>922</v>
      </c>
      <c r="E340" s="13" t="s">
        <v>40</v>
      </c>
      <c r="F340" s="14"/>
      <c r="G340" s="14"/>
      <c r="H340" s="14"/>
      <c r="I340" s="14"/>
      <c r="J340" s="14">
        <f t="shared" si="15"/>
        <v>0</v>
      </c>
      <c r="K340" s="14">
        <f t="shared" si="16"/>
        <v>0</v>
      </c>
      <c r="L340" s="17">
        <f t="shared" si="17"/>
        <v>0</v>
      </c>
      <c r="M340" s="14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 spans="1:27" s="2" customFormat="1" ht="14">
      <c r="A341" s="12" t="s">
        <v>927</v>
      </c>
      <c r="B341" s="13" t="s">
        <v>62</v>
      </c>
      <c r="C341" s="13" t="s">
        <v>928</v>
      </c>
      <c r="D341" s="13" t="s">
        <v>929</v>
      </c>
      <c r="E341" s="13" t="s">
        <v>156</v>
      </c>
      <c r="F341" s="14"/>
      <c r="G341" s="14"/>
      <c r="H341" s="14"/>
      <c r="I341" s="14"/>
      <c r="J341" s="14">
        <f t="shared" si="15"/>
        <v>0</v>
      </c>
      <c r="K341" s="14">
        <f t="shared" si="16"/>
        <v>0</v>
      </c>
      <c r="L341" s="17">
        <f t="shared" si="17"/>
        <v>0</v>
      </c>
      <c r="M341" s="14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 spans="1:27" s="2" customFormat="1" ht="14">
      <c r="A342" s="12" t="s">
        <v>930</v>
      </c>
      <c r="B342" s="13" t="s">
        <v>14</v>
      </c>
      <c r="C342" s="13" t="s">
        <v>931</v>
      </c>
      <c r="D342" s="13" t="s">
        <v>922</v>
      </c>
      <c r="E342" s="13" t="s">
        <v>29</v>
      </c>
      <c r="F342" s="14"/>
      <c r="G342" s="14"/>
      <c r="H342" s="14"/>
      <c r="I342" s="14"/>
      <c r="J342" s="14">
        <f t="shared" si="15"/>
        <v>0</v>
      </c>
      <c r="K342" s="14">
        <f t="shared" si="16"/>
        <v>0</v>
      </c>
      <c r="L342" s="17">
        <f t="shared" si="17"/>
        <v>0</v>
      </c>
      <c r="M342" s="14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 spans="1:27" s="2" customFormat="1" ht="14">
      <c r="A343" s="12" t="s">
        <v>932</v>
      </c>
      <c r="B343" s="13" t="s">
        <v>62</v>
      </c>
      <c r="C343" s="13" t="s">
        <v>933</v>
      </c>
      <c r="D343" s="13" t="s">
        <v>934</v>
      </c>
      <c r="E343" s="13" t="s">
        <v>83</v>
      </c>
      <c r="F343" s="14"/>
      <c r="G343" s="14"/>
      <c r="H343" s="14"/>
      <c r="I343" s="14"/>
      <c r="J343" s="14">
        <f t="shared" si="15"/>
        <v>0</v>
      </c>
      <c r="K343" s="14">
        <f t="shared" si="16"/>
        <v>0</v>
      </c>
      <c r="L343" s="17">
        <f t="shared" si="17"/>
        <v>0</v>
      </c>
      <c r="M343" s="14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 spans="1:27" s="2" customFormat="1" ht="14">
      <c r="A344" s="12" t="s">
        <v>935</v>
      </c>
      <c r="B344" s="13" t="s">
        <v>14</v>
      </c>
      <c r="C344" s="13" t="s">
        <v>936</v>
      </c>
      <c r="D344" s="13" t="s">
        <v>937</v>
      </c>
      <c r="E344" s="13" t="s">
        <v>114</v>
      </c>
      <c r="F344" s="14"/>
      <c r="G344" s="14"/>
      <c r="H344" s="14"/>
      <c r="I344" s="14"/>
      <c r="J344" s="14">
        <f t="shared" si="15"/>
        <v>0</v>
      </c>
      <c r="K344" s="14">
        <f t="shared" si="16"/>
        <v>0</v>
      </c>
      <c r="L344" s="17">
        <f t="shared" si="17"/>
        <v>0</v>
      </c>
      <c r="M344" s="14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 spans="1:27" s="2" customFormat="1" ht="14">
      <c r="A345" s="12" t="s">
        <v>938</v>
      </c>
      <c r="B345" s="13" t="s">
        <v>14</v>
      </c>
      <c r="C345" s="13" t="s">
        <v>939</v>
      </c>
      <c r="D345" s="13" t="s">
        <v>937</v>
      </c>
      <c r="E345" s="13" t="s">
        <v>79</v>
      </c>
      <c r="F345" s="14"/>
      <c r="G345" s="14"/>
      <c r="H345" s="14"/>
      <c r="I345" s="14"/>
      <c r="J345" s="14">
        <f t="shared" si="15"/>
        <v>0</v>
      </c>
      <c r="K345" s="14">
        <f t="shared" si="16"/>
        <v>0</v>
      </c>
      <c r="L345" s="17">
        <f t="shared" si="17"/>
        <v>0</v>
      </c>
      <c r="M345" s="14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 spans="1:27" s="2" customFormat="1" ht="14">
      <c r="A346" s="12" t="s">
        <v>940</v>
      </c>
      <c r="B346" s="13" t="s">
        <v>14</v>
      </c>
      <c r="C346" s="13" t="s">
        <v>941</v>
      </c>
      <c r="D346" s="13" t="s">
        <v>937</v>
      </c>
      <c r="E346" s="13" t="s">
        <v>267</v>
      </c>
      <c r="F346" s="14"/>
      <c r="G346" s="14"/>
      <c r="H346" s="14"/>
      <c r="I346" s="14"/>
      <c r="J346" s="14">
        <f t="shared" si="15"/>
        <v>0</v>
      </c>
      <c r="K346" s="14">
        <f t="shared" si="16"/>
        <v>0</v>
      </c>
      <c r="L346" s="17">
        <f t="shared" si="17"/>
        <v>0</v>
      </c>
      <c r="M346" s="14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 spans="1:27" s="2" customFormat="1" ht="14">
      <c r="A347" s="12" t="s">
        <v>942</v>
      </c>
      <c r="B347" s="13" t="s">
        <v>14</v>
      </c>
      <c r="C347" s="13" t="s">
        <v>943</v>
      </c>
      <c r="D347" s="13" t="s">
        <v>944</v>
      </c>
      <c r="E347" s="13" t="s">
        <v>68</v>
      </c>
      <c r="F347" s="14"/>
      <c r="G347" s="14"/>
      <c r="H347" s="14"/>
      <c r="I347" s="14"/>
      <c r="J347" s="14">
        <f t="shared" si="15"/>
        <v>0</v>
      </c>
      <c r="K347" s="14">
        <f t="shared" si="16"/>
        <v>0</v>
      </c>
      <c r="L347" s="17">
        <f t="shared" si="17"/>
        <v>0</v>
      </c>
      <c r="M347" s="14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 spans="1:27" s="2" customFormat="1" ht="14">
      <c r="A348" s="12" t="s">
        <v>945</v>
      </c>
      <c r="B348" s="13" t="s">
        <v>14</v>
      </c>
      <c r="C348" s="13" t="s">
        <v>946</v>
      </c>
      <c r="D348" s="13" t="s">
        <v>937</v>
      </c>
      <c r="E348" s="13" t="s">
        <v>156</v>
      </c>
      <c r="F348" s="14"/>
      <c r="G348" s="14"/>
      <c r="H348" s="14"/>
      <c r="I348" s="14"/>
      <c r="J348" s="14">
        <f t="shared" si="15"/>
        <v>0</v>
      </c>
      <c r="K348" s="14">
        <f t="shared" si="16"/>
        <v>0</v>
      </c>
      <c r="L348" s="17">
        <f t="shared" si="17"/>
        <v>0</v>
      </c>
      <c r="M348" s="14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 spans="1:27" s="2" customFormat="1" ht="14">
      <c r="A349" s="12" t="s">
        <v>947</v>
      </c>
      <c r="B349" s="13" t="s">
        <v>14</v>
      </c>
      <c r="C349" s="13" t="s">
        <v>948</v>
      </c>
      <c r="D349" s="13" t="s">
        <v>937</v>
      </c>
      <c r="E349" s="13" t="s">
        <v>72</v>
      </c>
      <c r="F349" s="14"/>
      <c r="G349" s="14"/>
      <c r="H349" s="14"/>
      <c r="I349" s="14"/>
      <c r="J349" s="14">
        <f t="shared" si="15"/>
        <v>0</v>
      </c>
      <c r="K349" s="14">
        <f t="shared" si="16"/>
        <v>0</v>
      </c>
      <c r="L349" s="17">
        <f t="shared" si="17"/>
        <v>0</v>
      </c>
      <c r="M349" s="14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 spans="1:27" s="2" customFormat="1" ht="14">
      <c r="A350" s="12" t="s">
        <v>949</v>
      </c>
      <c r="B350" s="13" t="s">
        <v>14</v>
      </c>
      <c r="C350" s="13" t="s">
        <v>950</v>
      </c>
      <c r="D350" s="13" t="s">
        <v>951</v>
      </c>
      <c r="E350" s="13" t="s">
        <v>104</v>
      </c>
      <c r="F350" s="14"/>
      <c r="G350" s="14"/>
      <c r="H350" s="14"/>
      <c r="I350" s="14"/>
      <c r="J350" s="14">
        <f t="shared" si="15"/>
        <v>0</v>
      </c>
      <c r="K350" s="14">
        <f t="shared" si="16"/>
        <v>0</v>
      </c>
      <c r="L350" s="17">
        <f t="shared" si="17"/>
        <v>0</v>
      </c>
      <c r="M350" s="14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 spans="1:27" s="2" customFormat="1" ht="14">
      <c r="A351" s="12" t="s">
        <v>952</v>
      </c>
      <c r="B351" s="13" t="s">
        <v>14</v>
      </c>
      <c r="C351" s="13" t="s">
        <v>953</v>
      </c>
      <c r="D351" s="13" t="s">
        <v>954</v>
      </c>
      <c r="E351" s="13" t="s">
        <v>72</v>
      </c>
      <c r="F351" s="14"/>
      <c r="G351" s="14"/>
      <c r="H351" s="14"/>
      <c r="I351" s="14"/>
      <c r="J351" s="14">
        <f t="shared" si="15"/>
        <v>0</v>
      </c>
      <c r="K351" s="14">
        <f t="shared" si="16"/>
        <v>0</v>
      </c>
      <c r="L351" s="17">
        <f t="shared" si="17"/>
        <v>0</v>
      </c>
      <c r="M351" s="14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 spans="1:27" s="2" customFormat="1" ht="14">
      <c r="A352" s="12" t="s">
        <v>955</v>
      </c>
      <c r="B352" s="13" t="s">
        <v>14</v>
      </c>
      <c r="C352" s="13" t="s">
        <v>956</v>
      </c>
      <c r="D352" s="13" t="s">
        <v>957</v>
      </c>
      <c r="E352" s="13" t="s">
        <v>68</v>
      </c>
      <c r="F352" s="14"/>
      <c r="G352" s="14"/>
      <c r="H352" s="14"/>
      <c r="I352" s="14"/>
      <c r="J352" s="14">
        <f t="shared" si="15"/>
        <v>0</v>
      </c>
      <c r="K352" s="14">
        <f t="shared" si="16"/>
        <v>0</v>
      </c>
      <c r="L352" s="17">
        <f t="shared" si="17"/>
        <v>0</v>
      </c>
      <c r="M352" s="14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 spans="1:27" s="2" customFormat="1" ht="14">
      <c r="A353" s="12" t="s">
        <v>958</v>
      </c>
      <c r="B353" s="13" t="s">
        <v>14</v>
      </c>
      <c r="C353" s="13" t="s">
        <v>959</v>
      </c>
      <c r="D353" s="13" t="s">
        <v>960</v>
      </c>
      <c r="E353" s="13" t="s">
        <v>446</v>
      </c>
      <c r="F353" s="14"/>
      <c r="G353" s="14"/>
      <c r="H353" s="14"/>
      <c r="I353" s="14"/>
      <c r="J353" s="14">
        <f t="shared" si="15"/>
        <v>0</v>
      </c>
      <c r="K353" s="14">
        <f t="shared" si="16"/>
        <v>0</v>
      </c>
      <c r="L353" s="17">
        <f t="shared" si="17"/>
        <v>0</v>
      </c>
      <c r="M353" s="14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 spans="1:27" s="2" customFormat="1" ht="14">
      <c r="A354" s="12" t="s">
        <v>961</v>
      </c>
      <c r="B354" s="13" t="s">
        <v>62</v>
      </c>
      <c r="C354" s="13" t="s">
        <v>962</v>
      </c>
      <c r="D354" s="13" t="s">
        <v>963</v>
      </c>
      <c r="E354" s="13" t="s">
        <v>267</v>
      </c>
      <c r="F354" s="14"/>
      <c r="G354" s="14"/>
      <c r="H354" s="14"/>
      <c r="I354" s="14"/>
      <c r="J354" s="14">
        <f t="shared" si="15"/>
        <v>0</v>
      </c>
      <c r="K354" s="14">
        <f t="shared" si="16"/>
        <v>0</v>
      </c>
      <c r="L354" s="17">
        <f t="shared" si="17"/>
        <v>0</v>
      </c>
      <c r="M354" s="14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 spans="1:27" s="2" customFormat="1" ht="14">
      <c r="A355" s="12" t="s">
        <v>964</v>
      </c>
      <c r="B355" s="13" t="s">
        <v>62</v>
      </c>
      <c r="C355" s="13" t="s">
        <v>965</v>
      </c>
      <c r="D355" s="13" t="s">
        <v>966</v>
      </c>
      <c r="E355" s="13" t="s">
        <v>114</v>
      </c>
      <c r="F355" s="14"/>
      <c r="G355" s="14"/>
      <c r="H355" s="14"/>
      <c r="I355" s="14"/>
      <c r="J355" s="14">
        <f t="shared" si="15"/>
        <v>0</v>
      </c>
      <c r="K355" s="14">
        <f t="shared" si="16"/>
        <v>0</v>
      </c>
      <c r="L355" s="17">
        <f t="shared" si="17"/>
        <v>0</v>
      </c>
      <c r="M355" s="14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 spans="1:27" s="2" customFormat="1" ht="14">
      <c r="A356" s="12" t="s">
        <v>967</v>
      </c>
      <c r="B356" s="13" t="s">
        <v>14</v>
      </c>
      <c r="C356" s="13" t="s">
        <v>968</v>
      </c>
      <c r="D356" s="13" t="s">
        <v>957</v>
      </c>
      <c r="E356" s="13" t="s">
        <v>17</v>
      </c>
      <c r="F356" s="14"/>
      <c r="G356" s="14"/>
      <c r="H356" s="14"/>
      <c r="I356" s="14"/>
      <c r="J356" s="14">
        <f t="shared" si="15"/>
        <v>0</v>
      </c>
      <c r="K356" s="14">
        <f t="shared" si="16"/>
        <v>0</v>
      </c>
      <c r="L356" s="17">
        <f t="shared" si="17"/>
        <v>0</v>
      </c>
      <c r="M356" s="14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 spans="1:27" s="2" customFormat="1" ht="14">
      <c r="A357" s="12" t="s">
        <v>969</v>
      </c>
      <c r="B357" s="13" t="s">
        <v>14</v>
      </c>
      <c r="C357" s="13" t="s">
        <v>970</v>
      </c>
      <c r="D357" s="13" t="s">
        <v>963</v>
      </c>
      <c r="E357" s="13" t="s">
        <v>971</v>
      </c>
      <c r="F357" s="14"/>
      <c r="G357" s="14"/>
      <c r="H357" s="14"/>
      <c r="I357" s="14"/>
      <c r="J357" s="14">
        <f t="shared" si="15"/>
        <v>0</v>
      </c>
      <c r="K357" s="14">
        <f t="shared" si="16"/>
        <v>0</v>
      </c>
      <c r="L357" s="17">
        <f t="shared" si="17"/>
        <v>0</v>
      </c>
      <c r="M357" s="14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 spans="1:27" s="2" customFormat="1" ht="14">
      <c r="A358" s="12" t="s">
        <v>972</v>
      </c>
      <c r="B358" s="13" t="s">
        <v>14</v>
      </c>
      <c r="C358" s="13" t="s">
        <v>973</v>
      </c>
      <c r="D358" s="13" t="s">
        <v>963</v>
      </c>
      <c r="E358" s="13" t="s">
        <v>402</v>
      </c>
      <c r="F358" s="14"/>
      <c r="G358" s="14"/>
      <c r="H358" s="14"/>
      <c r="I358" s="14"/>
      <c r="J358" s="14">
        <f t="shared" si="15"/>
        <v>0</v>
      </c>
      <c r="K358" s="14">
        <f t="shared" si="16"/>
        <v>0</v>
      </c>
      <c r="L358" s="17">
        <f t="shared" si="17"/>
        <v>0</v>
      </c>
      <c r="M358" s="14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 spans="1:27" s="2" customFormat="1" ht="14">
      <c r="A359" s="12" t="s">
        <v>974</v>
      </c>
      <c r="B359" s="13" t="s">
        <v>62</v>
      </c>
      <c r="C359" s="13" t="s">
        <v>975</v>
      </c>
      <c r="D359" s="13" t="s">
        <v>919</v>
      </c>
      <c r="E359" s="13" t="s">
        <v>120</v>
      </c>
      <c r="F359" s="14"/>
      <c r="G359" s="14"/>
      <c r="H359" s="14"/>
      <c r="I359" s="14"/>
      <c r="J359" s="14">
        <f t="shared" si="15"/>
        <v>0</v>
      </c>
      <c r="K359" s="14">
        <f t="shared" si="16"/>
        <v>0</v>
      </c>
      <c r="L359" s="17">
        <f t="shared" si="17"/>
        <v>0</v>
      </c>
      <c r="M359" s="14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 spans="1:27" s="2" customFormat="1" ht="14">
      <c r="A360" s="12" t="s">
        <v>976</v>
      </c>
      <c r="B360" s="13" t="s">
        <v>14</v>
      </c>
      <c r="C360" s="13" t="s">
        <v>977</v>
      </c>
      <c r="D360" s="13" t="s">
        <v>919</v>
      </c>
      <c r="E360" s="13" t="s">
        <v>215</v>
      </c>
      <c r="F360" s="14"/>
      <c r="G360" s="14"/>
      <c r="H360" s="14"/>
      <c r="I360" s="14"/>
      <c r="J360" s="14">
        <f t="shared" si="15"/>
        <v>0</v>
      </c>
      <c r="K360" s="14">
        <f t="shared" si="16"/>
        <v>0</v>
      </c>
      <c r="L360" s="17">
        <f t="shared" si="17"/>
        <v>0</v>
      </c>
      <c r="M360" s="14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 spans="1:27" s="2" customFormat="1" ht="14">
      <c r="A361" s="12" t="s">
        <v>978</v>
      </c>
      <c r="B361" s="13" t="s">
        <v>14</v>
      </c>
      <c r="C361" s="13" t="s">
        <v>979</v>
      </c>
      <c r="D361" s="13" t="s">
        <v>919</v>
      </c>
      <c r="E361" s="13" t="s">
        <v>446</v>
      </c>
      <c r="F361" s="14"/>
      <c r="G361" s="14"/>
      <c r="H361" s="14"/>
      <c r="I361" s="14"/>
      <c r="J361" s="14">
        <f t="shared" si="15"/>
        <v>0</v>
      </c>
      <c r="K361" s="14">
        <f t="shared" si="16"/>
        <v>0</v>
      </c>
      <c r="L361" s="17">
        <f t="shared" si="17"/>
        <v>0</v>
      </c>
      <c r="M361" s="14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 spans="1:27" s="2" customFormat="1" ht="14">
      <c r="A362" s="12" t="s">
        <v>980</v>
      </c>
      <c r="B362" s="13" t="s">
        <v>14</v>
      </c>
      <c r="C362" s="13" t="s">
        <v>981</v>
      </c>
      <c r="D362" s="13" t="s">
        <v>919</v>
      </c>
      <c r="E362" s="13" t="s">
        <v>446</v>
      </c>
      <c r="F362" s="14"/>
      <c r="G362" s="14"/>
      <c r="H362" s="14"/>
      <c r="I362" s="14"/>
      <c r="J362" s="14">
        <f t="shared" si="15"/>
        <v>0</v>
      </c>
      <c r="K362" s="14">
        <f t="shared" si="16"/>
        <v>0</v>
      </c>
      <c r="L362" s="17">
        <f t="shared" si="17"/>
        <v>0</v>
      </c>
      <c r="M362" s="14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 spans="1:27" s="2" customFormat="1" ht="14">
      <c r="A363" s="12" t="s">
        <v>982</v>
      </c>
      <c r="B363" s="13" t="s">
        <v>14</v>
      </c>
      <c r="C363" s="13" t="s">
        <v>983</v>
      </c>
      <c r="D363" s="13" t="s">
        <v>984</v>
      </c>
      <c r="E363" s="13" t="s">
        <v>17</v>
      </c>
      <c r="F363" s="14"/>
      <c r="G363" s="14"/>
      <c r="H363" s="14"/>
      <c r="I363" s="14"/>
      <c r="J363" s="14">
        <f t="shared" si="15"/>
        <v>0</v>
      </c>
      <c r="K363" s="14">
        <f t="shared" si="16"/>
        <v>0</v>
      </c>
      <c r="L363" s="17">
        <f t="shared" si="17"/>
        <v>0</v>
      </c>
      <c r="M363" s="14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 spans="1:27" s="2" customFormat="1" ht="14">
      <c r="A364" s="12" t="s">
        <v>985</v>
      </c>
      <c r="B364" s="13" t="s">
        <v>14</v>
      </c>
      <c r="C364" s="13" t="s">
        <v>986</v>
      </c>
      <c r="D364" s="13" t="s">
        <v>984</v>
      </c>
      <c r="E364" s="13" t="s">
        <v>156</v>
      </c>
      <c r="F364" s="14"/>
      <c r="G364" s="14"/>
      <c r="H364" s="14"/>
      <c r="I364" s="14"/>
      <c r="J364" s="14">
        <f t="shared" si="15"/>
        <v>0</v>
      </c>
      <c r="K364" s="14">
        <f t="shared" si="16"/>
        <v>0</v>
      </c>
      <c r="L364" s="17">
        <f t="shared" si="17"/>
        <v>0</v>
      </c>
      <c r="M364" s="14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 spans="1:27" s="2" customFormat="1" ht="14">
      <c r="A365" s="12" t="s">
        <v>987</v>
      </c>
      <c r="B365" s="13" t="s">
        <v>14</v>
      </c>
      <c r="C365" s="13" t="s">
        <v>988</v>
      </c>
      <c r="D365" s="13" t="s">
        <v>984</v>
      </c>
      <c r="E365" s="13" t="s">
        <v>215</v>
      </c>
      <c r="F365" s="14"/>
      <c r="G365" s="14"/>
      <c r="H365" s="14"/>
      <c r="I365" s="14"/>
      <c r="J365" s="14">
        <f t="shared" si="15"/>
        <v>0</v>
      </c>
      <c r="K365" s="14">
        <f t="shared" si="16"/>
        <v>0</v>
      </c>
      <c r="L365" s="17">
        <f t="shared" si="17"/>
        <v>0</v>
      </c>
      <c r="M365" s="14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 spans="1:27" s="2" customFormat="1" ht="14">
      <c r="A366" s="12" t="s">
        <v>989</v>
      </c>
      <c r="B366" s="13" t="s">
        <v>14</v>
      </c>
      <c r="C366" s="13" t="s">
        <v>990</v>
      </c>
      <c r="D366" s="13" t="s">
        <v>991</v>
      </c>
      <c r="E366" s="13" t="s">
        <v>76</v>
      </c>
      <c r="F366" s="14"/>
      <c r="G366" s="14"/>
      <c r="H366" s="14"/>
      <c r="I366" s="14"/>
      <c r="J366" s="14">
        <f t="shared" si="15"/>
        <v>0</v>
      </c>
      <c r="K366" s="14">
        <f t="shared" si="16"/>
        <v>0</v>
      </c>
      <c r="L366" s="17">
        <f t="shared" si="17"/>
        <v>0</v>
      </c>
      <c r="M366" s="14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 spans="1:27" s="2" customFormat="1" ht="14">
      <c r="A367" s="12" t="s">
        <v>992</v>
      </c>
      <c r="B367" s="13" t="s">
        <v>14</v>
      </c>
      <c r="C367" s="13" t="s">
        <v>993</v>
      </c>
      <c r="D367" s="13" t="s">
        <v>994</v>
      </c>
      <c r="E367" s="13" t="s">
        <v>68</v>
      </c>
      <c r="F367" s="14"/>
      <c r="G367" s="14"/>
      <c r="H367" s="14"/>
      <c r="I367" s="14"/>
      <c r="J367" s="14">
        <f t="shared" si="15"/>
        <v>0</v>
      </c>
      <c r="K367" s="14">
        <f t="shared" si="16"/>
        <v>0</v>
      </c>
      <c r="L367" s="17">
        <f t="shared" si="17"/>
        <v>0</v>
      </c>
      <c r="M367" s="14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 spans="1:27" s="2" customFormat="1" ht="14">
      <c r="A368" s="12" t="s">
        <v>995</v>
      </c>
      <c r="B368" s="13" t="s">
        <v>62</v>
      </c>
      <c r="C368" s="13" t="s">
        <v>996</v>
      </c>
      <c r="D368" s="13" t="s">
        <v>997</v>
      </c>
      <c r="E368" s="13" t="s">
        <v>46</v>
      </c>
      <c r="F368" s="14"/>
      <c r="G368" s="14"/>
      <c r="H368" s="14"/>
      <c r="I368" s="14"/>
      <c r="J368" s="14">
        <f t="shared" si="15"/>
        <v>0</v>
      </c>
      <c r="K368" s="14">
        <f t="shared" si="16"/>
        <v>0</v>
      </c>
      <c r="L368" s="17">
        <f t="shared" si="17"/>
        <v>0</v>
      </c>
      <c r="M368" s="14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 spans="1:27" s="2" customFormat="1" ht="14">
      <c r="A369" s="12" t="s">
        <v>998</v>
      </c>
      <c r="B369" s="13" t="s">
        <v>14</v>
      </c>
      <c r="C369" s="13" t="s">
        <v>999</v>
      </c>
      <c r="D369" s="13" t="s">
        <v>1000</v>
      </c>
      <c r="E369" s="13" t="s">
        <v>40</v>
      </c>
      <c r="F369" s="14"/>
      <c r="G369" s="14"/>
      <c r="H369" s="14"/>
      <c r="I369" s="14"/>
      <c r="J369" s="14">
        <f t="shared" si="15"/>
        <v>0</v>
      </c>
      <c r="K369" s="14">
        <f t="shared" si="16"/>
        <v>0</v>
      </c>
      <c r="L369" s="17">
        <f t="shared" si="17"/>
        <v>0</v>
      </c>
      <c r="M369" s="14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 spans="1:27" s="2" customFormat="1" ht="14">
      <c r="A370" s="12" t="s">
        <v>1001</v>
      </c>
      <c r="B370" s="13" t="s">
        <v>14</v>
      </c>
      <c r="C370" s="13" t="s">
        <v>1002</v>
      </c>
      <c r="D370" s="13" t="s">
        <v>1003</v>
      </c>
      <c r="E370" s="13" t="s">
        <v>83</v>
      </c>
      <c r="F370" s="14"/>
      <c r="G370" s="14"/>
      <c r="H370" s="14"/>
      <c r="I370" s="14"/>
      <c r="J370" s="14">
        <f t="shared" si="15"/>
        <v>0</v>
      </c>
      <c r="K370" s="14">
        <f t="shared" si="16"/>
        <v>0</v>
      </c>
      <c r="L370" s="17">
        <f t="shared" si="17"/>
        <v>0</v>
      </c>
      <c r="M370" s="14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 spans="1:27" s="2" customFormat="1" ht="14">
      <c r="A371" s="12" t="s">
        <v>1004</v>
      </c>
      <c r="B371" s="13" t="s">
        <v>62</v>
      </c>
      <c r="C371" s="13" t="s">
        <v>1005</v>
      </c>
      <c r="D371" s="13" t="s">
        <v>1006</v>
      </c>
      <c r="E371" s="13" t="s">
        <v>46</v>
      </c>
      <c r="F371" s="14"/>
      <c r="G371" s="14"/>
      <c r="H371" s="14"/>
      <c r="I371" s="14"/>
      <c r="J371" s="14">
        <f t="shared" si="15"/>
        <v>0</v>
      </c>
      <c r="K371" s="14">
        <f t="shared" si="16"/>
        <v>0</v>
      </c>
      <c r="L371" s="17">
        <f t="shared" si="17"/>
        <v>0</v>
      </c>
      <c r="M371" s="14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 spans="1:27" s="2" customFormat="1" ht="14">
      <c r="A372" s="12" t="s">
        <v>1007</v>
      </c>
      <c r="B372" s="13" t="s">
        <v>14</v>
      </c>
      <c r="C372" s="13" t="s">
        <v>1008</v>
      </c>
      <c r="D372" s="13" t="s">
        <v>1009</v>
      </c>
      <c r="E372" s="13" t="s">
        <v>156</v>
      </c>
      <c r="F372" s="14"/>
      <c r="G372" s="14"/>
      <c r="H372" s="14"/>
      <c r="I372" s="14"/>
      <c r="J372" s="14">
        <f t="shared" si="15"/>
        <v>0</v>
      </c>
      <c r="K372" s="14">
        <f t="shared" si="16"/>
        <v>0</v>
      </c>
      <c r="L372" s="17">
        <f t="shared" si="17"/>
        <v>0</v>
      </c>
      <c r="M372" s="14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 spans="1:27" s="2" customFormat="1" ht="14">
      <c r="A373" s="12" t="s">
        <v>1010</v>
      </c>
      <c r="B373" s="13" t="s">
        <v>14</v>
      </c>
      <c r="C373" s="13" t="s">
        <v>1011</v>
      </c>
      <c r="D373" s="13" t="s">
        <v>1012</v>
      </c>
      <c r="E373" s="13" t="s">
        <v>114</v>
      </c>
      <c r="F373" s="14"/>
      <c r="G373" s="14"/>
      <c r="H373" s="14"/>
      <c r="I373" s="14"/>
      <c r="J373" s="14">
        <f t="shared" si="15"/>
        <v>0</v>
      </c>
      <c r="K373" s="14">
        <f t="shared" si="16"/>
        <v>0</v>
      </c>
      <c r="L373" s="17">
        <f t="shared" si="17"/>
        <v>0</v>
      </c>
      <c r="M373" s="14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 spans="1:27" s="2" customFormat="1" ht="14">
      <c r="A374" s="12" t="s">
        <v>1013</v>
      </c>
      <c r="B374" s="13" t="s">
        <v>62</v>
      </c>
      <c r="C374" s="13" t="s">
        <v>1014</v>
      </c>
      <c r="D374" s="13" t="s">
        <v>1000</v>
      </c>
      <c r="E374" s="13" t="s">
        <v>79</v>
      </c>
      <c r="F374" s="14"/>
      <c r="G374" s="14"/>
      <c r="H374" s="14"/>
      <c r="I374" s="14"/>
      <c r="J374" s="14">
        <f t="shared" si="15"/>
        <v>0</v>
      </c>
      <c r="K374" s="14">
        <f t="shared" si="16"/>
        <v>0</v>
      </c>
      <c r="L374" s="17">
        <f t="shared" si="17"/>
        <v>0</v>
      </c>
      <c r="M374" s="14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 spans="1:27" s="2" customFormat="1" ht="14">
      <c r="A375" s="12" t="s">
        <v>1015</v>
      </c>
      <c r="B375" s="13" t="s">
        <v>14</v>
      </c>
      <c r="C375" s="13" t="s">
        <v>1016</v>
      </c>
      <c r="D375" s="13" t="s">
        <v>1003</v>
      </c>
      <c r="E375" s="13" t="s">
        <v>114</v>
      </c>
      <c r="F375" s="14"/>
      <c r="G375" s="14"/>
      <c r="H375" s="14"/>
      <c r="I375" s="14"/>
      <c r="J375" s="14">
        <f t="shared" si="15"/>
        <v>0</v>
      </c>
      <c r="K375" s="14">
        <f t="shared" si="16"/>
        <v>0</v>
      </c>
      <c r="L375" s="17">
        <f t="shared" si="17"/>
        <v>0</v>
      </c>
      <c r="M375" s="14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 spans="1:27" s="2" customFormat="1" ht="14">
      <c r="A376" s="12" t="s">
        <v>1017</v>
      </c>
      <c r="B376" s="13" t="s">
        <v>14</v>
      </c>
      <c r="C376" s="13" t="s">
        <v>1018</v>
      </c>
      <c r="D376" s="13" t="s">
        <v>1019</v>
      </c>
      <c r="E376" s="13" t="s">
        <v>365</v>
      </c>
      <c r="F376" s="14"/>
      <c r="G376" s="14"/>
      <c r="H376" s="14"/>
      <c r="I376" s="14"/>
      <c r="J376" s="14">
        <f t="shared" si="15"/>
        <v>0</v>
      </c>
      <c r="K376" s="14">
        <f t="shared" si="16"/>
        <v>0</v>
      </c>
      <c r="L376" s="17">
        <f t="shared" si="17"/>
        <v>0</v>
      </c>
      <c r="M376" s="14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 spans="1:27" s="2" customFormat="1" ht="14">
      <c r="A377" s="12" t="s">
        <v>1020</v>
      </c>
      <c r="B377" s="13" t="s">
        <v>62</v>
      </c>
      <c r="C377" s="13" t="s">
        <v>1021</v>
      </c>
      <c r="D377" s="13" t="s">
        <v>1022</v>
      </c>
      <c r="E377" s="13" t="s">
        <v>183</v>
      </c>
      <c r="F377" s="14"/>
      <c r="G377" s="14"/>
      <c r="H377" s="14"/>
      <c r="I377" s="14"/>
      <c r="J377" s="14">
        <f t="shared" si="15"/>
        <v>0</v>
      </c>
      <c r="K377" s="14">
        <f t="shared" si="16"/>
        <v>0</v>
      </c>
      <c r="L377" s="17">
        <f t="shared" si="17"/>
        <v>0</v>
      </c>
      <c r="M377" s="14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 spans="1:27" s="2" customFormat="1" ht="14">
      <c r="A378" s="12" t="s">
        <v>1023</v>
      </c>
      <c r="B378" s="13" t="s">
        <v>14</v>
      </c>
      <c r="C378" s="13" t="s">
        <v>1024</v>
      </c>
      <c r="D378" s="13" t="s">
        <v>1025</v>
      </c>
      <c r="E378" s="13" t="s">
        <v>25</v>
      </c>
      <c r="F378" s="14"/>
      <c r="G378" s="14"/>
      <c r="H378" s="14"/>
      <c r="I378" s="14"/>
      <c r="J378" s="14">
        <f t="shared" si="15"/>
        <v>0</v>
      </c>
      <c r="K378" s="14">
        <f t="shared" si="16"/>
        <v>0</v>
      </c>
      <c r="L378" s="17">
        <f t="shared" si="17"/>
        <v>0</v>
      </c>
      <c r="M378" s="14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 spans="1:27" s="2" customFormat="1" ht="14">
      <c r="A379" s="12" t="s">
        <v>1026</v>
      </c>
      <c r="B379" s="13" t="s">
        <v>62</v>
      </c>
      <c r="C379" s="13" t="s">
        <v>1027</v>
      </c>
      <c r="D379" s="13" t="s">
        <v>1025</v>
      </c>
      <c r="E379" s="13" t="s">
        <v>83</v>
      </c>
      <c r="F379" s="14"/>
      <c r="G379" s="14"/>
      <c r="H379" s="14"/>
      <c r="I379" s="14"/>
      <c r="J379" s="14">
        <f t="shared" si="15"/>
        <v>0</v>
      </c>
      <c r="K379" s="14">
        <f t="shared" si="16"/>
        <v>0</v>
      </c>
      <c r="L379" s="17">
        <f t="shared" si="17"/>
        <v>0</v>
      </c>
      <c r="M379" s="14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 spans="1:27" s="2" customFormat="1" ht="14">
      <c r="A380" s="12" t="s">
        <v>1028</v>
      </c>
      <c r="B380" s="13" t="s">
        <v>62</v>
      </c>
      <c r="C380" s="13" t="s">
        <v>1029</v>
      </c>
      <c r="D380" s="13" t="s">
        <v>1030</v>
      </c>
      <c r="E380" s="13" t="s">
        <v>43</v>
      </c>
      <c r="F380" s="14"/>
      <c r="G380" s="14"/>
      <c r="H380" s="14"/>
      <c r="I380" s="14"/>
      <c r="J380" s="14">
        <f t="shared" si="15"/>
        <v>0</v>
      </c>
      <c r="K380" s="14">
        <f t="shared" si="16"/>
        <v>0</v>
      </c>
      <c r="L380" s="17">
        <f t="shared" si="17"/>
        <v>0</v>
      </c>
      <c r="M380" s="14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 spans="1:27" s="2" customFormat="1" ht="14">
      <c r="A381" s="12" t="s">
        <v>1031</v>
      </c>
      <c r="B381" s="13" t="s">
        <v>14</v>
      </c>
      <c r="C381" s="13" t="s">
        <v>1032</v>
      </c>
      <c r="D381" s="13" t="s">
        <v>1033</v>
      </c>
      <c r="E381" s="13" t="s">
        <v>29</v>
      </c>
      <c r="F381" s="14"/>
      <c r="G381" s="14"/>
      <c r="H381" s="14"/>
      <c r="I381" s="14"/>
      <c r="J381" s="14">
        <f t="shared" si="15"/>
        <v>0</v>
      </c>
      <c r="K381" s="14">
        <f t="shared" si="16"/>
        <v>0</v>
      </c>
      <c r="L381" s="17">
        <f t="shared" si="17"/>
        <v>0</v>
      </c>
      <c r="M381" s="14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 spans="1:27" s="2" customFormat="1" ht="14">
      <c r="A382" s="12" t="s">
        <v>1034</v>
      </c>
      <c r="B382" s="13" t="s">
        <v>14</v>
      </c>
      <c r="C382" s="13" t="s">
        <v>1035</v>
      </c>
      <c r="D382" s="13" t="s">
        <v>1036</v>
      </c>
      <c r="E382" s="13" t="s">
        <v>1037</v>
      </c>
      <c r="F382" s="14"/>
      <c r="G382" s="14"/>
      <c r="H382" s="14"/>
      <c r="I382" s="14"/>
      <c r="J382" s="14">
        <f t="shared" si="15"/>
        <v>0</v>
      </c>
      <c r="K382" s="14">
        <f t="shared" si="16"/>
        <v>0</v>
      </c>
      <c r="L382" s="17">
        <f t="shared" si="17"/>
        <v>0</v>
      </c>
      <c r="M382" s="14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 spans="1:27" s="2" customFormat="1" ht="14">
      <c r="A383" s="12" t="s">
        <v>1038</v>
      </c>
      <c r="B383" s="13" t="s">
        <v>14</v>
      </c>
      <c r="C383" s="13" t="s">
        <v>1039</v>
      </c>
      <c r="D383" s="13" t="s">
        <v>1040</v>
      </c>
      <c r="E383" s="13" t="s">
        <v>488</v>
      </c>
      <c r="F383" s="14"/>
      <c r="G383" s="14"/>
      <c r="H383" s="14"/>
      <c r="I383" s="14"/>
      <c r="J383" s="14">
        <f t="shared" si="15"/>
        <v>0</v>
      </c>
      <c r="K383" s="14">
        <f t="shared" si="16"/>
        <v>0</v>
      </c>
      <c r="L383" s="17">
        <f t="shared" si="17"/>
        <v>0</v>
      </c>
      <c r="M383" s="14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 spans="1:27" s="2" customFormat="1" ht="14">
      <c r="A384" s="12" t="s">
        <v>1041</v>
      </c>
      <c r="B384" s="13" t="s">
        <v>14</v>
      </c>
      <c r="C384" s="13" t="s">
        <v>1042</v>
      </c>
      <c r="D384" s="13" t="s">
        <v>1040</v>
      </c>
      <c r="E384" s="13" t="s">
        <v>25</v>
      </c>
      <c r="F384" s="14"/>
      <c r="G384" s="14"/>
      <c r="H384" s="14"/>
      <c r="I384" s="14"/>
      <c r="J384" s="14">
        <f t="shared" si="15"/>
        <v>0</v>
      </c>
      <c r="K384" s="14">
        <f t="shared" si="16"/>
        <v>0</v>
      </c>
      <c r="L384" s="17">
        <f t="shared" si="17"/>
        <v>0</v>
      </c>
      <c r="M384" s="14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 spans="1:27" s="2" customFormat="1" ht="14">
      <c r="A385" s="12" t="s">
        <v>1043</v>
      </c>
      <c r="B385" s="13" t="s">
        <v>14</v>
      </c>
      <c r="C385" s="13" t="s">
        <v>1044</v>
      </c>
      <c r="D385" s="13" t="s">
        <v>1040</v>
      </c>
      <c r="E385" s="13" t="s">
        <v>136</v>
      </c>
      <c r="F385" s="14"/>
      <c r="G385" s="14"/>
      <c r="H385" s="14"/>
      <c r="I385" s="14"/>
      <c r="J385" s="14">
        <f t="shared" si="15"/>
        <v>0</v>
      </c>
      <c r="K385" s="14">
        <f t="shared" si="16"/>
        <v>0</v>
      </c>
      <c r="L385" s="17">
        <f t="shared" si="17"/>
        <v>0</v>
      </c>
      <c r="M385" s="14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 spans="1:27" s="2" customFormat="1" ht="14">
      <c r="A386" s="12" t="s">
        <v>1045</v>
      </c>
      <c r="B386" s="13" t="s">
        <v>14</v>
      </c>
      <c r="C386" s="13" t="s">
        <v>1046</v>
      </c>
      <c r="D386" s="13" t="s">
        <v>1040</v>
      </c>
      <c r="E386" s="13" t="s">
        <v>72</v>
      </c>
      <c r="F386" s="14"/>
      <c r="G386" s="14"/>
      <c r="H386" s="14"/>
      <c r="I386" s="14"/>
      <c r="J386" s="14">
        <f t="shared" ref="J386:J449" si="18">IF(G386&gt;0,1,0)</f>
        <v>0</v>
      </c>
      <c r="K386" s="14">
        <f t="shared" ref="K386:K449" si="19">IF(H386&gt;0,1,0)</f>
        <v>0</v>
      </c>
      <c r="L386" s="17">
        <f t="shared" ref="L386:L449" si="20">IF(G386&gt;0,IF(H386&gt;0,1,0),0)</f>
        <v>0</v>
      </c>
      <c r="M386" s="14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 spans="1:27" s="2" customFormat="1" ht="14">
      <c r="A387" s="12" t="s">
        <v>1047</v>
      </c>
      <c r="B387" s="13" t="s">
        <v>62</v>
      </c>
      <c r="C387" s="13" t="s">
        <v>1048</v>
      </c>
      <c r="D387" s="13" t="s">
        <v>1049</v>
      </c>
      <c r="E387" s="13" t="s">
        <v>150</v>
      </c>
      <c r="F387" s="14"/>
      <c r="G387" s="14"/>
      <c r="H387" s="14"/>
      <c r="I387" s="14"/>
      <c r="J387" s="14">
        <f t="shared" si="18"/>
        <v>0</v>
      </c>
      <c r="K387" s="14">
        <f t="shared" si="19"/>
        <v>0</v>
      </c>
      <c r="L387" s="17">
        <f t="shared" si="20"/>
        <v>0</v>
      </c>
      <c r="M387" s="14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 spans="1:27" s="2" customFormat="1" ht="14">
      <c r="A388" s="12" t="s">
        <v>1050</v>
      </c>
      <c r="B388" s="13" t="s">
        <v>14</v>
      </c>
      <c r="C388" s="13" t="s">
        <v>1051</v>
      </c>
      <c r="D388" s="13" t="s">
        <v>1052</v>
      </c>
      <c r="E388" s="13" t="s">
        <v>183</v>
      </c>
      <c r="F388" s="14"/>
      <c r="G388" s="14"/>
      <c r="H388" s="14"/>
      <c r="I388" s="14"/>
      <c r="J388" s="14">
        <f t="shared" si="18"/>
        <v>0</v>
      </c>
      <c r="K388" s="14">
        <f t="shared" si="19"/>
        <v>0</v>
      </c>
      <c r="L388" s="17">
        <f t="shared" si="20"/>
        <v>0</v>
      </c>
      <c r="M388" s="14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spans="1:27" s="2" customFormat="1" ht="14">
      <c r="A389" s="12" t="s">
        <v>1053</v>
      </c>
      <c r="B389" s="13" t="s">
        <v>14</v>
      </c>
      <c r="C389" s="13" t="s">
        <v>1054</v>
      </c>
      <c r="D389" s="13" t="s">
        <v>1055</v>
      </c>
      <c r="E389" s="13" t="s">
        <v>285</v>
      </c>
      <c r="F389" s="14"/>
      <c r="G389" s="14"/>
      <c r="H389" s="14"/>
      <c r="I389" s="14"/>
      <c r="J389" s="14">
        <f t="shared" si="18"/>
        <v>0</v>
      </c>
      <c r="K389" s="14">
        <f t="shared" si="19"/>
        <v>0</v>
      </c>
      <c r="L389" s="17">
        <f t="shared" si="20"/>
        <v>0</v>
      </c>
      <c r="M389" s="14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spans="1:27" s="2" customFormat="1" ht="14">
      <c r="A390" s="12" t="s">
        <v>1056</v>
      </c>
      <c r="B390" s="13" t="s">
        <v>62</v>
      </c>
      <c r="C390" s="13" t="s">
        <v>1057</v>
      </c>
      <c r="D390" s="13" t="s">
        <v>1055</v>
      </c>
      <c r="E390" s="13" t="s">
        <v>215</v>
      </c>
      <c r="F390" s="14"/>
      <c r="G390" s="14"/>
      <c r="H390" s="14"/>
      <c r="I390" s="14"/>
      <c r="J390" s="14">
        <f t="shared" si="18"/>
        <v>0</v>
      </c>
      <c r="K390" s="14">
        <f t="shared" si="19"/>
        <v>0</v>
      </c>
      <c r="L390" s="17">
        <f t="shared" si="20"/>
        <v>0</v>
      </c>
      <c r="M390" s="14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 spans="1:27" s="2" customFormat="1" ht="14">
      <c r="A391" s="12" t="s">
        <v>1058</v>
      </c>
      <c r="B391" s="13" t="s">
        <v>14</v>
      </c>
      <c r="C391" s="13" t="s">
        <v>1059</v>
      </c>
      <c r="D391" s="13" t="s">
        <v>1060</v>
      </c>
      <c r="E391" s="13" t="s">
        <v>205</v>
      </c>
      <c r="F391" s="14"/>
      <c r="G391" s="14"/>
      <c r="H391" s="14"/>
      <c r="I391" s="14"/>
      <c r="J391" s="14">
        <f t="shared" si="18"/>
        <v>0</v>
      </c>
      <c r="K391" s="14">
        <f t="shared" si="19"/>
        <v>0</v>
      </c>
      <c r="L391" s="17">
        <f t="shared" si="20"/>
        <v>0</v>
      </c>
      <c r="M391" s="14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 spans="1:27" s="2" customFormat="1" ht="14">
      <c r="A392" s="12" t="s">
        <v>1061</v>
      </c>
      <c r="B392" s="13" t="s">
        <v>14</v>
      </c>
      <c r="C392" s="13" t="s">
        <v>1062</v>
      </c>
      <c r="D392" s="13" t="s">
        <v>1063</v>
      </c>
      <c r="E392" s="13" t="s">
        <v>40</v>
      </c>
      <c r="F392" s="14"/>
      <c r="G392" s="14"/>
      <c r="H392" s="14"/>
      <c r="I392" s="14"/>
      <c r="J392" s="14">
        <f t="shared" si="18"/>
        <v>0</v>
      </c>
      <c r="K392" s="14">
        <f t="shared" si="19"/>
        <v>0</v>
      </c>
      <c r="L392" s="17">
        <f t="shared" si="20"/>
        <v>0</v>
      </c>
      <c r="M392" s="14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 spans="1:27" s="2" customFormat="1" ht="14">
      <c r="A393" s="12" t="s">
        <v>1064</v>
      </c>
      <c r="B393" s="13" t="s">
        <v>14</v>
      </c>
      <c r="C393" s="13" t="s">
        <v>1065</v>
      </c>
      <c r="D393" s="13" t="s">
        <v>1052</v>
      </c>
      <c r="E393" s="13" t="s">
        <v>220</v>
      </c>
      <c r="F393" s="14"/>
      <c r="G393" s="14"/>
      <c r="H393" s="14"/>
      <c r="I393" s="14"/>
      <c r="J393" s="14">
        <f t="shared" si="18"/>
        <v>0</v>
      </c>
      <c r="K393" s="14">
        <f t="shared" si="19"/>
        <v>0</v>
      </c>
      <c r="L393" s="17">
        <f t="shared" si="20"/>
        <v>0</v>
      </c>
      <c r="M393" s="14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 spans="1:27" s="2" customFormat="1" ht="14">
      <c r="A394" s="12" t="s">
        <v>1066</v>
      </c>
      <c r="B394" s="13" t="s">
        <v>14</v>
      </c>
      <c r="C394" s="13" t="s">
        <v>1067</v>
      </c>
      <c r="D394" s="13" t="s">
        <v>1063</v>
      </c>
      <c r="E394" s="13" t="s">
        <v>97</v>
      </c>
      <c r="F394" s="14"/>
      <c r="G394" s="14"/>
      <c r="H394" s="14"/>
      <c r="I394" s="14"/>
      <c r="J394" s="14">
        <f t="shared" si="18"/>
        <v>0</v>
      </c>
      <c r="K394" s="14">
        <f t="shared" si="19"/>
        <v>0</v>
      </c>
      <c r="L394" s="17">
        <f t="shared" si="20"/>
        <v>0</v>
      </c>
      <c r="M394" s="14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 spans="1:27" s="2" customFormat="1" ht="14">
      <c r="A395" s="12" t="s">
        <v>1068</v>
      </c>
      <c r="B395" s="13" t="s">
        <v>14</v>
      </c>
      <c r="C395" s="13" t="s">
        <v>1069</v>
      </c>
      <c r="D395" s="13" t="s">
        <v>1070</v>
      </c>
      <c r="E395" s="13" t="s">
        <v>971</v>
      </c>
      <c r="F395" s="14"/>
      <c r="G395" s="14"/>
      <c r="H395" s="14"/>
      <c r="I395" s="14"/>
      <c r="J395" s="14">
        <f t="shared" si="18"/>
        <v>0</v>
      </c>
      <c r="K395" s="14">
        <f t="shared" si="19"/>
        <v>0</v>
      </c>
      <c r="L395" s="17">
        <f t="shared" si="20"/>
        <v>0</v>
      </c>
      <c r="M395" s="14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 spans="1:27" s="2" customFormat="1" ht="14">
      <c r="A396" s="12" t="s">
        <v>1071</v>
      </c>
      <c r="B396" s="13" t="s">
        <v>14</v>
      </c>
      <c r="C396" s="13" t="s">
        <v>1072</v>
      </c>
      <c r="D396" s="13" t="s">
        <v>1073</v>
      </c>
      <c r="E396" s="13" t="s">
        <v>114</v>
      </c>
      <c r="F396" s="14"/>
      <c r="G396" s="14"/>
      <c r="H396" s="14"/>
      <c r="I396" s="14"/>
      <c r="J396" s="14">
        <f t="shared" si="18"/>
        <v>0</v>
      </c>
      <c r="K396" s="14">
        <f t="shared" si="19"/>
        <v>0</v>
      </c>
      <c r="L396" s="17">
        <f t="shared" si="20"/>
        <v>0</v>
      </c>
      <c r="M396" s="14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 spans="1:27" s="2" customFormat="1" ht="14">
      <c r="A397" s="12" t="s">
        <v>1074</v>
      </c>
      <c r="B397" s="13" t="s">
        <v>62</v>
      </c>
      <c r="C397" s="13" t="s">
        <v>1075</v>
      </c>
      <c r="D397" s="13" t="s">
        <v>1076</v>
      </c>
      <c r="E397" s="13" t="s">
        <v>285</v>
      </c>
      <c r="F397" s="14"/>
      <c r="G397" s="14"/>
      <c r="H397" s="14"/>
      <c r="I397" s="14"/>
      <c r="J397" s="14">
        <f t="shared" si="18"/>
        <v>0</v>
      </c>
      <c r="K397" s="14">
        <f t="shared" si="19"/>
        <v>0</v>
      </c>
      <c r="L397" s="17">
        <f t="shared" si="20"/>
        <v>0</v>
      </c>
      <c r="M397" s="14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 spans="1:27" s="2" customFormat="1" ht="14">
      <c r="A398" s="12" t="s">
        <v>1077</v>
      </c>
      <c r="B398" s="13" t="s">
        <v>14</v>
      </c>
      <c r="C398" s="13" t="s">
        <v>1078</v>
      </c>
      <c r="D398" s="13" t="s">
        <v>1079</v>
      </c>
      <c r="E398" s="13" t="s">
        <v>50</v>
      </c>
      <c r="F398" s="14"/>
      <c r="G398" s="14"/>
      <c r="H398" s="14"/>
      <c r="I398" s="14"/>
      <c r="J398" s="14">
        <f t="shared" si="18"/>
        <v>0</v>
      </c>
      <c r="K398" s="14">
        <f t="shared" si="19"/>
        <v>0</v>
      </c>
      <c r="L398" s="17">
        <f t="shared" si="20"/>
        <v>0</v>
      </c>
      <c r="M398" s="14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 spans="1:27" s="2" customFormat="1" ht="14">
      <c r="A399" s="12" t="s">
        <v>1080</v>
      </c>
      <c r="B399" s="13" t="s">
        <v>62</v>
      </c>
      <c r="C399" s="13" t="s">
        <v>1081</v>
      </c>
      <c r="D399" s="13" t="s">
        <v>1082</v>
      </c>
      <c r="E399" s="13" t="s">
        <v>201</v>
      </c>
      <c r="F399" s="14"/>
      <c r="G399" s="14"/>
      <c r="H399" s="14"/>
      <c r="I399" s="14"/>
      <c r="J399" s="14">
        <f t="shared" si="18"/>
        <v>0</v>
      </c>
      <c r="K399" s="14">
        <f t="shared" si="19"/>
        <v>0</v>
      </c>
      <c r="L399" s="17">
        <f t="shared" si="20"/>
        <v>0</v>
      </c>
      <c r="M399" s="14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 spans="1:27" s="2" customFormat="1" ht="14">
      <c r="A400" s="12" t="s">
        <v>1083</v>
      </c>
      <c r="B400" s="13" t="s">
        <v>14</v>
      </c>
      <c r="C400" s="13" t="s">
        <v>1084</v>
      </c>
      <c r="D400" s="13" t="s">
        <v>1085</v>
      </c>
      <c r="E400" s="13" t="s">
        <v>29</v>
      </c>
      <c r="F400" s="14"/>
      <c r="G400" s="14"/>
      <c r="H400" s="14"/>
      <c r="I400" s="14"/>
      <c r="J400" s="14">
        <f t="shared" si="18"/>
        <v>0</v>
      </c>
      <c r="K400" s="14">
        <f t="shared" si="19"/>
        <v>0</v>
      </c>
      <c r="L400" s="17">
        <f t="shared" si="20"/>
        <v>0</v>
      </c>
      <c r="M400" s="14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 spans="1:27" s="2" customFormat="1" ht="14">
      <c r="A401" s="12" t="s">
        <v>1086</v>
      </c>
      <c r="B401" s="13" t="s">
        <v>14</v>
      </c>
      <c r="C401" s="13" t="s">
        <v>1087</v>
      </c>
      <c r="D401" s="13" t="s">
        <v>1088</v>
      </c>
      <c r="E401" s="13" t="s">
        <v>46</v>
      </c>
      <c r="F401" s="14"/>
      <c r="G401" s="14"/>
      <c r="H401" s="14"/>
      <c r="I401" s="14"/>
      <c r="J401" s="14">
        <f t="shared" si="18"/>
        <v>0</v>
      </c>
      <c r="K401" s="14">
        <f t="shared" si="19"/>
        <v>0</v>
      </c>
      <c r="L401" s="17">
        <f t="shared" si="20"/>
        <v>0</v>
      </c>
      <c r="M401" s="14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 spans="1:27" s="2" customFormat="1" ht="14">
      <c r="A402" s="12" t="s">
        <v>1089</v>
      </c>
      <c r="B402" s="13" t="s">
        <v>62</v>
      </c>
      <c r="C402" s="13" t="s">
        <v>1090</v>
      </c>
      <c r="D402" s="13" t="s">
        <v>1091</v>
      </c>
      <c r="E402" s="13" t="s">
        <v>114</v>
      </c>
      <c r="F402" s="14"/>
      <c r="G402" s="14"/>
      <c r="H402" s="14"/>
      <c r="I402" s="14"/>
      <c r="J402" s="14">
        <f t="shared" si="18"/>
        <v>0</v>
      </c>
      <c r="K402" s="14">
        <f t="shared" si="19"/>
        <v>0</v>
      </c>
      <c r="L402" s="17">
        <f t="shared" si="20"/>
        <v>0</v>
      </c>
      <c r="M402" s="14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 spans="1:27" s="2" customFormat="1" ht="14">
      <c r="A403" s="12" t="s">
        <v>1092</v>
      </c>
      <c r="B403" s="13" t="s">
        <v>62</v>
      </c>
      <c r="C403" s="13" t="s">
        <v>1093</v>
      </c>
      <c r="D403" s="13" t="s">
        <v>1094</v>
      </c>
      <c r="E403" s="13" t="s">
        <v>267</v>
      </c>
      <c r="F403" s="14"/>
      <c r="G403" s="14"/>
      <c r="H403" s="14"/>
      <c r="I403" s="14"/>
      <c r="J403" s="14">
        <f t="shared" si="18"/>
        <v>0</v>
      </c>
      <c r="K403" s="14">
        <f t="shared" si="19"/>
        <v>0</v>
      </c>
      <c r="L403" s="17">
        <f t="shared" si="20"/>
        <v>0</v>
      </c>
      <c r="M403" s="14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 spans="1:27" s="2" customFormat="1" ht="14">
      <c r="A404" s="12" t="s">
        <v>1095</v>
      </c>
      <c r="B404" s="13" t="s">
        <v>14</v>
      </c>
      <c r="C404" s="13" t="s">
        <v>1096</v>
      </c>
      <c r="D404" s="13" t="s">
        <v>1097</v>
      </c>
      <c r="E404" s="13" t="s">
        <v>285</v>
      </c>
      <c r="F404" s="14"/>
      <c r="G404" s="14"/>
      <c r="H404" s="14"/>
      <c r="I404" s="14"/>
      <c r="J404" s="14">
        <f t="shared" si="18"/>
        <v>0</v>
      </c>
      <c r="K404" s="14">
        <f t="shared" si="19"/>
        <v>0</v>
      </c>
      <c r="L404" s="17">
        <f t="shared" si="20"/>
        <v>0</v>
      </c>
      <c r="M404" s="14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 spans="1:27" s="2" customFormat="1" ht="14">
      <c r="A405" s="12" t="s">
        <v>1098</v>
      </c>
      <c r="B405" s="13" t="s">
        <v>14</v>
      </c>
      <c r="C405" s="13" t="s">
        <v>1099</v>
      </c>
      <c r="D405" s="13" t="s">
        <v>1100</v>
      </c>
      <c r="E405" s="13" t="s">
        <v>21</v>
      </c>
      <c r="F405" s="14"/>
      <c r="G405" s="14"/>
      <c r="H405" s="14"/>
      <c r="I405" s="14"/>
      <c r="J405" s="14">
        <f t="shared" si="18"/>
        <v>0</v>
      </c>
      <c r="K405" s="14">
        <f t="shared" si="19"/>
        <v>0</v>
      </c>
      <c r="L405" s="17">
        <f t="shared" si="20"/>
        <v>0</v>
      </c>
      <c r="M405" s="14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 spans="1:27" s="2" customFormat="1" ht="14">
      <c r="A406" s="12" t="s">
        <v>1101</v>
      </c>
      <c r="B406" s="13" t="s">
        <v>62</v>
      </c>
      <c r="C406" s="13" t="s">
        <v>1102</v>
      </c>
      <c r="D406" s="13" t="s">
        <v>1103</v>
      </c>
      <c r="E406" s="13" t="s">
        <v>43</v>
      </c>
      <c r="F406" s="14"/>
      <c r="G406" s="14"/>
      <c r="H406" s="14"/>
      <c r="I406" s="14"/>
      <c r="J406" s="14">
        <f t="shared" si="18"/>
        <v>0</v>
      </c>
      <c r="K406" s="14">
        <f t="shared" si="19"/>
        <v>0</v>
      </c>
      <c r="L406" s="17">
        <f t="shared" si="20"/>
        <v>0</v>
      </c>
      <c r="M406" s="14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 spans="1:27" s="2" customFormat="1" ht="14">
      <c r="A407" s="12" t="s">
        <v>1104</v>
      </c>
      <c r="B407" s="13" t="s">
        <v>14</v>
      </c>
      <c r="C407" s="13" t="s">
        <v>1105</v>
      </c>
      <c r="D407" s="13" t="s">
        <v>1106</v>
      </c>
      <c r="E407" s="13" t="s">
        <v>402</v>
      </c>
      <c r="F407" s="14"/>
      <c r="G407" s="14"/>
      <c r="H407" s="14"/>
      <c r="I407" s="14"/>
      <c r="J407" s="14">
        <f t="shared" si="18"/>
        <v>0</v>
      </c>
      <c r="K407" s="14">
        <f t="shared" si="19"/>
        <v>0</v>
      </c>
      <c r="L407" s="17">
        <f t="shared" si="20"/>
        <v>0</v>
      </c>
      <c r="M407" s="14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 spans="1:27" s="2" customFormat="1" ht="14">
      <c r="A408" s="12" t="s">
        <v>1107</v>
      </c>
      <c r="B408" s="13" t="s">
        <v>14</v>
      </c>
      <c r="C408" s="13" t="s">
        <v>1108</v>
      </c>
      <c r="D408" s="13" t="s">
        <v>1109</v>
      </c>
      <c r="E408" s="13" t="s">
        <v>32</v>
      </c>
      <c r="F408" s="14"/>
      <c r="G408" s="14"/>
      <c r="H408" s="14"/>
      <c r="I408" s="14"/>
      <c r="J408" s="14">
        <f t="shared" si="18"/>
        <v>0</v>
      </c>
      <c r="K408" s="14">
        <f t="shared" si="19"/>
        <v>0</v>
      </c>
      <c r="L408" s="17">
        <f t="shared" si="20"/>
        <v>0</v>
      </c>
      <c r="M408" s="14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 spans="1:27" s="2" customFormat="1" ht="14">
      <c r="A409" s="12" t="s">
        <v>1110</v>
      </c>
      <c r="B409" s="13" t="s">
        <v>62</v>
      </c>
      <c r="C409" s="13" t="s">
        <v>1111</v>
      </c>
      <c r="D409" s="13" t="s">
        <v>1112</v>
      </c>
      <c r="E409" s="13" t="s">
        <v>1113</v>
      </c>
      <c r="F409" s="14"/>
      <c r="G409" s="14"/>
      <c r="H409" s="14"/>
      <c r="I409" s="14"/>
      <c r="J409" s="14">
        <f t="shared" si="18"/>
        <v>0</v>
      </c>
      <c r="K409" s="14">
        <f t="shared" si="19"/>
        <v>0</v>
      </c>
      <c r="L409" s="17">
        <f t="shared" si="20"/>
        <v>0</v>
      </c>
      <c r="M409" s="14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 spans="1:27" s="2" customFormat="1" ht="14">
      <c r="A410" s="12" t="s">
        <v>1114</v>
      </c>
      <c r="B410" s="13" t="s">
        <v>14</v>
      </c>
      <c r="C410" s="13" t="s">
        <v>1115</v>
      </c>
      <c r="D410" s="13" t="s">
        <v>1116</v>
      </c>
      <c r="E410" s="13" t="s">
        <v>72</v>
      </c>
      <c r="F410" s="14"/>
      <c r="G410" s="14"/>
      <c r="H410" s="14"/>
      <c r="I410" s="14"/>
      <c r="J410" s="14">
        <f t="shared" si="18"/>
        <v>0</v>
      </c>
      <c r="K410" s="14">
        <f t="shared" si="19"/>
        <v>0</v>
      </c>
      <c r="L410" s="17">
        <f t="shared" si="20"/>
        <v>0</v>
      </c>
      <c r="M410" s="14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 spans="1:27" s="2" customFormat="1" ht="14">
      <c r="A411" s="12" t="s">
        <v>1117</v>
      </c>
      <c r="B411" s="13" t="s">
        <v>14</v>
      </c>
      <c r="C411" s="13" t="s">
        <v>1118</v>
      </c>
      <c r="D411" s="13" t="s">
        <v>1119</v>
      </c>
      <c r="E411" s="13" t="s">
        <v>40</v>
      </c>
      <c r="F411" s="14"/>
      <c r="G411" s="14"/>
      <c r="H411" s="14"/>
      <c r="I411" s="14"/>
      <c r="J411" s="14">
        <f t="shared" si="18"/>
        <v>0</v>
      </c>
      <c r="K411" s="14">
        <f t="shared" si="19"/>
        <v>0</v>
      </c>
      <c r="L411" s="17">
        <f t="shared" si="20"/>
        <v>0</v>
      </c>
      <c r="M411" s="14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 spans="1:27" s="2" customFormat="1" ht="14">
      <c r="A412" s="12" t="s">
        <v>1120</v>
      </c>
      <c r="B412" s="13" t="s">
        <v>62</v>
      </c>
      <c r="C412" s="13" t="s">
        <v>1121</v>
      </c>
      <c r="D412" s="13" t="s">
        <v>1122</v>
      </c>
      <c r="E412" s="13" t="s">
        <v>79</v>
      </c>
      <c r="F412" s="14"/>
      <c r="G412" s="14"/>
      <c r="H412" s="14"/>
      <c r="I412" s="14"/>
      <c r="J412" s="14">
        <f t="shared" si="18"/>
        <v>0</v>
      </c>
      <c r="K412" s="14">
        <f t="shared" si="19"/>
        <v>0</v>
      </c>
      <c r="L412" s="17">
        <f t="shared" si="20"/>
        <v>0</v>
      </c>
      <c r="M412" s="14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 spans="1:27" s="2" customFormat="1" ht="14">
      <c r="A413" s="12" t="s">
        <v>1123</v>
      </c>
      <c r="B413" s="13" t="s">
        <v>14</v>
      </c>
      <c r="C413" s="13" t="s">
        <v>1124</v>
      </c>
      <c r="D413" s="13" t="s">
        <v>1125</v>
      </c>
      <c r="E413" s="13" t="s">
        <v>83</v>
      </c>
      <c r="F413" s="14"/>
      <c r="G413" s="14"/>
      <c r="H413" s="14"/>
      <c r="I413" s="14"/>
      <c r="J413" s="14">
        <f t="shared" si="18"/>
        <v>0</v>
      </c>
      <c r="K413" s="14">
        <f t="shared" si="19"/>
        <v>0</v>
      </c>
      <c r="L413" s="17">
        <f t="shared" si="20"/>
        <v>0</v>
      </c>
      <c r="M413" s="14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 spans="1:27" s="2" customFormat="1" ht="14">
      <c r="A414" s="12" t="s">
        <v>1126</v>
      </c>
      <c r="B414" s="13" t="s">
        <v>14</v>
      </c>
      <c r="C414" s="13" t="s">
        <v>1127</v>
      </c>
      <c r="D414" s="13" t="s">
        <v>1128</v>
      </c>
      <c r="E414" s="13" t="s">
        <v>114</v>
      </c>
      <c r="F414" s="14"/>
      <c r="G414" s="14"/>
      <c r="H414" s="14"/>
      <c r="I414" s="14"/>
      <c r="J414" s="14">
        <f t="shared" si="18"/>
        <v>0</v>
      </c>
      <c r="K414" s="14">
        <f t="shared" si="19"/>
        <v>0</v>
      </c>
      <c r="L414" s="17">
        <f t="shared" si="20"/>
        <v>0</v>
      </c>
      <c r="M414" s="14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 spans="1:27" s="2" customFormat="1" ht="14">
      <c r="A415" s="12" t="s">
        <v>1129</v>
      </c>
      <c r="B415" s="13" t="s">
        <v>14</v>
      </c>
      <c r="C415" s="13" t="s">
        <v>1130</v>
      </c>
      <c r="D415" s="13" t="s">
        <v>1131</v>
      </c>
      <c r="E415" s="13" t="s">
        <v>220</v>
      </c>
      <c r="F415" s="14"/>
      <c r="G415" s="14"/>
      <c r="H415" s="14"/>
      <c r="I415" s="14"/>
      <c r="J415" s="14">
        <f t="shared" si="18"/>
        <v>0</v>
      </c>
      <c r="K415" s="14">
        <f t="shared" si="19"/>
        <v>0</v>
      </c>
      <c r="L415" s="17">
        <f t="shared" si="20"/>
        <v>0</v>
      </c>
      <c r="M415" s="14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 spans="1:27" s="2" customFormat="1" ht="14">
      <c r="A416" s="12" t="s">
        <v>1132</v>
      </c>
      <c r="B416" s="13" t="s">
        <v>14</v>
      </c>
      <c r="C416" s="13" t="s">
        <v>1133</v>
      </c>
      <c r="D416" s="13" t="s">
        <v>1134</v>
      </c>
      <c r="E416" s="13" t="s">
        <v>215</v>
      </c>
      <c r="F416" s="14"/>
      <c r="G416" s="14"/>
      <c r="H416" s="14"/>
      <c r="I416" s="14"/>
      <c r="J416" s="14">
        <f t="shared" si="18"/>
        <v>0</v>
      </c>
      <c r="K416" s="14">
        <f t="shared" si="19"/>
        <v>0</v>
      </c>
      <c r="L416" s="17">
        <f t="shared" si="20"/>
        <v>0</v>
      </c>
      <c r="M416" s="14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 spans="1:27" s="2" customFormat="1" ht="14">
      <c r="A417" s="12" t="s">
        <v>1135</v>
      </c>
      <c r="B417" s="13" t="s">
        <v>14</v>
      </c>
      <c r="C417" s="13" t="s">
        <v>1136</v>
      </c>
      <c r="D417" s="13" t="s">
        <v>1137</v>
      </c>
      <c r="E417" s="13" t="s">
        <v>114</v>
      </c>
      <c r="F417" s="14"/>
      <c r="G417" s="14"/>
      <c r="H417" s="14"/>
      <c r="I417" s="14"/>
      <c r="J417" s="14">
        <f t="shared" si="18"/>
        <v>0</v>
      </c>
      <c r="K417" s="14">
        <f t="shared" si="19"/>
        <v>0</v>
      </c>
      <c r="L417" s="17">
        <f t="shared" si="20"/>
        <v>0</v>
      </c>
      <c r="M417" s="14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 spans="1:27" s="2" customFormat="1" ht="14">
      <c r="A418" s="12" t="s">
        <v>1138</v>
      </c>
      <c r="B418" s="13" t="s">
        <v>14</v>
      </c>
      <c r="C418" s="13" t="s">
        <v>1139</v>
      </c>
      <c r="D418" s="13" t="s">
        <v>1140</v>
      </c>
      <c r="E418" s="13" t="s">
        <v>319</v>
      </c>
      <c r="F418" s="14"/>
      <c r="G418" s="14"/>
      <c r="H418" s="14"/>
      <c r="I418" s="14"/>
      <c r="J418" s="14">
        <f t="shared" si="18"/>
        <v>0</v>
      </c>
      <c r="K418" s="14">
        <f t="shared" si="19"/>
        <v>0</v>
      </c>
      <c r="L418" s="17">
        <f t="shared" si="20"/>
        <v>0</v>
      </c>
      <c r="M418" s="14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 spans="1:27" s="2" customFormat="1" ht="14">
      <c r="A419" s="12" t="s">
        <v>1141</v>
      </c>
      <c r="B419" s="13" t="s">
        <v>14</v>
      </c>
      <c r="C419" s="13" t="s">
        <v>1142</v>
      </c>
      <c r="D419" s="13" t="s">
        <v>1143</v>
      </c>
      <c r="E419" s="13" t="s">
        <v>17</v>
      </c>
      <c r="F419" s="14"/>
      <c r="G419" s="14"/>
      <c r="H419" s="14"/>
      <c r="I419" s="14"/>
      <c r="J419" s="14">
        <f t="shared" si="18"/>
        <v>0</v>
      </c>
      <c r="K419" s="14">
        <f t="shared" si="19"/>
        <v>0</v>
      </c>
      <c r="L419" s="17">
        <f t="shared" si="20"/>
        <v>0</v>
      </c>
      <c r="M419" s="14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 spans="1:27" s="2" customFormat="1" ht="14">
      <c r="A420" s="12" t="s">
        <v>1144</v>
      </c>
      <c r="B420" s="13" t="s">
        <v>14</v>
      </c>
      <c r="C420" s="13" t="s">
        <v>1145</v>
      </c>
      <c r="D420" s="13" t="s">
        <v>1146</v>
      </c>
      <c r="E420" s="13" t="s">
        <v>220</v>
      </c>
      <c r="F420" s="14"/>
      <c r="G420" s="14"/>
      <c r="H420" s="14"/>
      <c r="I420" s="14"/>
      <c r="J420" s="14">
        <f t="shared" si="18"/>
        <v>0</v>
      </c>
      <c r="K420" s="14">
        <f t="shared" si="19"/>
        <v>0</v>
      </c>
      <c r="L420" s="17">
        <f t="shared" si="20"/>
        <v>0</v>
      </c>
      <c r="M420" s="14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 spans="1:27" s="2" customFormat="1" ht="14">
      <c r="A421" s="12" t="s">
        <v>1147</v>
      </c>
      <c r="B421" s="13" t="s">
        <v>14</v>
      </c>
      <c r="C421" s="13" t="s">
        <v>1148</v>
      </c>
      <c r="D421" s="13" t="s">
        <v>1149</v>
      </c>
      <c r="E421" s="13" t="s">
        <v>40</v>
      </c>
      <c r="F421" s="14"/>
      <c r="G421" s="14"/>
      <c r="H421" s="14"/>
      <c r="I421" s="14"/>
      <c r="J421" s="14">
        <f t="shared" si="18"/>
        <v>0</v>
      </c>
      <c r="K421" s="14">
        <f t="shared" si="19"/>
        <v>0</v>
      </c>
      <c r="L421" s="17">
        <f t="shared" si="20"/>
        <v>0</v>
      </c>
      <c r="M421" s="14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 spans="1:27" s="2" customFormat="1" ht="14">
      <c r="A422" s="12" t="s">
        <v>1150</v>
      </c>
      <c r="B422" s="13" t="s">
        <v>14</v>
      </c>
      <c r="C422" s="13" t="s">
        <v>1151</v>
      </c>
      <c r="D422" s="13" t="s">
        <v>1152</v>
      </c>
      <c r="E422" s="13" t="s">
        <v>32</v>
      </c>
      <c r="F422" s="14"/>
      <c r="G422" s="14"/>
      <c r="H422" s="14"/>
      <c r="I422" s="14"/>
      <c r="J422" s="14">
        <f t="shared" si="18"/>
        <v>0</v>
      </c>
      <c r="K422" s="14">
        <f t="shared" si="19"/>
        <v>0</v>
      </c>
      <c r="L422" s="17">
        <f t="shared" si="20"/>
        <v>0</v>
      </c>
      <c r="M422" s="14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 spans="1:27" s="2" customFormat="1" ht="14">
      <c r="A423" s="12" t="s">
        <v>1153</v>
      </c>
      <c r="B423" s="13" t="s">
        <v>14</v>
      </c>
      <c r="C423" s="13" t="s">
        <v>1154</v>
      </c>
      <c r="D423" s="13" t="s">
        <v>1155</v>
      </c>
      <c r="E423" s="13" t="s">
        <v>40</v>
      </c>
      <c r="F423" s="14"/>
      <c r="G423" s="14"/>
      <c r="H423" s="14"/>
      <c r="I423" s="14"/>
      <c r="J423" s="14">
        <f t="shared" si="18"/>
        <v>0</v>
      </c>
      <c r="K423" s="14">
        <f t="shared" si="19"/>
        <v>0</v>
      </c>
      <c r="L423" s="17">
        <f t="shared" si="20"/>
        <v>0</v>
      </c>
      <c r="M423" s="14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spans="1:27" s="2" customFormat="1" ht="14">
      <c r="A424" s="12" t="s">
        <v>1156</v>
      </c>
      <c r="B424" s="13" t="s">
        <v>14</v>
      </c>
      <c r="C424" s="13" t="s">
        <v>1157</v>
      </c>
      <c r="D424" s="13" t="s">
        <v>1158</v>
      </c>
      <c r="E424" s="13" t="s">
        <v>57</v>
      </c>
      <c r="F424" s="14"/>
      <c r="G424" s="14"/>
      <c r="H424" s="14"/>
      <c r="I424" s="14"/>
      <c r="J424" s="14">
        <f t="shared" si="18"/>
        <v>0</v>
      </c>
      <c r="K424" s="14">
        <f t="shared" si="19"/>
        <v>0</v>
      </c>
      <c r="L424" s="17">
        <f t="shared" si="20"/>
        <v>0</v>
      </c>
      <c r="M424" s="14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spans="1:27" s="2" customFormat="1" ht="14">
      <c r="A425" s="12" t="s">
        <v>1159</v>
      </c>
      <c r="B425" s="13" t="s">
        <v>62</v>
      </c>
      <c r="C425" s="13" t="s">
        <v>1160</v>
      </c>
      <c r="D425" s="13" t="s">
        <v>1161</v>
      </c>
      <c r="E425" s="13" t="s">
        <v>29</v>
      </c>
      <c r="F425" s="14"/>
      <c r="G425" s="14"/>
      <c r="H425" s="14"/>
      <c r="I425" s="14"/>
      <c r="J425" s="14">
        <f t="shared" si="18"/>
        <v>0</v>
      </c>
      <c r="K425" s="14">
        <f t="shared" si="19"/>
        <v>0</v>
      </c>
      <c r="L425" s="17">
        <f t="shared" si="20"/>
        <v>0</v>
      </c>
      <c r="M425" s="14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 spans="1:27" s="2" customFormat="1" ht="14">
      <c r="A426" s="12" t="s">
        <v>1162</v>
      </c>
      <c r="B426" s="13" t="s">
        <v>14</v>
      </c>
      <c r="C426" s="13" t="s">
        <v>1163</v>
      </c>
      <c r="D426" s="13" t="s">
        <v>1164</v>
      </c>
      <c r="E426" s="13" t="s">
        <v>46</v>
      </c>
      <c r="F426" s="14"/>
      <c r="G426" s="14"/>
      <c r="H426" s="14"/>
      <c r="I426" s="14"/>
      <c r="J426" s="14">
        <f t="shared" si="18"/>
        <v>0</v>
      </c>
      <c r="K426" s="14">
        <f t="shared" si="19"/>
        <v>0</v>
      </c>
      <c r="L426" s="17">
        <f t="shared" si="20"/>
        <v>0</v>
      </c>
      <c r="M426" s="14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 spans="1:27" s="2" customFormat="1" ht="14">
      <c r="A427" s="12" t="s">
        <v>1165</v>
      </c>
      <c r="B427" s="13" t="s">
        <v>14</v>
      </c>
      <c r="C427" s="13" t="s">
        <v>1166</v>
      </c>
      <c r="D427" s="13" t="s">
        <v>1167</v>
      </c>
      <c r="E427" s="13" t="s">
        <v>220</v>
      </c>
      <c r="F427" s="14"/>
      <c r="G427" s="14"/>
      <c r="H427" s="14"/>
      <c r="I427" s="14"/>
      <c r="J427" s="14">
        <f t="shared" si="18"/>
        <v>0</v>
      </c>
      <c r="K427" s="14">
        <f t="shared" si="19"/>
        <v>0</v>
      </c>
      <c r="L427" s="17">
        <f t="shared" si="20"/>
        <v>0</v>
      </c>
      <c r="M427" s="14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 spans="1:27" s="2" customFormat="1" ht="14">
      <c r="A428" s="12" t="s">
        <v>1168</v>
      </c>
      <c r="B428" s="13" t="s">
        <v>14</v>
      </c>
      <c r="C428" s="13" t="s">
        <v>1169</v>
      </c>
      <c r="D428" s="13" t="s">
        <v>1170</v>
      </c>
      <c r="E428" s="13" t="s">
        <v>104</v>
      </c>
      <c r="F428" s="14"/>
      <c r="G428" s="14"/>
      <c r="H428" s="14"/>
      <c r="I428" s="14"/>
      <c r="J428" s="14">
        <f t="shared" si="18"/>
        <v>0</v>
      </c>
      <c r="K428" s="14">
        <f t="shared" si="19"/>
        <v>0</v>
      </c>
      <c r="L428" s="17">
        <f t="shared" si="20"/>
        <v>0</v>
      </c>
      <c r="M428" s="14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 spans="1:27" s="2" customFormat="1" ht="14">
      <c r="A429" s="12" t="s">
        <v>1171</v>
      </c>
      <c r="B429" s="13" t="s">
        <v>14</v>
      </c>
      <c r="C429" s="13" t="s">
        <v>1172</v>
      </c>
      <c r="D429" s="13" t="s">
        <v>1173</v>
      </c>
      <c r="E429" s="13" t="s">
        <v>91</v>
      </c>
      <c r="F429" s="14"/>
      <c r="G429" s="14"/>
      <c r="H429" s="14"/>
      <c r="I429" s="14"/>
      <c r="J429" s="14">
        <f t="shared" si="18"/>
        <v>0</v>
      </c>
      <c r="K429" s="14">
        <f t="shared" si="19"/>
        <v>0</v>
      </c>
      <c r="L429" s="17">
        <f t="shared" si="20"/>
        <v>0</v>
      </c>
      <c r="M429" s="14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 spans="1:27" s="2" customFormat="1" ht="14">
      <c r="A430" s="12" t="s">
        <v>1174</v>
      </c>
      <c r="B430" s="13" t="s">
        <v>14</v>
      </c>
      <c r="C430" s="13" t="s">
        <v>1175</v>
      </c>
      <c r="D430" s="13" t="s">
        <v>1176</v>
      </c>
      <c r="E430" s="13" t="s">
        <v>205</v>
      </c>
      <c r="F430" s="14"/>
      <c r="G430" s="14"/>
      <c r="H430" s="14"/>
      <c r="I430" s="14"/>
      <c r="J430" s="14">
        <f t="shared" si="18"/>
        <v>0</v>
      </c>
      <c r="K430" s="14">
        <f t="shared" si="19"/>
        <v>0</v>
      </c>
      <c r="L430" s="17">
        <f t="shared" si="20"/>
        <v>0</v>
      </c>
      <c r="M430" s="14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 spans="1:27" s="2" customFormat="1" ht="14">
      <c r="A431" s="12" t="s">
        <v>1177</v>
      </c>
      <c r="B431" s="13" t="s">
        <v>62</v>
      </c>
      <c r="C431" s="13" t="s">
        <v>1178</v>
      </c>
      <c r="D431" s="13" t="s">
        <v>1179</v>
      </c>
      <c r="E431" s="13" t="s">
        <v>114</v>
      </c>
      <c r="F431" s="14"/>
      <c r="G431" s="14"/>
      <c r="H431" s="14"/>
      <c r="I431" s="14"/>
      <c r="J431" s="14">
        <f t="shared" si="18"/>
        <v>0</v>
      </c>
      <c r="K431" s="14">
        <f t="shared" si="19"/>
        <v>0</v>
      </c>
      <c r="L431" s="17">
        <f t="shared" si="20"/>
        <v>0</v>
      </c>
      <c r="M431" s="14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 spans="1:27" s="2" customFormat="1" ht="14">
      <c r="A432" s="12" t="s">
        <v>1180</v>
      </c>
      <c r="B432" s="13" t="s">
        <v>14</v>
      </c>
      <c r="C432" s="13" t="s">
        <v>1181</v>
      </c>
      <c r="D432" s="13" t="s">
        <v>1182</v>
      </c>
      <c r="E432" s="13" t="s">
        <v>72</v>
      </c>
      <c r="F432" s="14"/>
      <c r="G432" s="14"/>
      <c r="H432" s="14"/>
      <c r="I432" s="14"/>
      <c r="J432" s="14">
        <f t="shared" si="18"/>
        <v>0</v>
      </c>
      <c r="K432" s="14">
        <f t="shared" si="19"/>
        <v>0</v>
      </c>
      <c r="L432" s="17">
        <f t="shared" si="20"/>
        <v>0</v>
      </c>
      <c r="M432" s="14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 spans="1:27" s="2" customFormat="1" ht="14">
      <c r="A433" s="12" t="s">
        <v>1183</v>
      </c>
      <c r="B433" s="13" t="s">
        <v>14</v>
      </c>
      <c r="C433" s="13" t="s">
        <v>1184</v>
      </c>
      <c r="D433" s="13" t="s">
        <v>1185</v>
      </c>
      <c r="E433" s="13" t="s">
        <v>398</v>
      </c>
      <c r="F433" s="14"/>
      <c r="G433" s="14"/>
      <c r="H433" s="14"/>
      <c r="I433" s="14"/>
      <c r="J433" s="14">
        <f t="shared" si="18"/>
        <v>0</v>
      </c>
      <c r="K433" s="14">
        <f t="shared" si="19"/>
        <v>0</v>
      </c>
      <c r="L433" s="17">
        <f t="shared" si="20"/>
        <v>0</v>
      </c>
      <c r="M433" s="14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 spans="1:27" s="2" customFormat="1" ht="14">
      <c r="A434" s="12" t="s">
        <v>1186</v>
      </c>
      <c r="B434" s="13" t="s">
        <v>14</v>
      </c>
      <c r="C434" s="13" t="s">
        <v>1187</v>
      </c>
      <c r="D434" s="13" t="s">
        <v>1188</v>
      </c>
      <c r="E434" s="13" t="s">
        <v>201</v>
      </c>
      <c r="F434" s="14"/>
      <c r="G434" s="14"/>
      <c r="H434" s="14"/>
      <c r="I434" s="14"/>
      <c r="J434" s="14">
        <f t="shared" si="18"/>
        <v>0</v>
      </c>
      <c r="K434" s="14">
        <f t="shared" si="19"/>
        <v>0</v>
      </c>
      <c r="L434" s="17">
        <f t="shared" si="20"/>
        <v>0</v>
      </c>
      <c r="M434" s="14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 spans="1:27" s="2" customFormat="1" ht="14">
      <c r="A435" s="12" t="s">
        <v>1189</v>
      </c>
      <c r="B435" s="13" t="s">
        <v>14</v>
      </c>
      <c r="C435" s="13" t="s">
        <v>1190</v>
      </c>
      <c r="D435" s="13" t="s">
        <v>1191</v>
      </c>
      <c r="E435" s="13" t="s">
        <v>285</v>
      </c>
      <c r="F435" s="14"/>
      <c r="G435" s="14"/>
      <c r="H435" s="14"/>
      <c r="I435" s="14"/>
      <c r="J435" s="14">
        <f t="shared" si="18"/>
        <v>0</v>
      </c>
      <c r="K435" s="14">
        <f t="shared" si="19"/>
        <v>0</v>
      </c>
      <c r="L435" s="17">
        <f t="shared" si="20"/>
        <v>0</v>
      </c>
      <c r="M435" s="14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 spans="1:27" s="2" customFormat="1" ht="14">
      <c r="A436" s="12" t="s">
        <v>1192</v>
      </c>
      <c r="B436" s="13" t="s">
        <v>14</v>
      </c>
      <c r="C436" s="13" t="s">
        <v>1193</v>
      </c>
      <c r="D436" s="13" t="s">
        <v>1194</v>
      </c>
      <c r="E436" s="13" t="s">
        <v>220</v>
      </c>
      <c r="F436" s="14"/>
      <c r="G436" s="14"/>
      <c r="H436" s="14"/>
      <c r="I436" s="14"/>
      <c r="J436" s="14">
        <f t="shared" si="18"/>
        <v>0</v>
      </c>
      <c r="K436" s="14">
        <f t="shared" si="19"/>
        <v>0</v>
      </c>
      <c r="L436" s="17">
        <f t="shared" si="20"/>
        <v>0</v>
      </c>
      <c r="M436" s="14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 spans="1:27" s="2" customFormat="1" ht="14">
      <c r="A437" s="12" t="s">
        <v>1195</v>
      </c>
      <c r="B437" s="13" t="s">
        <v>14</v>
      </c>
      <c r="C437" s="13" t="s">
        <v>1196</v>
      </c>
      <c r="D437" s="13" t="s">
        <v>1197</v>
      </c>
      <c r="E437" s="13" t="s">
        <v>205</v>
      </c>
      <c r="F437" s="14"/>
      <c r="G437" s="14"/>
      <c r="H437" s="14"/>
      <c r="I437" s="14"/>
      <c r="J437" s="14">
        <f t="shared" si="18"/>
        <v>0</v>
      </c>
      <c r="K437" s="14">
        <f t="shared" si="19"/>
        <v>0</v>
      </c>
      <c r="L437" s="17">
        <f t="shared" si="20"/>
        <v>0</v>
      </c>
      <c r="M437" s="14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 spans="1:27" s="2" customFormat="1" ht="14">
      <c r="A438" s="12" t="s">
        <v>1198</v>
      </c>
      <c r="B438" s="13" t="s">
        <v>14</v>
      </c>
      <c r="C438" s="13" t="s">
        <v>1199</v>
      </c>
      <c r="D438" s="13" t="s">
        <v>1200</v>
      </c>
      <c r="E438" s="13" t="s">
        <v>68</v>
      </c>
      <c r="F438" s="14"/>
      <c r="G438" s="14"/>
      <c r="H438" s="14"/>
      <c r="I438" s="14"/>
      <c r="J438" s="14">
        <f t="shared" si="18"/>
        <v>0</v>
      </c>
      <c r="K438" s="14">
        <f t="shared" si="19"/>
        <v>0</v>
      </c>
      <c r="L438" s="17">
        <f t="shared" si="20"/>
        <v>0</v>
      </c>
      <c r="M438" s="14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 spans="1:27" s="2" customFormat="1" ht="14">
      <c r="A439" s="12" t="s">
        <v>1201</v>
      </c>
      <c r="B439" s="13" t="s">
        <v>14</v>
      </c>
      <c r="C439" s="13" t="s">
        <v>1202</v>
      </c>
      <c r="D439" s="13" t="s">
        <v>1203</v>
      </c>
      <c r="E439" s="13" t="s">
        <v>40</v>
      </c>
      <c r="F439" s="14"/>
      <c r="G439" s="14"/>
      <c r="H439" s="14"/>
      <c r="I439" s="14"/>
      <c r="J439" s="14">
        <f t="shared" si="18"/>
        <v>0</v>
      </c>
      <c r="K439" s="14">
        <f t="shared" si="19"/>
        <v>0</v>
      </c>
      <c r="L439" s="17">
        <f t="shared" si="20"/>
        <v>0</v>
      </c>
      <c r="M439" s="14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 spans="1:27" s="2" customFormat="1" ht="14">
      <c r="A440" s="12" t="s">
        <v>1204</v>
      </c>
      <c r="B440" s="13" t="s">
        <v>14</v>
      </c>
      <c r="C440" s="13" t="s">
        <v>1205</v>
      </c>
      <c r="D440" s="13" t="s">
        <v>1206</v>
      </c>
      <c r="E440" s="13" t="s">
        <v>57</v>
      </c>
      <c r="F440" s="14"/>
      <c r="G440" s="14"/>
      <c r="H440" s="14"/>
      <c r="I440" s="14"/>
      <c r="J440" s="14">
        <f t="shared" si="18"/>
        <v>0</v>
      </c>
      <c r="K440" s="14">
        <f t="shared" si="19"/>
        <v>0</v>
      </c>
      <c r="L440" s="17">
        <f t="shared" si="20"/>
        <v>0</v>
      </c>
      <c r="M440" s="14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 spans="1:27" s="2" customFormat="1" ht="14">
      <c r="A441" s="12" t="s">
        <v>1207</v>
      </c>
      <c r="B441" s="13" t="s">
        <v>14</v>
      </c>
      <c r="C441" s="13" t="s">
        <v>1208</v>
      </c>
      <c r="D441" s="13" t="s">
        <v>1209</v>
      </c>
      <c r="E441" s="13" t="s">
        <v>40</v>
      </c>
      <c r="F441" s="14"/>
      <c r="G441" s="14"/>
      <c r="H441" s="14"/>
      <c r="I441" s="14"/>
      <c r="J441" s="14">
        <f t="shared" si="18"/>
        <v>0</v>
      </c>
      <c r="K441" s="14">
        <f t="shared" si="19"/>
        <v>0</v>
      </c>
      <c r="L441" s="17">
        <f t="shared" si="20"/>
        <v>0</v>
      </c>
      <c r="M441" s="14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 spans="1:27" s="2" customFormat="1" ht="14">
      <c r="A442" s="12" t="s">
        <v>1210</v>
      </c>
      <c r="B442" s="13" t="s">
        <v>14</v>
      </c>
      <c r="C442" s="13" t="s">
        <v>1211</v>
      </c>
      <c r="D442" s="13" t="s">
        <v>1212</v>
      </c>
      <c r="E442" s="13" t="s">
        <v>114</v>
      </c>
      <c r="F442" s="14"/>
      <c r="G442" s="14"/>
      <c r="H442" s="14"/>
      <c r="I442" s="14"/>
      <c r="J442" s="14">
        <f t="shared" si="18"/>
        <v>0</v>
      </c>
      <c r="K442" s="14">
        <f t="shared" si="19"/>
        <v>0</v>
      </c>
      <c r="L442" s="17">
        <f t="shared" si="20"/>
        <v>0</v>
      </c>
      <c r="M442" s="14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 spans="1:27" s="2" customFormat="1" ht="14">
      <c r="A443" s="12" t="s">
        <v>1213</v>
      </c>
      <c r="B443" s="13" t="s">
        <v>14</v>
      </c>
      <c r="C443" s="13" t="s">
        <v>1214</v>
      </c>
      <c r="D443" s="13" t="s">
        <v>1215</v>
      </c>
      <c r="E443" s="13" t="s">
        <v>136</v>
      </c>
      <c r="F443" s="14"/>
      <c r="G443" s="14"/>
      <c r="H443" s="14"/>
      <c r="I443" s="14"/>
      <c r="J443" s="14">
        <f t="shared" si="18"/>
        <v>0</v>
      </c>
      <c r="K443" s="14">
        <f t="shared" si="19"/>
        <v>0</v>
      </c>
      <c r="L443" s="17">
        <f t="shared" si="20"/>
        <v>0</v>
      </c>
      <c r="M443" s="14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 spans="1:27" s="2" customFormat="1" ht="14">
      <c r="A444" s="12" t="s">
        <v>1216</v>
      </c>
      <c r="B444" s="13" t="s">
        <v>62</v>
      </c>
      <c r="C444" s="13" t="s">
        <v>1217</v>
      </c>
      <c r="D444" s="13" t="s">
        <v>1218</v>
      </c>
      <c r="E444" s="13" t="s">
        <v>91</v>
      </c>
      <c r="F444" s="14"/>
      <c r="G444" s="14"/>
      <c r="H444" s="14"/>
      <c r="I444" s="14"/>
      <c r="J444" s="14">
        <f t="shared" si="18"/>
        <v>0</v>
      </c>
      <c r="K444" s="14">
        <f t="shared" si="19"/>
        <v>0</v>
      </c>
      <c r="L444" s="17">
        <f t="shared" si="20"/>
        <v>0</v>
      </c>
      <c r="M444" s="14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 spans="1:27" s="2" customFormat="1" ht="14">
      <c r="A445" s="12" t="s">
        <v>1219</v>
      </c>
      <c r="B445" s="13" t="s">
        <v>62</v>
      </c>
      <c r="C445" s="13" t="s">
        <v>1220</v>
      </c>
      <c r="D445" s="13" t="s">
        <v>1221</v>
      </c>
      <c r="E445" s="13" t="s">
        <v>17</v>
      </c>
      <c r="F445" s="14"/>
      <c r="G445" s="14"/>
      <c r="H445" s="14"/>
      <c r="I445" s="14"/>
      <c r="J445" s="14">
        <f t="shared" si="18"/>
        <v>0</v>
      </c>
      <c r="K445" s="14">
        <f t="shared" si="19"/>
        <v>0</v>
      </c>
      <c r="L445" s="17">
        <f t="shared" si="20"/>
        <v>0</v>
      </c>
      <c r="M445" s="14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 spans="1:27" s="2" customFormat="1" ht="14">
      <c r="A446" s="12" t="s">
        <v>1222</v>
      </c>
      <c r="B446" s="13" t="s">
        <v>14</v>
      </c>
      <c r="C446" s="13" t="s">
        <v>1223</v>
      </c>
      <c r="D446" s="13" t="s">
        <v>1224</v>
      </c>
      <c r="E446" s="13" t="s">
        <v>446</v>
      </c>
      <c r="F446" s="14"/>
      <c r="G446" s="14"/>
      <c r="H446" s="14"/>
      <c r="I446" s="14"/>
      <c r="J446" s="14">
        <f t="shared" si="18"/>
        <v>0</v>
      </c>
      <c r="K446" s="14">
        <f t="shared" si="19"/>
        <v>0</v>
      </c>
      <c r="L446" s="17">
        <f t="shared" si="20"/>
        <v>0</v>
      </c>
      <c r="M446" s="14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 spans="1:27" s="2" customFormat="1" ht="14">
      <c r="A447" s="12" t="s">
        <v>1225</v>
      </c>
      <c r="B447" s="13" t="s">
        <v>14</v>
      </c>
      <c r="C447" s="13" t="s">
        <v>1226</v>
      </c>
      <c r="D447" s="13" t="s">
        <v>1227</v>
      </c>
      <c r="E447" s="13" t="s">
        <v>971</v>
      </c>
      <c r="F447" s="14"/>
      <c r="G447" s="14"/>
      <c r="H447" s="14"/>
      <c r="I447" s="14"/>
      <c r="J447" s="14">
        <f t="shared" si="18"/>
        <v>0</v>
      </c>
      <c r="K447" s="14">
        <f t="shared" si="19"/>
        <v>0</v>
      </c>
      <c r="L447" s="17">
        <f t="shared" si="20"/>
        <v>0</v>
      </c>
      <c r="M447" s="14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 spans="1:27" s="2" customFormat="1" ht="14">
      <c r="A448" s="12" t="s">
        <v>1228</v>
      </c>
      <c r="B448" s="13" t="s">
        <v>62</v>
      </c>
      <c r="C448" s="13" t="s">
        <v>1229</v>
      </c>
      <c r="D448" s="13" t="s">
        <v>1230</v>
      </c>
      <c r="E448" s="13" t="s">
        <v>220</v>
      </c>
      <c r="F448" s="14"/>
      <c r="G448" s="14"/>
      <c r="H448" s="14"/>
      <c r="I448" s="14"/>
      <c r="J448" s="14">
        <f t="shared" si="18"/>
        <v>0</v>
      </c>
      <c r="K448" s="14">
        <f t="shared" si="19"/>
        <v>0</v>
      </c>
      <c r="L448" s="17">
        <f t="shared" si="20"/>
        <v>0</v>
      </c>
      <c r="M448" s="14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 spans="1:27" s="2" customFormat="1" ht="14">
      <c r="A449" s="12" t="s">
        <v>1231</v>
      </c>
      <c r="B449" s="13" t="s">
        <v>14</v>
      </c>
      <c r="C449" s="13" t="s">
        <v>1232</v>
      </c>
      <c r="D449" s="13" t="s">
        <v>1233</v>
      </c>
      <c r="E449" s="13" t="s">
        <v>50</v>
      </c>
      <c r="F449" s="14"/>
      <c r="G449" s="14"/>
      <c r="H449" s="14"/>
      <c r="I449" s="14"/>
      <c r="J449" s="14">
        <f t="shared" si="18"/>
        <v>0</v>
      </c>
      <c r="K449" s="14">
        <f t="shared" si="19"/>
        <v>0</v>
      </c>
      <c r="L449" s="17">
        <f t="shared" si="20"/>
        <v>0</v>
      </c>
      <c r="M449" s="14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 spans="1:27" s="2" customFormat="1" ht="14">
      <c r="A450" s="12" t="s">
        <v>1234</v>
      </c>
      <c r="B450" s="13" t="s">
        <v>14</v>
      </c>
      <c r="C450" s="13" t="s">
        <v>1235</v>
      </c>
      <c r="D450" s="13" t="s">
        <v>1236</v>
      </c>
      <c r="E450" s="13" t="s">
        <v>285</v>
      </c>
      <c r="F450" s="14"/>
      <c r="G450" s="14"/>
      <c r="H450" s="14"/>
      <c r="I450" s="14"/>
      <c r="J450" s="14">
        <f t="shared" ref="J450:J513" si="21">IF(G450&gt;0,1,0)</f>
        <v>0</v>
      </c>
      <c r="K450" s="14">
        <f t="shared" ref="K450:K513" si="22">IF(H450&gt;0,1,0)</f>
        <v>0</v>
      </c>
      <c r="L450" s="17">
        <f t="shared" ref="L450:L513" si="23">IF(G450&gt;0,IF(H450&gt;0,1,0),0)</f>
        <v>0</v>
      </c>
      <c r="M450" s="14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 spans="1:27" s="2" customFormat="1" ht="14">
      <c r="A451" s="12" t="s">
        <v>1237</v>
      </c>
      <c r="B451" s="13" t="s">
        <v>62</v>
      </c>
      <c r="C451" s="13" t="s">
        <v>1238</v>
      </c>
      <c r="D451" s="13" t="s">
        <v>1239</v>
      </c>
      <c r="E451" s="13" t="s">
        <v>29</v>
      </c>
      <c r="F451" s="14"/>
      <c r="G451" s="14"/>
      <c r="H451" s="14"/>
      <c r="I451" s="14"/>
      <c r="J451" s="14">
        <f t="shared" si="21"/>
        <v>0</v>
      </c>
      <c r="K451" s="14">
        <f t="shared" si="22"/>
        <v>0</v>
      </c>
      <c r="L451" s="17">
        <f t="shared" si="23"/>
        <v>0</v>
      </c>
      <c r="M451" s="14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 spans="1:27" s="2" customFormat="1" ht="14">
      <c r="A452" s="12" t="s">
        <v>1240</v>
      </c>
      <c r="B452" s="13" t="s">
        <v>14</v>
      </c>
      <c r="C452" s="13" t="s">
        <v>1241</v>
      </c>
      <c r="D452" s="13" t="s">
        <v>1242</v>
      </c>
      <c r="E452" s="13" t="s">
        <v>17</v>
      </c>
      <c r="F452" s="14"/>
      <c r="G452" s="14"/>
      <c r="H452" s="14"/>
      <c r="I452" s="14"/>
      <c r="J452" s="14">
        <f t="shared" si="21"/>
        <v>0</v>
      </c>
      <c r="K452" s="14">
        <f t="shared" si="22"/>
        <v>0</v>
      </c>
      <c r="L452" s="17">
        <f t="shared" si="23"/>
        <v>0</v>
      </c>
      <c r="M452" s="14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 spans="1:27" s="2" customFormat="1" ht="14">
      <c r="A453" s="12" t="s">
        <v>1243</v>
      </c>
      <c r="B453" s="13" t="s">
        <v>14</v>
      </c>
      <c r="C453" s="13" t="s">
        <v>1244</v>
      </c>
      <c r="D453" s="13" t="s">
        <v>1245</v>
      </c>
      <c r="E453" s="13" t="s">
        <v>57</v>
      </c>
      <c r="F453" s="14"/>
      <c r="G453" s="14"/>
      <c r="H453" s="14"/>
      <c r="I453" s="14"/>
      <c r="J453" s="14">
        <f t="shared" si="21"/>
        <v>0</v>
      </c>
      <c r="K453" s="14">
        <f t="shared" si="22"/>
        <v>0</v>
      </c>
      <c r="L453" s="17">
        <f t="shared" si="23"/>
        <v>0</v>
      </c>
      <c r="M453" s="14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 spans="1:27" s="2" customFormat="1" ht="14">
      <c r="A454" s="12" t="s">
        <v>1246</v>
      </c>
      <c r="B454" s="13" t="s">
        <v>62</v>
      </c>
      <c r="C454" s="13" t="s">
        <v>1247</v>
      </c>
      <c r="D454" s="13" t="s">
        <v>1248</v>
      </c>
      <c r="E454" s="13" t="s">
        <v>120</v>
      </c>
      <c r="F454" s="14"/>
      <c r="G454" s="14"/>
      <c r="H454" s="14"/>
      <c r="I454" s="14"/>
      <c r="J454" s="14">
        <f t="shared" si="21"/>
        <v>0</v>
      </c>
      <c r="K454" s="14">
        <f t="shared" si="22"/>
        <v>0</v>
      </c>
      <c r="L454" s="17">
        <f t="shared" si="23"/>
        <v>0</v>
      </c>
      <c r="M454" s="14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 spans="1:27" s="2" customFormat="1" ht="14">
      <c r="A455" s="12" t="s">
        <v>1249</v>
      </c>
      <c r="B455" s="13" t="s">
        <v>14</v>
      </c>
      <c r="C455" s="13" t="s">
        <v>1250</v>
      </c>
      <c r="D455" s="13" t="s">
        <v>1251</v>
      </c>
      <c r="E455" s="13" t="s">
        <v>205</v>
      </c>
      <c r="F455" s="14"/>
      <c r="G455" s="14"/>
      <c r="H455" s="14"/>
      <c r="I455" s="14"/>
      <c r="J455" s="14">
        <f t="shared" si="21"/>
        <v>0</v>
      </c>
      <c r="K455" s="14">
        <f t="shared" si="22"/>
        <v>0</v>
      </c>
      <c r="L455" s="17">
        <f t="shared" si="23"/>
        <v>0</v>
      </c>
      <c r="M455" s="14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 spans="1:27" s="2" customFormat="1" ht="14">
      <c r="A456" s="12" t="s">
        <v>1252</v>
      </c>
      <c r="B456" s="13" t="s">
        <v>14</v>
      </c>
      <c r="C456" s="13" t="s">
        <v>1253</v>
      </c>
      <c r="D456" s="13" t="s">
        <v>1254</v>
      </c>
      <c r="E456" s="13" t="s">
        <v>46</v>
      </c>
      <c r="F456" s="14"/>
      <c r="G456" s="14"/>
      <c r="H456" s="14"/>
      <c r="I456" s="14"/>
      <c r="J456" s="14">
        <f t="shared" si="21"/>
        <v>0</v>
      </c>
      <c r="K456" s="14">
        <f t="shared" si="22"/>
        <v>0</v>
      </c>
      <c r="L456" s="17">
        <f t="shared" si="23"/>
        <v>0</v>
      </c>
      <c r="M456" s="14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 spans="1:27" s="2" customFormat="1" ht="14">
      <c r="A457" s="12" t="s">
        <v>1255</v>
      </c>
      <c r="B457" s="13" t="s">
        <v>14</v>
      </c>
      <c r="C457" s="13" t="s">
        <v>1256</v>
      </c>
      <c r="D457" s="13" t="s">
        <v>1257</v>
      </c>
      <c r="E457" s="13" t="s">
        <v>156</v>
      </c>
      <c r="F457" s="14"/>
      <c r="G457" s="14"/>
      <c r="H457" s="14"/>
      <c r="I457" s="14"/>
      <c r="J457" s="14">
        <f t="shared" si="21"/>
        <v>0</v>
      </c>
      <c r="K457" s="14">
        <f t="shared" si="22"/>
        <v>0</v>
      </c>
      <c r="L457" s="17">
        <f t="shared" si="23"/>
        <v>0</v>
      </c>
      <c r="M457" s="14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 spans="1:27" s="2" customFormat="1" ht="14">
      <c r="A458" s="12" t="s">
        <v>1258</v>
      </c>
      <c r="B458" s="13" t="s">
        <v>62</v>
      </c>
      <c r="C458" s="13" t="s">
        <v>1259</v>
      </c>
      <c r="D458" s="13" t="s">
        <v>1260</v>
      </c>
      <c r="E458" s="13" t="s">
        <v>114</v>
      </c>
      <c r="F458" s="14"/>
      <c r="G458" s="14"/>
      <c r="H458" s="14"/>
      <c r="I458" s="14"/>
      <c r="J458" s="14">
        <f t="shared" si="21"/>
        <v>0</v>
      </c>
      <c r="K458" s="14">
        <f t="shared" si="22"/>
        <v>0</v>
      </c>
      <c r="L458" s="17">
        <f t="shared" si="23"/>
        <v>0</v>
      </c>
      <c r="M458" s="14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 spans="1:27" s="2" customFormat="1" ht="14">
      <c r="A459" s="12" t="s">
        <v>1261</v>
      </c>
      <c r="B459" s="13" t="s">
        <v>14</v>
      </c>
      <c r="C459" s="13" t="s">
        <v>1262</v>
      </c>
      <c r="D459" s="13" t="s">
        <v>1263</v>
      </c>
      <c r="E459" s="13" t="s">
        <v>72</v>
      </c>
      <c r="F459" s="14"/>
      <c r="G459" s="14"/>
      <c r="H459" s="14"/>
      <c r="I459" s="14"/>
      <c r="J459" s="14">
        <f t="shared" si="21"/>
        <v>0</v>
      </c>
      <c r="K459" s="14">
        <f t="shared" si="22"/>
        <v>0</v>
      </c>
      <c r="L459" s="17">
        <f t="shared" si="23"/>
        <v>0</v>
      </c>
      <c r="M459" s="14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 spans="1:27" s="2" customFormat="1" ht="14">
      <c r="A460" s="12" t="s">
        <v>1264</v>
      </c>
      <c r="B460" s="13" t="s">
        <v>14</v>
      </c>
      <c r="C460" s="13" t="s">
        <v>1265</v>
      </c>
      <c r="D460" s="13" t="s">
        <v>1266</v>
      </c>
      <c r="E460" s="13" t="s">
        <v>183</v>
      </c>
      <c r="F460" s="14"/>
      <c r="G460" s="14"/>
      <c r="H460" s="14"/>
      <c r="I460" s="14"/>
      <c r="J460" s="14">
        <f t="shared" si="21"/>
        <v>0</v>
      </c>
      <c r="K460" s="14">
        <f t="shared" si="22"/>
        <v>0</v>
      </c>
      <c r="L460" s="17">
        <f t="shared" si="23"/>
        <v>0</v>
      </c>
      <c r="M460" s="14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 spans="1:27" s="2" customFormat="1" ht="14">
      <c r="A461" s="12" t="s">
        <v>1267</v>
      </c>
      <c r="B461" s="13" t="s">
        <v>62</v>
      </c>
      <c r="C461" s="13" t="s">
        <v>1268</v>
      </c>
      <c r="D461" s="13" t="s">
        <v>1269</v>
      </c>
      <c r="E461" s="13" t="s">
        <v>43</v>
      </c>
      <c r="F461" s="14"/>
      <c r="G461" s="14"/>
      <c r="H461" s="14"/>
      <c r="I461" s="14"/>
      <c r="J461" s="14">
        <f t="shared" si="21"/>
        <v>0</v>
      </c>
      <c r="K461" s="14">
        <f t="shared" si="22"/>
        <v>0</v>
      </c>
      <c r="L461" s="17">
        <f t="shared" si="23"/>
        <v>0</v>
      </c>
      <c r="M461" s="14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 spans="1:27" s="2" customFormat="1" ht="14">
      <c r="A462" s="12" t="s">
        <v>1270</v>
      </c>
      <c r="B462" s="13" t="s">
        <v>14</v>
      </c>
      <c r="C462" s="13" t="s">
        <v>1271</v>
      </c>
      <c r="D462" s="13" t="s">
        <v>1272</v>
      </c>
      <c r="E462" s="13" t="s">
        <v>97</v>
      </c>
      <c r="F462" s="14"/>
      <c r="G462" s="14"/>
      <c r="H462" s="14"/>
      <c r="I462" s="14"/>
      <c r="J462" s="14">
        <f t="shared" si="21"/>
        <v>0</v>
      </c>
      <c r="K462" s="14">
        <f t="shared" si="22"/>
        <v>0</v>
      </c>
      <c r="L462" s="17">
        <f t="shared" si="23"/>
        <v>0</v>
      </c>
      <c r="M462" s="14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 spans="1:27" s="2" customFormat="1" ht="14">
      <c r="A463" s="12" t="s">
        <v>1273</v>
      </c>
      <c r="B463" s="13" t="s">
        <v>14</v>
      </c>
      <c r="C463" s="13" t="s">
        <v>1274</v>
      </c>
      <c r="D463" s="13" t="s">
        <v>1275</v>
      </c>
      <c r="E463" s="13" t="s">
        <v>21</v>
      </c>
      <c r="F463" s="14"/>
      <c r="G463" s="14"/>
      <c r="H463" s="14"/>
      <c r="I463" s="14"/>
      <c r="J463" s="14">
        <f t="shared" si="21"/>
        <v>0</v>
      </c>
      <c r="K463" s="14">
        <f t="shared" si="22"/>
        <v>0</v>
      </c>
      <c r="L463" s="17">
        <f t="shared" si="23"/>
        <v>0</v>
      </c>
      <c r="M463" s="14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 spans="1:27" s="2" customFormat="1" ht="14">
      <c r="A464" s="12" t="s">
        <v>1276</v>
      </c>
      <c r="B464" s="13" t="s">
        <v>62</v>
      </c>
      <c r="C464" s="13" t="s">
        <v>1277</v>
      </c>
      <c r="D464" s="13" t="s">
        <v>1278</v>
      </c>
      <c r="E464" s="13" t="s">
        <v>150</v>
      </c>
      <c r="F464" s="14"/>
      <c r="G464" s="14"/>
      <c r="H464" s="14"/>
      <c r="I464" s="14"/>
      <c r="J464" s="14">
        <f t="shared" si="21"/>
        <v>0</v>
      </c>
      <c r="K464" s="14">
        <f t="shared" si="22"/>
        <v>0</v>
      </c>
      <c r="L464" s="17">
        <f t="shared" si="23"/>
        <v>0</v>
      </c>
      <c r="M464" s="14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 spans="1:27" s="2" customFormat="1" ht="14">
      <c r="A465" s="12" t="s">
        <v>1279</v>
      </c>
      <c r="B465" s="13" t="s">
        <v>62</v>
      </c>
      <c r="C465" s="13" t="s">
        <v>1280</v>
      </c>
      <c r="D465" s="13" t="s">
        <v>1281</v>
      </c>
      <c r="E465" s="13" t="s">
        <v>267</v>
      </c>
      <c r="F465" s="14"/>
      <c r="G465" s="14"/>
      <c r="H465" s="14"/>
      <c r="I465" s="14"/>
      <c r="J465" s="14">
        <f t="shared" si="21"/>
        <v>0</v>
      </c>
      <c r="K465" s="14">
        <f t="shared" si="22"/>
        <v>0</v>
      </c>
      <c r="L465" s="17">
        <f t="shared" si="23"/>
        <v>0</v>
      </c>
      <c r="M465" s="14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 spans="1:27" s="2" customFormat="1" ht="14">
      <c r="A466" s="12" t="s">
        <v>1282</v>
      </c>
      <c r="B466" s="13" t="s">
        <v>14</v>
      </c>
      <c r="C466" s="13" t="s">
        <v>1283</v>
      </c>
      <c r="D466" s="13" t="s">
        <v>1284</v>
      </c>
      <c r="E466" s="13" t="s">
        <v>114</v>
      </c>
      <c r="F466" s="14"/>
      <c r="G466" s="14"/>
      <c r="H466" s="14"/>
      <c r="I466" s="14"/>
      <c r="J466" s="14">
        <f t="shared" si="21"/>
        <v>0</v>
      </c>
      <c r="K466" s="14">
        <f t="shared" si="22"/>
        <v>0</v>
      </c>
      <c r="L466" s="17">
        <f t="shared" si="23"/>
        <v>0</v>
      </c>
      <c r="M466" s="14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 spans="1:27" s="2" customFormat="1" ht="14">
      <c r="A467" s="12" t="s">
        <v>1285</v>
      </c>
      <c r="B467" s="13" t="s">
        <v>14</v>
      </c>
      <c r="C467" s="13" t="s">
        <v>1286</v>
      </c>
      <c r="D467" s="13" t="s">
        <v>1287</v>
      </c>
      <c r="E467" s="13" t="s">
        <v>156</v>
      </c>
      <c r="F467" s="14"/>
      <c r="G467" s="14"/>
      <c r="H467" s="14"/>
      <c r="I467" s="14"/>
      <c r="J467" s="14">
        <f t="shared" si="21"/>
        <v>0</v>
      </c>
      <c r="K467" s="14">
        <f t="shared" si="22"/>
        <v>0</v>
      </c>
      <c r="L467" s="17">
        <f t="shared" si="23"/>
        <v>0</v>
      </c>
      <c r="M467" s="14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 spans="1:27" s="2" customFormat="1" ht="14">
      <c r="A468" s="12" t="s">
        <v>1288</v>
      </c>
      <c r="B468" s="13" t="s">
        <v>62</v>
      </c>
      <c r="C468" s="13" t="s">
        <v>1289</v>
      </c>
      <c r="D468" s="13" t="s">
        <v>1290</v>
      </c>
      <c r="E468" s="13" t="s">
        <v>32</v>
      </c>
      <c r="F468" s="14"/>
      <c r="G468" s="14"/>
      <c r="H468" s="14"/>
      <c r="I468" s="14"/>
      <c r="J468" s="14">
        <f t="shared" si="21"/>
        <v>0</v>
      </c>
      <c r="K468" s="14">
        <f t="shared" si="22"/>
        <v>0</v>
      </c>
      <c r="L468" s="17">
        <f t="shared" si="23"/>
        <v>0</v>
      </c>
      <c r="M468" s="14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 spans="1:27" s="2" customFormat="1" ht="14">
      <c r="A469" s="12" t="s">
        <v>1291</v>
      </c>
      <c r="B469" s="13" t="s">
        <v>14</v>
      </c>
      <c r="C469" s="13" t="s">
        <v>1292</v>
      </c>
      <c r="D469" s="13" t="s">
        <v>1293</v>
      </c>
      <c r="E469" s="13" t="s">
        <v>17</v>
      </c>
      <c r="F469" s="14"/>
      <c r="G469" s="14"/>
      <c r="H469" s="14"/>
      <c r="I469" s="14"/>
      <c r="J469" s="14">
        <f t="shared" si="21"/>
        <v>0</v>
      </c>
      <c r="K469" s="14">
        <f t="shared" si="22"/>
        <v>0</v>
      </c>
      <c r="L469" s="17">
        <f t="shared" si="23"/>
        <v>0</v>
      </c>
      <c r="M469" s="14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 spans="1:27" s="2" customFormat="1" ht="14">
      <c r="A470" s="12" t="s">
        <v>1294</v>
      </c>
      <c r="B470" s="13" t="s">
        <v>14</v>
      </c>
      <c r="C470" s="13" t="s">
        <v>1295</v>
      </c>
      <c r="D470" s="13" t="s">
        <v>1296</v>
      </c>
      <c r="E470" s="13" t="s">
        <v>971</v>
      </c>
      <c r="F470" s="14"/>
      <c r="G470" s="14"/>
      <c r="H470" s="14"/>
      <c r="I470" s="14"/>
      <c r="J470" s="14">
        <f t="shared" si="21"/>
        <v>0</v>
      </c>
      <c r="K470" s="14">
        <f t="shared" si="22"/>
        <v>0</v>
      </c>
      <c r="L470" s="17">
        <f t="shared" si="23"/>
        <v>0</v>
      </c>
      <c r="M470" s="14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 spans="1:27" s="2" customFormat="1" ht="14">
      <c r="A471" s="12" t="s">
        <v>1297</v>
      </c>
      <c r="B471" s="13" t="s">
        <v>14</v>
      </c>
      <c r="C471" s="13" t="s">
        <v>1298</v>
      </c>
      <c r="D471" s="13" t="s">
        <v>1299</v>
      </c>
      <c r="E471" s="13" t="s">
        <v>97</v>
      </c>
      <c r="F471" s="14"/>
      <c r="G471" s="14"/>
      <c r="H471" s="14"/>
      <c r="I471" s="14"/>
      <c r="J471" s="14">
        <f t="shared" si="21"/>
        <v>0</v>
      </c>
      <c r="K471" s="14">
        <f t="shared" si="22"/>
        <v>0</v>
      </c>
      <c r="L471" s="17">
        <f t="shared" si="23"/>
        <v>0</v>
      </c>
      <c r="M471" s="14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 spans="1:27" s="2" customFormat="1" ht="14">
      <c r="A472" s="12" t="s">
        <v>1300</v>
      </c>
      <c r="B472" s="13" t="s">
        <v>14</v>
      </c>
      <c r="C472" s="13" t="s">
        <v>1301</v>
      </c>
      <c r="D472" s="13" t="s">
        <v>1302</v>
      </c>
      <c r="E472" s="13" t="s">
        <v>114</v>
      </c>
      <c r="F472" s="14"/>
      <c r="G472" s="14"/>
      <c r="H472" s="14"/>
      <c r="I472" s="14"/>
      <c r="J472" s="14">
        <f t="shared" si="21"/>
        <v>0</v>
      </c>
      <c r="K472" s="14">
        <f t="shared" si="22"/>
        <v>0</v>
      </c>
      <c r="L472" s="17">
        <f t="shared" si="23"/>
        <v>0</v>
      </c>
      <c r="M472" s="14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 spans="1:27" s="2" customFormat="1" ht="14">
      <c r="A473" s="12" t="s">
        <v>1303</v>
      </c>
      <c r="B473" s="13" t="s">
        <v>14</v>
      </c>
      <c r="C473" s="13" t="s">
        <v>1304</v>
      </c>
      <c r="D473" s="13" t="s">
        <v>1305</v>
      </c>
      <c r="E473" s="13" t="s">
        <v>46</v>
      </c>
      <c r="F473" s="14"/>
      <c r="G473" s="14"/>
      <c r="H473" s="14"/>
      <c r="I473" s="14"/>
      <c r="J473" s="14">
        <f t="shared" si="21"/>
        <v>0</v>
      </c>
      <c r="K473" s="14">
        <f t="shared" si="22"/>
        <v>0</v>
      </c>
      <c r="L473" s="17">
        <f t="shared" si="23"/>
        <v>0</v>
      </c>
      <c r="M473" s="14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 spans="1:27" s="2" customFormat="1" ht="14">
      <c r="A474" s="12" t="s">
        <v>1306</v>
      </c>
      <c r="B474" s="13" t="s">
        <v>14</v>
      </c>
      <c r="C474" s="13" t="s">
        <v>1307</v>
      </c>
      <c r="D474" s="13" t="s">
        <v>1308</v>
      </c>
      <c r="E474" s="13" t="s">
        <v>21</v>
      </c>
      <c r="F474" s="14"/>
      <c r="G474" s="14"/>
      <c r="H474" s="14"/>
      <c r="I474" s="14"/>
      <c r="J474" s="14">
        <f t="shared" si="21"/>
        <v>0</v>
      </c>
      <c r="K474" s="14">
        <f t="shared" si="22"/>
        <v>0</v>
      </c>
      <c r="L474" s="17">
        <f t="shared" si="23"/>
        <v>0</v>
      </c>
      <c r="M474" s="14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 spans="1:27" s="2" customFormat="1" ht="14">
      <c r="A475" s="12" t="s">
        <v>1309</v>
      </c>
      <c r="B475" s="13" t="s">
        <v>14</v>
      </c>
      <c r="C475" s="13" t="s">
        <v>1310</v>
      </c>
      <c r="D475" s="13" t="s">
        <v>1311</v>
      </c>
      <c r="E475" s="13" t="s">
        <v>201</v>
      </c>
      <c r="F475" s="14"/>
      <c r="G475" s="14"/>
      <c r="H475" s="14"/>
      <c r="I475" s="14"/>
      <c r="J475" s="14">
        <f t="shared" si="21"/>
        <v>0</v>
      </c>
      <c r="K475" s="14">
        <f t="shared" si="22"/>
        <v>0</v>
      </c>
      <c r="L475" s="17">
        <f t="shared" si="23"/>
        <v>0</v>
      </c>
      <c r="M475" s="14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 spans="1:27" s="2" customFormat="1" ht="14">
      <c r="A476" s="12" t="s">
        <v>1312</v>
      </c>
      <c r="B476" s="13" t="s">
        <v>62</v>
      </c>
      <c r="C476" s="13" t="s">
        <v>1313</v>
      </c>
      <c r="D476" s="13" t="s">
        <v>1314</v>
      </c>
      <c r="E476" s="13" t="s">
        <v>72</v>
      </c>
      <c r="F476" s="14"/>
      <c r="G476" s="14"/>
      <c r="H476" s="14"/>
      <c r="I476" s="14"/>
      <c r="J476" s="14">
        <f t="shared" si="21"/>
        <v>0</v>
      </c>
      <c r="K476" s="14">
        <f t="shared" si="22"/>
        <v>0</v>
      </c>
      <c r="L476" s="17">
        <f t="shared" si="23"/>
        <v>0</v>
      </c>
      <c r="M476" s="14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 spans="1:27" s="2" customFormat="1" ht="14">
      <c r="A477" s="12" t="s">
        <v>1315</v>
      </c>
      <c r="B477" s="13" t="s">
        <v>14</v>
      </c>
      <c r="C477" s="13" t="s">
        <v>1316</v>
      </c>
      <c r="D477" s="13" t="s">
        <v>1317</v>
      </c>
      <c r="E477" s="13" t="s">
        <v>17</v>
      </c>
      <c r="F477" s="14"/>
      <c r="G477" s="14"/>
      <c r="H477" s="14"/>
      <c r="I477" s="14"/>
      <c r="J477" s="14">
        <f t="shared" si="21"/>
        <v>0</v>
      </c>
      <c r="K477" s="14">
        <f t="shared" si="22"/>
        <v>0</v>
      </c>
      <c r="L477" s="17">
        <f t="shared" si="23"/>
        <v>0</v>
      </c>
      <c r="M477" s="14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 spans="1:27" s="2" customFormat="1" ht="14">
      <c r="A478" s="12" t="s">
        <v>1318</v>
      </c>
      <c r="B478" s="13" t="s">
        <v>14</v>
      </c>
      <c r="C478" s="13" t="s">
        <v>1319</v>
      </c>
      <c r="D478" s="13" t="s">
        <v>1320</v>
      </c>
      <c r="E478" s="13" t="s">
        <v>46</v>
      </c>
      <c r="F478" s="14"/>
      <c r="G478" s="14"/>
      <c r="H478" s="14"/>
      <c r="I478" s="14"/>
      <c r="J478" s="14">
        <f t="shared" si="21"/>
        <v>0</v>
      </c>
      <c r="K478" s="14">
        <f t="shared" si="22"/>
        <v>0</v>
      </c>
      <c r="L478" s="17">
        <f t="shared" si="23"/>
        <v>0</v>
      </c>
      <c r="M478" s="14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 spans="1:27" s="2" customFormat="1" ht="14">
      <c r="A479" s="12" t="s">
        <v>1321</v>
      </c>
      <c r="B479" s="13" t="s">
        <v>14</v>
      </c>
      <c r="C479" s="13" t="s">
        <v>1322</v>
      </c>
      <c r="D479" s="13" t="s">
        <v>1323</v>
      </c>
      <c r="E479" s="13" t="s">
        <v>114</v>
      </c>
      <c r="F479" s="14"/>
      <c r="G479" s="14"/>
      <c r="H479" s="14"/>
      <c r="I479" s="14"/>
      <c r="J479" s="14">
        <f t="shared" si="21"/>
        <v>0</v>
      </c>
      <c r="K479" s="14">
        <f t="shared" si="22"/>
        <v>0</v>
      </c>
      <c r="L479" s="17">
        <f t="shared" si="23"/>
        <v>0</v>
      </c>
      <c r="M479" s="14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 spans="1:27" s="2" customFormat="1" ht="14">
      <c r="A480" s="12" t="s">
        <v>1324</v>
      </c>
      <c r="B480" s="13" t="s">
        <v>62</v>
      </c>
      <c r="C480" s="13" t="s">
        <v>1325</v>
      </c>
      <c r="D480" s="13" t="s">
        <v>1326</v>
      </c>
      <c r="E480" s="13" t="s">
        <v>183</v>
      </c>
      <c r="F480" s="14"/>
      <c r="G480" s="14"/>
      <c r="H480" s="14"/>
      <c r="I480" s="14"/>
      <c r="J480" s="14">
        <f t="shared" si="21"/>
        <v>0</v>
      </c>
      <c r="K480" s="14">
        <f t="shared" si="22"/>
        <v>0</v>
      </c>
      <c r="L480" s="17">
        <f t="shared" si="23"/>
        <v>0</v>
      </c>
      <c r="M480" s="14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 spans="1:27" s="2" customFormat="1" ht="14">
      <c r="A481" s="12" t="s">
        <v>1327</v>
      </c>
      <c r="B481" s="13" t="s">
        <v>62</v>
      </c>
      <c r="C481" s="13" t="s">
        <v>1328</v>
      </c>
      <c r="D481" s="13" t="s">
        <v>1329</v>
      </c>
      <c r="E481" s="13" t="s">
        <v>488</v>
      </c>
      <c r="F481" s="14"/>
      <c r="G481" s="14"/>
      <c r="H481" s="14"/>
      <c r="I481" s="14"/>
      <c r="J481" s="14">
        <f t="shared" si="21"/>
        <v>0</v>
      </c>
      <c r="K481" s="14">
        <f t="shared" si="22"/>
        <v>0</v>
      </c>
      <c r="L481" s="17">
        <f t="shared" si="23"/>
        <v>0</v>
      </c>
      <c r="M481" s="14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 spans="1:27" s="2" customFormat="1" ht="14">
      <c r="A482" s="12" t="s">
        <v>1330</v>
      </c>
      <c r="B482" s="13" t="s">
        <v>62</v>
      </c>
      <c r="C482" s="13" t="s">
        <v>1331</v>
      </c>
      <c r="D482" s="13" t="s">
        <v>1332</v>
      </c>
      <c r="E482" s="13" t="s">
        <v>50</v>
      </c>
      <c r="F482" s="14"/>
      <c r="G482" s="14"/>
      <c r="H482" s="14"/>
      <c r="I482" s="14"/>
      <c r="J482" s="14">
        <f t="shared" si="21"/>
        <v>0</v>
      </c>
      <c r="K482" s="14">
        <f t="shared" si="22"/>
        <v>0</v>
      </c>
      <c r="L482" s="17">
        <f t="shared" si="23"/>
        <v>0</v>
      </c>
      <c r="M482" s="14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 spans="1:27" s="2" customFormat="1" ht="14">
      <c r="A483" s="12" t="s">
        <v>1333</v>
      </c>
      <c r="B483" s="13" t="s">
        <v>14</v>
      </c>
      <c r="C483" s="13" t="s">
        <v>1334</v>
      </c>
      <c r="D483" s="13" t="s">
        <v>1335</v>
      </c>
      <c r="E483" s="13" t="s">
        <v>285</v>
      </c>
      <c r="F483" s="14"/>
      <c r="G483" s="14"/>
      <c r="H483" s="14"/>
      <c r="I483" s="14"/>
      <c r="J483" s="14">
        <f t="shared" si="21"/>
        <v>0</v>
      </c>
      <c r="K483" s="14">
        <f t="shared" si="22"/>
        <v>0</v>
      </c>
      <c r="L483" s="17">
        <f t="shared" si="23"/>
        <v>0</v>
      </c>
      <c r="M483" s="14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 spans="1:27" s="2" customFormat="1" ht="14">
      <c r="A484" s="12" t="s">
        <v>1336</v>
      </c>
      <c r="B484" s="13" t="s">
        <v>14</v>
      </c>
      <c r="C484" s="13" t="s">
        <v>1337</v>
      </c>
      <c r="D484" s="13" t="s">
        <v>1338</v>
      </c>
      <c r="E484" s="13" t="s">
        <v>114</v>
      </c>
      <c r="F484" s="14"/>
      <c r="G484" s="14"/>
      <c r="H484" s="14"/>
      <c r="I484" s="14"/>
      <c r="J484" s="14">
        <f t="shared" si="21"/>
        <v>0</v>
      </c>
      <c r="K484" s="14">
        <f t="shared" si="22"/>
        <v>0</v>
      </c>
      <c r="L484" s="17">
        <f t="shared" si="23"/>
        <v>0</v>
      </c>
      <c r="M484" s="14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 spans="1:27" s="2" customFormat="1" ht="14">
      <c r="A485" s="12" t="s">
        <v>1339</v>
      </c>
      <c r="B485" s="13" t="s">
        <v>14</v>
      </c>
      <c r="C485" s="13" t="s">
        <v>1340</v>
      </c>
      <c r="D485" s="13" t="s">
        <v>1341</v>
      </c>
      <c r="E485" s="13" t="s">
        <v>156</v>
      </c>
      <c r="F485" s="14"/>
      <c r="G485" s="14"/>
      <c r="H485" s="14"/>
      <c r="I485" s="14"/>
      <c r="J485" s="14">
        <f t="shared" si="21"/>
        <v>0</v>
      </c>
      <c r="K485" s="14">
        <f t="shared" si="22"/>
        <v>0</v>
      </c>
      <c r="L485" s="17">
        <f t="shared" si="23"/>
        <v>0</v>
      </c>
      <c r="M485" s="14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 spans="1:27" s="2" customFormat="1" ht="14">
      <c r="A486" s="12" t="s">
        <v>1342</v>
      </c>
      <c r="B486" s="13" t="s">
        <v>62</v>
      </c>
      <c r="C486" s="13" t="s">
        <v>1343</v>
      </c>
      <c r="D486" s="13" t="s">
        <v>1344</v>
      </c>
      <c r="E486" s="13" t="s">
        <v>25</v>
      </c>
      <c r="F486" s="14"/>
      <c r="G486" s="14"/>
      <c r="H486" s="14"/>
      <c r="I486" s="14"/>
      <c r="J486" s="14">
        <f t="shared" si="21"/>
        <v>0</v>
      </c>
      <c r="K486" s="14">
        <f t="shared" si="22"/>
        <v>0</v>
      </c>
      <c r="L486" s="17">
        <f t="shared" si="23"/>
        <v>0</v>
      </c>
      <c r="M486" s="14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 spans="1:27" s="2" customFormat="1" ht="14">
      <c r="A487" s="12" t="s">
        <v>1345</v>
      </c>
      <c r="B487" s="13" t="s">
        <v>62</v>
      </c>
      <c r="C487" s="13" t="s">
        <v>1346</v>
      </c>
      <c r="D487" s="13" t="s">
        <v>1347</v>
      </c>
      <c r="E487" s="13" t="s">
        <v>43</v>
      </c>
      <c r="F487" s="14"/>
      <c r="G487" s="14"/>
      <c r="H487" s="14"/>
      <c r="I487" s="14"/>
      <c r="J487" s="14">
        <f t="shared" si="21"/>
        <v>0</v>
      </c>
      <c r="K487" s="14">
        <f t="shared" si="22"/>
        <v>0</v>
      </c>
      <c r="L487" s="17">
        <f t="shared" si="23"/>
        <v>0</v>
      </c>
      <c r="M487" s="14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 spans="1:27" s="2" customFormat="1" ht="14">
      <c r="A488" s="12" t="s">
        <v>1348</v>
      </c>
      <c r="B488" s="13" t="s">
        <v>14</v>
      </c>
      <c r="C488" s="13" t="s">
        <v>1349</v>
      </c>
      <c r="D488" s="13" t="s">
        <v>1350</v>
      </c>
      <c r="E488" s="13" t="s">
        <v>57</v>
      </c>
      <c r="F488" s="14"/>
      <c r="G488" s="14"/>
      <c r="H488" s="14"/>
      <c r="I488" s="14"/>
      <c r="J488" s="14">
        <f t="shared" si="21"/>
        <v>0</v>
      </c>
      <c r="K488" s="14">
        <f t="shared" si="22"/>
        <v>0</v>
      </c>
      <c r="L488" s="17">
        <f t="shared" si="23"/>
        <v>0</v>
      </c>
      <c r="M488" s="14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 spans="1:27" s="2" customFormat="1" ht="14">
      <c r="A489" s="12" t="s">
        <v>1351</v>
      </c>
      <c r="B489" s="13" t="s">
        <v>14</v>
      </c>
      <c r="C489" s="13" t="s">
        <v>1352</v>
      </c>
      <c r="D489" s="13" t="s">
        <v>1353</v>
      </c>
      <c r="E489" s="13" t="s">
        <v>220</v>
      </c>
      <c r="F489" s="14"/>
      <c r="G489" s="14"/>
      <c r="H489" s="14"/>
      <c r="I489" s="14"/>
      <c r="J489" s="14">
        <f t="shared" si="21"/>
        <v>0</v>
      </c>
      <c r="K489" s="14">
        <f t="shared" si="22"/>
        <v>0</v>
      </c>
      <c r="L489" s="17">
        <f t="shared" si="23"/>
        <v>0</v>
      </c>
      <c r="M489" s="14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 spans="1:27" s="2" customFormat="1" ht="14">
      <c r="A490" s="12" t="s">
        <v>1354</v>
      </c>
      <c r="B490" s="13" t="s">
        <v>14</v>
      </c>
      <c r="C490" s="13" t="s">
        <v>1355</v>
      </c>
      <c r="D490" s="13" t="s">
        <v>1356</v>
      </c>
      <c r="E490" s="13" t="s">
        <v>220</v>
      </c>
      <c r="F490" s="14"/>
      <c r="G490" s="14"/>
      <c r="H490" s="14"/>
      <c r="I490" s="14"/>
      <c r="J490" s="14">
        <f t="shared" si="21"/>
        <v>0</v>
      </c>
      <c r="K490" s="14">
        <f t="shared" si="22"/>
        <v>0</v>
      </c>
      <c r="L490" s="17">
        <f t="shared" si="23"/>
        <v>0</v>
      </c>
      <c r="M490" s="14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 spans="1:27" s="2" customFormat="1" ht="14">
      <c r="A491" s="12" t="s">
        <v>1357</v>
      </c>
      <c r="B491" s="13" t="s">
        <v>14</v>
      </c>
      <c r="C491" s="13" t="s">
        <v>1358</v>
      </c>
      <c r="D491" s="13" t="s">
        <v>1359</v>
      </c>
      <c r="E491" s="13" t="s">
        <v>126</v>
      </c>
      <c r="F491" s="14"/>
      <c r="G491" s="14"/>
      <c r="H491" s="14"/>
      <c r="I491" s="14"/>
      <c r="J491" s="14">
        <f t="shared" si="21"/>
        <v>0</v>
      </c>
      <c r="K491" s="14">
        <f t="shared" si="22"/>
        <v>0</v>
      </c>
      <c r="L491" s="17">
        <f t="shared" si="23"/>
        <v>0</v>
      </c>
      <c r="M491" s="14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 spans="1:27" s="2" customFormat="1" ht="14">
      <c r="A492" s="12" t="s">
        <v>1360</v>
      </c>
      <c r="B492" s="13" t="s">
        <v>14</v>
      </c>
      <c r="C492" s="13" t="s">
        <v>1361</v>
      </c>
      <c r="D492" s="13" t="s">
        <v>1362</v>
      </c>
      <c r="E492" s="13" t="s">
        <v>215</v>
      </c>
      <c r="F492" s="14"/>
      <c r="G492" s="14"/>
      <c r="H492" s="14"/>
      <c r="I492" s="14"/>
      <c r="J492" s="14">
        <f t="shared" si="21"/>
        <v>0</v>
      </c>
      <c r="K492" s="14">
        <f t="shared" si="22"/>
        <v>0</v>
      </c>
      <c r="L492" s="17">
        <f t="shared" si="23"/>
        <v>0</v>
      </c>
      <c r="M492" s="14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 spans="1:27" s="2" customFormat="1" ht="14">
      <c r="A493" s="12" t="s">
        <v>1363</v>
      </c>
      <c r="B493" s="13" t="s">
        <v>62</v>
      </c>
      <c r="C493" s="13" t="s">
        <v>1364</v>
      </c>
      <c r="D493" s="13" t="s">
        <v>1365</v>
      </c>
      <c r="E493" s="13" t="s">
        <v>205</v>
      </c>
      <c r="F493" s="14"/>
      <c r="G493" s="14"/>
      <c r="H493" s="14"/>
      <c r="I493" s="14"/>
      <c r="J493" s="14">
        <f t="shared" si="21"/>
        <v>0</v>
      </c>
      <c r="K493" s="14">
        <f t="shared" si="22"/>
        <v>0</v>
      </c>
      <c r="L493" s="17">
        <f t="shared" si="23"/>
        <v>0</v>
      </c>
      <c r="M493" s="14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 spans="1:27" s="2" customFormat="1" ht="14">
      <c r="A494" s="12" t="s">
        <v>1366</v>
      </c>
      <c r="B494" s="13" t="s">
        <v>14</v>
      </c>
      <c r="C494" s="13" t="s">
        <v>1367</v>
      </c>
      <c r="D494" s="13" t="s">
        <v>1368</v>
      </c>
      <c r="E494" s="13" t="s">
        <v>32</v>
      </c>
      <c r="F494" s="14"/>
      <c r="G494" s="14"/>
      <c r="H494" s="14"/>
      <c r="I494" s="14"/>
      <c r="J494" s="14">
        <f t="shared" si="21"/>
        <v>0</v>
      </c>
      <c r="K494" s="14">
        <f t="shared" si="22"/>
        <v>0</v>
      </c>
      <c r="L494" s="17">
        <f t="shared" si="23"/>
        <v>0</v>
      </c>
      <c r="M494" s="14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 spans="1:27" s="2" customFormat="1" ht="14">
      <c r="A495" s="12" t="s">
        <v>1369</v>
      </c>
      <c r="B495" s="13" t="s">
        <v>14</v>
      </c>
      <c r="C495" s="13" t="s">
        <v>1370</v>
      </c>
      <c r="D495" s="13" t="s">
        <v>1371</v>
      </c>
      <c r="E495" s="13" t="s">
        <v>21</v>
      </c>
      <c r="F495" s="14"/>
      <c r="G495" s="14"/>
      <c r="H495" s="14"/>
      <c r="I495" s="14"/>
      <c r="J495" s="14">
        <f t="shared" si="21"/>
        <v>0</v>
      </c>
      <c r="K495" s="14">
        <f t="shared" si="22"/>
        <v>0</v>
      </c>
      <c r="L495" s="17">
        <f t="shared" si="23"/>
        <v>0</v>
      </c>
      <c r="M495" s="14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 spans="1:27" s="2" customFormat="1" ht="14">
      <c r="A496" s="12" t="s">
        <v>1372</v>
      </c>
      <c r="B496" s="13" t="s">
        <v>62</v>
      </c>
      <c r="C496" s="13" t="s">
        <v>1373</v>
      </c>
      <c r="D496" s="13" t="s">
        <v>1374</v>
      </c>
      <c r="E496" s="13" t="s">
        <v>354</v>
      </c>
      <c r="F496" s="14"/>
      <c r="G496" s="14"/>
      <c r="H496" s="14"/>
      <c r="I496" s="14"/>
      <c r="J496" s="14">
        <f t="shared" si="21"/>
        <v>0</v>
      </c>
      <c r="K496" s="14">
        <f t="shared" si="22"/>
        <v>0</v>
      </c>
      <c r="L496" s="17">
        <f t="shared" si="23"/>
        <v>0</v>
      </c>
      <c r="M496" s="14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 spans="1:27" s="2" customFormat="1" ht="14">
      <c r="A497" s="12" t="s">
        <v>1375</v>
      </c>
      <c r="B497" s="13" t="s">
        <v>62</v>
      </c>
      <c r="C497" s="13" t="s">
        <v>1376</v>
      </c>
      <c r="D497" s="13" t="s">
        <v>1377</v>
      </c>
      <c r="E497" s="13" t="s">
        <v>43</v>
      </c>
      <c r="F497" s="14"/>
      <c r="G497" s="14"/>
      <c r="H497" s="14"/>
      <c r="I497" s="14"/>
      <c r="J497" s="14">
        <f t="shared" si="21"/>
        <v>0</v>
      </c>
      <c r="K497" s="14">
        <f t="shared" si="22"/>
        <v>0</v>
      </c>
      <c r="L497" s="17">
        <f t="shared" si="23"/>
        <v>0</v>
      </c>
      <c r="M497" s="14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 spans="1:27" s="2" customFormat="1" ht="14">
      <c r="A498" s="12" t="s">
        <v>1378</v>
      </c>
      <c r="B498" s="13" t="s">
        <v>14</v>
      </c>
      <c r="C498" s="13" t="s">
        <v>1379</v>
      </c>
      <c r="D498" s="13" t="s">
        <v>1380</v>
      </c>
      <c r="E498" s="13" t="s">
        <v>36</v>
      </c>
      <c r="F498" s="14"/>
      <c r="G498" s="14"/>
      <c r="H498" s="14"/>
      <c r="I498" s="14"/>
      <c r="J498" s="14">
        <f t="shared" si="21"/>
        <v>0</v>
      </c>
      <c r="K498" s="14">
        <f t="shared" si="22"/>
        <v>0</v>
      </c>
      <c r="L498" s="17">
        <f t="shared" si="23"/>
        <v>0</v>
      </c>
      <c r="M498" s="14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 spans="1:27" s="2" customFormat="1" ht="14">
      <c r="A499" s="12" t="s">
        <v>1381</v>
      </c>
      <c r="B499" s="13" t="s">
        <v>62</v>
      </c>
      <c r="C499" s="13" t="s">
        <v>1382</v>
      </c>
      <c r="D499" s="13" t="s">
        <v>1383</v>
      </c>
      <c r="E499" s="13" t="s">
        <v>971</v>
      </c>
      <c r="F499" s="14"/>
      <c r="G499" s="14"/>
      <c r="H499" s="14"/>
      <c r="I499" s="14"/>
      <c r="J499" s="14">
        <f t="shared" si="21"/>
        <v>0</v>
      </c>
      <c r="K499" s="14">
        <f t="shared" si="22"/>
        <v>0</v>
      </c>
      <c r="L499" s="17">
        <f t="shared" si="23"/>
        <v>0</v>
      </c>
      <c r="M499" s="14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 spans="1:27" s="2" customFormat="1" ht="14">
      <c r="A500" s="12" t="s">
        <v>1384</v>
      </c>
      <c r="B500" s="13" t="s">
        <v>14</v>
      </c>
      <c r="C500" s="13" t="s">
        <v>1385</v>
      </c>
      <c r="D500" s="13" t="s">
        <v>1386</v>
      </c>
      <c r="E500" s="13" t="s">
        <v>150</v>
      </c>
      <c r="F500" s="14"/>
      <c r="G500" s="14"/>
      <c r="H500" s="14"/>
      <c r="I500" s="14"/>
      <c r="J500" s="14">
        <f t="shared" si="21"/>
        <v>0</v>
      </c>
      <c r="K500" s="14">
        <f t="shared" si="22"/>
        <v>0</v>
      </c>
      <c r="L500" s="17">
        <f t="shared" si="23"/>
        <v>0</v>
      </c>
      <c r="M500" s="14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 spans="1:27" s="2" customFormat="1" ht="14">
      <c r="A501" s="12" t="s">
        <v>1387</v>
      </c>
      <c r="B501" s="13" t="s">
        <v>14</v>
      </c>
      <c r="C501" s="13" t="s">
        <v>1388</v>
      </c>
      <c r="D501" s="13" t="s">
        <v>1389</v>
      </c>
      <c r="E501" s="13" t="s">
        <v>97</v>
      </c>
      <c r="F501" s="14"/>
      <c r="G501" s="14"/>
      <c r="H501" s="14"/>
      <c r="I501" s="14"/>
      <c r="J501" s="14">
        <f t="shared" si="21"/>
        <v>0</v>
      </c>
      <c r="K501" s="14">
        <f t="shared" si="22"/>
        <v>0</v>
      </c>
      <c r="L501" s="17">
        <f t="shared" si="23"/>
        <v>0</v>
      </c>
      <c r="M501" s="14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 spans="1:27" s="2" customFormat="1" ht="14">
      <c r="A502" s="12" t="s">
        <v>1390</v>
      </c>
      <c r="B502" s="13" t="s">
        <v>14</v>
      </c>
      <c r="C502" s="13" t="s">
        <v>1391</v>
      </c>
      <c r="D502" s="13" t="s">
        <v>1392</v>
      </c>
      <c r="E502" s="13" t="s">
        <v>136</v>
      </c>
      <c r="F502" s="14"/>
      <c r="G502" s="14"/>
      <c r="H502" s="14"/>
      <c r="I502" s="14"/>
      <c r="J502" s="14">
        <f t="shared" si="21"/>
        <v>0</v>
      </c>
      <c r="K502" s="14">
        <f t="shared" si="22"/>
        <v>0</v>
      </c>
      <c r="L502" s="17">
        <f t="shared" si="23"/>
        <v>0</v>
      </c>
      <c r="M502" s="14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 spans="1:27" s="2" customFormat="1" ht="14">
      <c r="A503" s="12" t="s">
        <v>1393</v>
      </c>
      <c r="B503" s="13" t="s">
        <v>14</v>
      </c>
      <c r="C503" s="13" t="s">
        <v>1394</v>
      </c>
      <c r="D503" s="13" t="s">
        <v>1395</v>
      </c>
      <c r="E503" s="13" t="s">
        <v>72</v>
      </c>
      <c r="F503" s="14"/>
      <c r="G503" s="14"/>
      <c r="H503" s="14"/>
      <c r="I503" s="14"/>
      <c r="J503" s="14">
        <f t="shared" si="21"/>
        <v>0</v>
      </c>
      <c r="K503" s="14">
        <f t="shared" si="22"/>
        <v>0</v>
      </c>
      <c r="L503" s="17">
        <f t="shared" si="23"/>
        <v>0</v>
      </c>
      <c r="M503" s="14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 spans="1:27" s="2" customFormat="1" ht="14">
      <c r="A504" s="12" t="s">
        <v>1396</v>
      </c>
      <c r="B504" s="13" t="s">
        <v>14</v>
      </c>
      <c r="C504" s="13" t="s">
        <v>1397</v>
      </c>
      <c r="D504" s="13" t="s">
        <v>1398</v>
      </c>
      <c r="E504" s="13" t="s">
        <v>220</v>
      </c>
      <c r="F504" s="14"/>
      <c r="G504" s="14"/>
      <c r="H504" s="14"/>
      <c r="I504" s="14"/>
      <c r="J504" s="14">
        <f t="shared" si="21"/>
        <v>0</v>
      </c>
      <c r="K504" s="14">
        <f t="shared" si="22"/>
        <v>0</v>
      </c>
      <c r="L504" s="17">
        <f t="shared" si="23"/>
        <v>0</v>
      </c>
      <c r="M504" s="14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 spans="1:27" s="2" customFormat="1" ht="14">
      <c r="A505" s="12" t="s">
        <v>1399</v>
      </c>
      <c r="B505" s="13" t="s">
        <v>14</v>
      </c>
      <c r="C505" s="13" t="s">
        <v>1400</v>
      </c>
      <c r="D505" s="13" t="s">
        <v>1401</v>
      </c>
      <c r="E505" s="13" t="s">
        <v>40</v>
      </c>
      <c r="F505" s="14"/>
      <c r="G505" s="14"/>
      <c r="H505" s="14"/>
      <c r="I505" s="14"/>
      <c r="J505" s="14">
        <f t="shared" si="21"/>
        <v>0</v>
      </c>
      <c r="K505" s="14">
        <f t="shared" si="22"/>
        <v>0</v>
      </c>
      <c r="L505" s="17">
        <f t="shared" si="23"/>
        <v>0</v>
      </c>
      <c r="M505" s="14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 spans="1:27" s="2" customFormat="1" ht="14">
      <c r="A506" s="12" t="s">
        <v>1402</v>
      </c>
      <c r="B506" s="13" t="s">
        <v>14</v>
      </c>
      <c r="C506" s="13" t="s">
        <v>1403</v>
      </c>
      <c r="D506" s="13" t="s">
        <v>1404</v>
      </c>
      <c r="E506" s="13" t="s">
        <v>83</v>
      </c>
      <c r="F506" s="14"/>
      <c r="G506" s="14"/>
      <c r="H506" s="14"/>
      <c r="I506" s="14"/>
      <c r="J506" s="14">
        <f t="shared" si="21"/>
        <v>0</v>
      </c>
      <c r="K506" s="14">
        <f t="shared" si="22"/>
        <v>0</v>
      </c>
      <c r="L506" s="17">
        <f t="shared" si="23"/>
        <v>0</v>
      </c>
      <c r="M506" s="14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 spans="1:27" s="2" customFormat="1" ht="14">
      <c r="A507" s="12" t="s">
        <v>1405</v>
      </c>
      <c r="B507" s="13" t="s">
        <v>62</v>
      </c>
      <c r="C507" s="13" t="s">
        <v>1406</v>
      </c>
      <c r="D507" s="13" t="s">
        <v>1407</v>
      </c>
      <c r="E507" s="13" t="s">
        <v>40</v>
      </c>
      <c r="F507" s="14"/>
      <c r="G507" s="14"/>
      <c r="H507" s="14"/>
      <c r="I507" s="14"/>
      <c r="J507" s="14">
        <f t="shared" si="21"/>
        <v>0</v>
      </c>
      <c r="K507" s="14">
        <f t="shared" si="22"/>
        <v>0</v>
      </c>
      <c r="L507" s="17">
        <f t="shared" si="23"/>
        <v>0</v>
      </c>
      <c r="M507" s="14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 spans="1:27" s="2" customFormat="1" ht="14">
      <c r="A508" s="12" t="s">
        <v>1408</v>
      </c>
      <c r="B508" s="13" t="s">
        <v>62</v>
      </c>
      <c r="C508" s="13" t="s">
        <v>1409</v>
      </c>
      <c r="D508" s="13" t="s">
        <v>1410</v>
      </c>
      <c r="E508" s="13" t="s">
        <v>57</v>
      </c>
      <c r="F508" s="14"/>
      <c r="G508" s="14"/>
      <c r="H508" s="14"/>
      <c r="I508" s="14"/>
      <c r="J508" s="14">
        <f t="shared" si="21"/>
        <v>0</v>
      </c>
      <c r="K508" s="14">
        <f t="shared" si="22"/>
        <v>0</v>
      </c>
      <c r="L508" s="17">
        <f t="shared" si="23"/>
        <v>0</v>
      </c>
      <c r="M508" s="14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 spans="1:27" s="2" customFormat="1" ht="14">
      <c r="A509" s="12" t="s">
        <v>1411</v>
      </c>
      <c r="B509" s="13" t="s">
        <v>14</v>
      </c>
      <c r="C509" s="13" t="s">
        <v>1412</v>
      </c>
      <c r="D509" s="13" t="s">
        <v>1413</v>
      </c>
      <c r="E509" s="13" t="s">
        <v>285</v>
      </c>
      <c r="F509" s="14"/>
      <c r="G509" s="14"/>
      <c r="H509" s="14"/>
      <c r="I509" s="14"/>
      <c r="J509" s="14">
        <f t="shared" si="21"/>
        <v>0</v>
      </c>
      <c r="K509" s="14">
        <f t="shared" si="22"/>
        <v>0</v>
      </c>
      <c r="L509" s="17">
        <f t="shared" si="23"/>
        <v>0</v>
      </c>
      <c r="M509" s="14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 spans="1:27" s="2" customFormat="1" ht="14">
      <c r="A510" s="12" t="s">
        <v>1414</v>
      </c>
      <c r="B510" s="13" t="s">
        <v>14</v>
      </c>
      <c r="C510" s="13" t="s">
        <v>1415</v>
      </c>
      <c r="D510" s="13" t="s">
        <v>1416</v>
      </c>
      <c r="E510" s="13" t="s">
        <v>25</v>
      </c>
      <c r="F510" s="14"/>
      <c r="G510" s="14"/>
      <c r="H510" s="14"/>
      <c r="I510" s="14"/>
      <c r="J510" s="14">
        <f t="shared" si="21"/>
        <v>0</v>
      </c>
      <c r="K510" s="14">
        <f t="shared" si="22"/>
        <v>0</v>
      </c>
      <c r="L510" s="17">
        <f t="shared" si="23"/>
        <v>0</v>
      </c>
      <c r="M510" s="14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 spans="1:27" s="2" customFormat="1" ht="14">
      <c r="A511" s="12" t="s">
        <v>1417</v>
      </c>
      <c r="B511" s="13" t="s">
        <v>62</v>
      </c>
      <c r="C511" s="13" t="s">
        <v>1418</v>
      </c>
      <c r="D511" s="13" t="s">
        <v>1419</v>
      </c>
      <c r="E511" s="13" t="s">
        <v>68</v>
      </c>
      <c r="F511" s="14"/>
      <c r="G511" s="14"/>
      <c r="H511" s="14"/>
      <c r="I511" s="14"/>
      <c r="J511" s="14">
        <f t="shared" si="21"/>
        <v>0</v>
      </c>
      <c r="K511" s="14">
        <f t="shared" si="22"/>
        <v>0</v>
      </c>
      <c r="L511" s="17">
        <f t="shared" si="23"/>
        <v>0</v>
      </c>
      <c r="M511" s="14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 spans="1:27" s="2" customFormat="1" ht="14">
      <c r="A512" s="12" t="s">
        <v>1420</v>
      </c>
      <c r="B512" s="13" t="s">
        <v>14</v>
      </c>
      <c r="C512" s="13" t="s">
        <v>1421</v>
      </c>
      <c r="D512" s="13" t="s">
        <v>1422</v>
      </c>
      <c r="E512" s="13" t="s">
        <v>220</v>
      </c>
      <c r="F512" s="14"/>
      <c r="G512" s="14"/>
      <c r="H512" s="14"/>
      <c r="I512" s="14"/>
      <c r="J512" s="14">
        <f t="shared" si="21"/>
        <v>0</v>
      </c>
      <c r="K512" s="14">
        <f t="shared" si="22"/>
        <v>0</v>
      </c>
      <c r="L512" s="17">
        <f t="shared" si="23"/>
        <v>0</v>
      </c>
      <c r="M512" s="14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 spans="1:27" s="2" customFormat="1" ht="14">
      <c r="A513" s="12" t="s">
        <v>1423</v>
      </c>
      <c r="B513" s="13" t="s">
        <v>14</v>
      </c>
      <c r="C513" s="13" t="s">
        <v>1424</v>
      </c>
      <c r="D513" s="13" t="s">
        <v>1425</v>
      </c>
      <c r="E513" s="13" t="s">
        <v>220</v>
      </c>
      <c r="F513" s="14"/>
      <c r="G513" s="14"/>
      <c r="H513" s="14"/>
      <c r="I513" s="14"/>
      <c r="J513" s="14">
        <f t="shared" si="21"/>
        <v>0</v>
      </c>
      <c r="K513" s="14">
        <f t="shared" si="22"/>
        <v>0</v>
      </c>
      <c r="L513" s="17">
        <f t="shared" si="23"/>
        <v>0</v>
      </c>
      <c r="M513" s="14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 spans="1:27" s="2" customFormat="1" ht="14">
      <c r="A514" s="12" t="s">
        <v>1426</v>
      </c>
      <c r="B514" s="13" t="s">
        <v>14</v>
      </c>
      <c r="C514" s="13" t="s">
        <v>1427</v>
      </c>
      <c r="D514" s="13" t="s">
        <v>1428</v>
      </c>
      <c r="E514" s="13" t="s">
        <v>120</v>
      </c>
      <c r="F514" s="14"/>
      <c r="G514" s="14"/>
      <c r="H514" s="14"/>
      <c r="I514" s="14"/>
      <c r="J514" s="14">
        <f t="shared" ref="J514:J577" si="24">IF(G514&gt;0,1,0)</f>
        <v>0</v>
      </c>
      <c r="K514" s="14">
        <f t="shared" ref="K514:K577" si="25">IF(H514&gt;0,1,0)</f>
        <v>0</v>
      </c>
      <c r="L514" s="17">
        <f t="shared" ref="L514:L577" si="26">IF(G514&gt;0,IF(H514&gt;0,1,0),0)</f>
        <v>0</v>
      </c>
      <c r="M514" s="14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 spans="1:27" s="2" customFormat="1" ht="14">
      <c r="A515" s="12" t="s">
        <v>1429</v>
      </c>
      <c r="B515" s="13" t="s">
        <v>62</v>
      </c>
      <c r="C515" s="13" t="s">
        <v>1430</v>
      </c>
      <c r="D515" s="13" t="s">
        <v>1431</v>
      </c>
      <c r="E515" s="13" t="s">
        <v>72</v>
      </c>
      <c r="F515" s="14"/>
      <c r="G515" s="14"/>
      <c r="H515" s="14"/>
      <c r="I515" s="14"/>
      <c r="J515" s="14">
        <f t="shared" si="24"/>
        <v>0</v>
      </c>
      <c r="K515" s="14">
        <f t="shared" si="25"/>
        <v>0</v>
      </c>
      <c r="L515" s="17">
        <f t="shared" si="26"/>
        <v>0</v>
      </c>
      <c r="M515" s="14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 spans="1:27" s="2" customFormat="1" ht="14">
      <c r="A516" s="12" t="s">
        <v>1432</v>
      </c>
      <c r="B516" s="13" t="s">
        <v>62</v>
      </c>
      <c r="C516" s="13" t="s">
        <v>1433</v>
      </c>
      <c r="D516" s="13" t="s">
        <v>1434</v>
      </c>
      <c r="E516" s="13" t="s">
        <v>126</v>
      </c>
      <c r="F516" s="14"/>
      <c r="G516" s="14"/>
      <c r="H516" s="14"/>
      <c r="I516" s="14"/>
      <c r="J516" s="14">
        <f t="shared" si="24"/>
        <v>0</v>
      </c>
      <c r="K516" s="14">
        <f t="shared" si="25"/>
        <v>0</v>
      </c>
      <c r="L516" s="17">
        <f t="shared" si="26"/>
        <v>0</v>
      </c>
      <c r="M516" s="14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 spans="1:27" s="2" customFormat="1" ht="14">
      <c r="A517" s="12" t="s">
        <v>1435</v>
      </c>
      <c r="B517" s="13" t="s">
        <v>14</v>
      </c>
      <c r="C517" s="13" t="s">
        <v>1436</v>
      </c>
      <c r="D517" s="13" t="s">
        <v>1437</v>
      </c>
      <c r="E517" s="13" t="s">
        <v>29</v>
      </c>
      <c r="F517" s="14"/>
      <c r="G517" s="14"/>
      <c r="H517" s="14"/>
      <c r="I517" s="14"/>
      <c r="J517" s="14">
        <f t="shared" si="24"/>
        <v>0</v>
      </c>
      <c r="K517" s="14">
        <f t="shared" si="25"/>
        <v>0</v>
      </c>
      <c r="L517" s="17">
        <f t="shared" si="26"/>
        <v>0</v>
      </c>
      <c r="M517" s="14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 spans="1:27" s="2" customFormat="1" ht="14">
      <c r="A518" s="12" t="s">
        <v>1438</v>
      </c>
      <c r="B518" s="13" t="s">
        <v>14</v>
      </c>
      <c r="C518" s="13" t="s">
        <v>1439</v>
      </c>
      <c r="D518" s="13" t="s">
        <v>1440</v>
      </c>
      <c r="E518" s="13" t="s">
        <v>446</v>
      </c>
      <c r="F518" s="14"/>
      <c r="G518" s="14"/>
      <c r="H518" s="14"/>
      <c r="I518" s="14"/>
      <c r="J518" s="14">
        <f t="shared" si="24"/>
        <v>0</v>
      </c>
      <c r="K518" s="14">
        <f t="shared" si="25"/>
        <v>0</v>
      </c>
      <c r="L518" s="17">
        <f t="shared" si="26"/>
        <v>0</v>
      </c>
      <c r="M518" s="14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 spans="1:27" s="2" customFormat="1" ht="14">
      <c r="A519" s="12" t="s">
        <v>1441</v>
      </c>
      <c r="B519" s="13" t="s">
        <v>14</v>
      </c>
      <c r="C519" s="13" t="s">
        <v>1442</v>
      </c>
      <c r="D519" s="13" t="s">
        <v>1443</v>
      </c>
      <c r="E519" s="13" t="s">
        <v>32</v>
      </c>
      <c r="F519" s="14"/>
      <c r="G519" s="14"/>
      <c r="H519" s="14"/>
      <c r="I519" s="14"/>
      <c r="J519" s="14">
        <f t="shared" si="24"/>
        <v>0</v>
      </c>
      <c r="K519" s="14">
        <f t="shared" si="25"/>
        <v>0</v>
      </c>
      <c r="L519" s="17">
        <f t="shared" si="26"/>
        <v>0</v>
      </c>
      <c r="M519" s="14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 spans="1:27" s="2" customFormat="1" ht="14">
      <c r="A520" s="12" t="s">
        <v>1444</v>
      </c>
      <c r="B520" s="13" t="s">
        <v>14</v>
      </c>
      <c r="C520" s="13" t="s">
        <v>1445</v>
      </c>
      <c r="D520" s="13" t="s">
        <v>1446</v>
      </c>
      <c r="E520" s="13" t="s">
        <v>398</v>
      </c>
      <c r="F520" s="14"/>
      <c r="G520" s="14"/>
      <c r="H520" s="14"/>
      <c r="I520" s="14"/>
      <c r="J520" s="14">
        <f t="shared" si="24"/>
        <v>0</v>
      </c>
      <c r="K520" s="14">
        <f t="shared" si="25"/>
        <v>0</v>
      </c>
      <c r="L520" s="17">
        <f t="shared" si="26"/>
        <v>0</v>
      </c>
      <c r="M520" s="14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 spans="1:27" s="2" customFormat="1" ht="14">
      <c r="A521" s="12" t="s">
        <v>1447</v>
      </c>
      <c r="B521" s="13" t="s">
        <v>14</v>
      </c>
      <c r="C521" s="13" t="s">
        <v>1448</v>
      </c>
      <c r="D521" s="13" t="s">
        <v>1449</v>
      </c>
      <c r="E521" s="13" t="s">
        <v>21</v>
      </c>
      <c r="F521" s="14"/>
      <c r="G521" s="14"/>
      <c r="H521" s="14"/>
      <c r="I521" s="14"/>
      <c r="J521" s="14">
        <f t="shared" si="24"/>
        <v>0</v>
      </c>
      <c r="K521" s="14">
        <f t="shared" si="25"/>
        <v>0</v>
      </c>
      <c r="L521" s="17">
        <f t="shared" si="26"/>
        <v>0</v>
      </c>
      <c r="M521" s="14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 spans="1:27" s="2" customFormat="1" ht="14">
      <c r="A522" s="12" t="s">
        <v>1450</v>
      </c>
      <c r="B522" s="13" t="s">
        <v>14</v>
      </c>
      <c r="C522" s="13" t="s">
        <v>1451</v>
      </c>
      <c r="D522" s="13" t="s">
        <v>1452</v>
      </c>
      <c r="E522" s="13" t="s">
        <v>156</v>
      </c>
      <c r="F522" s="14"/>
      <c r="G522" s="14"/>
      <c r="H522" s="14"/>
      <c r="I522" s="14"/>
      <c r="J522" s="14">
        <f t="shared" si="24"/>
        <v>0</v>
      </c>
      <c r="K522" s="14">
        <f t="shared" si="25"/>
        <v>0</v>
      </c>
      <c r="L522" s="17">
        <f t="shared" si="26"/>
        <v>0</v>
      </c>
      <c r="M522" s="14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 spans="1:27" s="2" customFormat="1" ht="14">
      <c r="A523" s="12" t="s">
        <v>1453</v>
      </c>
      <c r="B523" s="13" t="s">
        <v>14</v>
      </c>
      <c r="C523" s="13" t="s">
        <v>1454</v>
      </c>
      <c r="D523" s="13" t="s">
        <v>1455</v>
      </c>
      <c r="E523" s="13" t="s">
        <v>40</v>
      </c>
      <c r="F523" s="14"/>
      <c r="G523" s="14"/>
      <c r="H523" s="14"/>
      <c r="I523" s="14"/>
      <c r="J523" s="14">
        <f t="shared" si="24"/>
        <v>0</v>
      </c>
      <c r="K523" s="14">
        <f t="shared" si="25"/>
        <v>0</v>
      </c>
      <c r="L523" s="17">
        <f t="shared" si="26"/>
        <v>0</v>
      </c>
      <c r="M523" s="14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 spans="1:27" s="2" customFormat="1" ht="14">
      <c r="A524" s="12" t="s">
        <v>1456</v>
      </c>
      <c r="B524" s="13" t="s">
        <v>14</v>
      </c>
      <c r="C524" s="13" t="s">
        <v>1457</v>
      </c>
      <c r="D524" s="13" t="s">
        <v>1458</v>
      </c>
      <c r="E524" s="13" t="s">
        <v>104</v>
      </c>
      <c r="F524" s="14"/>
      <c r="G524" s="14"/>
      <c r="H524" s="14"/>
      <c r="I524" s="14"/>
      <c r="J524" s="14">
        <f t="shared" si="24"/>
        <v>0</v>
      </c>
      <c r="K524" s="14">
        <f t="shared" si="25"/>
        <v>0</v>
      </c>
      <c r="L524" s="17">
        <f t="shared" si="26"/>
        <v>0</v>
      </c>
      <c r="M524" s="14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 spans="1:27" s="2" customFormat="1" ht="14">
      <c r="A525" s="12" t="s">
        <v>1459</v>
      </c>
      <c r="B525" s="13" t="s">
        <v>14</v>
      </c>
      <c r="C525" s="13" t="s">
        <v>1460</v>
      </c>
      <c r="D525" s="13" t="s">
        <v>1461</v>
      </c>
      <c r="E525" s="13" t="s">
        <v>21</v>
      </c>
      <c r="F525" s="14"/>
      <c r="G525" s="14"/>
      <c r="H525" s="14"/>
      <c r="I525" s="14"/>
      <c r="J525" s="14">
        <f t="shared" si="24"/>
        <v>0</v>
      </c>
      <c r="K525" s="14">
        <f t="shared" si="25"/>
        <v>0</v>
      </c>
      <c r="L525" s="17">
        <f t="shared" si="26"/>
        <v>0</v>
      </c>
      <c r="M525" s="14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 spans="1:27" s="2" customFormat="1" ht="14">
      <c r="A526" s="12" t="s">
        <v>1462</v>
      </c>
      <c r="B526" s="13" t="s">
        <v>14</v>
      </c>
      <c r="C526" s="13" t="s">
        <v>1463</v>
      </c>
      <c r="D526" s="13" t="s">
        <v>1464</v>
      </c>
      <c r="E526" s="13" t="s">
        <v>68</v>
      </c>
      <c r="F526" s="14"/>
      <c r="G526" s="14"/>
      <c r="H526" s="14"/>
      <c r="I526" s="14"/>
      <c r="J526" s="14">
        <f t="shared" si="24"/>
        <v>0</v>
      </c>
      <c r="K526" s="14">
        <f t="shared" si="25"/>
        <v>0</v>
      </c>
      <c r="L526" s="17">
        <f t="shared" si="26"/>
        <v>0</v>
      </c>
      <c r="M526" s="14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 spans="1:27" s="2" customFormat="1" ht="14">
      <c r="A527" s="12" t="s">
        <v>1465</v>
      </c>
      <c r="B527" s="13" t="s">
        <v>14</v>
      </c>
      <c r="C527" s="13" t="s">
        <v>1466</v>
      </c>
      <c r="D527" s="13" t="s">
        <v>1467</v>
      </c>
      <c r="E527" s="13" t="s">
        <v>72</v>
      </c>
      <c r="F527" s="14"/>
      <c r="G527" s="14"/>
      <c r="H527" s="14"/>
      <c r="I527" s="14"/>
      <c r="J527" s="14">
        <f t="shared" si="24"/>
        <v>0</v>
      </c>
      <c r="K527" s="14">
        <f t="shared" si="25"/>
        <v>0</v>
      </c>
      <c r="L527" s="17">
        <f t="shared" si="26"/>
        <v>0</v>
      </c>
      <c r="M527" s="14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 spans="1:27" s="2" customFormat="1" ht="14">
      <c r="A528" s="12" t="s">
        <v>1468</v>
      </c>
      <c r="B528" s="13" t="s">
        <v>14</v>
      </c>
      <c r="C528" s="13" t="s">
        <v>1469</v>
      </c>
      <c r="D528" s="13" t="s">
        <v>1470</v>
      </c>
      <c r="E528" s="13" t="s">
        <v>104</v>
      </c>
      <c r="F528" s="14"/>
      <c r="G528" s="14"/>
      <c r="H528" s="14"/>
      <c r="I528" s="14"/>
      <c r="J528" s="14">
        <f t="shared" si="24"/>
        <v>0</v>
      </c>
      <c r="K528" s="14">
        <f t="shared" si="25"/>
        <v>0</v>
      </c>
      <c r="L528" s="17">
        <f t="shared" si="26"/>
        <v>0</v>
      </c>
      <c r="M528" s="14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 spans="1:27" s="2" customFormat="1" ht="14">
      <c r="A529" s="12" t="s">
        <v>1471</v>
      </c>
      <c r="B529" s="13" t="s">
        <v>62</v>
      </c>
      <c r="C529" s="13" t="s">
        <v>1472</v>
      </c>
      <c r="D529" s="13" t="s">
        <v>1473</v>
      </c>
      <c r="E529" s="13" t="s">
        <v>83</v>
      </c>
      <c r="F529" s="14"/>
      <c r="G529" s="14"/>
      <c r="H529" s="14"/>
      <c r="I529" s="14"/>
      <c r="J529" s="14">
        <f t="shared" si="24"/>
        <v>0</v>
      </c>
      <c r="K529" s="14">
        <f t="shared" si="25"/>
        <v>0</v>
      </c>
      <c r="L529" s="17">
        <f t="shared" si="26"/>
        <v>0</v>
      </c>
      <c r="M529" s="14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 spans="1:27" s="2" customFormat="1" ht="14">
      <c r="A530" s="12" t="s">
        <v>1474</v>
      </c>
      <c r="B530" s="13" t="s">
        <v>14</v>
      </c>
      <c r="C530" s="13" t="s">
        <v>1475</v>
      </c>
      <c r="D530" s="13" t="s">
        <v>1476</v>
      </c>
      <c r="E530" s="13" t="s">
        <v>21</v>
      </c>
      <c r="F530" s="14"/>
      <c r="G530" s="14"/>
      <c r="H530" s="14"/>
      <c r="I530" s="14"/>
      <c r="J530" s="14">
        <f t="shared" si="24"/>
        <v>0</v>
      </c>
      <c r="K530" s="14">
        <f t="shared" si="25"/>
        <v>0</v>
      </c>
      <c r="L530" s="17">
        <f t="shared" si="26"/>
        <v>0</v>
      </c>
      <c r="M530" s="14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 spans="1:27" s="2" customFormat="1" ht="14">
      <c r="A531" s="12" t="s">
        <v>1477</v>
      </c>
      <c r="B531" s="13" t="s">
        <v>14</v>
      </c>
      <c r="C531" s="13" t="s">
        <v>1478</v>
      </c>
      <c r="D531" s="13" t="s">
        <v>1479</v>
      </c>
      <c r="E531" s="13" t="s">
        <v>21</v>
      </c>
      <c r="F531" s="14"/>
      <c r="G531" s="14"/>
      <c r="H531" s="14"/>
      <c r="I531" s="14"/>
      <c r="J531" s="14">
        <f t="shared" si="24"/>
        <v>0</v>
      </c>
      <c r="K531" s="14">
        <f t="shared" si="25"/>
        <v>0</v>
      </c>
      <c r="L531" s="17">
        <f t="shared" si="26"/>
        <v>0</v>
      </c>
      <c r="M531" s="14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 spans="1:27" s="2" customFormat="1" ht="14">
      <c r="A532" s="12" t="s">
        <v>1480</v>
      </c>
      <c r="B532" s="13" t="s">
        <v>14</v>
      </c>
      <c r="C532" s="13" t="s">
        <v>1481</v>
      </c>
      <c r="D532" s="13" t="s">
        <v>1482</v>
      </c>
      <c r="E532" s="13" t="s">
        <v>40</v>
      </c>
      <c r="F532" s="14"/>
      <c r="G532" s="14"/>
      <c r="H532" s="14"/>
      <c r="I532" s="14"/>
      <c r="J532" s="14">
        <f t="shared" si="24"/>
        <v>0</v>
      </c>
      <c r="K532" s="14">
        <f t="shared" si="25"/>
        <v>0</v>
      </c>
      <c r="L532" s="17">
        <f t="shared" si="26"/>
        <v>0</v>
      </c>
      <c r="M532" s="14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 spans="1:27" s="2" customFormat="1" ht="14">
      <c r="A533" s="12" t="s">
        <v>1483</v>
      </c>
      <c r="B533" s="13" t="s">
        <v>14</v>
      </c>
      <c r="C533" s="13" t="s">
        <v>1484</v>
      </c>
      <c r="D533" s="13" t="s">
        <v>1485</v>
      </c>
      <c r="E533" s="13" t="s">
        <v>267</v>
      </c>
      <c r="F533" s="14"/>
      <c r="G533" s="14"/>
      <c r="H533" s="14"/>
      <c r="I533" s="14"/>
      <c r="J533" s="14">
        <f t="shared" si="24"/>
        <v>0</v>
      </c>
      <c r="K533" s="14">
        <f t="shared" si="25"/>
        <v>0</v>
      </c>
      <c r="L533" s="17">
        <f t="shared" si="26"/>
        <v>0</v>
      </c>
      <c r="M533" s="14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 spans="1:27" s="2" customFormat="1" ht="14">
      <c r="A534" s="12" t="s">
        <v>1486</v>
      </c>
      <c r="B534" s="13" t="s">
        <v>14</v>
      </c>
      <c r="C534" s="13" t="s">
        <v>1487</v>
      </c>
      <c r="D534" s="13" t="s">
        <v>1488</v>
      </c>
      <c r="E534" s="13" t="s">
        <v>46</v>
      </c>
      <c r="F534" s="14"/>
      <c r="G534" s="14"/>
      <c r="H534" s="14"/>
      <c r="I534" s="14"/>
      <c r="J534" s="14">
        <f t="shared" si="24"/>
        <v>0</v>
      </c>
      <c r="K534" s="14">
        <f t="shared" si="25"/>
        <v>0</v>
      </c>
      <c r="L534" s="17">
        <f t="shared" si="26"/>
        <v>0</v>
      </c>
      <c r="M534" s="14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 spans="1:27" s="2" customFormat="1" ht="14">
      <c r="A535" s="12" t="s">
        <v>1489</v>
      </c>
      <c r="B535" s="13" t="s">
        <v>14</v>
      </c>
      <c r="C535" s="13" t="s">
        <v>1490</v>
      </c>
      <c r="D535" s="13" t="s">
        <v>1491</v>
      </c>
      <c r="E535" s="13" t="s">
        <v>32</v>
      </c>
      <c r="F535" s="14"/>
      <c r="G535" s="14"/>
      <c r="H535" s="14"/>
      <c r="I535" s="14"/>
      <c r="J535" s="14">
        <f t="shared" si="24"/>
        <v>0</v>
      </c>
      <c r="K535" s="14">
        <f t="shared" si="25"/>
        <v>0</v>
      </c>
      <c r="L535" s="17">
        <f t="shared" si="26"/>
        <v>0</v>
      </c>
      <c r="M535" s="14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 spans="1:27" s="2" customFormat="1" ht="14">
      <c r="A536" s="12" t="s">
        <v>1492</v>
      </c>
      <c r="B536" s="13" t="s">
        <v>14</v>
      </c>
      <c r="C536" s="13" t="s">
        <v>1493</v>
      </c>
      <c r="D536" s="13" t="s">
        <v>1494</v>
      </c>
      <c r="E536" s="13" t="s">
        <v>398</v>
      </c>
      <c r="F536" s="14"/>
      <c r="G536" s="14"/>
      <c r="H536" s="14"/>
      <c r="I536" s="14"/>
      <c r="J536" s="14">
        <f t="shared" si="24"/>
        <v>0</v>
      </c>
      <c r="K536" s="14">
        <f t="shared" si="25"/>
        <v>0</v>
      </c>
      <c r="L536" s="17">
        <f t="shared" si="26"/>
        <v>0</v>
      </c>
      <c r="M536" s="14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 spans="1:27" s="2" customFormat="1" ht="14">
      <c r="A537" s="12" t="s">
        <v>1495</v>
      </c>
      <c r="B537" s="13" t="s">
        <v>62</v>
      </c>
      <c r="C537" s="13" t="s">
        <v>1496</v>
      </c>
      <c r="D537" s="13" t="s">
        <v>1497</v>
      </c>
      <c r="E537" s="13" t="s">
        <v>354</v>
      </c>
      <c r="F537" s="14"/>
      <c r="G537" s="14"/>
      <c r="H537" s="14"/>
      <c r="I537" s="14"/>
      <c r="J537" s="14">
        <f t="shared" si="24"/>
        <v>0</v>
      </c>
      <c r="K537" s="14">
        <f t="shared" si="25"/>
        <v>0</v>
      </c>
      <c r="L537" s="17">
        <f t="shared" si="26"/>
        <v>0</v>
      </c>
      <c r="M537" s="14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 spans="1:27" s="2" customFormat="1" ht="14">
      <c r="A538" s="12" t="s">
        <v>1498</v>
      </c>
      <c r="B538" s="13" t="s">
        <v>14</v>
      </c>
      <c r="C538" s="13" t="s">
        <v>1499</v>
      </c>
      <c r="D538" s="13" t="s">
        <v>1500</v>
      </c>
      <c r="E538" s="13" t="s">
        <v>114</v>
      </c>
      <c r="F538" s="14"/>
      <c r="G538" s="14"/>
      <c r="H538" s="14"/>
      <c r="I538" s="14"/>
      <c r="J538" s="14">
        <f t="shared" si="24"/>
        <v>0</v>
      </c>
      <c r="K538" s="14">
        <f t="shared" si="25"/>
        <v>0</v>
      </c>
      <c r="L538" s="17">
        <f t="shared" si="26"/>
        <v>0</v>
      </c>
      <c r="M538" s="14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 spans="1:27" s="2" customFormat="1" ht="14">
      <c r="A539" s="12" t="s">
        <v>1501</v>
      </c>
      <c r="B539" s="13" t="s">
        <v>14</v>
      </c>
      <c r="C539" s="13" t="s">
        <v>1502</v>
      </c>
      <c r="D539" s="13" t="s">
        <v>1503</v>
      </c>
      <c r="E539" s="13" t="s">
        <v>220</v>
      </c>
      <c r="F539" s="14"/>
      <c r="G539" s="14"/>
      <c r="H539" s="14"/>
      <c r="I539" s="14"/>
      <c r="J539" s="14">
        <f t="shared" si="24"/>
        <v>0</v>
      </c>
      <c r="K539" s="14">
        <f t="shared" si="25"/>
        <v>0</v>
      </c>
      <c r="L539" s="17">
        <f t="shared" si="26"/>
        <v>0</v>
      </c>
      <c r="M539" s="14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 spans="1:27" s="2" customFormat="1" ht="14">
      <c r="A540" s="12" t="s">
        <v>1504</v>
      </c>
      <c r="B540" s="13" t="s">
        <v>14</v>
      </c>
      <c r="C540" s="13" t="s">
        <v>1505</v>
      </c>
      <c r="D540" s="13" t="s">
        <v>1506</v>
      </c>
      <c r="E540" s="13" t="s">
        <v>220</v>
      </c>
      <c r="F540" s="14"/>
      <c r="G540" s="14"/>
      <c r="H540" s="14"/>
      <c r="I540" s="14"/>
      <c r="J540" s="14">
        <f t="shared" si="24"/>
        <v>0</v>
      </c>
      <c r="K540" s="14">
        <f t="shared" si="25"/>
        <v>0</v>
      </c>
      <c r="L540" s="17">
        <f t="shared" si="26"/>
        <v>0</v>
      </c>
      <c r="M540" s="14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 spans="1:27" s="2" customFormat="1" ht="14">
      <c r="A541" s="12" t="s">
        <v>1507</v>
      </c>
      <c r="B541" s="13" t="s">
        <v>14</v>
      </c>
      <c r="C541" s="13" t="s">
        <v>1508</v>
      </c>
      <c r="D541" s="13" t="s">
        <v>1509</v>
      </c>
      <c r="E541" s="13" t="s">
        <v>40</v>
      </c>
      <c r="F541" s="14"/>
      <c r="G541" s="14"/>
      <c r="H541" s="14"/>
      <c r="I541" s="14"/>
      <c r="J541" s="14">
        <f t="shared" si="24"/>
        <v>0</v>
      </c>
      <c r="K541" s="14">
        <f t="shared" si="25"/>
        <v>0</v>
      </c>
      <c r="L541" s="17">
        <f t="shared" si="26"/>
        <v>0</v>
      </c>
      <c r="M541" s="14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 spans="1:27" s="2" customFormat="1" ht="14">
      <c r="A542" s="12" t="s">
        <v>1510</v>
      </c>
      <c r="B542" s="13" t="s">
        <v>14</v>
      </c>
      <c r="C542" s="13" t="s">
        <v>1511</v>
      </c>
      <c r="D542" s="13" t="s">
        <v>1512</v>
      </c>
      <c r="E542" s="13" t="s">
        <v>29</v>
      </c>
      <c r="F542" s="14"/>
      <c r="G542" s="14"/>
      <c r="H542" s="14"/>
      <c r="I542" s="14"/>
      <c r="J542" s="14">
        <f t="shared" si="24"/>
        <v>0</v>
      </c>
      <c r="K542" s="14">
        <f t="shared" si="25"/>
        <v>0</v>
      </c>
      <c r="L542" s="17">
        <f t="shared" si="26"/>
        <v>0</v>
      </c>
      <c r="M542" s="14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 spans="1:27" s="2" customFormat="1" ht="14">
      <c r="A543" s="12" t="s">
        <v>1513</v>
      </c>
      <c r="B543" s="13" t="s">
        <v>14</v>
      </c>
      <c r="C543" s="13" t="s">
        <v>1514</v>
      </c>
      <c r="D543" s="13" t="s">
        <v>1515</v>
      </c>
      <c r="E543" s="13" t="s">
        <v>183</v>
      </c>
      <c r="F543" s="14"/>
      <c r="G543" s="14"/>
      <c r="H543" s="14"/>
      <c r="I543" s="14"/>
      <c r="J543" s="14">
        <f t="shared" si="24"/>
        <v>0</v>
      </c>
      <c r="K543" s="14">
        <f t="shared" si="25"/>
        <v>0</v>
      </c>
      <c r="L543" s="17">
        <f t="shared" si="26"/>
        <v>0</v>
      </c>
      <c r="M543" s="14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 spans="1:27" s="2" customFormat="1" ht="14">
      <c r="A544" s="12" t="s">
        <v>1516</v>
      </c>
      <c r="B544" s="13" t="s">
        <v>14</v>
      </c>
      <c r="C544" s="13" t="s">
        <v>1517</v>
      </c>
      <c r="D544" s="13" t="s">
        <v>1518</v>
      </c>
      <c r="E544" s="13" t="s">
        <v>220</v>
      </c>
      <c r="F544" s="14"/>
      <c r="G544" s="14"/>
      <c r="H544" s="14"/>
      <c r="I544" s="14"/>
      <c r="J544" s="14">
        <f t="shared" si="24"/>
        <v>0</v>
      </c>
      <c r="K544" s="14">
        <f t="shared" si="25"/>
        <v>0</v>
      </c>
      <c r="L544" s="17">
        <f t="shared" si="26"/>
        <v>0</v>
      </c>
      <c r="M544" s="14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 spans="1:27" s="2" customFormat="1" ht="14">
      <c r="A545" s="12" t="s">
        <v>1519</v>
      </c>
      <c r="B545" s="13" t="s">
        <v>14</v>
      </c>
      <c r="C545" s="13" t="s">
        <v>1520</v>
      </c>
      <c r="D545" s="13" t="s">
        <v>1521</v>
      </c>
      <c r="E545" s="13" t="s">
        <v>17</v>
      </c>
      <c r="F545" s="14"/>
      <c r="G545" s="14"/>
      <c r="H545" s="14"/>
      <c r="I545" s="14"/>
      <c r="J545" s="14">
        <f t="shared" si="24"/>
        <v>0</v>
      </c>
      <c r="K545" s="14">
        <f t="shared" si="25"/>
        <v>0</v>
      </c>
      <c r="L545" s="17">
        <f t="shared" si="26"/>
        <v>0</v>
      </c>
      <c r="M545" s="14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 spans="1:27" s="2" customFormat="1" ht="14">
      <c r="A546" s="12" t="s">
        <v>1522</v>
      </c>
      <c r="B546" s="13" t="s">
        <v>62</v>
      </c>
      <c r="C546" s="13" t="s">
        <v>1523</v>
      </c>
      <c r="D546" s="13" t="s">
        <v>1524</v>
      </c>
      <c r="E546" s="13" t="s">
        <v>72</v>
      </c>
      <c r="F546" s="14"/>
      <c r="G546" s="14"/>
      <c r="H546" s="14"/>
      <c r="I546" s="14"/>
      <c r="J546" s="14">
        <f t="shared" si="24"/>
        <v>0</v>
      </c>
      <c r="K546" s="14">
        <f t="shared" si="25"/>
        <v>0</v>
      </c>
      <c r="L546" s="17">
        <f t="shared" si="26"/>
        <v>0</v>
      </c>
      <c r="M546" s="14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 spans="1:27" s="2" customFormat="1" ht="14">
      <c r="A547" s="12" t="s">
        <v>1525</v>
      </c>
      <c r="B547" s="13" t="s">
        <v>62</v>
      </c>
      <c r="C547" s="13" t="s">
        <v>1526</v>
      </c>
      <c r="D547" s="13" t="s">
        <v>1527</v>
      </c>
      <c r="E547" s="13" t="s">
        <v>120</v>
      </c>
      <c r="F547" s="14"/>
      <c r="G547" s="14"/>
      <c r="H547" s="14"/>
      <c r="I547" s="14"/>
      <c r="J547" s="14">
        <f t="shared" si="24"/>
        <v>0</v>
      </c>
      <c r="K547" s="14">
        <f t="shared" si="25"/>
        <v>0</v>
      </c>
      <c r="L547" s="17">
        <f t="shared" si="26"/>
        <v>0</v>
      </c>
      <c r="M547" s="14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 spans="1:27" s="2" customFormat="1" ht="14">
      <c r="A548" s="12" t="s">
        <v>1528</v>
      </c>
      <c r="B548" s="13" t="s">
        <v>14</v>
      </c>
      <c r="C548" s="13" t="s">
        <v>1529</v>
      </c>
      <c r="D548" s="13" t="s">
        <v>1530</v>
      </c>
      <c r="E548" s="13" t="s">
        <v>156</v>
      </c>
      <c r="F548" s="14"/>
      <c r="G548" s="14"/>
      <c r="H548" s="14"/>
      <c r="I548" s="14"/>
      <c r="J548" s="14">
        <f t="shared" si="24"/>
        <v>0</v>
      </c>
      <c r="K548" s="14">
        <f t="shared" si="25"/>
        <v>0</v>
      </c>
      <c r="L548" s="17">
        <f t="shared" si="26"/>
        <v>0</v>
      </c>
      <c r="M548" s="14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 spans="1:27" s="2" customFormat="1" ht="14">
      <c r="A549" s="12" t="s">
        <v>1531</v>
      </c>
      <c r="B549" s="13" t="s">
        <v>14</v>
      </c>
      <c r="C549" s="13" t="s">
        <v>1532</v>
      </c>
      <c r="D549" s="13" t="s">
        <v>1533</v>
      </c>
      <c r="E549" s="13" t="s">
        <v>205</v>
      </c>
      <c r="F549" s="14"/>
      <c r="G549" s="14"/>
      <c r="H549" s="14"/>
      <c r="I549" s="14"/>
      <c r="J549" s="14">
        <f t="shared" si="24"/>
        <v>0</v>
      </c>
      <c r="K549" s="14">
        <f t="shared" si="25"/>
        <v>0</v>
      </c>
      <c r="L549" s="17">
        <f t="shared" si="26"/>
        <v>0</v>
      </c>
      <c r="M549" s="14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 spans="1:27" s="2" customFormat="1" ht="14">
      <c r="A550" s="12" t="s">
        <v>1534</v>
      </c>
      <c r="B550" s="13" t="s">
        <v>14</v>
      </c>
      <c r="C550" s="13" t="s">
        <v>1535</v>
      </c>
      <c r="D550" s="13" t="s">
        <v>1536</v>
      </c>
      <c r="E550" s="13" t="s">
        <v>29</v>
      </c>
      <c r="F550" s="14"/>
      <c r="G550" s="14"/>
      <c r="H550" s="14"/>
      <c r="I550" s="14"/>
      <c r="J550" s="14">
        <f t="shared" si="24"/>
        <v>0</v>
      </c>
      <c r="K550" s="14">
        <f t="shared" si="25"/>
        <v>0</v>
      </c>
      <c r="L550" s="17">
        <f t="shared" si="26"/>
        <v>0</v>
      </c>
      <c r="M550" s="14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 spans="1:27" s="2" customFormat="1" ht="14">
      <c r="A551" s="12" t="s">
        <v>1537</v>
      </c>
      <c r="B551" s="13" t="s">
        <v>14</v>
      </c>
      <c r="C551" s="13" t="s">
        <v>1538</v>
      </c>
      <c r="D551" s="13" t="s">
        <v>1539</v>
      </c>
      <c r="E551" s="13" t="s">
        <v>68</v>
      </c>
      <c r="F551" s="14"/>
      <c r="G551" s="14"/>
      <c r="H551" s="14"/>
      <c r="I551" s="14"/>
      <c r="J551" s="14">
        <f t="shared" si="24"/>
        <v>0</v>
      </c>
      <c r="K551" s="14">
        <f t="shared" si="25"/>
        <v>0</v>
      </c>
      <c r="L551" s="17">
        <f t="shared" si="26"/>
        <v>0</v>
      </c>
      <c r="M551" s="14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 spans="1:27" s="2" customFormat="1" ht="14">
      <c r="A552" s="12" t="s">
        <v>1540</v>
      </c>
      <c r="B552" s="13" t="s">
        <v>14</v>
      </c>
      <c r="C552" s="13" t="s">
        <v>1541</v>
      </c>
      <c r="D552" s="13" t="s">
        <v>1542</v>
      </c>
      <c r="E552" s="13" t="s">
        <v>29</v>
      </c>
      <c r="F552" s="14"/>
      <c r="G552" s="14"/>
      <c r="H552" s="14"/>
      <c r="I552" s="14"/>
      <c r="J552" s="14">
        <f t="shared" si="24"/>
        <v>0</v>
      </c>
      <c r="K552" s="14">
        <f t="shared" si="25"/>
        <v>0</v>
      </c>
      <c r="L552" s="17">
        <f t="shared" si="26"/>
        <v>0</v>
      </c>
      <c r="M552" s="14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 spans="1:27" s="2" customFormat="1" ht="14">
      <c r="A553" s="12" t="s">
        <v>1543</v>
      </c>
      <c r="B553" s="13" t="s">
        <v>14</v>
      </c>
      <c r="C553" s="13" t="s">
        <v>1544</v>
      </c>
      <c r="D553" s="13" t="s">
        <v>1545</v>
      </c>
      <c r="E553" s="13" t="s">
        <v>40</v>
      </c>
      <c r="F553" s="14"/>
      <c r="G553" s="14"/>
      <c r="H553" s="14"/>
      <c r="I553" s="14"/>
      <c r="J553" s="14">
        <f t="shared" si="24"/>
        <v>0</v>
      </c>
      <c r="K553" s="14">
        <f t="shared" si="25"/>
        <v>0</v>
      </c>
      <c r="L553" s="17">
        <f t="shared" si="26"/>
        <v>0</v>
      </c>
      <c r="M553" s="14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 spans="1:27" s="2" customFormat="1" ht="14">
      <c r="A554" s="12" t="s">
        <v>1546</v>
      </c>
      <c r="B554" s="13" t="s">
        <v>14</v>
      </c>
      <c r="C554" s="13" t="s">
        <v>1547</v>
      </c>
      <c r="D554" s="13" t="s">
        <v>1548</v>
      </c>
      <c r="E554" s="13" t="s">
        <v>488</v>
      </c>
      <c r="F554" s="14"/>
      <c r="G554" s="14"/>
      <c r="H554" s="14"/>
      <c r="I554" s="14"/>
      <c r="J554" s="14">
        <f t="shared" si="24"/>
        <v>0</v>
      </c>
      <c r="K554" s="14">
        <f t="shared" si="25"/>
        <v>0</v>
      </c>
      <c r="L554" s="17">
        <f t="shared" si="26"/>
        <v>0</v>
      </c>
      <c r="M554" s="14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 spans="1:27" s="2" customFormat="1" ht="14">
      <c r="A555" s="12" t="s">
        <v>1549</v>
      </c>
      <c r="B555" s="13" t="s">
        <v>14</v>
      </c>
      <c r="C555" s="13" t="s">
        <v>1550</v>
      </c>
      <c r="D555" s="13" t="s">
        <v>1551</v>
      </c>
      <c r="E555" s="13" t="s">
        <v>285</v>
      </c>
      <c r="F555" s="14"/>
      <c r="G555" s="14"/>
      <c r="H555" s="14"/>
      <c r="I555" s="14"/>
      <c r="J555" s="14">
        <f t="shared" si="24"/>
        <v>0</v>
      </c>
      <c r="K555" s="14">
        <f t="shared" si="25"/>
        <v>0</v>
      </c>
      <c r="L555" s="17">
        <f t="shared" si="26"/>
        <v>0</v>
      </c>
      <c r="M555" s="14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 spans="1:27" s="2" customFormat="1" ht="14">
      <c r="A556" s="12" t="s">
        <v>1552</v>
      </c>
      <c r="B556" s="13" t="s">
        <v>14</v>
      </c>
      <c r="C556" s="13" t="s">
        <v>1553</v>
      </c>
      <c r="D556" s="13" t="s">
        <v>1554</v>
      </c>
      <c r="E556" s="13" t="s">
        <v>114</v>
      </c>
      <c r="F556" s="14"/>
      <c r="G556" s="14"/>
      <c r="H556" s="14"/>
      <c r="I556" s="14"/>
      <c r="J556" s="14">
        <f t="shared" si="24"/>
        <v>0</v>
      </c>
      <c r="K556" s="14">
        <f t="shared" si="25"/>
        <v>0</v>
      </c>
      <c r="L556" s="17">
        <f t="shared" si="26"/>
        <v>0</v>
      </c>
      <c r="M556" s="14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 spans="1:27" s="2" customFormat="1" ht="14">
      <c r="A557" s="12" t="s">
        <v>1555</v>
      </c>
      <c r="B557" s="13" t="s">
        <v>62</v>
      </c>
      <c r="C557" s="13" t="s">
        <v>1556</v>
      </c>
      <c r="D557" s="13" t="s">
        <v>1557</v>
      </c>
      <c r="E557" s="13" t="s">
        <v>57</v>
      </c>
      <c r="F557" s="14"/>
      <c r="G557" s="14"/>
      <c r="H557" s="14"/>
      <c r="I557" s="14"/>
      <c r="J557" s="14">
        <f t="shared" si="24"/>
        <v>0</v>
      </c>
      <c r="K557" s="14">
        <f t="shared" si="25"/>
        <v>0</v>
      </c>
      <c r="L557" s="17">
        <f t="shared" si="26"/>
        <v>0</v>
      </c>
      <c r="M557" s="14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 spans="1:27" s="2" customFormat="1" ht="14">
      <c r="A558" s="12" t="s">
        <v>1558</v>
      </c>
      <c r="B558" s="13" t="s">
        <v>14</v>
      </c>
      <c r="C558" s="13" t="s">
        <v>1559</v>
      </c>
      <c r="D558" s="13" t="s">
        <v>1560</v>
      </c>
      <c r="E558" s="13" t="s">
        <v>40</v>
      </c>
      <c r="F558" s="14"/>
      <c r="G558" s="14"/>
      <c r="H558" s="14"/>
      <c r="I558" s="14"/>
      <c r="J558" s="14">
        <f t="shared" si="24"/>
        <v>0</v>
      </c>
      <c r="K558" s="14">
        <f t="shared" si="25"/>
        <v>0</v>
      </c>
      <c r="L558" s="17">
        <f t="shared" si="26"/>
        <v>0</v>
      </c>
      <c r="M558" s="14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 spans="1:27" s="2" customFormat="1" ht="14">
      <c r="A559" s="12" t="s">
        <v>1561</v>
      </c>
      <c r="B559" s="13" t="s">
        <v>62</v>
      </c>
      <c r="C559" s="13" t="s">
        <v>1562</v>
      </c>
      <c r="D559" s="13" t="s">
        <v>1563</v>
      </c>
      <c r="E559" s="13" t="s">
        <v>220</v>
      </c>
      <c r="F559" s="14"/>
      <c r="G559" s="14"/>
      <c r="H559" s="14"/>
      <c r="I559" s="14"/>
      <c r="J559" s="14">
        <f t="shared" si="24"/>
        <v>0</v>
      </c>
      <c r="K559" s="14">
        <f t="shared" si="25"/>
        <v>0</v>
      </c>
      <c r="L559" s="17">
        <f t="shared" si="26"/>
        <v>0</v>
      </c>
      <c r="M559" s="14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 spans="1:27" s="2" customFormat="1" ht="14">
      <c r="A560" s="12" t="s">
        <v>1564</v>
      </c>
      <c r="B560" s="13" t="s">
        <v>14</v>
      </c>
      <c r="C560" s="13" t="s">
        <v>1565</v>
      </c>
      <c r="D560" s="13" t="s">
        <v>1566</v>
      </c>
      <c r="E560" s="13" t="s">
        <v>1567</v>
      </c>
      <c r="F560" s="14"/>
      <c r="G560" s="14"/>
      <c r="H560" s="14"/>
      <c r="I560" s="14"/>
      <c r="J560" s="14">
        <f t="shared" si="24"/>
        <v>0</v>
      </c>
      <c r="K560" s="14">
        <f t="shared" si="25"/>
        <v>0</v>
      </c>
      <c r="L560" s="17">
        <f t="shared" si="26"/>
        <v>0</v>
      </c>
      <c r="M560" s="14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 spans="1:27" s="2" customFormat="1" ht="14">
      <c r="A561" s="12" t="s">
        <v>1568</v>
      </c>
      <c r="B561" s="13" t="s">
        <v>62</v>
      </c>
      <c r="C561" s="13" t="s">
        <v>1569</v>
      </c>
      <c r="D561" s="13" t="s">
        <v>1570</v>
      </c>
      <c r="E561" s="13" t="s">
        <v>29</v>
      </c>
      <c r="F561" s="14"/>
      <c r="G561" s="14"/>
      <c r="H561" s="14"/>
      <c r="I561" s="14"/>
      <c r="J561" s="14">
        <f t="shared" si="24"/>
        <v>0</v>
      </c>
      <c r="K561" s="14">
        <f t="shared" si="25"/>
        <v>0</v>
      </c>
      <c r="L561" s="17">
        <f t="shared" si="26"/>
        <v>0</v>
      </c>
      <c r="M561" s="14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 spans="1:27" s="2" customFormat="1" ht="14">
      <c r="A562" s="12">
        <v>1027211</v>
      </c>
      <c r="B562" s="13" t="s">
        <v>14</v>
      </c>
      <c r="C562" s="13" t="s">
        <v>1571</v>
      </c>
      <c r="D562" s="13" t="s">
        <v>1572</v>
      </c>
      <c r="E562" s="13" t="s">
        <v>1573</v>
      </c>
      <c r="F562" s="14"/>
      <c r="G562" s="14"/>
      <c r="H562" s="14"/>
      <c r="I562" s="14"/>
      <c r="J562" s="14">
        <f t="shared" si="24"/>
        <v>0</v>
      </c>
      <c r="K562" s="14">
        <f t="shared" si="25"/>
        <v>0</v>
      </c>
      <c r="L562" s="17">
        <f t="shared" si="26"/>
        <v>0</v>
      </c>
      <c r="M562" s="14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 spans="1:27" s="2" customFormat="1" ht="14">
      <c r="A563" s="12" t="s">
        <v>1574</v>
      </c>
      <c r="B563" s="13" t="s">
        <v>14</v>
      </c>
      <c r="C563" s="13" t="s">
        <v>1575</v>
      </c>
      <c r="D563" s="13" t="s">
        <v>1576</v>
      </c>
      <c r="E563" s="13" t="s">
        <v>36</v>
      </c>
      <c r="F563" s="14"/>
      <c r="G563" s="14"/>
      <c r="H563" s="14"/>
      <c r="I563" s="14"/>
      <c r="J563" s="14">
        <f t="shared" si="24"/>
        <v>0</v>
      </c>
      <c r="K563" s="14">
        <f t="shared" si="25"/>
        <v>0</v>
      </c>
      <c r="L563" s="17">
        <f t="shared" si="26"/>
        <v>0</v>
      </c>
      <c r="M563" s="14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 spans="1:27" s="2" customFormat="1" ht="14">
      <c r="A564" s="12">
        <v>1033741</v>
      </c>
      <c r="B564" s="13" t="s">
        <v>14</v>
      </c>
      <c r="C564" s="13" t="s">
        <v>1577</v>
      </c>
      <c r="D564" s="13" t="s">
        <v>1578</v>
      </c>
      <c r="E564" s="13" t="s">
        <v>1579</v>
      </c>
      <c r="F564" s="14"/>
      <c r="G564" s="14"/>
      <c r="H564" s="14"/>
      <c r="I564" s="14"/>
      <c r="J564" s="14">
        <f t="shared" si="24"/>
        <v>0</v>
      </c>
      <c r="K564" s="14">
        <f t="shared" si="25"/>
        <v>0</v>
      </c>
      <c r="L564" s="17">
        <f t="shared" si="26"/>
        <v>0</v>
      </c>
      <c r="M564" s="14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 spans="1:27" s="2" customFormat="1" ht="14">
      <c r="A565" s="12" t="s">
        <v>1580</v>
      </c>
      <c r="B565" s="13" t="s">
        <v>14</v>
      </c>
      <c r="C565" s="13" t="s">
        <v>1581</v>
      </c>
      <c r="D565" s="13" t="s">
        <v>1582</v>
      </c>
      <c r="E565" s="13" t="s">
        <v>201</v>
      </c>
      <c r="F565" s="14"/>
      <c r="G565" s="14"/>
      <c r="H565" s="14"/>
      <c r="I565" s="14"/>
      <c r="J565" s="14">
        <f t="shared" si="24"/>
        <v>0</v>
      </c>
      <c r="K565" s="14">
        <f t="shared" si="25"/>
        <v>0</v>
      </c>
      <c r="L565" s="17">
        <f t="shared" si="26"/>
        <v>0</v>
      </c>
      <c r="M565" s="14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 spans="1:27" s="2" customFormat="1" ht="14">
      <c r="A566" s="12" t="s">
        <v>1583</v>
      </c>
      <c r="B566" s="13" t="s">
        <v>62</v>
      </c>
      <c r="C566" s="13" t="s">
        <v>1584</v>
      </c>
      <c r="D566" s="13" t="s">
        <v>1585</v>
      </c>
      <c r="E566" s="13" t="s">
        <v>57</v>
      </c>
      <c r="F566" s="14"/>
      <c r="G566" s="14"/>
      <c r="H566" s="14"/>
      <c r="I566" s="14"/>
      <c r="J566" s="14">
        <f t="shared" si="24"/>
        <v>0</v>
      </c>
      <c r="K566" s="14">
        <f t="shared" si="25"/>
        <v>0</v>
      </c>
      <c r="L566" s="17">
        <f t="shared" si="26"/>
        <v>0</v>
      </c>
      <c r="M566" s="14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 spans="1:27" s="2" customFormat="1" ht="14">
      <c r="A567" s="12" t="s">
        <v>1586</v>
      </c>
      <c r="B567" s="13" t="s">
        <v>14</v>
      </c>
      <c r="C567" s="13" t="s">
        <v>1587</v>
      </c>
      <c r="D567" s="13" t="s">
        <v>1588</v>
      </c>
      <c r="E567" s="13" t="s">
        <v>91</v>
      </c>
      <c r="F567" s="14"/>
      <c r="G567" s="14"/>
      <c r="H567" s="14"/>
      <c r="I567" s="14"/>
      <c r="J567" s="14">
        <f t="shared" si="24"/>
        <v>0</v>
      </c>
      <c r="K567" s="14">
        <f t="shared" si="25"/>
        <v>0</v>
      </c>
      <c r="L567" s="17">
        <f t="shared" si="26"/>
        <v>0</v>
      </c>
      <c r="M567" s="14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 spans="1:27" s="2" customFormat="1" ht="14">
      <c r="A568" s="12" t="s">
        <v>1589</v>
      </c>
      <c r="B568" s="13" t="s">
        <v>14</v>
      </c>
      <c r="C568" s="13" t="s">
        <v>1590</v>
      </c>
      <c r="D568" s="13" t="s">
        <v>1591</v>
      </c>
      <c r="E568" s="13" t="s">
        <v>201</v>
      </c>
      <c r="F568" s="14"/>
      <c r="G568" s="14"/>
      <c r="H568" s="14"/>
      <c r="I568" s="14"/>
      <c r="J568" s="14">
        <f t="shared" si="24"/>
        <v>0</v>
      </c>
      <c r="K568" s="14">
        <f t="shared" si="25"/>
        <v>0</v>
      </c>
      <c r="L568" s="17">
        <f t="shared" si="26"/>
        <v>0</v>
      </c>
      <c r="M568" s="14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 spans="1:27" s="2" customFormat="1" ht="14">
      <c r="A569" s="12" t="s">
        <v>1592</v>
      </c>
      <c r="B569" s="13" t="s">
        <v>14</v>
      </c>
      <c r="C569" s="13" t="s">
        <v>1593</v>
      </c>
      <c r="D569" s="13" t="s">
        <v>1594</v>
      </c>
      <c r="E569" s="13" t="s">
        <v>285</v>
      </c>
      <c r="F569" s="14"/>
      <c r="G569" s="14"/>
      <c r="H569" s="14"/>
      <c r="I569" s="14"/>
      <c r="J569" s="14">
        <f t="shared" si="24"/>
        <v>0</v>
      </c>
      <c r="K569" s="14">
        <f t="shared" si="25"/>
        <v>0</v>
      </c>
      <c r="L569" s="17">
        <f t="shared" si="26"/>
        <v>0</v>
      </c>
      <c r="M569" s="14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 spans="1:27" s="2" customFormat="1" ht="14">
      <c r="A570" s="12" t="s">
        <v>1595</v>
      </c>
      <c r="B570" s="13" t="s">
        <v>14</v>
      </c>
      <c r="C570" s="13" t="s">
        <v>1596</v>
      </c>
      <c r="D570" s="13" t="s">
        <v>1597</v>
      </c>
      <c r="E570" s="13" t="s">
        <v>354</v>
      </c>
      <c r="F570" s="14"/>
      <c r="G570" s="14"/>
      <c r="H570" s="14"/>
      <c r="I570" s="14"/>
      <c r="J570" s="14">
        <f t="shared" si="24"/>
        <v>0</v>
      </c>
      <c r="K570" s="14">
        <f t="shared" si="25"/>
        <v>0</v>
      </c>
      <c r="L570" s="17">
        <f t="shared" si="26"/>
        <v>0</v>
      </c>
      <c r="M570" s="14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 spans="1:27" s="2" customFormat="1" ht="14">
      <c r="A571" s="12" t="s">
        <v>1598</v>
      </c>
      <c r="B571" s="13" t="s">
        <v>14</v>
      </c>
      <c r="C571" s="13" t="s">
        <v>1599</v>
      </c>
      <c r="D571" s="13" t="s">
        <v>1600</v>
      </c>
      <c r="E571" s="13" t="s">
        <v>446</v>
      </c>
      <c r="F571" s="14"/>
      <c r="G571" s="14"/>
      <c r="H571" s="14"/>
      <c r="I571" s="14"/>
      <c r="J571" s="14">
        <f t="shared" si="24"/>
        <v>0</v>
      </c>
      <c r="K571" s="14">
        <f t="shared" si="25"/>
        <v>0</v>
      </c>
      <c r="L571" s="17">
        <f t="shared" si="26"/>
        <v>0</v>
      </c>
      <c r="M571" s="14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 spans="1:27" s="2" customFormat="1" ht="14">
      <c r="A572" s="12" t="s">
        <v>1601</v>
      </c>
      <c r="B572" s="13" t="s">
        <v>14</v>
      </c>
      <c r="C572" s="13" t="s">
        <v>1602</v>
      </c>
      <c r="D572" s="13" t="s">
        <v>1603</v>
      </c>
      <c r="E572" s="13" t="s">
        <v>50</v>
      </c>
      <c r="F572" s="14"/>
      <c r="G572" s="14"/>
      <c r="H572" s="14"/>
      <c r="I572" s="14"/>
      <c r="J572" s="14">
        <f t="shared" si="24"/>
        <v>0</v>
      </c>
      <c r="K572" s="14">
        <f t="shared" si="25"/>
        <v>0</v>
      </c>
      <c r="L572" s="17">
        <f t="shared" si="26"/>
        <v>0</v>
      </c>
      <c r="M572" s="14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 spans="1:27" s="2" customFormat="1" ht="14">
      <c r="A573" s="12" t="s">
        <v>1604</v>
      </c>
      <c r="B573" s="13" t="s">
        <v>14</v>
      </c>
      <c r="C573" s="13" t="s">
        <v>1605</v>
      </c>
      <c r="D573" s="13" t="s">
        <v>1606</v>
      </c>
      <c r="E573" s="13" t="s">
        <v>285</v>
      </c>
      <c r="F573" s="14"/>
      <c r="G573" s="14"/>
      <c r="H573" s="14"/>
      <c r="I573" s="14"/>
      <c r="J573" s="14">
        <f t="shared" si="24"/>
        <v>0</v>
      </c>
      <c r="K573" s="14">
        <f t="shared" si="25"/>
        <v>0</v>
      </c>
      <c r="L573" s="17">
        <f t="shared" si="26"/>
        <v>0</v>
      </c>
      <c r="M573" s="14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 spans="1:27" s="2" customFormat="1" ht="14">
      <c r="A574" s="12" t="s">
        <v>1607</v>
      </c>
      <c r="B574" s="13" t="s">
        <v>14</v>
      </c>
      <c r="C574" s="13" t="s">
        <v>1608</v>
      </c>
      <c r="D574" s="13" t="s">
        <v>1609</v>
      </c>
      <c r="E574" s="13" t="s">
        <v>72</v>
      </c>
      <c r="F574" s="14"/>
      <c r="G574" s="14"/>
      <c r="H574" s="14"/>
      <c r="I574" s="14"/>
      <c r="J574" s="14">
        <f t="shared" si="24"/>
        <v>0</v>
      </c>
      <c r="K574" s="14">
        <f t="shared" si="25"/>
        <v>0</v>
      </c>
      <c r="L574" s="17">
        <f t="shared" si="26"/>
        <v>0</v>
      </c>
      <c r="M574" s="14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 spans="1:27" s="2" customFormat="1" ht="14">
      <c r="A575" s="12" t="s">
        <v>1610</v>
      </c>
      <c r="B575" s="13" t="s">
        <v>14</v>
      </c>
      <c r="C575" s="13" t="s">
        <v>1611</v>
      </c>
      <c r="D575" s="13" t="s">
        <v>1612</v>
      </c>
      <c r="E575" s="13" t="s">
        <v>83</v>
      </c>
      <c r="F575" s="14"/>
      <c r="G575" s="14"/>
      <c r="H575" s="14"/>
      <c r="I575" s="14"/>
      <c r="J575" s="14">
        <f t="shared" si="24"/>
        <v>0</v>
      </c>
      <c r="K575" s="14">
        <f t="shared" si="25"/>
        <v>0</v>
      </c>
      <c r="L575" s="17">
        <f t="shared" si="26"/>
        <v>0</v>
      </c>
      <c r="M575" s="14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 spans="1:27" s="2" customFormat="1" ht="14">
      <c r="A576" s="12" t="s">
        <v>1613</v>
      </c>
      <c r="B576" s="13" t="s">
        <v>14</v>
      </c>
      <c r="C576" s="13" t="s">
        <v>1614</v>
      </c>
      <c r="D576" s="13" t="s">
        <v>1615</v>
      </c>
      <c r="E576" s="13" t="s">
        <v>267</v>
      </c>
      <c r="F576" s="14"/>
      <c r="G576" s="14"/>
      <c r="H576" s="14"/>
      <c r="I576" s="14"/>
      <c r="J576" s="14">
        <f t="shared" si="24"/>
        <v>0</v>
      </c>
      <c r="K576" s="14">
        <f t="shared" si="25"/>
        <v>0</v>
      </c>
      <c r="L576" s="17">
        <f t="shared" si="26"/>
        <v>0</v>
      </c>
      <c r="M576" s="14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 spans="1:27" s="2" customFormat="1" ht="14">
      <c r="A577" s="12" t="s">
        <v>1616</v>
      </c>
      <c r="B577" s="13" t="s">
        <v>14</v>
      </c>
      <c r="C577" s="13" t="s">
        <v>1617</v>
      </c>
      <c r="D577" s="13" t="s">
        <v>1618</v>
      </c>
      <c r="E577" s="13" t="s">
        <v>354</v>
      </c>
      <c r="F577" s="14"/>
      <c r="G577" s="14"/>
      <c r="H577" s="14"/>
      <c r="I577" s="14"/>
      <c r="J577" s="14">
        <f t="shared" si="24"/>
        <v>0</v>
      </c>
      <c r="K577" s="14">
        <f t="shared" si="25"/>
        <v>0</v>
      </c>
      <c r="L577" s="17">
        <f t="shared" si="26"/>
        <v>0</v>
      </c>
      <c r="M577" s="14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 spans="1:27" s="2" customFormat="1" ht="14">
      <c r="A578" s="12" t="s">
        <v>1619</v>
      </c>
      <c r="B578" s="13" t="s">
        <v>14</v>
      </c>
      <c r="C578" s="13" t="s">
        <v>1620</v>
      </c>
      <c r="D578" s="13" t="s">
        <v>1621</v>
      </c>
      <c r="E578" s="13" t="s">
        <v>215</v>
      </c>
      <c r="F578" s="14"/>
      <c r="G578" s="14"/>
      <c r="H578" s="14"/>
      <c r="I578" s="14"/>
      <c r="J578" s="14">
        <f t="shared" ref="J578:J641" si="27">IF(G578&gt;0,1,0)</f>
        <v>0</v>
      </c>
      <c r="K578" s="14">
        <f t="shared" ref="K578:K641" si="28">IF(H578&gt;0,1,0)</f>
        <v>0</v>
      </c>
      <c r="L578" s="17">
        <f t="shared" ref="L578:L641" si="29">IF(G578&gt;0,IF(H578&gt;0,1,0),0)</f>
        <v>0</v>
      </c>
      <c r="M578" s="14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 spans="1:27" s="2" customFormat="1" ht="14">
      <c r="A579" s="12" t="s">
        <v>1622</v>
      </c>
      <c r="B579" s="13" t="s">
        <v>14</v>
      </c>
      <c r="C579" s="13" t="s">
        <v>1623</v>
      </c>
      <c r="D579" s="13" t="s">
        <v>1624</v>
      </c>
      <c r="E579" s="13" t="s">
        <v>156</v>
      </c>
      <c r="F579" s="14"/>
      <c r="G579" s="14"/>
      <c r="H579" s="14"/>
      <c r="I579" s="14"/>
      <c r="J579" s="14">
        <f t="shared" si="27"/>
        <v>0</v>
      </c>
      <c r="K579" s="14">
        <f t="shared" si="28"/>
        <v>0</v>
      </c>
      <c r="L579" s="17">
        <f t="shared" si="29"/>
        <v>0</v>
      </c>
      <c r="M579" s="14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 spans="1:27" s="2" customFormat="1" ht="14">
      <c r="A580" s="12" t="s">
        <v>1625</v>
      </c>
      <c r="B580" s="13" t="s">
        <v>62</v>
      </c>
      <c r="C580" s="13" t="s">
        <v>1626</v>
      </c>
      <c r="D580" s="13" t="s">
        <v>1627</v>
      </c>
      <c r="E580" s="13" t="s">
        <v>156</v>
      </c>
      <c r="F580" s="14"/>
      <c r="G580" s="14"/>
      <c r="H580" s="14"/>
      <c r="I580" s="14"/>
      <c r="J580" s="14">
        <f t="shared" si="27"/>
        <v>0</v>
      </c>
      <c r="K580" s="14">
        <f t="shared" si="28"/>
        <v>0</v>
      </c>
      <c r="L580" s="17">
        <f t="shared" si="29"/>
        <v>0</v>
      </c>
      <c r="M580" s="14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 spans="1:27" s="2" customFormat="1" ht="14">
      <c r="A581" s="12" t="s">
        <v>1628</v>
      </c>
      <c r="B581" s="13" t="s">
        <v>14</v>
      </c>
      <c r="C581" s="13" t="s">
        <v>1629</v>
      </c>
      <c r="D581" s="13" t="s">
        <v>1630</v>
      </c>
      <c r="E581" s="13" t="s">
        <v>29</v>
      </c>
      <c r="F581" s="14"/>
      <c r="G581" s="14"/>
      <c r="H581" s="14"/>
      <c r="I581" s="14"/>
      <c r="J581" s="14">
        <f t="shared" si="27"/>
        <v>0</v>
      </c>
      <c r="K581" s="14">
        <f t="shared" si="28"/>
        <v>0</v>
      </c>
      <c r="L581" s="17">
        <f t="shared" si="29"/>
        <v>0</v>
      </c>
      <c r="M581" s="14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 spans="1:27" s="2" customFormat="1" ht="14">
      <c r="A582" s="12" t="s">
        <v>1631</v>
      </c>
      <c r="B582" s="13" t="s">
        <v>14</v>
      </c>
      <c r="C582" s="13" t="s">
        <v>1632</v>
      </c>
      <c r="D582" s="13" t="s">
        <v>1633</v>
      </c>
      <c r="E582" s="13" t="s">
        <v>215</v>
      </c>
      <c r="F582" s="14"/>
      <c r="G582" s="14"/>
      <c r="H582" s="14"/>
      <c r="I582" s="14"/>
      <c r="J582" s="14">
        <f t="shared" si="27"/>
        <v>0</v>
      </c>
      <c r="K582" s="14">
        <f t="shared" si="28"/>
        <v>0</v>
      </c>
      <c r="L582" s="17">
        <f t="shared" si="29"/>
        <v>0</v>
      </c>
      <c r="M582" s="14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 spans="1:27" s="2" customFormat="1" ht="14">
      <c r="A583" s="12" t="s">
        <v>1634</v>
      </c>
      <c r="B583" s="13" t="s">
        <v>14</v>
      </c>
      <c r="C583" s="13" t="s">
        <v>1635</v>
      </c>
      <c r="D583" s="13" t="s">
        <v>1636</v>
      </c>
      <c r="E583" s="13" t="s">
        <v>40</v>
      </c>
      <c r="F583" s="14"/>
      <c r="G583" s="14"/>
      <c r="H583" s="14"/>
      <c r="I583" s="14"/>
      <c r="J583" s="14">
        <f t="shared" si="27"/>
        <v>0</v>
      </c>
      <c r="K583" s="14">
        <f t="shared" si="28"/>
        <v>0</v>
      </c>
      <c r="L583" s="17">
        <f t="shared" si="29"/>
        <v>0</v>
      </c>
      <c r="M583" s="14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 spans="1:27" s="2" customFormat="1" ht="14">
      <c r="A584" s="12" t="s">
        <v>1637</v>
      </c>
      <c r="B584" s="13" t="s">
        <v>14</v>
      </c>
      <c r="C584" s="13" t="s">
        <v>1638</v>
      </c>
      <c r="D584" s="13" t="s">
        <v>1639</v>
      </c>
      <c r="E584" s="13" t="s">
        <v>150</v>
      </c>
      <c r="F584" s="14"/>
      <c r="G584" s="14"/>
      <c r="H584" s="14"/>
      <c r="I584" s="14"/>
      <c r="J584" s="14">
        <f t="shared" si="27"/>
        <v>0</v>
      </c>
      <c r="K584" s="14">
        <f t="shared" si="28"/>
        <v>0</v>
      </c>
      <c r="L584" s="17">
        <f t="shared" si="29"/>
        <v>0</v>
      </c>
      <c r="M584" s="14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 spans="1:27" s="2" customFormat="1" ht="14">
      <c r="A585" s="12" t="s">
        <v>1640</v>
      </c>
      <c r="B585" s="13" t="s">
        <v>62</v>
      </c>
      <c r="C585" s="13" t="s">
        <v>1641</v>
      </c>
      <c r="D585" s="13" t="s">
        <v>1642</v>
      </c>
      <c r="E585" s="13" t="s">
        <v>32</v>
      </c>
      <c r="F585" s="14"/>
      <c r="G585" s="14"/>
      <c r="H585" s="14"/>
      <c r="I585" s="14"/>
      <c r="J585" s="14">
        <f t="shared" si="27"/>
        <v>0</v>
      </c>
      <c r="K585" s="14">
        <f t="shared" si="28"/>
        <v>0</v>
      </c>
      <c r="L585" s="17">
        <f t="shared" si="29"/>
        <v>0</v>
      </c>
      <c r="M585" s="14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 spans="1:27" s="2" customFormat="1" ht="14">
      <c r="A586" s="12" t="s">
        <v>1643</v>
      </c>
      <c r="B586" s="13" t="s">
        <v>14</v>
      </c>
      <c r="C586" s="13" t="s">
        <v>1644</v>
      </c>
      <c r="D586" s="13" t="s">
        <v>1645</v>
      </c>
      <c r="E586" s="13" t="s">
        <v>79</v>
      </c>
      <c r="F586" s="14"/>
      <c r="G586" s="14"/>
      <c r="H586" s="14"/>
      <c r="I586" s="14"/>
      <c r="J586" s="14">
        <f t="shared" si="27"/>
        <v>0</v>
      </c>
      <c r="K586" s="14">
        <f t="shared" si="28"/>
        <v>0</v>
      </c>
      <c r="L586" s="17">
        <f t="shared" si="29"/>
        <v>0</v>
      </c>
      <c r="M586" s="14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 spans="1:27" s="2" customFormat="1" ht="14">
      <c r="A587" s="12" t="s">
        <v>1646</v>
      </c>
      <c r="B587" s="13" t="s">
        <v>14</v>
      </c>
      <c r="C587" s="13" t="s">
        <v>1647</v>
      </c>
      <c r="D587" s="13" t="s">
        <v>1648</v>
      </c>
      <c r="E587" s="13" t="s">
        <v>97</v>
      </c>
      <c r="F587" s="14"/>
      <c r="G587" s="14"/>
      <c r="H587" s="14"/>
      <c r="I587" s="14"/>
      <c r="J587" s="14">
        <f t="shared" si="27"/>
        <v>0</v>
      </c>
      <c r="K587" s="14">
        <f t="shared" si="28"/>
        <v>0</v>
      </c>
      <c r="L587" s="17">
        <f t="shared" si="29"/>
        <v>0</v>
      </c>
      <c r="M587" s="14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 spans="1:27" s="2" customFormat="1" ht="14">
      <c r="A588" s="12" t="s">
        <v>1649</v>
      </c>
      <c r="B588" s="13" t="s">
        <v>14</v>
      </c>
      <c r="C588" s="13" t="s">
        <v>1650</v>
      </c>
      <c r="D588" s="13" t="s">
        <v>1651</v>
      </c>
      <c r="E588" s="13" t="s">
        <v>97</v>
      </c>
      <c r="F588" s="14"/>
      <c r="G588" s="14"/>
      <c r="H588" s="14"/>
      <c r="I588" s="14"/>
      <c r="J588" s="14">
        <f t="shared" si="27"/>
        <v>0</v>
      </c>
      <c r="K588" s="14">
        <f t="shared" si="28"/>
        <v>0</v>
      </c>
      <c r="L588" s="17">
        <f t="shared" si="29"/>
        <v>0</v>
      </c>
      <c r="M588" s="14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 spans="1:27" s="2" customFormat="1" ht="14">
      <c r="A589" s="12" t="s">
        <v>1652</v>
      </c>
      <c r="B589" s="13" t="s">
        <v>14</v>
      </c>
      <c r="C589" s="13" t="s">
        <v>1653</v>
      </c>
      <c r="D589" s="13" t="s">
        <v>1654</v>
      </c>
      <c r="E589" s="13" t="s">
        <v>32</v>
      </c>
      <c r="F589" s="14"/>
      <c r="G589" s="14"/>
      <c r="H589" s="14"/>
      <c r="I589" s="14"/>
      <c r="J589" s="14">
        <f t="shared" si="27"/>
        <v>0</v>
      </c>
      <c r="K589" s="14">
        <f t="shared" si="28"/>
        <v>0</v>
      </c>
      <c r="L589" s="17">
        <f t="shared" si="29"/>
        <v>0</v>
      </c>
      <c r="M589" s="14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 spans="1:27" s="2" customFormat="1" ht="14">
      <c r="A590" s="12" t="s">
        <v>1655</v>
      </c>
      <c r="B590" s="13" t="s">
        <v>62</v>
      </c>
      <c r="C590" s="13" t="s">
        <v>1656</v>
      </c>
      <c r="D590" s="13" t="s">
        <v>1657</v>
      </c>
      <c r="E590" s="13" t="s">
        <v>1658</v>
      </c>
      <c r="F590" s="14"/>
      <c r="G590" s="14"/>
      <c r="H590" s="14"/>
      <c r="I590" s="14"/>
      <c r="J590" s="14">
        <f t="shared" si="27"/>
        <v>0</v>
      </c>
      <c r="K590" s="14">
        <f t="shared" si="28"/>
        <v>0</v>
      </c>
      <c r="L590" s="17">
        <f t="shared" si="29"/>
        <v>0</v>
      </c>
      <c r="M590" s="14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 spans="1:27" s="2" customFormat="1" ht="14">
      <c r="A591" s="12" t="s">
        <v>1659</v>
      </c>
      <c r="B591" s="13" t="s">
        <v>14</v>
      </c>
      <c r="C591" s="13" t="s">
        <v>1660</v>
      </c>
      <c r="D591" s="13" t="s">
        <v>1661</v>
      </c>
      <c r="E591" s="13" t="s">
        <v>1567</v>
      </c>
      <c r="F591" s="14"/>
      <c r="G591" s="14"/>
      <c r="H591" s="14"/>
      <c r="I591" s="14"/>
      <c r="J591" s="14">
        <f t="shared" si="27"/>
        <v>0</v>
      </c>
      <c r="K591" s="14">
        <f t="shared" si="28"/>
        <v>0</v>
      </c>
      <c r="L591" s="17">
        <f t="shared" si="29"/>
        <v>0</v>
      </c>
      <c r="M591" s="14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 spans="1:27" s="2" customFormat="1" ht="14">
      <c r="A592" s="12" t="s">
        <v>1662</v>
      </c>
      <c r="B592" s="13" t="s">
        <v>14</v>
      </c>
      <c r="C592" s="13" t="s">
        <v>1663</v>
      </c>
      <c r="D592" s="13" t="s">
        <v>1664</v>
      </c>
      <c r="E592" s="13" t="s">
        <v>40</v>
      </c>
      <c r="F592" s="14"/>
      <c r="G592" s="14"/>
      <c r="H592" s="14"/>
      <c r="I592" s="14"/>
      <c r="J592" s="14">
        <f t="shared" si="27"/>
        <v>0</v>
      </c>
      <c r="K592" s="14">
        <f t="shared" si="28"/>
        <v>0</v>
      </c>
      <c r="L592" s="17">
        <f t="shared" si="29"/>
        <v>0</v>
      </c>
      <c r="M592" s="14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 spans="1:27" s="2" customFormat="1" ht="14">
      <c r="A593" s="12" t="s">
        <v>1665</v>
      </c>
      <c r="B593" s="13" t="s">
        <v>14</v>
      </c>
      <c r="C593" s="13" t="s">
        <v>1666</v>
      </c>
      <c r="D593" s="13" t="s">
        <v>1667</v>
      </c>
      <c r="E593" s="13" t="s">
        <v>97</v>
      </c>
      <c r="F593" s="14"/>
      <c r="G593" s="14"/>
      <c r="H593" s="14"/>
      <c r="I593" s="14"/>
      <c r="J593" s="14">
        <f t="shared" si="27"/>
        <v>0</v>
      </c>
      <c r="K593" s="14">
        <f t="shared" si="28"/>
        <v>0</v>
      </c>
      <c r="L593" s="17">
        <f t="shared" si="29"/>
        <v>0</v>
      </c>
      <c r="M593" s="14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 spans="1:27" s="2" customFormat="1" ht="14">
      <c r="A594" s="12" t="s">
        <v>1668</v>
      </c>
      <c r="B594" s="13" t="s">
        <v>62</v>
      </c>
      <c r="C594" s="13" t="s">
        <v>1669</v>
      </c>
      <c r="D594" s="13" t="s">
        <v>1670</v>
      </c>
      <c r="E594" s="13" t="s">
        <v>72</v>
      </c>
      <c r="F594" s="14"/>
      <c r="G594" s="14"/>
      <c r="H594" s="14"/>
      <c r="I594" s="14"/>
      <c r="J594" s="14">
        <f t="shared" si="27"/>
        <v>0</v>
      </c>
      <c r="K594" s="14">
        <f t="shared" si="28"/>
        <v>0</v>
      </c>
      <c r="L594" s="17">
        <f t="shared" si="29"/>
        <v>0</v>
      </c>
      <c r="M594" s="14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 spans="1:27" s="2" customFormat="1" ht="14">
      <c r="A595" s="12" t="s">
        <v>1671</v>
      </c>
      <c r="B595" s="13" t="s">
        <v>62</v>
      </c>
      <c r="C595" s="13" t="s">
        <v>1672</v>
      </c>
      <c r="D595" s="13" t="s">
        <v>1673</v>
      </c>
      <c r="E595" s="13" t="s">
        <v>29</v>
      </c>
      <c r="F595" s="14"/>
      <c r="G595" s="14"/>
      <c r="H595" s="14"/>
      <c r="I595" s="14"/>
      <c r="J595" s="14">
        <f t="shared" si="27"/>
        <v>0</v>
      </c>
      <c r="K595" s="14">
        <f t="shared" si="28"/>
        <v>0</v>
      </c>
      <c r="L595" s="17">
        <f t="shared" si="29"/>
        <v>0</v>
      </c>
      <c r="M595" s="14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 spans="1:27" s="2" customFormat="1" ht="14">
      <c r="A596" s="12" t="s">
        <v>1674</v>
      </c>
      <c r="B596" s="13" t="s">
        <v>14</v>
      </c>
      <c r="C596" s="13" t="s">
        <v>1675</v>
      </c>
      <c r="D596" s="13" t="s">
        <v>1676</v>
      </c>
      <c r="E596" s="13" t="s">
        <v>136</v>
      </c>
      <c r="F596" s="14"/>
      <c r="G596" s="14"/>
      <c r="H596" s="14"/>
      <c r="I596" s="14"/>
      <c r="J596" s="14">
        <f t="shared" si="27"/>
        <v>0</v>
      </c>
      <c r="K596" s="14">
        <f t="shared" si="28"/>
        <v>0</v>
      </c>
      <c r="L596" s="17">
        <f t="shared" si="29"/>
        <v>0</v>
      </c>
      <c r="M596" s="14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 spans="1:27" s="2" customFormat="1" ht="14">
      <c r="A597" s="12" t="s">
        <v>1677</v>
      </c>
      <c r="B597" s="13" t="s">
        <v>14</v>
      </c>
      <c r="C597" s="13" t="s">
        <v>1678</v>
      </c>
      <c r="D597" s="13" t="s">
        <v>1679</v>
      </c>
      <c r="E597" s="13" t="s">
        <v>205</v>
      </c>
      <c r="F597" s="14"/>
      <c r="G597" s="14"/>
      <c r="H597" s="14"/>
      <c r="I597" s="14"/>
      <c r="J597" s="14">
        <f t="shared" si="27"/>
        <v>0</v>
      </c>
      <c r="K597" s="14">
        <f t="shared" si="28"/>
        <v>0</v>
      </c>
      <c r="L597" s="17">
        <f t="shared" si="29"/>
        <v>0</v>
      </c>
      <c r="M597" s="14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 spans="1:27" s="2" customFormat="1" ht="14">
      <c r="A598" s="12" t="s">
        <v>1680</v>
      </c>
      <c r="B598" s="13" t="s">
        <v>14</v>
      </c>
      <c r="C598" s="13" t="s">
        <v>1681</v>
      </c>
      <c r="D598" s="13" t="s">
        <v>1682</v>
      </c>
      <c r="E598" s="13" t="s">
        <v>29</v>
      </c>
      <c r="F598" s="14"/>
      <c r="G598" s="14"/>
      <c r="H598" s="14"/>
      <c r="I598" s="14"/>
      <c r="J598" s="14">
        <f t="shared" si="27"/>
        <v>0</v>
      </c>
      <c r="K598" s="14">
        <f t="shared" si="28"/>
        <v>0</v>
      </c>
      <c r="L598" s="17">
        <f t="shared" si="29"/>
        <v>0</v>
      </c>
      <c r="M598" s="14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 spans="1:27" s="2" customFormat="1" ht="14">
      <c r="A599" s="12" t="s">
        <v>1683</v>
      </c>
      <c r="B599" s="13" t="s">
        <v>14</v>
      </c>
      <c r="C599" s="13" t="s">
        <v>1684</v>
      </c>
      <c r="D599" s="13" t="s">
        <v>1685</v>
      </c>
      <c r="E599" s="13" t="s">
        <v>17</v>
      </c>
      <c r="F599" s="14"/>
      <c r="G599" s="14"/>
      <c r="H599" s="14"/>
      <c r="I599" s="14"/>
      <c r="J599" s="14">
        <f t="shared" si="27"/>
        <v>0</v>
      </c>
      <c r="K599" s="14">
        <f t="shared" si="28"/>
        <v>0</v>
      </c>
      <c r="L599" s="17">
        <f t="shared" si="29"/>
        <v>0</v>
      </c>
      <c r="M599" s="14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 spans="1:27" s="2" customFormat="1" ht="14">
      <c r="A600" s="12" t="s">
        <v>1686</v>
      </c>
      <c r="B600" s="13" t="s">
        <v>14</v>
      </c>
      <c r="C600" s="13" t="s">
        <v>1687</v>
      </c>
      <c r="D600" s="13" t="s">
        <v>1688</v>
      </c>
      <c r="E600" s="13" t="s">
        <v>97</v>
      </c>
      <c r="F600" s="14"/>
      <c r="G600" s="14"/>
      <c r="H600" s="14"/>
      <c r="I600" s="14"/>
      <c r="J600" s="14">
        <f t="shared" si="27"/>
        <v>0</v>
      </c>
      <c r="K600" s="14">
        <f t="shared" si="28"/>
        <v>0</v>
      </c>
      <c r="L600" s="17">
        <f t="shared" si="29"/>
        <v>0</v>
      </c>
      <c r="M600" s="14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 spans="1:27" s="2" customFormat="1" ht="14">
      <c r="A601" s="12" t="s">
        <v>1689</v>
      </c>
      <c r="B601" s="13" t="s">
        <v>62</v>
      </c>
      <c r="C601" s="13" t="s">
        <v>1690</v>
      </c>
      <c r="D601" s="13" t="s">
        <v>1691</v>
      </c>
      <c r="E601" s="13" t="s">
        <v>76</v>
      </c>
      <c r="F601" s="14"/>
      <c r="G601" s="14"/>
      <c r="H601" s="14"/>
      <c r="I601" s="14"/>
      <c r="J601" s="14">
        <f t="shared" si="27"/>
        <v>0</v>
      </c>
      <c r="K601" s="14">
        <f t="shared" si="28"/>
        <v>0</v>
      </c>
      <c r="L601" s="17">
        <f t="shared" si="29"/>
        <v>0</v>
      </c>
      <c r="M601" s="14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 spans="1:27" s="2" customFormat="1" ht="14">
      <c r="A602" s="12" t="s">
        <v>1692</v>
      </c>
      <c r="B602" s="13" t="s">
        <v>62</v>
      </c>
      <c r="C602" s="13" t="s">
        <v>1693</v>
      </c>
      <c r="D602" s="13" t="s">
        <v>1694</v>
      </c>
      <c r="E602" s="13" t="s">
        <v>76</v>
      </c>
      <c r="F602" s="14"/>
      <c r="G602" s="14"/>
      <c r="H602" s="14"/>
      <c r="I602" s="14"/>
      <c r="J602" s="14">
        <f t="shared" si="27"/>
        <v>0</v>
      </c>
      <c r="K602" s="14">
        <f t="shared" si="28"/>
        <v>0</v>
      </c>
      <c r="L602" s="17">
        <f t="shared" si="29"/>
        <v>0</v>
      </c>
      <c r="M602" s="14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 spans="1:27" s="2" customFormat="1" ht="14">
      <c r="A603" s="12" t="s">
        <v>1695</v>
      </c>
      <c r="B603" s="13" t="s">
        <v>14</v>
      </c>
      <c r="C603" s="13" t="s">
        <v>1696</v>
      </c>
      <c r="D603" s="13" t="s">
        <v>1697</v>
      </c>
      <c r="E603" s="13" t="s">
        <v>215</v>
      </c>
      <c r="F603" s="14"/>
      <c r="G603" s="14"/>
      <c r="H603" s="14"/>
      <c r="I603" s="14"/>
      <c r="J603" s="14">
        <f t="shared" si="27"/>
        <v>0</v>
      </c>
      <c r="K603" s="14">
        <f t="shared" si="28"/>
        <v>0</v>
      </c>
      <c r="L603" s="17">
        <f t="shared" si="29"/>
        <v>0</v>
      </c>
      <c r="M603" s="14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 spans="1:27" s="2" customFormat="1" ht="14">
      <c r="A604" s="12" t="s">
        <v>1698</v>
      </c>
      <c r="B604" s="13" t="s">
        <v>62</v>
      </c>
      <c r="C604" s="13" t="s">
        <v>1699</v>
      </c>
      <c r="D604" s="13" t="s">
        <v>1700</v>
      </c>
      <c r="E604" s="13" t="s">
        <v>488</v>
      </c>
      <c r="F604" s="14"/>
      <c r="G604" s="14"/>
      <c r="H604" s="14"/>
      <c r="I604" s="14"/>
      <c r="J604" s="14">
        <f t="shared" si="27"/>
        <v>0</v>
      </c>
      <c r="K604" s="14">
        <f t="shared" si="28"/>
        <v>0</v>
      </c>
      <c r="L604" s="17">
        <f t="shared" si="29"/>
        <v>0</v>
      </c>
      <c r="M604" s="14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 spans="1:27" s="2" customFormat="1" ht="14">
      <c r="A605" s="12" t="s">
        <v>1701</v>
      </c>
      <c r="B605" s="13" t="s">
        <v>14</v>
      </c>
      <c r="C605" s="13" t="s">
        <v>1702</v>
      </c>
      <c r="D605" s="13" t="s">
        <v>1703</v>
      </c>
      <c r="E605" s="13" t="s">
        <v>40</v>
      </c>
      <c r="F605" s="14"/>
      <c r="G605" s="14"/>
      <c r="H605" s="14"/>
      <c r="I605" s="14"/>
      <c r="J605" s="14">
        <f t="shared" si="27"/>
        <v>0</v>
      </c>
      <c r="K605" s="14">
        <f t="shared" si="28"/>
        <v>0</v>
      </c>
      <c r="L605" s="17">
        <f t="shared" si="29"/>
        <v>0</v>
      </c>
      <c r="M605" s="14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 spans="1:27" s="2" customFormat="1" ht="14">
      <c r="A606" s="12" t="s">
        <v>1704</v>
      </c>
      <c r="B606" s="13" t="s">
        <v>14</v>
      </c>
      <c r="C606" s="13" t="s">
        <v>1705</v>
      </c>
      <c r="D606" s="13" t="s">
        <v>1706</v>
      </c>
      <c r="E606" s="13" t="s">
        <v>398</v>
      </c>
      <c r="F606" s="14"/>
      <c r="G606" s="14"/>
      <c r="H606" s="14"/>
      <c r="I606" s="14"/>
      <c r="J606" s="14">
        <f t="shared" si="27"/>
        <v>0</v>
      </c>
      <c r="K606" s="14">
        <f t="shared" si="28"/>
        <v>0</v>
      </c>
      <c r="L606" s="17">
        <f t="shared" si="29"/>
        <v>0</v>
      </c>
      <c r="M606" s="14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 spans="1:27" s="2" customFormat="1" ht="14">
      <c r="A607" s="12" t="s">
        <v>1707</v>
      </c>
      <c r="B607" s="13" t="s">
        <v>14</v>
      </c>
      <c r="C607" s="13" t="s">
        <v>1708</v>
      </c>
      <c r="D607" s="13" t="s">
        <v>1709</v>
      </c>
      <c r="E607" s="13" t="s">
        <v>97</v>
      </c>
      <c r="F607" s="14"/>
      <c r="G607" s="14"/>
      <c r="H607" s="14"/>
      <c r="I607" s="14"/>
      <c r="J607" s="14">
        <f t="shared" si="27"/>
        <v>0</v>
      </c>
      <c r="K607" s="14">
        <f t="shared" si="28"/>
        <v>0</v>
      </c>
      <c r="L607" s="17">
        <f t="shared" si="29"/>
        <v>0</v>
      </c>
      <c r="M607" s="14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 spans="1:27" s="2" customFormat="1" ht="14">
      <c r="A608" s="12" t="s">
        <v>1710</v>
      </c>
      <c r="B608" s="13" t="s">
        <v>14</v>
      </c>
      <c r="C608" s="13" t="s">
        <v>1711</v>
      </c>
      <c r="D608" s="13" t="s">
        <v>1712</v>
      </c>
      <c r="E608" s="13" t="s">
        <v>32</v>
      </c>
      <c r="F608" s="14"/>
      <c r="G608" s="14"/>
      <c r="H608" s="14"/>
      <c r="I608" s="14"/>
      <c r="J608" s="14">
        <f t="shared" si="27"/>
        <v>0</v>
      </c>
      <c r="K608" s="14">
        <f t="shared" si="28"/>
        <v>0</v>
      </c>
      <c r="L608" s="17">
        <f t="shared" si="29"/>
        <v>0</v>
      </c>
      <c r="M608" s="14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 spans="1:27" s="2" customFormat="1" ht="14">
      <c r="A609" s="12" t="s">
        <v>1713</v>
      </c>
      <c r="B609" s="13" t="s">
        <v>14</v>
      </c>
      <c r="C609" s="13" t="s">
        <v>1714</v>
      </c>
      <c r="D609" s="13" t="s">
        <v>1715</v>
      </c>
      <c r="E609" s="13" t="s">
        <v>220</v>
      </c>
      <c r="F609" s="14"/>
      <c r="G609" s="14"/>
      <c r="H609" s="14"/>
      <c r="I609" s="14"/>
      <c r="J609" s="14">
        <f t="shared" si="27"/>
        <v>0</v>
      </c>
      <c r="K609" s="14">
        <f t="shared" si="28"/>
        <v>0</v>
      </c>
      <c r="L609" s="17">
        <f t="shared" si="29"/>
        <v>0</v>
      </c>
      <c r="M609" s="14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 spans="1:27" s="2" customFormat="1" ht="14">
      <c r="A610" s="12" t="s">
        <v>1716</v>
      </c>
      <c r="B610" s="13" t="s">
        <v>62</v>
      </c>
      <c r="C610" s="13" t="s">
        <v>1717</v>
      </c>
      <c r="D610" s="13" t="s">
        <v>1718</v>
      </c>
      <c r="E610" s="13" t="s">
        <v>267</v>
      </c>
      <c r="F610" s="14"/>
      <c r="G610" s="14"/>
      <c r="H610" s="14"/>
      <c r="I610" s="14"/>
      <c r="J610" s="14">
        <f t="shared" si="27"/>
        <v>0</v>
      </c>
      <c r="K610" s="14">
        <f t="shared" si="28"/>
        <v>0</v>
      </c>
      <c r="L610" s="17">
        <f t="shared" si="29"/>
        <v>0</v>
      </c>
      <c r="M610" s="14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 spans="1:27" s="2" customFormat="1" ht="14">
      <c r="A611" s="12" t="s">
        <v>1719</v>
      </c>
      <c r="B611" s="13" t="s">
        <v>14</v>
      </c>
      <c r="C611" s="13" t="s">
        <v>1720</v>
      </c>
      <c r="D611" s="13" t="s">
        <v>1721</v>
      </c>
      <c r="E611" s="13" t="s">
        <v>136</v>
      </c>
      <c r="F611" s="14"/>
      <c r="G611" s="14"/>
      <c r="H611" s="14"/>
      <c r="I611" s="14"/>
      <c r="J611" s="14">
        <f t="shared" si="27"/>
        <v>0</v>
      </c>
      <c r="K611" s="14">
        <f t="shared" si="28"/>
        <v>0</v>
      </c>
      <c r="L611" s="17">
        <f t="shared" si="29"/>
        <v>0</v>
      </c>
      <c r="M611" s="14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 spans="1:27" s="2" customFormat="1" ht="14">
      <c r="A612" s="12" t="s">
        <v>1722</v>
      </c>
      <c r="B612" s="13" t="s">
        <v>14</v>
      </c>
      <c r="C612" s="13" t="s">
        <v>1723</v>
      </c>
      <c r="D612" s="13" t="s">
        <v>1724</v>
      </c>
      <c r="E612" s="13" t="s">
        <v>29</v>
      </c>
      <c r="F612" s="14"/>
      <c r="G612" s="14"/>
      <c r="H612" s="14"/>
      <c r="I612" s="14"/>
      <c r="J612" s="14">
        <f t="shared" si="27"/>
        <v>0</v>
      </c>
      <c r="K612" s="14">
        <f t="shared" si="28"/>
        <v>0</v>
      </c>
      <c r="L612" s="17">
        <f t="shared" si="29"/>
        <v>0</v>
      </c>
      <c r="M612" s="14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 spans="1:27" s="2" customFormat="1" ht="14">
      <c r="A613" s="12" t="s">
        <v>1725</v>
      </c>
      <c r="B613" s="13" t="s">
        <v>14</v>
      </c>
      <c r="C613" s="13" t="s">
        <v>1726</v>
      </c>
      <c r="D613" s="13" t="s">
        <v>1727</v>
      </c>
      <c r="E613" s="13" t="s">
        <v>32</v>
      </c>
      <c r="F613" s="14"/>
      <c r="G613" s="14"/>
      <c r="H613" s="14"/>
      <c r="I613" s="14"/>
      <c r="J613" s="14">
        <f t="shared" si="27"/>
        <v>0</v>
      </c>
      <c r="K613" s="14">
        <f t="shared" si="28"/>
        <v>0</v>
      </c>
      <c r="L613" s="17">
        <f t="shared" si="29"/>
        <v>0</v>
      </c>
      <c r="M613" s="14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 spans="1:27" s="2" customFormat="1" ht="14">
      <c r="A614" s="12" t="s">
        <v>1728</v>
      </c>
      <c r="B614" s="13" t="s">
        <v>62</v>
      </c>
      <c r="C614" s="13" t="s">
        <v>1729</v>
      </c>
      <c r="D614" s="13" t="s">
        <v>1730</v>
      </c>
      <c r="E614" s="13" t="s">
        <v>25</v>
      </c>
      <c r="F614" s="14"/>
      <c r="G614" s="14"/>
      <c r="H614" s="14"/>
      <c r="I614" s="14"/>
      <c r="J614" s="14">
        <f t="shared" si="27"/>
        <v>0</v>
      </c>
      <c r="K614" s="14">
        <f t="shared" si="28"/>
        <v>0</v>
      </c>
      <c r="L614" s="17">
        <f t="shared" si="29"/>
        <v>0</v>
      </c>
      <c r="M614" s="14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 spans="1:27" s="2" customFormat="1" ht="14">
      <c r="A615" s="12" t="s">
        <v>1731</v>
      </c>
      <c r="B615" s="13" t="s">
        <v>14</v>
      </c>
      <c r="C615" s="13" t="s">
        <v>1732</v>
      </c>
      <c r="D615" s="13" t="s">
        <v>1733</v>
      </c>
      <c r="E615" s="13" t="s">
        <v>17</v>
      </c>
      <c r="F615" s="14"/>
      <c r="G615" s="14"/>
      <c r="H615" s="14"/>
      <c r="I615" s="14"/>
      <c r="J615" s="14">
        <f t="shared" si="27"/>
        <v>0</v>
      </c>
      <c r="K615" s="14">
        <f t="shared" si="28"/>
        <v>0</v>
      </c>
      <c r="L615" s="17">
        <f t="shared" si="29"/>
        <v>0</v>
      </c>
      <c r="M615" s="14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 spans="1:27" s="2" customFormat="1" ht="14">
      <c r="A616" s="12" t="s">
        <v>1734</v>
      </c>
      <c r="B616" s="13" t="s">
        <v>14</v>
      </c>
      <c r="C616" s="13" t="s">
        <v>1735</v>
      </c>
      <c r="D616" s="13" t="s">
        <v>1736</v>
      </c>
      <c r="E616" s="13" t="s">
        <v>104</v>
      </c>
      <c r="F616" s="14"/>
      <c r="G616" s="14"/>
      <c r="H616" s="14"/>
      <c r="I616" s="14"/>
      <c r="J616" s="14">
        <f t="shared" si="27"/>
        <v>0</v>
      </c>
      <c r="K616" s="14">
        <f t="shared" si="28"/>
        <v>0</v>
      </c>
      <c r="L616" s="17">
        <f t="shared" si="29"/>
        <v>0</v>
      </c>
      <c r="M616" s="14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 spans="1:27" s="2" customFormat="1" ht="14">
      <c r="A617" s="12" t="s">
        <v>1737</v>
      </c>
      <c r="B617" s="13" t="s">
        <v>14</v>
      </c>
      <c r="C617" s="13" t="s">
        <v>1738</v>
      </c>
      <c r="D617" s="13" t="s">
        <v>1739</v>
      </c>
      <c r="E617" s="13" t="s">
        <v>285</v>
      </c>
      <c r="F617" s="14"/>
      <c r="G617" s="14"/>
      <c r="H617" s="14"/>
      <c r="I617" s="14"/>
      <c r="J617" s="14">
        <f t="shared" si="27"/>
        <v>0</v>
      </c>
      <c r="K617" s="14">
        <f t="shared" si="28"/>
        <v>0</v>
      </c>
      <c r="L617" s="17">
        <f t="shared" si="29"/>
        <v>0</v>
      </c>
      <c r="M617" s="14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 spans="1:27" s="2" customFormat="1" ht="14">
      <c r="A618" s="12" t="s">
        <v>1740</v>
      </c>
      <c r="B618" s="13" t="s">
        <v>14</v>
      </c>
      <c r="C618" s="13" t="s">
        <v>1741</v>
      </c>
      <c r="D618" s="13" t="s">
        <v>1742</v>
      </c>
      <c r="E618" s="13" t="s">
        <v>319</v>
      </c>
      <c r="F618" s="14"/>
      <c r="G618" s="14"/>
      <c r="H618" s="14"/>
      <c r="I618" s="14"/>
      <c r="J618" s="14">
        <f t="shared" si="27"/>
        <v>0</v>
      </c>
      <c r="K618" s="14">
        <f t="shared" si="28"/>
        <v>0</v>
      </c>
      <c r="L618" s="17">
        <f t="shared" si="29"/>
        <v>0</v>
      </c>
      <c r="M618" s="14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 spans="1:27" s="2" customFormat="1" ht="14">
      <c r="A619" s="12" t="s">
        <v>1743</v>
      </c>
      <c r="B619" s="13" t="s">
        <v>62</v>
      </c>
      <c r="C619" s="13" t="s">
        <v>1744</v>
      </c>
      <c r="D619" s="13" t="s">
        <v>1745</v>
      </c>
      <c r="E619" s="13" t="s">
        <v>1567</v>
      </c>
      <c r="F619" s="14"/>
      <c r="G619" s="14"/>
      <c r="H619" s="14"/>
      <c r="I619" s="14"/>
      <c r="J619" s="14">
        <f t="shared" si="27"/>
        <v>0</v>
      </c>
      <c r="K619" s="14">
        <f t="shared" si="28"/>
        <v>0</v>
      </c>
      <c r="L619" s="17">
        <f t="shared" si="29"/>
        <v>0</v>
      </c>
      <c r="M619" s="14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 spans="1:27" s="2" customFormat="1" ht="14">
      <c r="A620" s="12" t="s">
        <v>1746</v>
      </c>
      <c r="B620" s="13" t="s">
        <v>14</v>
      </c>
      <c r="C620" s="13" t="s">
        <v>1747</v>
      </c>
      <c r="D620" s="13" t="s">
        <v>1748</v>
      </c>
      <c r="E620" s="13" t="s">
        <v>488</v>
      </c>
      <c r="F620" s="14"/>
      <c r="G620" s="14"/>
      <c r="H620" s="14"/>
      <c r="I620" s="14"/>
      <c r="J620" s="14">
        <f t="shared" si="27"/>
        <v>0</v>
      </c>
      <c r="K620" s="14">
        <f t="shared" si="28"/>
        <v>0</v>
      </c>
      <c r="L620" s="17">
        <f t="shared" si="29"/>
        <v>0</v>
      </c>
      <c r="M620" s="14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 spans="1:27" s="2" customFormat="1" ht="14">
      <c r="A621" s="12" t="s">
        <v>1749</v>
      </c>
      <c r="B621" s="13" t="s">
        <v>14</v>
      </c>
      <c r="C621" s="13" t="s">
        <v>1750</v>
      </c>
      <c r="D621" s="13" t="s">
        <v>1751</v>
      </c>
      <c r="E621" s="13" t="s">
        <v>971</v>
      </c>
      <c r="F621" s="14"/>
      <c r="G621" s="14"/>
      <c r="H621" s="14"/>
      <c r="I621" s="14"/>
      <c r="J621" s="14">
        <f t="shared" si="27"/>
        <v>0</v>
      </c>
      <c r="K621" s="14">
        <f t="shared" si="28"/>
        <v>0</v>
      </c>
      <c r="L621" s="17">
        <f t="shared" si="29"/>
        <v>0</v>
      </c>
      <c r="M621" s="14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 spans="1:27" s="2" customFormat="1" ht="14">
      <c r="A622" s="12" t="s">
        <v>1752</v>
      </c>
      <c r="B622" s="13" t="s">
        <v>14</v>
      </c>
      <c r="C622" s="13" t="s">
        <v>1753</v>
      </c>
      <c r="D622" s="13" t="s">
        <v>1754</v>
      </c>
      <c r="E622" s="13" t="s">
        <v>21</v>
      </c>
      <c r="F622" s="14"/>
      <c r="G622" s="14"/>
      <c r="H622" s="14"/>
      <c r="I622" s="14"/>
      <c r="J622" s="14">
        <f t="shared" si="27"/>
        <v>0</v>
      </c>
      <c r="K622" s="14">
        <f t="shared" si="28"/>
        <v>0</v>
      </c>
      <c r="L622" s="17">
        <f t="shared" si="29"/>
        <v>0</v>
      </c>
      <c r="M622" s="14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 spans="1:27" s="2" customFormat="1" ht="14">
      <c r="A623" s="12" t="s">
        <v>1755</v>
      </c>
      <c r="B623" s="13" t="s">
        <v>14</v>
      </c>
      <c r="C623" s="13" t="s">
        <v>1756</v>
      </c>
      <c r="D623" s="13" t="s">
        <v>1757</v>
      </c>
      <c r="E623" s="13" t="s">
        <v>220</v>
      </c>
      <c r="F623" s="14"/>
      <c r="G623" s="14"/>
      <c r="H623" s="14"/>
      <c r="I623" s="14"/>
      <c r="J623" s="14">
        <f t="shared" si="27"/>
        <v>0</v>
      </c>
      <c r="K623" s="14">
        <f t="shared" si="28"/>
        <v>0</v>
      </c>
      <c r="L623" s="17">
        <f t="shared" si="29"/>
        <v>0</v>
      </c>
      <c r="M623" s="14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 spans="1:27" s="2" customFormat="1" ht="14">
      <c r="A624" s="12" t="s">
        <v>1758</v>
      </c>
      <c r="B624" s="13" t="s">
        <v>14</v>
      </c>
      <c r="C624" s="13" t="s">
        <v>1759</v>
      </c>
      <c r="D624" s="13" t="s">
        <v>1760</v>
      </c>
      <c r="E624" s="13" t="s">
        <v>46</v>
      </c>
      <c r="F624" s="14"/>
      <c r="G624" s="14"/>
      <c r="H624" s="14"/>
      <c r="I624" s="14"/>
      <c r="J624" s="14">
        <f t="shared" si="27"/>
        <v>0</v>
      </c>
      <c r="K624" s="14">
        <f t="shared" si="28"/>
        <v>0</v>
      </c>
      <c r="L624" s="17">
        <f t="shared" si="29"/>
        <v>0</v>
      </c>
      <c r="M624" s="14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 spans="1:27" s="2" customFormat="1" ht="14">
      <c r="A625" s="12" t="s">
        <v>1761</v>
      </c>
      <c r="B625" s="13" t="s">
        <v>62</v>
      </c>
      <c r="C625" s="13" t="s">
        <v>1762</v>
      </c>
      <c r="D625" s="13" t="s">
        <v>1763</v>
      </c>
      <c r="E625" s="13" t="s">
        <v>114</v>
      </c>
      <c r="F625" s="14"/>
      <c r="G625" s="14"/>
      <c r="H625" s="14"/>
      <c r="I625" s="14"/>
      <c r="J625" s="14">
        <f t="shared" si="27"/>
        <v>0</v>
      </c>
      <c r="K625" s="14">
        <f t="shared" si="28"/>
        <v>0</v>
      </c>
      <c r="L625" s="17">
        <f t="shared" si="29"/>
        <v>0</v>
      </c>
      <c r="M625" s="14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 spans="1:27" s="2" customFormat="1" ht="14">
      <c r="A626" s="12" t="s">
        <v>1764</v>
      </c>
      <c r="B626" s="13" t="s">
        <v>14</v>
      </c>
      <c r="C626" s="13" t="s">
        <v>1765</v>
      </c>
      <c r="D626" s="13" t="s">
        <v>1766</v>
      </c>
      <c r="E626" s="13" t="s">
        <v>68</v>
      </c>
      <c r="F626" s="14"/>
      <c r="G626" s="14"/>
      <c r="H626" s="14"/>
      <c r="I626" s="14"/>
      <c r="J626" s="14">
        <f t="shared" si="27"/>
        <v>0</v>
      </c>
      <c r="K626" s="14">
        <f t="shared" si="28"/>
        <v>0</v>
      </c>
      <c r="L626" s="17">
        <f t="shared" si="29"/>
        <v>0</v>
      </c>
      <c r="M626" s="14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 spans="1:27" s="2" customFormat="1" ht="14">
      <c r="A627" s="12" t="s">
        <v>1767</v>
      </c>
      <c r="B627" s="13" t="s">
        <v>14</v>
      </c>
      <c r="C627" s="13" t="s">
        <v>1768</v>
      </c>
      <c r="D627" s="13" t="s">
        <v>1769</v>
      </c>
      <c r="E627" s="13" t="s">
        <v>285</v>
      </c>
      <c r="F627" s="14"/>
      <c r="G627" s="14"/>
      <c r="H627" s="14"/>
      <c r="I627" s="14"/>
      <c r="J627" s="14">
        <f t="shared" si="27"/>
        <v>0</v>
      </c>
      <c r="K627" s="14">
        <f t="shared" si="28"/>
        <v>0</v>
      </c>
      <c r="L627" s="17">
        <f t="shared" si="29"/>
        <v>0</v>
      </c>
      <c r="M627" s="14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 spans="1:27" s="2" customFormat="1" ht="14">
      <c r="A628" s="12" t="s">
        <v>1770</v>
      </c>
      <c r="B628" s="13" t="s">
        <v>14</v>
      </c>
      <c r="C628" s="13" t="s">
        <v>1771</v>
      </c>
      <c r="D628" s="13" t="s">
        <v>1772</v>
      </c>
      <c r="E628" s="13" t="s">
        <v>97</v>
      </c>
      <c r="F628" s="14"/>
      <c r="G628" s="14"/>
      <c r="H628" s="14"/>
      <c r="I628" s="14"/>
      <c r="J628" s="14">
        <f t="shared" si="27"/>
        <v>0</v>
      </c>
      <c r="K628" s="14">
        <f t="shared" si="28"/>
        <v>0</v>
      </c>
      <c r="L628" s="17">
        <f t="shared" si="29"/>
        <v>0</v>
      </c>
      <c r="M628" s="14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 spans="1:27" s="2" customFormat="1" ht="14">
      <c r="A629" s="12" t="s">
        <v>1773</v>
      </c>
      <c r="B629" s="13" t="s">
        <v>14</v>
      </c>
      <c r="C629" s="13" t="s">
        <v>1774</v>
      </c>
      <c r="D629" s="13" t="s">
        <v>1775</v>
      </c>
      <c r="E629" s="13" t="s">
        <v>114</v>
      </c>
      <c r="F629" s="14"/>
      <c r="G629" s="14"/>
      <c r="H629" s="14"/>
      <c r="I629" s="14"/>
      <c r="J629" s="14">
        <f t="shared" si="27"/>
        <v>0</v>
      </c>
      <c r="K629" s="14">
        <f t="shared" si="28"/>
        <v>0</v>
      </c>
      <c r="L629" s="17">
        <f t="shared" si="29"/>
        <v>0</v>
      </c>
      <c r="M629" s="14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 spans="1:27" s="2" customFormat="1" ht="14">
      <c r="A630" s="12" t="s">
        <v>1776</v>
      </c>
      <c r="B630" s="13" t="s">
        <v>14</v>
      </c>
      <c r="C630" s="13" t="s">
        <v>1777</v>
      </c>
      <c r="D630" s="13" t="s">
        <v>1778</v>
      </c>
      <c r="E630" s="13" t="s">
        <v>43</v>
      </c>
      <c r="F630" s="14"/>
      <c r="G630" s="14"/>
      <c r="H630" s="14"/>
      <c r="I630" s="14"/>
      <c r="J630" s="14">
        <f t="shared" si="27"/>
        <v>0</v>
      </c>
      <c r="K630" s="14">
        <f t="shared" si="28"/>
        <v>0</v>
      </c>
      <c r="L630" s="17">
        <f t="shared" si="29"/>
        <v>0</v>
      </c>
      <c r="M630" s="14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 spans="1:27" s="2" customFormat="1" ht="14">
      <c r="A631" s="12" t="s">
        <v>1779</v>
      </c>
      <c r="B631" s="13" t="s">
        <v>14</v>
      </c>
      <c r="C631" s="13" t="s">
        <v>1780</v>
      </c>
      <c r="D631" s="13" t="s">
        <v>1781</v>
      </c>
      <c r="E631" s="13" t="s">
        <v>215</v>
      </c>
      <c r="F631" s="14"/>
      <c r="G631" s="14"/>
      <c r="H631" s="14"/>
      <c r="I631" s="14"/>
      <c r="J631" s="14">
        <f t="shared" si="27"/>
        <v>0</v>
      </c>
      <c r="K631" s="14">
        <f t="shared" si="28"/>
        <v>0</v>
      </c>
      <c r="L631" s="17">
        <f t="shared" si="29"/>
        <v>0</v>
      </c>
      <c r="M631" s="14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 spans="1:27" s="2" customFormat="1" ht="14">
      <c r="A632" s="12" t="s">
        <v>1782</v>
      </c>
      <c r="B632" s="13" t="s">
        <v>14</v>
      </c>
      <c r="C632" s="13" t="s">
        <v>1783</v>
      </c>
      <c r="D632" s="13" t="s">
        <v>1784</v>
      </c>
      <c r="E632" s="13" t="s">
        <v>285</v>
      </c>
      <c r="F632" s="14"/>
      <c r="G632" s="14"/>
      <c r="H632" s="14"/>
      <c r="I632" s="14"/>
      <c r="J632" s="14">
        <f t="shared" si="27"/>
        <v>0</v>
      </c>
      <c r="K632" s="14">
        <f t="shared" si="28"/>
        <v>0</v>
      </c>
      <c r="L632" s="17">
        <f t="shared" si="29"/>
        <v>0</v>
      </c>
      <c r="M632" s="14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 spans="1:27" s="2" customFormat="1" ht="14">
      <c r="A633" s="12" t="s">
        <v>1785</v>
      </c>
      <c r="B633" s="13" t="s">
        <v>14</v>
      </c>
      <c r="C633" s="13" t="s">
        <v>1786</v>
      </c>
      <c r="D633" s="13" t="s">
        <v>1787</v>
      </c>
      <c r="E633" s="13" t="s">
        <v>183</v>
      </c>
      <c r="F633" s="14"/>
      <c r="G633" s="14"/>
      <c r="H633" s="14"/>
      <c r="I633" s="14"/>
      <c r="J633" s="14">
        <f t="shared" si="27"/>
        <v>0</v>
      </c>
      <c r="K633" s="14">
        <f t="shared" si="28"/>
        <v>0</v>
      </c>
      <c r="L633" s="17">
        <f t="shared" si="29"/>
        <v>0</v>
      </c>
      <c r="M633" s="14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 spans="1:27" s="2" customFormat="1" ht="14">
      <c r="A634" s="12" t="s">
        <v>1788</v>
      </c>
      <c r="B634" s="13" t="s">
        <v>14</v>
      </c>
      <c r="C634" s="13" t="s">
        <v>1789</v>
      </c>
      <c r="D634" s="13" t="s">
        <v>1790</v>
      </c>
      <c r="E634" s="13" t="s">
        <v>319</v>
      </c>
      <c r="F634" s="14"/>
      <c r="G634" s="14"/>
      <c r="H634" s="14"/>
      <c r="I634" s="14"/>
      <c r="J634" s="14">
        <f t="shared" si="27"/>
        <v>0</v>
      </c>
      <c r="K634" s="14">
        <f t="shared" si="28"/>
        <v>0</v>
      </c>
      <c r="L634" s="17">
        <f t="shared" si="29"/>
        <v>0</v>
      </c>
      <c r="M634" s="14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 spans="1:27" s="2" customFormat="1" ht="14">
      <c r="A635" s="12" t="s">
        <v>1791</v>
      </c>
      <c r="B635" s="13" t="s">
        <v>14</v>
      </c>
      <c r="C635" s="13" t="s">
        <v>1792</v>
      </c>
      <c r="D635" s="13" t="s">
        <v>1793</v>
      </c>
      <c r="E635" s="13" t="s">
        <v>220</v>
      </c>
      <c r="F635" s="14"/>
      <c r="G635" s="14"/>
      <c r="H635" s="14"/>
      <c r="I635" s="14"/>
      <c r="J635" s="14">
        <f t="shared" si="27"/>
        <v>0</v>
      </c>
      <c r="K635" s="14">
        <f t="shared" si="28"/>
        <v>0</v>
      </c>
      <c r="L635" s="17">
        <f t="shared" si="29"/>
        <v>0</v>
      </c>
      <c r="M635" s="14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 spans="1:27" s="2" customFormat="1" ht="14">
      <c r="A636" s="12" t="s">
        <v>1794</v>
      </c>
      <c r="B636" s="13" t="s">
        <v>62</v>
      </c>
      <c r="C636" s="13" t="s">
        <v>1795</v>
      </c>
      <c r="D636" s="13" t="s">
        <v>1796</v>
      </c>
      <c r="E636" s="13" t="s">
        <v>354</v>
      </c>
      <c r="F636" s="14"/>
      <c r="G636" s="14"/>
      <c r="H636" s="14"/>
      <c r="I636" s="14"/>
      <c r="J636" s="14">
        <f t="shared" si="27"/>
        <v>0</v>
      </c>
      <c r="K636" s="14">
        <f t="shared" si="28"/>
        <v>0</v>
      </c>
      <c r="L636" s="17">
        <f t="shared" si="29"/>
        <v>0</v>
      </c>
      <c r="M636" s="14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 spans="1:27" s="2" customFormat="1" ht="14">
      <c r="A637" s="12" t="s">
        <v>1797</v>
      </c>
      <c r="B637" s="13" t="s">
        <v>62</v>
      </c>
      <c r="C637" s="13" t="s">
        <v>1798</v>
      </c>
      <c r="D637" s="13" t="s">
        <v>1799</v>
      </c>
      <c r="E637" s="13" t="s">
        <v>205</v>
      </c>
      <c r="F637" s="14"/>
      <c r="G637" s="14"/>
      <c r="H637" s="14"/>
      <c r="I637" s="14"/>
      <c r="J637" s="14">
        <f t="shared" si="27"/>
        <v>0</v>
      </c>
      <c r="K637" s="14">
        <f t="shared" si="28"/>
        <v>0</v>
      </c>
      <c r="L637" s="17">
        <f t="shared" si="29"/>
        <v>0</v>
      </c>
      <c r="M637" s="14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 spans="1:27" s="2" customFormat="1" ht="14">
      <c r="A638" s="12" t="s">
        <v>1800</v>
      </c>
      <c r="B638" s="13" t="s">
        <v>14</v>
      </c>
      <c r="C638" s="13" t="s">
        <v>1801</v>
      </c>
      <c r="D638" s="13" t="s">
        <v>1802</v>
      </c>
      <c r="E638" s="13" t="s">
        <v>1803</v>
      </c>
      <c r="F638" s="14"/>
      <c r="G638" s="14"/>
      <c r="H638" s="14"/>
      <c r="I638" s="14"/>
      <c r="J638" s="14">
        <f t="shared" si="27"/>
        <v>0</v>
      </c>
      <c r="K638" s="14">
        <f t="shared" si="28"/>
        <v>0</v>
      </c>
      <c r="L638" s="17">
        <f t="shared" si="29"/>
        <v>0</v>
      </c>
      <c r="M638" s="14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 spans="1:27" s="2" customFormat="1" ht="14">
      <c r="A639" s="12" t="s">
        <v>1804</v>
      </c>
      <c r="B639" s="13" t="s">
        <v>62</v>
      </c>
      <c r="C639" s="13" t="s">
        <v>1805</v>
      </c>
      <c r="D639" s="13" t="s">
        <v>1806</v>
      </c>
      <c r="E639" s="13" t="s">
        <v>205</v>
      </c>
      <c r="F639" s="14"/>
      <c r="G639" s="14"/>
      <c r="H639" s="14"/>
      <c r="I639" s="14"/>
      <c r="J639" s="14">
        <f t="shared" si="27"/>
        <v>0</v>
      </c>
      <c r="K639" s="14">
        <f t="shared" si="28"/>
        <v>0</v>
      </c>
      <c r="L639" s="17">
        <f t="shared" si="29"/>
        <v>0</v>
      </c>
      <c r="M639" s="14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 spans="1:27" s="2" customFormat="1" ht="14">
      <c r="A640" s="12" t="s">
        <v>1807</v>
      </c>
      <c r="B640" s="13" t="s">
        <v>14</v>
      </c>
      <c r="C640" s="13" t="s">
        <v>1808</v>
      </c>
      <c r="D640" s="13" t="s">
        <v>1809</v>
      </c>
      <c r="E640" s="13" t="s">
        <v>36</v>
      </c>
      <c r="F640" s="14"/>
      <c r="G640" s="14"/>
      <c r="H640" s="14"/>
      <c r="I640" s="14"/>
      <c r="J640" s="14">
        <f t="shared" si="27"/>
        <v>0</v>
      </c>
      <c r="K640" s="14">
        <f t="shared" si="28"/>
        <v>0</v>
      </c>
      <c r="L640" s="17">
        <f t="shared" si="29"/>
        <v>0</v>
      </c>
      <c r="M640" s="14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 spans="1:27" s="2" customFormat="1" ht="14">
      <c r="A641" s="12" t="s">
        <v>1810</v>
      </c>
      <c r="B641" s="13" t="s">
        <v>14</v>
      </c>
      <c r="C641" s="13" t="s">
        <v>1811</v>
      </c>
      <c r="D641" s="13" t="s">
        <v>1812</v>
      </c>
      <c r="E641" s="13" t="s">
        <v>32</v>
      </c>
      <c r="F641" s="14"/>
      <c r="G641" s="14"/>
      <c r="H641" s="14"/>
      <c r="I641" s="14"/>
      <c r="J641" s="14">
        <f t="shared" si="27"/>
        <v>0</v>
      </c>
      <c r="K641" s="14">
        <f t="shared" si="28"/>
        <v>0</v>
      </c>
      <c r="L641" s="17">
        <f t="shared" si="29"/>
        <v>0</v>
      </c>
      <c r="M641" s="14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 spans="1:27" s="2" customFormat="1" ht="14">
      <c r="A642" s="12" t="s">
        <v>1813</v>
      </c>
      <c r="B642" s="13" t="s">
        <v>62</v>
      </c>
      <c r="C642" s="13" t="s">
        <v>1814</v>
      </c>
      <c r="D642" s="13" t="s">
        <v>1815</v>
      </c>
      <c r="E642" s="13" t="s">
        <v>205</v>
      </c>
      <c r="F642" s="14"/>
      <c r="G642" s="14"/>
      <c r="H642" s="14"/>
      <c r="I642" s="14"/>
      <c r="J642" s="14">
        <f t="shared" ref="J642:J705" si="30">IF(G642&gt;0,1,0)</f>
        <v>0</v>
      </c>
      <c r="K642" s="14">
        <f t="shared" ref="K642:K705" si="31">IF(H642&gt;0,1,0)</f>
        <v>0</v>
      </c>
      <c r="L642" s="17">
        <f t="shared" ref="L642:L705" si="32">IF(G642&gt;0,IF(H642&gt;0,1,0),0)</f>
        <v>0</v>
      </c>
      <c r="M642" s="14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 spans="1:27" s="2" customFormat="1" ht="14">
      <c r="A643" s="12" t="s">
        <v>1816</v>
      </c>
      <c r="B643" s="13" t="s">
        <v>14</v>
      </c>
      <c r="C643" s="13" t="s">
        <v>1817</v>
      </c>
      <c r="D643" s="13" t="s">
        <v>1818</v>
      </c>
      <c r="E643" s="13" t="s">
        <v>971</v>
      </c>
      <c r="F643" s="14"/>
      <c r="G643" s="14"/>
      <c r="H643" s="14"/>
      <c r="I643" s="14"/>
      <c r="J643" s="14">
        <f t="shared" si="30"/>
        <v>0</v>
      </c>
      <c r="K643" s="14">
        <f t="shared" si="31"/>
        <v>0</v>
      </c>
      <c r="L643" s="17">
        <f t="shared" si="32"/>
        <v>0</v>
      </c>
      <c r="M643" s="14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 spans="1:27" s="2" customFormat="1" ht="14">
      <c r="A644" s="12" t="s">
        <v>1819</v>
      </c>
      <c r="B644" s="13" t="s">
        <v>62</v>
      </c>
      <c r="C644" s="13" t="s">
        <v>1820</v>
      </c>
      <c r="D644" s="13" t="s">
        <v>1821</v>
      </c>
      <c r="E644" s="13" t="s">
        <v>201</v>
      </c>
      <c r="F644" s="14"/>
      <c r="G644" s="14"/>
      <c r="H644" s="14"/>
      <c r="I644" s="14"/>
      <c r="J644" s="14">
        <f t="shared" si="30"/>
        <v>0</v>
      </c>
      <c r="K644" s="14">
        <f t="shared" si="31"/>
        <v>0</v>
      </c>
      <c r="L644" s="17">
        <f t="shared" si="32"/>
        <v>0</v>
      </c>
      <c r="M644" s="14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 spans="1:27" s="2" customFormat="1" ht="14">
      <c r="A645" s="12" t="s">
        <v>1822</v>
      </c>
      <c r="B645" s="13" t="s">
        <v>62</v>
      </c>
      <c r="C645" s="13" t="s">
        <v>1823</v>
      </c>
      <c r="D645" s="13" t="s">
        <v>1824</v>
      </c>
      <c r="E645" s="13" t="s">
        <v>354</v>
      </c>
      <c r="F645" s="14"/>
      <c r="G645" s="14"/>
      <c r="H645" s="14"/>
      <c r="I645" s="14"/>
      <c r="J645" s="14">
        <f t="shared" si="30"/>
        <v>0</v>
      </c>
      <c r="K645" s="14">
        <f t="shared" si="31"/>
        <v>0</v>
      </c>
      <c r="L645" s="17">
        <f t="shared" si="32"/>
        <v>0</v>
      </c>
      <c r="M645" s="14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 spans="1:27" s="2" customFormat="1" ht="14">
      <c r="A646" s="12" t="s">
        <v>1825</v>
      </c>
      <c r="B646" s="13" t="s">
        <v>14</v>
      </c>
      <c r="C646" s="13" t="s">
        <v>1826</v>
      </c>
      <c r="D646" s="13" t="s">
        <v>1827</v>
      </c>
      <c r="E646" s="13" t="s">
        <v>104</v>
      </c>
      <c r="F646" s="14"/>
      <c r="G646" s="14"/>
      <c r="H646" s="14"/>
      <c r="I646" s="14"/>
      <c r="J646" s="14">
        <f t="shared" si="30"/>
        <v>0</v>
      </c>
      <c r="K646" s="14">
        <f t="shared" si="31"/>
        <v>0</v>
      </c>
      <c r="L646" s="17">
        <f t="shared" si="32"/>
        <v>0</v>
      </c>
      <c r="M646" s="14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 spans="1:27" s="2" customFormat="1" ht="14">
      <c r="A647" s="12" t="s">
        <v>1828</v>
      </c>
      <c r="B647" s="13" t="s">
        <v>62</v>
      </c>
      <c r="C647" s="13" t="s">
        <v>1829</v>
      </c>
      <c r="D647" s="13" t="s">
        <v>1830</v>
      </c>
      <c r="E647" s="13" t="s">
        <v>220</v>
      </c>
      <c r="F647" s="14"/>
      <c r="G647" s="14"/>
      <c r="H647" s="14"/>
      <c r="I647" s="14"/>
      <c r="J647" s="14">
        <f t="shared" si="30"/>
        <v>0</v>
      </c>
      <c r="K647" s="14">
        <f t="shared" si="31"/>
        <v>0</v>
      </c>
      <c r="L647" s="17">
        <f t="shared" si="32"/>
        <v>0</v>
      </c>
      <c r="M647" s="14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 spans="1:27" s="2" customFormat="1" ht="14">
      <c r="A648" s="12" t="s">
        <v>1831</v>
      </c>
      <c r="B648" s="13" t="s">
        <v>14</v>
      </c>
      <c r="C648" s="13" t="s">
        <v>1832</v>
      </c>
      <c r="D648" s="13" t="s">
        <v>1833</v>
      </c>
      <c r="E648" s="13" t="s">
        <v>104</v>
      </c>
      <c r="F648" s="14"/>
      <c r="G648" s="14"/>
      <c r="H648" s="14"/>
      <c r="I648" s="14"/>
      <c r="J648" s="14">
        <f t="shared" si="30"/>
        <v>0</v>
      </c>
      <c r="K648" s="14">
        <f t="shared" si="31"/>
        <v>0</v>
      </c>
      <c r="L648" s="17">
        <f t="shared" si="32"/>
        <v>0</v>
      </c>
      <c r="M648" s="14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 spans="1:27" s="2" customFormat="1" ht="14">
      <c r="A649" s="12" t="s">
        <v>1834</v>
      </c>
      <c r="B649" s="13" t="s">
        <v>14</v>
      </c>
      <c r="C649" s="13" t="s">
        <v>1835</v>
      </c>
      <c r="D649" s="13" t="s">
        <v>1836</v>
      </c>
      <c r="E649" s="13" t="s">
        <v>488</v>
      </c>
      <c r="F649" s="14"/>
      <c r="G649" s="14"/>
      <c r="H649" s="14"/>
      <c r="I649" s="14"/>
      <c r="J649" s="14">
        <f t="shared" si="30"/>
        <v>0</v>
      </c>
      <c r="K649" s="14">
        <f t="shared" si="31"/>
        <v>0</v>
      </c>
      <c r="L649" s="17">
        <f t="shared" si="32"/>
        <v>0</v>
      </c>
      <c r="M649" s="14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 spans="1:27" s="2" customFormat="1" ht="14">
      <c r="A650" s="12">
        <v>1064996</v>
      </c>
      <c r="B650" s="13" t="s">
        <v>62</v>
      </c>
      <c r="C650" s="13" t="s">
        <v>1837</v>
      </c>
      <c r="D650" s="13" t="s">
        <v>1838</v>
      </c>
      <c r="E650" s="13" t="s">
        <v>1839</v>
      </c>
      <c r="F650" s="14"/>
      <c r="G650" s="14"/>
      <c r="H650" s="14"/>
      <c r="I650" s="14"/>
      <c r="J650" s="14">
        <f t="shared" si="30"/>
        <v>0</v>
      </c>
      <c r="K650" s="14">
        <f t="shared" si="31"/>
        <v>0</v>
      </c>
      <c r="L650" s="17">
        <f t="shared" si="32"/>
        <v>0</v>
      </c>
      <c r="M650" s="14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 spans="1:27" s="2" customFormat="1" ht="14">
      <c r="A651" s="12" t="s">
        <v>1840</v>
      </c>
      <c r="B651" s="13" t="s">
        <v>62</v>
      </c>
      <c r="C651" s="13" t="s">
        <v>1841</v>
      </c>
      <c r="D651" s="13" t="s">
        <v>1842</v>
      </c>
      <c r="E651" s="13" t="s">
        <v>25</v>
      </c>
      <c r="F651" s="14"/>
      <c r="G651" s="14"/>
      <c r="H651" s="14"/>
      <c r="I651" s="14"/>
      <c r="J651" s="14">
        <f t="shared" si="30"/>
        <v>0</v>
      </c>
      <c r="K651" s="14">
        <f t="shared" si="31"/>
        <v>0</v>
      </c>
      <c r="L651" s="17">
        <f t="shared" si="32"/>
        <v>0</v>
      </c>
      <c r="M651" s="14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 spans="1:27" s="2" customFormat="1" ht="14">
      <c r="A652" s="12" t="s">
        <v>1843</v>
      </c>
      <c r="B652" s="13" t="s">
        <v>14</v>
      </c>
      <c r="C652" s="13" t="s">
        <v>1844</v>
      </c>
      <c r="D652" s="13" t="s">
        <v>1845</v>
      </c>
      <c r="E652" s="13" t="s">
        <v>46</v>
      </c>
      <c r="F652" s="14"/>
      <c r="G652" s="14"/>
      <c r="H652" s="14"/>
      <c r="I652" s="14"/>
      <c r="J652" s="14">
        <f t="shared" si="30"/>
        <v>0</v>
      </c>
      <c r="K652" s="14">
        <f t="shared" si="31"/>
        <v>0</v>
      </c>
      <c r="L652" s="17">
        <f t="shared" si="32"/>
        <v>0</v>
      </c>
      <c r="M652" s="14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 spans="1:27" s="2" customFormat="1" ht="14">
      <c r="A653" s="12" t="s">
        <v>1846</v>
      </c>
      <c r="B653" s="13" t="s">
        <v>14</v>
      </c>
      <c r="C653" s="13" t="s">
        <v>1847</v>
      </c>
      <c r="D653" s="13" t="s">
        <v>1848</v>
      </c>
      <c r="E653" s="13" t="s">
        <v>205</v>
      </c>
      <c r="F653" s="14"/>
      <c r="G653" s="14"/>
      <c r="H653" s="14"/>
      <c r="I653" s="14"/>
      <c r="J653" s="14">
        <f t="shared" si="30"/>
        <v>0</v>
      </c>
      <c r="K653" s="14">
        <f t="shared" si="31"/>
        <v>0</v>
      </c>
      <c r="L653" s="17">
        <f t="shared" si="32"/>
        <v>0</v>
      </c>
      <c r="M653" s="14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 spans="1:27" s="2" customFormat="1" ht="14">
      <c r="A654" s="12" t="s">
        <v>1849</v>
      </c>
      <c r="B654" s="13" t="s">
        <v>14</v>
      </c>
      <c r="C654" s="13" t="s">
        <v>1850</v>
      </c>
      <c r="D654" s="13" t="s">
        <v>1851</v>
      </c>
      <c r="E654" s="13" t="s">
        <v>17</v>
      </c>
      <c r="F654" s="14"/>
      <c r="G654" s="14"/>
      <c r="H654" s="14"/>
      <c r="I654" s="14"/>
      <c r="J654" s="14">
        <f t="shared" si="30"/>
        <v>0</v>
      </c>
      <c r="K654" s="14">
        <f t="shared" si="31"/>
        <v>0</v>
      </c>
      <c r="L654" s="17">
        <f t="shared" si="32"/>
        <v>0</v>
      </c>
      <c r="M654" s="14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 spans="1:27" s="2" customFormat="1" ht="14">
      <c r="A655" s="12" t="s">
        <v>1852</v>
      </c>
      <c r="B655" s="13" t="s">
        <v>62</v>
      </c>
      <c r="C655" s="13" t="s">
        <v>1853</v>
      </c>
      <c r="D655" s="13" t="s">
        <v>1854</v>
      </c>
      <c r="E655" s="13" t="s">
        <v>156</v>
      </c>
      <c r="F655" s="14"/>
      <c r="G655" s="14"/>
      <c r="H655" s="14"/>
      <c r="I655" s="14"/>
      <c r="J655" s="14">
        <f t="shared" si="30"/>
        <v>0</v>
      </c>
      <c r="K655" s="14">
        <f t="shared" si="31"/>
        <v>0</v>
      </c>
      <c r="L655" s="17">
        <f t="shared" si="32"/>
        <v>0</v>
      </c>
      <c r="M655" s="14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 spans="1:27" s="2" customFormat="1" ht="14">
      <c r="A656" s="12" t="s">
        <v>1855</v>
      </c>
      <c r="B656" s="13" t="s">
        <v>62</v>
      </c>
      <c r="C656" s="13" t="s">
        <v>1856</v>
      </c>
      <c r="D656" s="13" t="s">
        <v>1857</v>
      </c>
      <c r="E656" s="13" t="s">
        <v>488</v>
      </c>
      <c r="F656" s="14"/>
      <c r="G656" s="14"/>
      <c r="H656" s="14"/>
      <c r="I656" s="14"/>
      <c r="J656" s="14">
        <f t="shared" si="30"/>
        <v>0</v>
      </c>
      <c r="K656" s="14">
        <f t="shared" si="31"/>
        <v>0</v>
      </c>
      <c r="L656" s="17">
        <f t="shared" si="32"/>
        <v>0</v>
      </c>
      <c r="M656" s="14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 spans="1:27" s="2" customFormat="1" ht="14">
      <c r="A657" s="12" t="s">
        <v>1858</v>
      </c>
      <c r="B657" s="13" t="s">
        <v>62</v>
      </c>
      <c r="C657" s="13" t="s">
        <v>1859</v>
      </c>
      <c r="D657" s="13" t="s">
        <v>1860</v>
      </c>
      <c r="E657" s="13" t="s">
        <v>215</v>
      </c>
      <c r="F657" s="14"/>
      <c r="G657" s="14"/>
      <c r="H657" s="14"/>
      <c r="I657" s="14"/>
      <c r="J657" s="14">
        <f t="shared" si="30"/>
        <v>0</v>
      </c>
      <c r="K657" s="14">
        <f t="shared" si="31"/>
        <v>0</v>
      </c>
      <c r="L657" s="17">
        <f t="shared" si="32"/>
        <v>0</v>
      </c>
      <c r="M657" s="14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 spans="1:27" s="2" customFormat="1" ht="14">
      <c r="A658" s="12" t="s">
        <v>1861</v>
      </c>
      <c r="B658" s="13" t="s">
        <v>14</v>
      </c>
      <c r="C658" s="13" t="s">
        <v>1862</v>
      </c>
      <c r="D658" s="13" t="s">
        <v>1863</v>
      </c>
      <c r="E658" s="13" t="s">
        <v>17</v>
      </c>
      <c r="F658" s="14"/>
      <c r="G658" s="14"/>
      <c r="H658" s="14"/>
      <c r="I658" s="14"/>
      <c r="J658" s="14">
        <f t="shared" si="30"/>
        <v>0</v>
      </c>
      <c r="K658" s="14">
        <f t="shared" si="31"/>
        <v>0</v>
      </c>
      <c r="L658" s="17">
        <f t="shared" si="32"/>
        <v>0</v>
      </c>
      <c r="M658" s="14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 spans="1:27" s="2" customFormat="1" ht="14">
      <c r="A659" s="12" t="s">
        <v>1864</v>
      </c>
      <c r="B659" s="13" t="s">
        <v>14</v>
      </c>
      <c r="C659" s="13" t="s">
        <v>1865</v>
      </c>
      <c r="D659" s="13" t="s">
        <v>1866</v>
      </c>
      <c r="E659" s="13" t="s">
        <v>136</v>
      </c>
      <c r="F659" s="14"/>
      <c r="G659" s="14"/>
      <c r="H659" s="14"/>
      <c r="I659" s="14"/>
      <c r="J659" s="14">
        <f t="shared" si="30"/>
        <v>0</v>
      </c>
      <c r="K659" s="14">
        <f t="shared" si="31"/>
        <v>0</v>
      </c>
      <c r="L659" s="17">
        <f t="shared" si="32"/>
        <v>0</v>
      </c>
      <c r="M659" s="14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 spans="1:27" s="2" customFormat="1" ht="14">
      <c r="A660" s="12" t="s">
        <v>1867</v>
      </c>
      <c r="B660" s="13" t="s">
        <v>62</v>
      </c>
      <c r="C660" s="13" t="s">
        <v>1868</v>
      </c>
      <c r="D660" s="13" t="s">
        <v>1869</v>
      </c>
      <c r="E660" s="13" t="s">
        <v>46</v>
      </c>
      <c r="F660" s="14"/>
      <c r="G660" s="14"/>
      <c r="H660" s="14"/>
      <c r="I660" s="14"/>
      <c r="J660" s="14">
        <f t="shared" si="30"/>
        <v>0</v>
      </c>
      <c r="K660" s="14">
        <f t="shared" si="31"/>
        <v>0</v>
      </c>
      <c r="L660" s="17">
        <f t="shared" si="32"/>
        <v>0</v>
      </c>
      <c r="M660" s="14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 spans="1:27" s="2" customFormat="1" ht="14">
      <c r="A661" s="12" t="s">
        <v>1870</v>
      </c>
      <c r="B661" s="13" t="s">
        <v>14</v>
      </c>
      <c r="C661" s="13" t="s">
        <v>1871</v>
      </c>
      <c r="D661" s="13" t="s">
        <v>1872</v>
      </c>
      <c r="E661" s="13" t="s">
        <v>68</v>
      </c>
      <c r="F661" s="14"/>
      <c r="G661" s="14"/>
      <c r="H661" s="14"/>
      <c r="I661" s="14"/>
      <c r="J661" s="14">
        <f t="shared" si="30"/>
        <v>0</v>
      </c>
      <c r="K661" s="14">
        <f t="shared" si="31"/>
        <v>0</v>
      </c>
      <c r="L661" s="17">
        <f t="shared" si="32"/>
        <v>0</v>
      </c>
      <c r="M661" s="14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 spans="1:27" s="2" customFormat="1" ht="14">
      <c r="A662" s="12" t="s">
        <v>1873</v>
      </c>
      <c r="B662" s="13" t="s">
        <v>14</v>
      </c>
      <c r="C662" s="13" t="s">
        <v>1874</v>
      </c>
      <c r="D662" s="13" t="s">
        <v>1875</v>
      </c>
      <c r="E662" s="13" t="s">
        <v>220</v>
      </c>
      <c r="F662" s="14"/>
      <c r="G662" s="14"/>
      <c r="H662" s="14"/>
      <c r="I662" s="14"/>
      <c r="J662" s="14">
        <f t="shared" si="30"/>
        <v>0</v>
      </c>
      <c r="K662" s="14">
        <f t="shared" si="31"/>
        <v>0</v>
      </c>
      <c r="L662" s="17">
        <f t="shared" si="32"/>
        <v>0</v>
      </c>
      <c r="M662" s="14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 spans="1:27" s="2" customFormat="1" ht="14">
      <c r="A663" s="12" t="s">
        <v>1876</v>
      </c>
      <c r="B663" s="13" t="s">
        <v>62</v>
      </c>
      <c r="C663" s="13" t="s">
        <v>1877</v>
      </c>
      <c r="D663" s="13" t="s">
        <v>1878</v>
      </c>
      <c r="E663" s="13" t="s">
        <v>83</v>
      </c>
      <c r="F663" s="14"/>
      <c r="G663" s="14"/>
      <c r="H663" s="14"/>
      <c r="I663" s="14"/>
      <c r="J663" s="14">
        <f t="shared" si="30"/>
        <v>0</v>
      </c>
      <c r="K663" s="14">
        <f t="shared" si="31"/>
        <v>0</v>
      </c>
      <c r="L663" s="17">
        <f t="shared" si="32"/>
        <v>0</v>
      </c>
      <c r="M663" s="14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 spans="1:27" s="2" customFormat="1" ht="14">
      <c r="A664" s="12" t="s">
        <v>1879</v>
      </c>
      <c r="B664" s="13" t="s">
        <v>14</v>
      </c>
      <c r="C664" s="13" t="s">
        <v>1880</v>
      </c>
      <c r="D664" s="13" t="s">
        <v>1881</v>
      </c>
      <c r="E664" s="13" t="s">
        <v>72</v>
      </c>
      <c r="F664" s="14"/>
      <c r="G664" s="14"/>
      <c r="H664" s="14"/>
      <c r="I664" s="14"/>
      <c r="J664" s="14">
        <f t="shared" si="30"/>
        <v>0</v>
      </c>
      <c r="K664" s="14">
        <f t="shared" si="31"/>
        <v>0</v>
      </c>
      <c r="L664" s="17">
        <f t="shared" si="32"/>
        <v>0</v>
      </c>
      <c r="M664" s="14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 spans="1:27" s="2" customFormat="1" ht="14">
      <c r="A665" s="12" t="s">
        <v>1882</v>
      </c>
      <c r="B665" s="13" t="s">
        <v>14</v>
      </c>
      <c r="C665" s="13" t="s">
        <v>1883</v>
      </c>
      <c r="D665" s="13" t="s">
        <v>1884</v>
      </c>
      <c r="E665" s="13" t="s">
        <v>104</v>
      </c>
      <c r="F665" s="14"/>
      <c r="G665" s="14"/>
      <c r="H665" s="14"/>
      <c r="I665" s="14"/>
      <c r="J665" s="14">
        <f t="shared" si="30"/>
        <v>0</v>
      </c>
      <c r="K665" s="14">
        <f t="shared" si="31"/>
        <v>0</v>
      </c>
      <c r="L665" s="17">
        <f t="shared" si="32"/>
        <v>0</v>
      </c>
      <c r="M665" s="14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 spans="1:27" s="2" customFormat="1" ht="14">
      <c r="A666" s="12" t="s">
        <v>1885</v>
      </c>
      <c r="B666" s="13" t="s">
        <v>14</v>
      </c>
      <c r="C666" s="13" t="s">
        <v>1886</v>
      </c>
      <c r="D666" s="13" t="s">
        <v>1887</v>
      </c>
      <c r="E666" s="13" t="s">
        <v>40</v>
      </c>
      <c r="F666" s="14"/>
      <c r="G666" s="14"/>
      <c r="H666" s="14"/>
      <c r="I666" s="14"/>
      <c r="J666" s="14">
        <f t="shared" si="30"/>
        <v>0</v>
      </c>
      <c r="K666" s="14">
        <f t="shared" si="31"/>
        <v>0</v>
      </c>
      <c r="L666" s="17">
        <f t="shared" si="32"/>
        <v>0</v>
      </c>
      <c r="M666" s="14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 spans="1:27" s="2" customFormat="1" ht="14">
      <c r="A667" s="12" t="s">
        <v>1888</v>
      </c>
      <c r="B667" s="13" t="s">
        <v>14</v>
      </c>
      <c r="C667" s="13" t="s">
        <v>1889</v>
      </c>
      <c r="D667" s="13" t="s">
        <v>1890</v>
      </c>
      <c r="E667" s="13" t="s">
        <v>446</v>
      </c>
      <c r="F667" s="14"/>
      <c r="G667" s="14"/>
      <c r="H667" s="14"/>
      <c r="I667" s="14"/>
      <c r="J667" s="14">
        <f t="shared" si="30"/>
        <v>0</v>
      </c>
      <c r="K667" s="14">
        <f t="shared" si="31"/>
        <v>0</v>
      </c>
      <c r="L667" s="17">
        <f t="shared" si="32"/>
        <v>0</v>
      </c>
      <c r="M667" s="14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 spans="1:27" s="2" customFormat="1" ht="14">
      <c r="A668" s="12" t="s">
        <v>1891</v>
      </c>
      <c r="B668" s="13" t="s">
        <v>14</v>
      </c>
      <c r="C668" s="13" t="s">
        <v>1892</v>
      </c>
      <c r="D668" s="13" t="s">
        <v>1893</v>
      </c>
      <c r="E668" s="13" t="s">
        <v>104</v>
      </c>
      <c r="F668" s="14"/>
      <c r="G668" s="14"/>
      <c r="H668" s="14"/>
      <c r="I668" s="14"/>
      <c r="J668" s="14">
        <f t="shared" si="30"/>
        <v>0</v>
      </c>
      <c r="K668" s="14">
        <f t="shared" si="31"/>
        <v>0</v>
      </c>
      <c r="L668" s="17">
        <f t="shared" si="32"/>
        <v>0</v>
      </c>
      <c r="M668" s="14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 spans="1:27" s="2" customFormat="1" ht="14">
      <c r="A669" s="12" t="s">
        <v>1894</v>
      </c>
      <c r="B669" s="13" t="s">
        <v>14</v>
      </c>
      <c r="C669" s="13" t="s">
        <v>1895</v>
      </c>
      <c r="D669" s="13" t="s">
        <v>1896</v>
      </c>
      <c r="E669" s="13" t="s">
        <v>285</v>
      </c>
      <c r="F669" s="14"/>
      <c r="G669" s="14"/>
      <c r="H669" s="14"/>
      <c r="I669" s="14"/>
      <c r="J669" s="14">
        <f t="shared" si="30"/>
        <v>0</v>
      </c>
      <c r="K669" s="14">
        <f t="shared" si="31"/>
        <v>0</v>
      </c>
      <c r="L669" s="17">
        <f t="shared" si="32"/>
        <v>0</v>
      </c>
      <c r="M669" s="14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 spans="1:27" s="2" customFormat="1" ht="14">
      <c r="A670" s="12" t="s">
        <v>1897</v>
      </c>
      <c r="B670" s="13" t="s">
        <v>62</v>
      </c>
      <c r="C670" s="13" t="s">
        <v>1898</v>
      </c>
      <c r="D670" s="13" t="s">
        <v>1899</v>
      </c>
      <c r="E670" s="13" t="s">
        <v>205</v>
      </c>
      <c r="F670" s="14"/>
      <c r="G670" s="14"/>
      <c r="H670" s="14"/>
      <c r="I670" s="14"/>
      <c r="J670" s="14">
        <f t="shared" si="30"/>
        <v>0</v>
      </c>
      <c r="K670" s="14">
        <f t="shared" si="31"/>
        <v>0</v>
      </c>
      <c r="L670" s="17">
        <f t="shared" si="32"/>
        <v>0</v>
      </c>
      <c r="M670" s="14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 spans="1:27" s="2" customFormat="1" ht="14">
      <c r="A671" s="12" t="s">
        <v>1900</v>
      </c>
      <c r="B671" s="13" t="s">
        <v>14</v>
      </c>
      <c r="C671" s="13" t="s">
        <v>1901</v>
      </c>
      <c r="D671" s="13" t="s">
        <v>1902</v>
      </c>
      <c r="E671" s="13" t="s">
        <v>36</v>
      </c>
      <c r="F671" s="14"/>
      <c r="G671" s="14"/>
      <c r="H671" s="14"/>
      <c r="I671" s="14"/>
      <c r="J671" s="14">
        <f t="shared" si="30"/>
        <v>0</v>
      </c>
      <c r="K671" s="14">
        <f t="shared" si="31"/>
        <v>0</v>
      </c>
      <c r="L671" s="17">
        <f t="shared" si="32"/>
        <v>0</v>
      </c>
      <c r="M671" s="14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 spans="1:27" s="2" customFormat="1" ht="14">
      <c r="A672" s="12" t="s">
        <v>1903</v>
      </c>
      <c r="B672" s="13" t="s">
        <v>14</v>
      </c>
      <c r="C672" s="13" t="s">
        <v>1904</v>
      </c>
      <c r="D672" s="13" t="s">
        <v>1905</v>
      </c>
      <c r="E672" s="13" t="s">
        <v>36</v>
      </c>
      <c r="F672" s="14"/>
      <c r="G672" s="14"/>
      <c r="H672" s="14"/>
      <c r="I672" s="14"/>
      <c r="J672" s="14">
        <f t="shared" si="30"/>
        <v>0</v>
      </c>
      <c r="K672" s="14">
        <f t="shared" si="31"/>
        <v>0</v>
      </c>
      <c r="L672" s="17">
        <f t="shared" si="32"/>
        <v>0</v>
      </c>
      <c r="M672" s="14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 spans="1:27" s="2" customFormat="1" ht="14">
      <c r="A673" s="12" t="s">
        <v>1906</v>
      </c>
      <c r="B673" s="13" t="s">
        <v>14</v>
      </c>
      <c r="C673" s="13" t="s">
        <v>1907</v>
      </c>
      <c r="D673" s="13" t="s">
        <v>1908</v>
      </c>
      <c r="E673" s="13" t="s">
        <v>72</v>
      </c>
      <c r="F673" s="14"/>
      <c r="G673" s="14"/>
      <c r="H673" s="14"/>
      <c r="I673" s="14"/>
      <c r="J673" s="14">
        <f t="shared" si="30"/>
        <v>0</v>
      </c>
      <c r="K673" s="14">
        <f t="shared" si="31"/>
        <v>0</v>
      </c>
      <c r="L673" s="17">
        <f t="shared" si="32"/>
        <v>0</v>
      </c>
      <c r="M673" s="14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 spans="1:27" s="2" customFormat="1" ht="14">
      <c r="A674" s="12" t="s">
        <v>1909</v>
      </c>
      <c r="B674" s="13" t="s">
        <v>62</v>
      </c>
      <c r="C674" s="13" t="s">
        <v>1910</v>
      </c>
      <c r="D674" s="13" t="s">
        <v>1911</v>
      </c>
      <c r="E674" s="13" t="s">
        <v>150</v>
      </c>
      <c r="F674" s="14"/>
      <c r="G674" s="14"/>
      <c r="H674" s="14"/>
      <c r="I674" s="14"/>
      <c r="J674" s="14">
        <f t="shared" si="30"/>
        <v>0</v>
      </c>
      <c r="K674" s="14">
        <f t="shared" si="31"/>
        <v>0</v>
      </c>
      <c r="L674" s="17">
        <f t="shared" si="32"/>
        <v>0</v>
      </c>
      <c r="M674" s="14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 spans="1:27" s="2" customFormat="1" ht="14">
      <c r="A675" s="12" t="s">
        <v>1912</v>
      </c>
      <c r="B675" s="13" t="s">
        <v>14</v>
      </c>
      <c r="C675" s="13" t="s">
        <v>1913</v>
      </c>
      <c r="D675" s="13" t="s">
        <v>1914</v>
      </c>
      <c r="E675" s="13" t="s">
        <v>156</v>
      </c>
      <c r="F675" s="14"/>
      <c r="G675" s="14"/>
      <c r="H675" s="14"/>
      <c r="I675" s="14"/>
      <c r="J675" s="14">
        <f t="shared" si="30"/>
        <v>0</v>
      </c>
      <c r="K675" s="14">
        <f t="shared" si="31"/>
        <v>0</v>
      </c>
      <c r="L675" s="17">
        <f t="shared" si="32"/>
        <v>0</v>
      </c>
      <c r="M675" s="14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 spans="1:27" s="2" customFormat="1" ht="14">
      <c r="A676" s="12" t="s">
        <v>1915</v>
      </c>
      <c r="B676" s="13" t="s">
        <v>14</v>
      </c>
      <c r="C676" s="13" t="s">
        <v>1916</v>
      </c>
      <c r="D676" s="13" t="s">
        <v>1917</v>
      </c>
      <c r="E676" s="13" t="s">
        <v>40</v>
      </c>
      <c r="F676" s="14"/>
      <c r="G676" s="14"/>
      <c r="H676" s="14"/>
      <c r="I676" s="14"/>
      <c r="J676" s="14">
        <f t="shared" si="30"/>
        <v>0</v>
      </c>
      <c r="K676" s="14">
        <f t="shared" si="31"/>
        <v>0</v>
      </c>
      <c r="L676" s="17">
        <f t="shared" si="32"/>
        <v>0</v>
      </c>
      <c r="M676" s="14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 spans="1:27" s="2" customFormat="1" ht="14">
      <c r="A677" s="12" t="s">
        <v>1918</v>
      </c>
      <c r="B677" s="13" t="s">
        <v>14</v>
      </c>
      <c r="C677" s="13" t="s">
        <v>1919</v>
      </c>
      <c r="D677" s="13" t="s">
        <v>1920</v>
      </c>
      <c r="E677" s="13" t="s">
        <v>220</v>
      </c>
      <c r="F677" s="14"/>
      <c r="G677" s="14"/>
      <c r="H677" s="14"/>
      <c r="I677" s="14"/>
      <c r="J677" s="14">
        <f t="shared" si="30"/>
        <v>0</v>
      </c>
      <c r="K677" s="14">
        <f t="shared" si="31"/>
        <v>0</v>
      </c>
      <c r="L677" s="17">
        <f t="shared" si="32"/>
        <v>0</v>
      </c>
      <c r="M677" s="14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 spans="1:27" s="2" customFormat="1" ht="14">
      <c r="A678" s="12" t="s">
        <v>1921</v>
      </c>
      <c r="B678" s="13" t="s">
        <v>14</v>
      </c>
      <c r="C678" s="13" t="s">
        <v>1922</v>
      </c>
      <c r="D678" s="13" t="s">
        <v>1923</v>
      </c>
      <c r="E678" s="13" t="s">
        <v>40</v>
      </c>
      <c r="F678" s="14"/>
      <c r="G678" s="14"/>
      <c r="H678" s="14"/>
      <c r="I678" s="14"/>
      <c r="J678" s="14">
        <f t="shared" si="30"/>
        <v>0</v>
      </c>
      <c r="K678" s="14">
        <f t="shared" si="31"/>
        <v>0</v>
      </c>
      <c r="L678" s="17">
        <f t="shared" si="32"/>
        <v>0</v>
      </c>
      <c r="M678" s="14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 spans="1:27" s="2" customFormat="1" ht="14">
      <c r="A679" s="12" t="s">
        <v>1924</v>
      </c>
      <c r="B679" s="13" t="s">
        <v>14</v>
      </c>
      <c r="C679" s="13" t="s">
        <v>1925</v>
      </c>
      <c r="D679" s="13" t="s">
        <v>1926</v>
      </c>
      <c r="E679" s="13" t="s">
        <v>29</v>
      </c>
      <c r="F679" s="14"/>
      <c r="G679" s="14"/>
      <c r="H679" s="14"/>
      <c r="I679" s="14"/>
      <c r="J679" s="14">
        <f t="shared" si="30"/>
        <v>0</v>
      </c>
      <c r="K679" s="14">
        <f t="shared" si="31"/>
        <v>0</v>
      </c>
      <c r="L679" s="17">
        <f t="shared" si="32"/>
        <v>0</v>
      </c>
      <c r="M679" s="14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 spans="1:27" s="2" customFormat="1" ht="14">
      <c r="A680" s="12" t="s">
        <v>1927</v>
      </c>
      <c r="B680" s="13" t="s">
        <v>62</v>
      </c>
      <c r="C680" s="13" t="s">
        <v>1928</v>
      </c>
      <c r="D680" s="13" t="s">
        <v>1929</v>
      </c>
      <c r="E680" s="13" t="s">
        <v>104</v>
      </c>
      <c r="F680" s="14"/>
      <c r="G680" s="14"/>
      <c r="H680" s="14"/>
      <c r="I680" s="14"/>
      <c r="J680" s="14">
        <f t="shared" si="30"/>
        <v>0</v>
      </c>
      <c r="K680" s="14">
        <f t="shared" si="31"/>
        <v>0</v>
      </c>
      <c r="L680" s="17">
        <f t="shared" si="32"/>
        <v>0</v>
      </c>
      <c r="M680" s="14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 spans="1:27" s="2" customFormat="1" ht="14">
      <c r="A681" s="12" t="s">
        <v>1930</v>
      </c>
      <c r="B681" s="13" t="s">
        <v>14</v>
      </c>
      <c r="C681" s="13" t="s">
        <v>1931</v>
      </c>
      <c r="D681" s="13" t="s">
        <v>1932</v>
      </c>
      <c r="E681" s="13" t="s">
        <v>488</v>
      </c>
      <c r="F681" s="14"/>
      <c r="G681" s="14"/>
      <c r="H681" s="14"/>
      <c r="I681" s="14"/>
      <c r="J681" s="14">
        <f t="shared" si="30"/>
        <v>0</v>
      </c>
      <c r="K681" s="14">
        <f t="shared" si="31"/>
        <v>0</v>
      </c>
      <c r="L681" s="17">
        <f t="shared" si="32"/>
        <v>0</v>
      </c>
      <c r="M681" s="14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 spans="1:27" s="2" customFormat="1" ht="14">
      <c r="A682" s="12" t="s">
        <v>1933</v>
      </c>
      <c r="B682" s="13" t="s">
        <v>14</v>
      </c>
      <c r="C682" s="13" t="s">
        <v>1934</v>
      </c>
      <c r="D682" s="13" t="s">
        <v>1935</v>
      </c>
      <c r="E682" s="13" t="s">
        <v>97</v>
      </c>
      <c r="F682" s="14"/>
      <c r="G682" s="14"/>
      <c r="H682" s="14"/>
      <c r="I682" s="14"/>
      <c r="J682" s="14">
        <f t="shared" si="30"/>
        <v>0</v>
      </c>
      <c r="K682" s="14">
        <f t="shared" si="31"/>
        <v>0</v>
      </c>
      <c r="L682" s="17">
        <f t="shared" si="32"/>
        <v>0</v>
      </c>
      <c r="M682" s="14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 spans="1:27" s="2" customFormat="1" ht="14">
      <c r="A683" s="12" t="s">
        <v>1936</v>
      </c>
      <c r="B683" s="13" t="s">
        <v>14</v>
      </c>
      <c r="C683" s="13" t="s">
        <v>1937</v>
      </c>
      <c r="D683" s="13" t="s">
        <v>1938</v>
      </c>
      <c r="E683" s="13" t="s">
        <v>97</v>
      </c>
      <c r="F683" s="14"/>
      <c r="G683" s="14"/>
      <c r="H683" s="14"/>
      <c r="I683" s="14"/>
      <c r="J683" s="14">
        <f t="shared" si="30"/>
        <v>0</v>
      </c>
      <c r="K683" s="14">
        <f t="shared" si="31"/>
        <v>0</v>
      </c>
      <c r="L683" s="17">
        <f t="shared" si="32"/>
        <v>0</v>
      </c>
      <c r="M683" s="14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 spans="1:27" s="2" customFormat="1" ht="14">
      <c r="A684" s="12" t="s">
        <v>1939</v>
      </c>
      <c r="B684" s="13" t="s">
        <v>14</v>
      </c>
      <c r="C684" s="13" t="s">
        <v>1940</v>
      </c>
      <c r="D684" s="13" t="s">
        <v>1941</v>
      </c>
      <c r="E684" s="13" t="s">
        <v>971</v>
      </c>
      <c r="F684" s="14"/>
      <c r="G684" s="14"/>
      <c r="H684" s="14"/>
      <c r="I684" s="14"/>
      <c r="J684" s="14">
        <f t="shared" si="30"/>
        <v>0</v>
      </c>
      <c r="K684" s="14">
        <f t="shared" si="31"/>
        <v>0</v>
      </c>
      <c r="L684" s="17">
        <f t="shared" si="32"/>
        <v>0</v>
      </c>
      <c r="M684" s="14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 spans="1:27" s="2" customFormat="1" ht="14">
      <c r="A685" s="12" t="s">
        <v>1942</v>
      </c>
      <c r="B685" s="13" t="s">
        <v>62</v>
      </c>
      <c r="C685" s="13" t="s">
        <v>1943</v>
      </c>
      <c r="D685" s="13" t="s">
        <v>1944</v>
      </c>
      <c r="E685" s="13" t="s">
        <v>398</v>
      </c>
      <c r="F685" s="14"/>
      <c r="G685" s="14"/>
      <c r="H685" s="14"/>
      <c r="I685" s="14"/>
      <c r="J685" s="14">
        <f t="shared" si="30"/>
        <v>0</v>
      </c>
      <c r="K685" s="14">
        <f t="shared" si="31"/>
        <v>0</v>
      </c>
      <c r="L685" s="17">
        <f t="shared" si="32"/>
        <v>0</v>
      </c>
      <c r="M685" s="14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 spans="1:27" s="2" customFormat="1" ht="14">
      <c r="A686" s="12" t="s">
        <v>1945</v>
      </c>
      <c r="B686" s="13" t="s">
        <v>62</v>
      </c>
      <c r="C686" s="13" t="s">
        <v>1946</v>
      </c>
      <c r="D686" s="13" t="s">
        <v>1947</v>
      </c>
      <c r="E686" s="13" t="s">
        <v>238</v>
      </c>
      <c r="F686" s="14"/>
      <c r="G686" s="14"/>
      <c r="H686" s="14"/>
      <c r="I686" s="14"/>
      <c r="J686" s="14">
        <f t="shared" si="30"/>
        <v>0</v>
      </c>
      <c r="K686" s="14">
        <f t="shared" si="31"/>
        <v>0</v>
      </c>
      <c r="L686" s="17">
        <f t="shared" si="32"/>
        <v>0</v>
      </c>
      <c r="M686" s="14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 spans="1:27" s="2" customFormat="1" ht="14">
      <c r="A687" s="12" t="s">
        <v>1948</v>
      </c>
      <c r="B687" s="13" t="s">
        <v>14</v>
      </c>
      <c r="C687" s="13" t="s">
        <v>1949</v>
      </c>
      <c r="D687" s="13" t="s">
        <v>1950</v>
      </c>
      <c r="E687" s="13" t="s">
        <v>136</v>
      </c>
      <c r="F687" s="14"/>
      <c r="G687" s="14"/>
      <c r="H687" s="14"/>
      <c r="I687" s="14"/>
      <c r="J687" s="14">
        <f t="shared" si="30"/>
        <v>0</v>
      </c>
      <c r="K687" s="14">
        <f t="shared" si="31"/>
        <v>0</v>
      </c>
      <c r="L687" s="17">
        <f t="shared" si="32"/>
        <v>0</v>
      </c>
      <c r="M687" s="14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 spans="1:27" s="2" customFormat="1" ht="14">
      <c r="A688" s="12" t="s">
        <v>1951</v>
      </c>
      <c r="B688" s="13" t="s">
        <v>14</v>
      </c>
      <c r="C688" s="13" t="s">
        <v>1952</v>
      </c>
      <c r="D688" s="13" t="s">
        <v>1953</v>
      </c>
      <c r="E688" s="13" t="s">
        <v>29</v>
      </c>
      <c r="F688" s="14"/>
      <c r="G688" s="14"/>
      <c r="H688" s="14"/>
      <c r="I688" s="14"/>
      <c r="J688" s="14">
        <f t="shared" si="30"/>
        <v>0</v>
      </c>
      <c r="K688" s="14">
        <f t="shared" si="31"/>
        <v>0</v>
      </c>
      <c r="L688" s="17">
        <f t="shared" si="32"/>
        <v>0</v>
      </c>
      <c r="M688" s="14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 spans="1:27" s="2" customFormat="1" ht="14">
      <c r="A689" s="12" t="s">
        <v>1954</v>
      </c>
      <c r="B689" s="13" t="s">
        <v>14</v>
      </c>
      <c r="C689" s="13" t="s">
        <v>1955</v>
      </c>
      <c r="D689" s="13" t="s">
        <v>1956</v>
      </c>
      <c r="E689" s="13" t="s">
        <v>36</v>
      </c>
      <c r="F689" s="14"/>
      <c r="G689" s="14"/>
      <c r="H689" s="14"/>
      <c r="I689" s="14"/>
      <c r="J689" s="14">
        <f t="shared" si="30"/>
        <v>0</v>
      </c>
      <c r="K689" s="14">
        <f t="shared" si="31"/>
        <v>0</v>
      </c>
      <c r="L689" s="17">
        <f t="shared" si="32"/>
        <v>0</v>
      </c>
      <c r="M689" s="14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 spans="1:27" s="2" customFormat="1" ht="14">
      <c r="A690" s="12" t="s">
        <v>1957</v>
      </c>
      <c r="B690" s="13" t="s">
        <v>62</v>
      </c>
      <c r="C690" s="13" t="s">
        <v>1958</v>
      </c>
      <c r="D690" s="13" t="s">
        <v>1959</v>
      </c>
      <c r="E690" s="13" t="s">
        <v>83</v>
      </c>
      <c r="F690" s="14"/>
      <c r="G690" s="14"/>
      <c r="H690" s="14"/>
      <c r="I690" s="14"/>
      <c r="J690" s="14">
        <f t="shared" si="30"/>
        <v>0</v>
      </c>
      <c r="K690" s="14">
        <f t="shared" si="31"/>
        <v>0</v>
      </c>
      <c r="L690" s="17">
        <f t="shared" si="32"/>
        <v>0</v>
      </c>
      <c r="M690" s="14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 spans="1:27" s="2" customFormat="1" ht="14">
      <c r="A691" s="12" t="s">
        <v>1960</v>
      </c>
      <c r="B691" s="13" t="s">
        <v>14</v>
      </c>
      <c r="C691" s="13" t="s">
        <v>1961</v>
      </c>
      <c r="D691" s="13" t="s">
        <v>1962</v>
      </c>
      <c r="E691" s="13" t="s">
        <v>220</v>
      </c>
      <c r="F691" s="14"/>
      <c r="G691" s="14"/>
      <c r="H691" s="14"/>
      <c r="I691" s="14"/>
      <c r="J691" s="14">
        <f t="shared" si="30"/>
        <v>0</v>
      </c>
      <c r="K691" s="14">
        <f t="shared" si="31"/>
        <v>0</v>
      </c>
      <c r="L691" s="17">
        <f t="shared" si="32"/>
        <v>0</v>
      </c>
      <c r="M691" s="14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 spans="1:27" s="2" customFormat="1" ht="14">
      <c r="A692" s="12" t="s">
        <v>1963</v>
      </c>
      <c r="B692" s="13" t="s">
        <v>14</v>
      </c>
      <c r="C692" s="13" t="s">
        <v>1964</v>
      </c>
      <c r="D692" s="13" t="s">
        <v>1965</v>
      </c>
      <c r="E692" s="13" t="s">
        <v>97</v>
      </c>
      <c r="F692" s="14"/>
      <c r="G692" s="14"/>
      <c r="H692" s="14"/>
      <c r="I692" s="14"/>
      <c r="J692" s="14">
        <f t="shared" si="30"/>
        <v>0</v>
      </c>
      <c r="K692" s="14">
        <f t="shared" si="31"/>
        <v>0</v>
      </c>
      <c r="L692" s="17">
        <f t="shared" si="32"/>
        <v>0</v>
      </c>
      <c r="M692" s="14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 spans="1:27" s="2" customFormat="1" ht="14">
      <c r="A693" s="12" t="s">
        <v>1966</v>
      </c>
      <c r="B693" s="13" t="s">
        <v>62</v>
      </c>
      <c r="C693" s="13" t="s">
        <v>1967</v>
      </c>
      <c r="D693" s="13" t="s">
        <v>1968</v>
      </c>
      <c r="E693" s="13" t="s">
        <v>21</v>
      </c>
      <c r="F693" s="14"/>
      <c r="G693" s="14"/>
      <c r="H693" s="14"/>
      <c r="I693" s="14"/>
      <c r="J693" s="14">
        <f t="shared" si="30"/>
        <v>0</v>
      </c>
      <c r="K693" s="14">
        <f t="shared" si="31"/>
        <v>0</v>
      </c>
      <c r="L693" s="17">
        <f t="shared" si="32"/>
        <v>0</v>
      </c>
      <c r="M693" s="14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 spans="1:27" s="2" customFormat="1" ht="14">
      <c r="A694" s="12" t="s">
        <v>1969</v>
      </c>
      <c r="B694" s="13" t="s">
        <v>14</v>
      </c>
      <c r="C694" s="13" t="s">
        <v>1970</v>
      </c>
      <c r="D694" s="13" t="s">
        <v>1971</v>
      </c>
      <c r="E694" s="13" t="s">
        <v>285</v>
      </c>
      <c r="F694" s="14"/>
      <c r="G694" s="14"/>
      <c r="H694" s="14"/>
      <c r="I694" s="14"/>
      <c r="J694" s="14">
        <f t="shared" si="30"/>
        <v>0</v>
      </c>
      <c r="K694" s="14">
        <f t="shared" si="31"/>
        <v>0</v>
      </c>
      <c r="L694" s="17">
        <f t="shared" si="32"/>
        <v>0</v>
      </c>
      <c r="M694" s="14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 spans="1:27" s="2" customFormat="1" ht="14">
      <c r="A695" s="12" t="s">
        <v>1972</v>
      </c>
      <c r="B695" s="13" t="s">
        <v>14</v>
      </c>
      <c r="C695" s="13" t="s">
        <v>1973</v>
      </c>
      <c r="D695" s="13" t="s">
        <v>1974</v>
      </c>
      <c r="E695" s="13" t="s">
        <v>83</v>
      </c>
      <c r="F695" s="14"/>
      <c r="G695" s="14"/>
      <c r="H695" s="14"/>
      <c r="I695" s="14"/>
      <c r="J695" s="14">
        <f t="shared" si="30"/>
        <v>0</v>
      </c>
      <c r="K695" s="14">
        <f t="shared" si="31"/>
        <v>0</v>
      </c>
      <c r="L695" s="17">
        <f t="shared" si="32"/>
        <v>0</v>
      </c>
      <c r="M695" s="14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 spans="1:27" s="2" customFormat="1" ht="14">
      <c r="A696" s="12" t="s">
        <v>1975</v>
      </c>
      <c r="B696" s="13" t="s">
        <v>14</v>
      </c>
      <c r="C696" s="13" t="s">
        <v>1976</v>
      </c>
      <c r="D696" s="13" t="s">
        <v>1977</v>
      </c>
      <c r="E696" s="13" t="s">
        <v>29</v>
      </c>
      <c r="F696" s="14"/>
      <c r="G696" s="14"/>
      <c r="H696" s="14"/>
      <c r="I696" s="14"/>
      <c r="J696" s="14">
        <f t="shared" si="30"/>
        <v>0</v>
      </c>
      <c r="K696" s="14">
        <f t="shared" si="31"/>
        <v>0</v>
      </c>
      <c r="L696" s="17">
        <f t="shared" si="32"/>
        <v>0</v>
      </c>
      <c r="M696" s="14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 spans="1:27" s="2" customFormat="1" ht="14">
      <c r="A697" s="12" t="s">
        <v>1978</v>
      </c>
      <c r="B697" s="13" t="s">
        <v>14</v>
      </c>
      <c r="C697" s="13" t="s">
        <v>1979</v>
      </c>
      <c r="D697" s="13" t="s">
        <v>1980</v>
      </c>
      <c r="E697" s="13" t="s">
        <v>57</v>
      </c>
      <c r="F697" s="14"/>
      <c r="G697" s="14"/>
      <c r="H697" s="14"/>
      <c r="I697" s="14"/>
      <c r="J697" s="14">
        <f t="shared" si="30"/>
        <v>0</v>
      </c>
      <c r="K697" s="14">
        <f t="shared" si="31"/>
        <v>0</v>
      </c>
      <c r="L697" s="17">
        <f t="shared" si="32"/>
        <v>0</v>
      </c>
      <c r="M697" s="14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 spans="1:27" s="2" customFormat="1" ht="14">
      <c r="A698" s="12" t="s">
        <v>1981</v>
      </c>
      <c r="B698" s="13" t="s">
        <v>14</v>
      </c>
      <c r="C698" s="13" t="s">
        <v>1982</v>
      </c>
      <c r="D698" s="13" t="s">
        <v>1983</v>
      </c>
      <c r="E698" s="13" t="s">
        <v>68</v>
      </c>
      <c r="F698" s="14"/>
      <c r="G698" s="14"/>
      <c r="H698" s="14"/>
      <c r="I698" s="14"/>
      <c r="J698" s="14">
        <f t="shared" si="30"/>
        <v>0</v>
      </c>
      <c r="K698" s="14">
        <f t="shared" si="31"/>
        <v>0</v>
      </c>
      <c r="L698" s="17">
        <f t="shared" si="32"/>
        <v>0</v>
      </c>
      <c r="M698" s="14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 spans="1:27" s="2" customFormat="1" ht="14">
      <c r="A699" s="12" t="s">
        <v>1984</v>
      </c>
      <c r="B699" s="13" t="s">
        <v>14</v>
      </c>
      <c r="C699" s="13" t="s">
        <v>1985</v>
      </c>
      <c r="D699" s="13" t="s">
        <v>1986</v>
      </c>
      <c r="E699" s="13" t="s">
        <v>29</v>
      </c>
      <c r="F699" s="14"/>
      <c r="G699" s="14"/>
      <c r="H699" s="14"/>
      <c r="I699" s="14"/>
      <c r="J699" s="14">
        <f t="shared" si="30"/>
        <v>0</v>
      </c>
      <c r="K699" s="14">
        <f t="shared" si="31"/>
        <v>0</v>
      </c>
      <c r="L699" s="17">
        <f t="shared" si="32"/>
        <v>0</v>
      </c>
      <c r="M699" s="14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 spans="1:27" s="2" customFormat="1" ht="14">
      <c r="A700" s="12" t="s">
        <v>1987</v>
      </c>
      <c r="B700" s="13" t="s">
        <v>14</v>
      </c>
      <c r="C700" s="13" t="s">
        <v>1988</v>
      </c>
      <c r="D700" s="13" t="s">
        <v>1989</v>
      </c>
      <c r="E700" s="13" t="s">
        <v>136</v>
      </c>
      <c r="F700" s="14"/>
      <c r="G700" s="14"/>
      <c r="H700" s="14"/>
      <c r="I700" s="14"/>
      <c r="J700" s="14">
        <f t="shared" si="30"/>
        <v>0</v>
      </c>
      <c r="K700" s="14">
        <f t="shared" si="31"/>
        <v>0</v>
      </c>
      <c r="L700" s="17">
        <f t="shared" si="32"/>
        <v>0</v>
      </c>
      <c r="M700" s="14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 spans="1:27" s="2" customFormat="1" ht="14">
      <c r="A701" s="12" t="s">
        <v>1990</v>
      </c>
      <c r="B701" s="13" t="s">
        <v>14</v>
      </c>
      <c r="C701" s="13" t="s">
        <v>1991</v>
      </c>
      <c r="D701" s="13" t="s">
        <v>1992</v>
      </c>
      <c r="E701" s="13" t="s">
        <v>136</v>
      </c>
      <c r="F701" s="14"/>
      <c r="G701" s="14"/>
      <c r="H701" s="14"/>
      <c r="I701" s="14"/>
      <c r="J701" s="14">
        <f t="shared" si="30"/>
        <v>0</v>
      </c>
      <c r="K701" s="14">
        <f t="shared" si="31"/>
        <v>0</v>
      </c>
      <c r="L701" s="17">
        <f t="shared" si="32"/>
        <v>0</v>
      </c>
      <c r="M701" s="14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 spans="1:27" s="2" customFormat="1" ht="14">
      <c r="A702" s="12" t="s">
        <v>1993</v>
      </c>
      <c r="B702" s="13" t="s">
        <v>14</v>
      </c>
      <c r="C702" s="13" t="s">
        <v>1994</v>
      </c>
      <c r="D702" s="13" t="s">
        <v>1995</v>
      </c>
      <c r="E702" s="13" t="s">
        <v>29</v>
      </c>
      <c r="F702" s="14"/>
      <c r="G702" s="14"/>
      <c r="H702" s="14"/>
      <c r="I702" s="14"/>
      <c r="J702" s="14">
        <f t="shared" si="30"/>
        <v>0</v>
      </c>
      <c r="K702" s="14">
        <f t="shared" si="31"/>
        <v>0</v>
      </c>
      <c r="L702" s="17">
        <f t="shared" si="32"/>
        <v>0</v>
      </c>
      <c r="M702" s="14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 spans="1:27" s="2" customFormat="1" ht="14">
      <c r="A703" s="12">
        <v>1075035</v>
      </c>
      <c r="B703" s="13" t="s">
        <v>14</v>
      </c>
      <c r="C703" s="13" t="s">
        <v>1996</v>
      </c>
      <c r="D703" s="13" t="s">
        <v>1997</v>
      </c>
      <c r="E703" s="13" t="s">
        <v>1998</v>
      </c>
      <c r="F703" s="14"/>
      <c r="G703" s="14"/>
      <c r="H703" s="14"/>
      <c r="I703" s="14"/>
      <c r="J703" s="14">
        <f t="shared" si="30"/>
        <v>0</v>
      </c>
      <c r="K703" s="14">
        <f t="shared" si="31"/>
        <v>0</v>
      </c>
      <c r="L703" s="17">
        <f t="shared" si="32"/>
        <v>0</v>
      </c>
      <c r="M703" s="14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 spans="1:27" s="2" customFormat="1" ht="14">
      <c r="A704" s="12" t="s">
        <v>1999</v>
      </c>
      <c r="B704" s="13" t="s">
        <v>62</v>
      </c>
      <c r="C704" s="13" t="s">
        <v>2000</v>
      </c>
      <c r="D704" s="13" t="s">
        <v>2001</v>
      </c>
      <c r="E704" s="13" t="s">
        <v>220</v>
      </c>
      <c r="F704" s="14"/>
      <c r="G704" s="14"/>
      <c r="H704" s="14"/>
      <c r="I704" s="14"/>
      <c r="J704" s="14">
        <f t="shared" si="30"/>
        <v>0</v>
      </c>
      <c r="K704" s="14">
        <f t="shared" si="31"/>
        <v>0</v>
      </c>
      <c r="L704" s="17">
        <f t="shared" si="32"/>
        <v>0</v>
      </c>
      <c r="M704" s="14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 spans="1:27" s="2" customFormat="1" ht="14">
      <c r="A705" s="12" t="s">
        <v>2002</v>
      </c>
      <c r="B705" s="13" t="s">
        <v>62</v>
      </c>
      <c r="C705" s="13" t="s">
        <v>2003</v>
      </c>
      <c r="D705" s="13" t="s">
        <v>2004</v>
      </c>
      <c r="E705" s="13" t="s">
        <v>2005</v>
      </c>
      <c r="F705" s="14"/>
      <c r="G705" s="14"/>
      <c r="H705" s="14"/>
      <c r="I705" s="14"/>
      <c r="J705" s="14">
        <f t="shared" si="30"/>
        <v>0</v>
      </c>
      <c r="K705" s="14">
        <f t="shared" si="31"/>
        <v>0</v>
      </c>
      <c r="L705" s="17">
        <f t="shared" si="32"/>
        <v>0</v>
      </c>
      <c r="M705" s="14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 spans="1:27" s="2" customFormat="1" ht="14">
      <c r="A706" s="12" t="s">
        <v>2006</v>
      </c>
      <c r="B706" s="13" t="s">
        <v>14</v>
      </c>
      <c r="C706" s="13" t="s">
        <v>2007</v>
      </c>
      <c r="D706" s="13" t="s">
        <v>2008</v>
      </c>
      <c r="E706" s="13" t="s">
        <v>91</v>
      </c>
      <c r="F706" s="14"/>
      <c r="G706" s="14"/>
      <c r="H706" s="14"/>
      <c r="I706" s="14"/>
      <c r="J706" s="14">
        <f t="shared" ref="J706:J769" si="33">IF(G706&gt;0,1,0)</f>
        <v>0</v>
      </c>
      <c r="K706" s="14">
        <f t="shared" ref="K706:K769" si="34">IF(H706&gt;0,1,0)</f>
        <v>0</v>
      </c>
      <c r="L706" s="17">
        <f t="shared" ref="L706:L769" si="35">IF(G706&gt;0,IF(H706&gt;0,1,0),0)</f>
        <v>0</v>
      </c>
      <c r="M706" s="14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 spans="1:27" s="2" customFormat="1" ht="14">
      <c r="A707" s="12" t="s">
        <v>2009</v>
      </c>
      <c r="B707" s="13" t="s">
        <v>62</v>
      </c>
      <c r="C707" s="13" t="s">
        <v>2010</v>
      </c>
      <c r="D707" s="13" t="s">
        <v>2011</v>
      </c>
      <c r="E707" s="13" t="s">
        <v>79</v>
      </c>
      <c r="F707" s="14"/>
      <c r="G707" s="14"/>
      <c r="H707" s="14"/>
      <c r="I707" s="14"/>
      <c r="J707" s="14">
        <f t="shared" si="33"/>
        <v>0</v>
      </c>
      <c r="K707" s="14">
        <f t="shared" si="34"/>
        <v>0</v>
      </c>
      <c r="L707" s="17">
        <f t="shared" si="35"/>
        <v>0</v>
      </c>
      <c r="M707" s="14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 spans="1:27" s="2" customFormat="1" ht="14">
      <c r="A708" s="12" t="s">
        <v>2012</v>
      </c>
      <c r="B708" s="13" t="s">
        <v>14</v>
      </c>
      <c r="C708" s="13" t="s">
        <v>2013</v>
      </c>
      <c r="D708" s="13" t="s">
        <v>2014</v>
      </c>
      <c r="E708" s="13" t="s">
        <v>136</v>
      </c>
      <c r="F708" s="14"/>
      <c r="G708" s="14"/>
      <c r="H708" s="14"/>
      <c r="I708" s="14"/>
      <c r="J708" s="14">
        <f t="shared" si="33"/>
        <v>0</v>
      </c>
      <c r="K708" s="14">
        <f t="shared" si="34"/>
        <v>0</v>
      </c>
      <c r="L708" s="17">
        <f t="shared" si="35"/>
        <v>0</v>
      </c>
      <c r="M708" s="14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 spans="1:27" s="2" customFormat="1" ht="14">
      <c r="A709" s="12" t="s">
        <v>2015</v>
      </c>
      <c r="B709" s="13" t="s">
        <v>14</v>
      </c>
      <c r="C709" s="13" t="s">
        <v>2016</v>
      </c>
      <c r="D709" s="13" t="s">
        <v>2017</v>
      </c>
      <c r="E709" s="13" t="s">
        <v>36</v>
      </c>
      <c r="F709" s="14"/>
      <c r="G709" s="14"/>
      <c r="H709" s="14"/>
      <c r="I709" s="14"/>
      <c r="J709" s="14">
        <f t="shared" si="33"/>
        <v>0</v>
      </c>
      <c r="K709" s="14">
        <f t="shared" si="34"/>
        <v>0</v>
      </c>
      <c r="L709" s="17">
        <f t="shared" si="35"/>
        <v>0</v>
      </c>
      <c r="M709" s="14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 spans="1:27" s="2" customFormat="1" ht="14">
      <c r="A710" s="12" t="s">
        <v>2018</v>
      </c>
      <c r="B710" s="13" t="s">
        <v>14</v>
      </c>
      <c r="C710" s="13" t="s">
        <v>2019</v>
      </c>
      <c r="D710" s="13" t="s">
        <v>2020</v>
      </c>
      <c r="E710" s="13" t="s">
        <v>1113</v>
      </c>
      <c r="F710" s="14"/>
      <c r="G710" s="14"/>
      <c r="H710" s="14"/>
      <c r="I710" s="14"/>
      <c r="J710" s="14">
        <f t="shared" si="33"/>
        <v>0</v>
      </c>
      <c r="K710" s="14">
        <f t="shared" si="34"/>
        <v>0</v>
      </c>
      <c r="L710" s="17">
        <f t="shared" si="35"/>
        <v>0</v>
      </c>
      <c r="M710" s="14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 spans="1:27" s="2" customFormat="1" ht="14">
      <c r="A711" s="12" t="s">
        <v>2021</v>
      </c>
      <c r="B711" s="13" t="s">
        <v>14</v>
      </c>
      <c r="C711" s="13" t="s">
        <v>2022</v>
      </c>
      <c r="D711" s="13" t="s">
        <v>2023</v>
      </c>
      <c r="E711" s="13" t="s">
        <v>285</v>
      </c>
      <c r="F711" s="14"/>
      <c r="G711" s="14"/>
      <c r="H711" s="14"/>
      <c r="I711" s="14"/>
      <c r="J711" s="14">
        <f t="shared" si="33"/>
        <v>0</v>
      </c>
      <c r="K711" s="14">
        <f t="shared" si="34"/>
        <v>0</v>
      </c>
      <c r="L711" s="17">
        <f t="shared" si="35"/>
        <v>0</v>
      </c>
      <c r="M711" s="14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 spans="1:27" s="2" customFormat="1" ht="14">
      <c r="A712" s="12" t="s">
        <v>2024</v>
      </c>
      <c r="B712" s="13" t="s">
        <v>14</v>
      </c>
      <c r="C712" s="13" t="s">
        <v>2025</v>
      </c>
      <c r="D712" s="13" t="s">
        <v>2026</v>
      </c>
      <c r="E712" s="13" t="s">
        <v>46</v>
      </c>
      <c r="F712" s="14"/>
      <c r="G712" s="14"/>
      <c r="H712" s="14"/>
      <c r="I712" s="14"/>
      <c r="J712" s="14">
        <f t="shared" si="33"/>
        <v>0</v>
      </c>
      <c r="K712" s="14">
        <f t="shared" si="34"/>
        <v>0</v>
      </c>
      <c r="L712" s="17">
        <f t="shared" si="35"/>
        <v>0</v>
      </c>
      <c r="M712" s="14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 spans="1:27" s="2" customFormat="1" ht="14">
      <c r="A713" s="12" t="s">
        <v>2027</v>
      </c>
      <c r="B713" s="13" t="s">
        <v>14</v>
      </c>
      <c r="C713" s="13" t="s">
        <v>2028</v>
      </c>
      <c r="D713" s="13" t="s">
        <v>2029</v>
      </c>
      <c r="E713" s="13" t="s">
        <v>29</v>
      </c>
      <c r="F713" s="14"/>
      <c r="G713" s="14"/>
      <c r="H713" s="14"/>
      <c r="I713" s="14"/>
      <c r="J713" s="14">
        <f t="shared" si="33"/>
        <v>0</v>
      </c>
      <c r="K713" s="14">
        <f t="shared" si="34"/>
        <v>0</v>
      </c>
      <c r="L713" s="17">
        <f t="shared" si="35"/>
        <v>0</v>
      </c>
      <c r="M713" s="14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 spans="1:27" s="2" customFormat="1" ht="14">
      <c r="A714" s="12" t="s">
        <v>2030</v>
      </c>
      <c r="B714" s="13" t="s">
        <v>62</v>
      </c>
      <c r="C714" s="13" t="s">
        <v>2031</v>
      </c>
      <c r="D714" s="13" t="s">
        <v>2032</v>
      </c>
      <c r="E714" s="13" t="s">
        <v>76</v>
      </c>
      <c r="F714" s="14"/>
      <c r="G714" s="14"/>
      <c r="H714" s="14"/>
      <c r="I714" s="14"/>
      <c r="J714" s="14">
        <f t="shared" si="33"/>
        <v>0</v>
      </c>
      <c r="K714" s="14">
        <f t="shared" si="34"/>
        <v>0</v>
      </c>
      <c r="L714" s="17">
        <f t="shared" si="35"/>
        <v>0</v>
      </c>
      <c r="M714" s="14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 spans="1:27" s="2" customFormat="1" ht="14">
      <c r="A715" s="12" t="s">
        <v>2033</v>
      </c>
      <c r="B715" s="13" t="s">
        <v>14</v>
      </c>
      <c r="C715" s="13" t="s">
        <v>2034</v>
      </c>
      <c r="D715" s="13" t="s">
        <v>2035</v>
      </c>
      <c r="E715" s="13" t="s">
        <v>79</v>
      </c>
      <c r="F715" s="14"/>
      <c r="G715" s="14"/>
      <c r="H715" s="14"/>
      <c r="I715" s="14"/>
      <c r="J715" s="14">
        <f t="shared" si="33"/>
        <v>0</v>
      </c>
      <c r="K715" s="14">
        <f t="shared" si="34"/>
        <v>0</v>
      </c>
      <c r="L715" s="17">
        <f t="shared" si="35"/>
        <v>0</v>
      </c>
      <c r="M715" s="14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 spans="1:27" s="2" customFormat="1" ht="14">
      <c r="A716" s="12" t="s">
        <v>2036</v>
      </c>
      <c r="B716" s="13" t="s">
        <v>14</v>
      </c>
      <c r="C716" s="13" t="s">
        <v>2037</v>
      </c>
      <c r="D716" s="13" t="s">
        <v>2038</v>
      </c>
      <c r="E716" s="13" t="s">
        <v>285</v>
      </c>
      <c r="F716" s="14"/>
      <c r="G716" s="14"/>
      <c r="H716" s="14"/>
      <c r="I716" s="14"/>
      <c r="J716" s="14">
        <f t="shared" si="33"/>
        <v>0</v>
      </c>
      <c r="K716" s="14">
        <f t="shared" si="34"/>
        <v>0</v>
      </c>
      <c r="L716" s="17">
        <f t="shared" si="35"/>
        <v>0</v>
      </c>
      <c r="M716" s="14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 spans="1:27" s="2" customFormat="1" ht="14">
      <c r="A717" s="12" t="s">
        <v>2039</v>
      </c>
      <c r="B717" s="13" t="s">
        <v>62</v>
      </c>
      <c r="C717" s="13" t="s">
        <v>2040</v>
      </c>
      <c r="D717" s="13" t="s">
        <v>2041</v>
      </c>
      <c r="E717" s="13" t="s">
        <v>72</v>
      </c>
      <c r="F717" s="14"/>
      <c r="G717" s="14"/>
      <c r="H717" s="14"/>
      <c r="I717" s="14"/>
      <c r="J717" s="14">
        <f t="shared" si="33"/>
        <v>0</v>
      </c>
      <c r="K717" s="14">
        <f t="shared" si="34"/>
        <v>0</v>
      </c>
      <c r="L717" s="17">
        <f t="shared" si="35"/>
        <v>0</v>
      </c>
      <c r="M717" s="14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 spans="1:27" s="2" customFormat="1" ht="14">
      <c r="A718" s="12" t="s">
        <v>2042</v>
      </c>
      <c r="B718" s="13" t="s">
        <v>14</v>
      </c>
      <c r="C718" s="13" t="s">
        <v>2043</v>
      </c>
      <c r="D718" s="13" t="s">
        <v>2044</v>
      </c>
      <c r="E718" s="13" t="s">
        <v>21</v>
      </c>
      <c r="F718" s="14"/>
      <c r="G718" s="14"/>
      <c r="H718" s="14"/>
      <c r="I718" s="14"/>
      <c r="J718" s="14">
        <f t="shared" si="33"/>
        <v>0</v>
      </c>
      <c r="K718" s="14">
        <f t="shared" si="34"/>
        <v>0</v>
      </c>
      <c r="L718" s="17">
        <f t="shared" si="35"/>
        <v>0</v>
      </c>
      <c r="M718" s="14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 spans="1:27" s="2" customFormat="1" ht="14">
      <c r="A719" s="12" t="s">
        <v>2045</v>
      </c>
      <c r="B719" s="13" t="s">
        <v>14</v>
      </c>
      <c r="C719" s="13" t="s">
        <v>2046</v>
      </c>
      <c r="D719" s="13" t="s">
        <v>2047</v>
      </c>
      <c r="E719" s="13" t="s">
        <v>971</v>
      </c>
      <c r="F719" s="14"/>
      <c r="G719" s="14"/>
      <c r="H719" s="14"/>
      <c r="I719" s="14"/>
      <c r="J719" s="14">
        <f t="shared" si="33"/>
        <v>0</v>
      </c>
      <c r="K719" s="14">
        <f t="shared" si="34"/>
        <v>0</v>
      </c>
      <c r="L719" s="17">
        <f t="shared" si="35"/>
        <v>0</v>
      </c>
      <c r="M719" s="14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 spans="1:27" s="2" customFormat="1" ht="14">
      <c r="A720" s="12" t="s">
        <v>2048</v>
      </c>
      <c r="B720" s="13" t="s">
        <v>62</v>
      </c>
      <c r="C720" s="13" t="s">
        <v>2049</v>
      </c>
      <c r="D720" s="13" t="s">
        <v>2050</v>
      </c>
      <c r="E720" s="13" t="s">
        <v>183</v>
      </c>
      <c r="F720" s="14"/>
      <c r="G720" s="14"/>
      <c r="H720" s="14"/>
      <c r="I720" s="14"/>
      <c r="J720" s="14">
        <f t="shared" si="33"/>
        <v>0</v>
      </c>
      <c r="K720" s="14">
        <f t="shared" si="34"/>
        <v>0</v>
      </c>
      <c r="L720" s="17">
        <f t="shared" si="35"/>
        <v>0</v>
      </c>
      <c r="M720" s="14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 spans="1:27" s="2" customFormat="1" ht="14">
      <c r="A721" s="12" t="s">
        <v>2051</v>
      </c>
      <c r="B721" s="13" t="s">
        <v>14</v>
      </c>
      <c r="C721" s="13" t="s">
        <v>2052</v>
      </c>
      <c r="D721" s="13" t="s">
        <v>2053</v>
      </c>
      <c r="E721" s="13" t="s">
        <v>156</v>
      </c>
      <c r="F721" s="14"/>
      <c r="G721" s="14"/>
      <c r="H721" s="14"/>
      <c r="I721" s="14"/>
      <c r="J721" s="14">
        <f t="shared" si="33"/>
        <v>0</v>
      </c>
      <c r="K721" s="14">
        <f t="shared" si="34"/>
        <v>0</v>
      </c>
      <c r="L721" s="17">
        <f t="shared" si="35"/>
        <v>0</v>
      </c>
      <c r="M721" s="14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 spans="1:27" s="2" customFormat="1" ht="14">
      <c r="A722" s="12" t="s">
        <v>2054</v>
      </c>
      <c r="B722" s="13" t="s">
        <v>62</v>
      </c>
      <c r="C722" s="13" t="s">
        <v>2055</v>
      </c>
      <c r="D722" s="13" t="s">
        <v>2056</v>
      </c>
      <c r="E722" s="13" t="s">
        <v>398</v>
      </c>
      <c r="F722" s="14"/>
      <c r="G722" s="14"/>
      <c r="H722" s="14"/>
      <c r="I722" s="14"/>
      <c r="J722" s="14">
        <f t="shared" si="33"/>
        <v>0</v>
      </c>
      <c r="K722" s="14">
        <f t="shared" si="34"/>
        <v>0</v>
      </c>
      <c r="L722" s="17">
        <f t="shared" si="35"/>
        <v>0</v>
      </c>
      <c r="M722" s="14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 spans="1:27" s="2" customFormat="1" ht="14">
      <c r="A723" s="12" t="s">
        <v>2057</v>
      </c>
      <c r="B723" s="13" t="s">
        <v>62</v>
      </c>
      <c r="C723" s="13" t="s">
        <v>2058</v>
      </c>
      <c r="D723" s="13" t="s">
        <v>2059</v>
      </c>
      <c r="E723" s="13" t="s">
        <v>201</v>
      </c>
      <c r="F723" s="14"/>
      <c r="G723" s="14"/>
      <c r="H723" s="14"/>
      <c r="I723" s="14"/>
      <c r="J723" s="14">
        <f t="shared" si="33"/>
        <v>0</v>
      </c>
      <c r="K723" s="14">
        <f t="shared" si="34"/>
        <v>0</v>
      </c>
      <c r="L723" s="17">
        <f t="shared" si="35"/>
        <v>0</v>
      </c>
      <c r="M723" s="14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 spans="1:27" s="2" customFormat="1" ht="14">
      <c r="A724" s="12" t="s">
        <v>2060</v>
      </c>
      <c r="B724" s="13" t="s">
        <v>14</v>
      </c>
      <c r="C724" s="13" t="s">
        <v>2061</v>
      </c>
      <c r="D724" s="13" t="s">
        <v>2062</v>
      </c>
      <c r="E724" s="13" t="s">
        <v>36</v>
      </c>
      <c r="F724" s="14"/>
      <c r="G724" s="14"/>
      <c r="H724" s="14"/>
      <c r="I724" s="14"/>
      <c r="J724" s="14">
        <f t="shared" si="33"/>
        <v>0</v>
      </c>
      <c r="K724" s="14">
        <f t="shared" si="34"/>
        <v>0</v>
      </c>
      <c r="L724" s="17">
        <f t="shared" si="35"/>
        <v>0</v>
      </c>
      <c r="M724" s="14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 spans="1:27" s="2" customFormat="1" ht="14">
      <c r="A725" s="12" t="s">
        <v>2063</v>
      </c>
      <c r="B725" s="13" t="s">
        <v>14</v>
      </c>
      <c r="C725" s="13" t="s">
        <v>2064</v>
      </c>
      <c r="D725" s="13" t="s">
        <v>2065</v>
      </c>
      <c r="E725" s="13" t="s">
        <v>72</v>
      </c>
      <c r="F725" s="14"/>
      <c r="G725" s="14"/>
      <c r="H725" s="14"/>
      <c r="I725" s="14"/>
      <c r="J725" s="14">
        <f t="shared" si="33"/>
        <v>0</v>
      </c>
      <c r="K725" s="14">
        <f t="shared" si="34"/>
        <v>0</v>
      </c>
      <c r="L725" s="17">
        <f t="shared" si="35"/>
        <v>0</v>
      </c>
      <c r="M725" s="14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 spans="1:27" s="2" customFormat="1" ht="14">
      <c r="A726" s="12" t="s">
        <v>2066</v>
      </c>
      <c r="B726" s="13" t="s">
        <v>14</v>
      </c>
      <c r="C726" s="13" t="s">
        <v>2067</v>
      </c>
      <c r="D726" s="13" t="s">
        <v>2068</v>
      </c>
      <c r="E726" s="13" t="s">
        <v>17</v>
      </c>
      <c r="F726" s="14"/>
      <c r="G726" s="14"/>
      <c r="H726" s="14"/>
      <c r="I726" s="14"/>
      <c r="J726" s="14">
        <f t="shared" si="33"/>
        <v>0</v>
      </c>
      <c r="K726" s="14">
        <f t="shared" si="34"/>
        <v>0</v>
      </c>
      <c r="L726" s="17">
        <f t="shared" si="35"/>
        <v>0</v>
      </c>
      <c r="M726" s="14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 spans="1:27" s="2" customFormat="1" ht="14">
      <c r="A727" s="12" t="s">
        <v>2069</v>
      </c>
      <c r="B727" s="13" t="s">
        <v>14</v>
      </c>
      <c r="C727" s="13" t="s">
        <v>2070</v>
      </c>
      <c r="D727" s="13" t="s">
        <v>2071</v>
      </c>
      <c r="E727" s="13" t="s">
        <v>402</v>
      </c>
      <c r="F727" s="14"/>
      <c r="G727" s="14"/>
      <c r="H727" s="14"/>
      <c r="I727" s="14"/>
      <c r="J727" s="14">
        <f t="shared" si="33"/>
        <v>0</v>
      </c>
      <c r="K727" s="14">
        <f t="shared" si="34"/>
        <v>0</v>
      </c>
      <c r="L727" s="17">
        <f t="shared" si="35"/>
        <v>0</v>
      </c>
      <c r="M727" s="14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 spans="1:27" s="2" customFormat="1" ht="14">
      <c r="A728" s="12" t="s">
        <v>2072</v>
      </c>
      <c r="B728" s="13" t="s">
        <v>14</v>
      </c>
      <c r="C728" s="13" t="s">
        <v>2073</v>
      </c>
      <c r="D728" s="13" t="s">
        <v>2074</v>
      </c>
      <c r="E728" s="13" t="s">
        <v>32</v>
      </c>
      <c r="F728" s="14"/>
      <c r="G728" s="14"/>
      <c r="H728" s="14"/>
      <c r="I728" s="14"/>
      <c r="J728" s="14">
        <f t="shared" si="33"/>
        <v>0</v>
      </c>
      <c r="K728" s="14">
        <f t="shared" si="34"/>
        <v>0</v>
      </c>
      <c r="L728" s="17">
        <f t="shared" si="35"/>
        <v>0</v>
      </c>
      <c r="M728" s="14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 spans="1:27" s="2" customFormat="1" ht="14">
      <c r="A729" s="12" t="s">
        <v>2075</v>
      </c>
      <c r="B729" s="13" t="s">
        <v>14</v>
      </c>
      <c r="C729" s="13" t="s">
        <v>2076</v>
      </c>
      <c r="D729" s="13" t="s">
        <v>2077</v>
      </c>
      <c r="E729" s="13" t="s">
        <v>29</v>
      </c>
      <c r="F729" s="14"/>
      <c r="G729" s="14"/>
      <c r="H729" s="14"/>
      <c r="I729" s="14"/>
      <c r="J729" s="14">
        <f t="shared" si="33"/>
        <v>0</v>
      </c>
      <c r="K729" s="14">
        <f t="shared" si="34"/>
        <v>0</v>
      </c>
      <c r="L729" s="17">
        <f t="shared" si="35"/>
        <v>0</v>
      </c>
      <c r="M729" s="14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 spans="1:27" s="2" customFormat="1" ht="14">
      <c r="A730" s="12" t="s">
        <v>2078</v>
      </c>
      <c r="B730" s="13" t="s">
        <v>62</v>
      </c>
      <c r="C730" s="13" t="s">
        <v>2079</v>
      </c>
      <c r="D730" s="13" t="s">
        <v>2080</v>
      </c>
      <c r="E730" s="13" t="s">
        <v>285</v>
      </c>
      <c r="F730" s="14"/>
      <c r="G730" s="14"/>
      <c r="H730" s="14"/>
      <c r="I730" s="14"/>
      <c r="J730" s="14">
        <f t="shared" si="33"/>
        <v>0</v>
      </c>
      <c r="K730" s="14">
        <f t="shared" si="34"/>
        <v>0</v>
      </c>
      <c r="L730" s="17">
        <f t="shared" si="35"/>
        <v>0</v>
      </c>
      <c r="M730" s="14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 spans="1:27" s="2" customFormat="1" ht="14">
      <c r="A731" s="12" t="s">
        <v>2081</v>
      </c>
      <c r="B731" s="13" t="s">
        <v>14</v>
      </c>
      <c r="C731" s="13" t="s">
        <v>2082</v>
      </c>
      <c r="D731" s="13" t="s">
        <v>2083</v>
      </c>
      <c r="E731" s="13" t="s">
        <v>156</v>
      </c>
      <c r="F731" s="14"/>
      <c r="G731" s="14"/>
      <c r="H731" s="14"/>
      <c r="I731" s="14"/>
      <c r="J731" s="14">
        <f t="shared" si="33"/>
        <v>0</v>
      </c>
      <c r="K731" s="14">
        <f t="shared" si="34"/>
        <v>0</v>
      </c>
      <c r="L731" s="17">
        <f t="shared" si="35"/>
        <v>0</v>
      </c>
      <c r="M731" s="14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 spans="1:27" s="2" customFormat="1" ht="14">
      <c r="A732" s="12" t="s">
        <v>2084</v>
      </c>
      <c r="B732" s="13" t="s">
        <v>62</v>
      </c>
      <c r="C732" s="13" t="s">
        <v>2085</v>
      </c>
      <c r="D732" s="13" t="s">
        <v>2086</v>
      </c>
      <c r="E732" s="13" t="s">
        <v>126</v>
      </c>
      <c r="F732" s="14"/>
      <c r="G732" s="14"/>
      <c r="H732" s="14"/>
      <c r="I732" s="14"/>
      <c r="J732" s="14">
        <f t="shared" si="33"/>
        <v>0</v>
      </c>
      <c r="K732" s="14">
        <f t="shared" si="34"/>
        <v>0</v>
      </c>
      <c r="L732" s="17">
        <f t="shared" si="35"/>
        <v>0</v>
      </c>
      <c r="M732" s="14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 spans="1:27" s="2" customFormat="1" ht="14">
      <c r="A733" s="12" t="s">
        <v>2087</v>
      </c>
      <c r="B733" s="13" t="s">
        <v>62</v>
      </c>
      <c r="C733" s="13" t="s">
        <v>2088</v>
      </c>
      <c r="D733" s="13" t="s">
        <v>2089</v>
      </c>
      <c r="E733" s="13" t="s">
        <v>183</v>
      </c>
      <c r="F733" s="14"/>
      <c r="G733" s="14"/>
      <c r="H733" s="14"/>
      <c r="I733" s="14"/>
      <c r="J733" s="14">
        <f t="shared" si="33"/>
        <v>0</v>
      </c>
      <c r="K733" s="14">
        <f t="shared" si="34"/>
        <v>0</v>
      </c>
      <c r="L733" s="17">
        <f t="shared" si="35"/>
        <v>0</v>
      </c>
      <c r="M733" s="14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 spans="1:27" s="2" customFormat="1" ht="14">
      <c r="A734" s="12" t="s">
        <v>2090</v>
      </c>
      <c r="B734" s="13" t="s">
        <v>62</v>
      </c>
      <c r="C734" s="13" t="s">
        <v>2091</v>
      </c>
      <c r="D734" s="13" t="s">
        <v>2092</v>
      </c>
      <c r="E734" s="13" t="s">
        <v>183</v>
      </c>
      <c r="F734" s="14"/>
      <c r="G734" s="14"/>
      <c r="H734" s="14"/>
      <c r="I734" s="14"/>
      <c r="J734" s="14">
        <f t="shared" si="33"/>
        <v>0</v>
      </c>
      <c r="K734" s="14">
        <f t="shared" si="34"/>
        <v>0</v>
      </c>
      <c r="L734" s="17">
        <f t="shared" si="35"/>
        <v>0</v>
      </c>
      <c r="M734" s="14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 spans="1:27" s="2" customFormat="1" ht="14">
      <c r="A735" s="12" t="s">
        <v>2093</v>
      </c>
      <c r="B735" s="13" t="s">
        <v>14</v>
      </c>
      <c r="C735" s="13" t="s">
        <v>2094</v>
      </c>
      <c r="D735" s="13" t="s">
        <v>2095</v>
      </c>
      <c r="E735" s="13" t="s">
        <v>17</v>
      </c>
      <c r="F735" s="14"/>
      <c r="G735" s="14"/>
      <c r="H735" s="14"/>
      <c r="I735" s="14"/>
      <c r="J735" s="14">
        <f t="shared" si="33"/>
        <v>0</v>
      </c>
      <c r="K735" s="14">
        <f t="shared" si="34"/>
        <v>0</v>
      </c>
      <c r="L735" s="17">
        <f t="shared" si="35"/>
        <v>0</v>
      </c>
      <c r="M735" s="14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 spans="1:27" s="2" customFormat="1" ht="14">
      <c r="A736" s="12" t="s">
        <v>2096</v>
      </c>
      <c r="B736" s="13" t="s">
        <v>62</v>
      </c>
      <c r="C736" s="13" t="s">
        <v>2097</v>
      </c>
      <c r="D736" s="13" t="s">
        <v>2098</v>
      </c>
      <c r="E736" s="13" t="s">
        <v>136</v>
      </c>
      <c r="F736" s="14"/>
      <c r="G736" s="14"/>
      <c r="H736" s="14"/>
      <c r="I736" s="14"/>
      <c r="J736" s="14">
        <f t="shared" si="33"/>
        <v>0</v>
      </c>
      <c r="K736" s="14">
        <f t="shared" si="34"/>
        <v>0</v>
      </c>
      <c r="L736" s="17">
        <f t="shared" si="35"/>
        <v>0</v>
      </c>
      <c r="M736" s="14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 spans="1:27" s="2" customFormat="1" ht="14">
      <c r="A737" s="12" t="s">
        <v>2099</v>
      </c>
      <c r="B737" s="13" t="s">
        <v>14</v>
      </c>
      <c r="C737" s="13" t="s">
        <v>2100</v>
      </c>
      <c r="D737" s="13" t="s">
        <v>2101</v>
      </c>
      <c r="E737" s="13" t="s">
        <v>17</v>
      </c>
      <c r="F737" s="14"/>
      <c r="G737" s="14"/>
      <c r="H737" s="14"/>
      <c r="I737" s="14"/>
      <c r="J737" s="14">
        <f t="shared" si="33"/>
        <v>0</v>
      </c>
      <c r="K737" s="14">
        <f t="shared" si="34"/>
        <v>0</v>
      </c>
      <c r="L737" s="17">
        <f t="shared" si="35"/>
        <v>0</v>
      </c>
      <c r="M737" s="14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 spans="1:27" s="2" customFormat="1" ht="14">
      <c r="A738" s="12" t="s">
        <v>2102</v>
      </c>
      <c r="B738" s="13" t="s">
        <v>14</v>
      </c>
      <c r="C738" s="13" t="s">
        <v>2103</v>
      </c>
      <c r="D738" s="13" t="s">
        <v>2104</v>
      </c>
      <c r="E738" s="13" t="s">
        <v>57</v>
      </c>
      <c r="F738" s="14"/>
      <c r="G738" s="14"/>
      <c r="H738" s="14"/>
      <c r="I738" s="14"/>
      <c r="J738" s="14">
        <f t="shared" si="33"/>
        <v>0</v>
      </c>
      <c r="K738" s="14">
        <f t="shared" si="34"/>
        <v>0</v>
      </c>
      <c r="L738" s="17">
        <f t="shared" si="35"/>
        <v>0</v>
      </c>
      <c r="M738" s="14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 spans="1:27" s="2" customFormat="1" ht="14">
      <c r="A739" s="12" t="s">
        <v>2105</v>
      </c>
      <c r="B739" s="13" t="s">
        <v>62</v>
      </c>
      <c r="C739" s="13" t="s">
        <v>2106</v>
      </c>
      <c r="D739" s="13" t="s">
        <v>2107</v>
      </c>
      <c r="E739" s="13" t="s">
        <v>72</v>
      </c>
      <c r="F739" s="14"/>
      <c r="G739" s="14"/>
      <c r="H739" s="14"/>
      <c r="I739" s="14"/>
      <c r="J739" s="14">
        <f t="shared" si="33"/>
        <v>0</v>
      </c>
      <c r="K739" s="14">
        <f t="shared" si="34"/>
        <v>0</v>
      </c>
      <c r="L739" s="17">
        <f t="shared" si="35"/>
        <v>0</v>
      </c>
      <c r="M739" s="14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 spans="1:27" s="2" customFormat="1" ht="14">
      <c r="A740" s="12" t="s">
        <v>2108</v>
      </c>
      <c r="B740" s="13" t="s">
        <v>14</v>
      </c>
      <c r="C740" s="13" t="s">
        <v>2109</v>
      </c>
      <c r="D740" s="13" t="s">
        <v>2110</v>
      </c>
      <c r="E740" s="13" t="s">
        <v>285</v>
      </c>
      <c r="F740" s="14"/>
      <c r="G740" s="14"/>
      <c r="H740" s="14"/>
      <c r="I740" s="14"/>
      <c r="J740" s="14">
        <f t="shared" si="33"/>
        <v>0</v>
      </c>
      <c r="K740" s="14">
        <f t="shared" si="34"/>
        <v>0</v>
      </c>
      <c r="L740" s="17">
        <f t="shared" si="35"/>
        <v>0</v>
      </c>
      <c r="M740" s="14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 spans="1:27" s="2" customFormat="1" ht="14">
      <c r="A741" s="12" t="s">
        <v>2111</v>
      </c>
      <c r="B741" s="13" t="s">
        <v>14</v>
      </c>
      <c r="C741" s="13" t="s">
        <v>2112</v>
      </c>
      <c r="D741" s="13" t="s">
        <v>2113</v>
      </c>
      <c r="E741" s="13" t="s">
        <v>72</v>
      </c>
      <c r="F741" s="14"/>
      <c r="G741" s="14"/>
      <c r="H741" s="14"/>
      <c r="I741" s="14"/>
      <c r="J741" s="14">
        <f t="shared" si="33"/>
        <v>0</v>
      </c>
      <c r="K741" s="14">
        <f t="shared" si="34"/>
        <v>0</v>
      </c>
      <c r="L741" s="17">
        <f t="shared" si="35"/>
        <v>0</v>
      </c>
      <c r="M741" s="14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 spans="1:27" s="2" customFormat="1" ht="14">
      <c r="A742" s="12" t="s">
        <v>2114</v>
      </c>
      <c r="B742" s="13" t="s">
        <v>14</v>
      </c>
      <c r="C742" s="13" t="s">
        <v>2115</v>
      </c>
      <c r="D742" s="13" t="s">
        <v>2116</v>
      </c>
      <c r="E742" s="13" t="s">
        <v>79</v>
      </c>
      <c r="F742" s="14"/>
      <c r="G742" s="14"/>
      <c r="H742" s="14"/>
      <c r="I742" s="14"/>
      <c r="J742" s="14">
        <f t="shared" si="33"/>
        <v>0</v>
      </c>
      <c r="K742" s="14">
        <f t="shared" si="34"/>
        <v>0</v>
      </c>
      <c r="L742" s="17">
        <f t="shared" si="35"/>
        <v>0</v>
      </c>
      <c r="M742" s="14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 spans="1:27" s="2" customFormat="1" ht="14">
      <c r="A743" s="12" t="s">
        <v>2117</v>
      </c>
      <c r="B743" s="13" t="s">
        <v>14</v>
      </c>
      <c r="C743" s="13" t="s">
        <v>2118</v>
      </c>
      <c r="D743" s="13" t="s">
        <v>2119</v>
      </c>
      <c r="E743" s="13" t="s">
        <v>285</v>
      </c>
      <c r="F743" s="14"/>
      <c r="G743" s="14"/>
      <c r="H743" s="14"/>
      <c r="I743" s="14"/>
      <c r="J743" s="14">
        <f t="shared" si="33"/>
        <v>0</v>
      </c>
      <c r="K743" s="14">
        <f t="shared" si="34"/>
        <v>0</v>
      </c>
      <c r="L743" s="17">
        <f t="shared" si="35"/>
        <v>0</v>
      </c>
      <c r="M743" s="14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 spans="1:27" s="2" customFormat="1" ht="14">
      <c r="A744" s="12" t="s">
        <v>2120</v>
      </c>
      <c r="B744" s="13" t="s">
        <v>14</v>
      </c>
      <c r="C744" s="13" t="s">
        <v>2121</v>
      </c>
      <c r="D744" s="13" t="s">
        <v>2122</v>
      </c>
      <c r="E744" s="13" t="s">
        <v>220</v>
      </c>
      <c r="F744" s="14"/>
      <c r="G744" s="14"/>
      <c r="H744" s="14"/>
      <c r="I744" s="14"/>
      <c r="J744" s="14">
        <f t="shared" si="33"/>
        <v>0</v>
      </c>
      <c r="K744" s="14">
        <f t="shared" si="34"/>
        <v>0</v>
      </c>
      <c r="L744" s="17">
        <f t="shared" si="35"/>
        <v>0</v>
      </c>
      <c r="M744" s="14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 spans="1:27" s="2" customFormat="1" ht="14">
      <c r="A745" s="12" t="s">
        <v>2123</v>
      </c>
      <c r="B745" s="13" t="s">
        <v>62</v>
      </c>
      <c r="C745" s="13" t="s">
        <v>2124</v>
      </c>
      <c r="D745" s="13" t="s">
        <v>2125</v>
      </c>
      <c r="E745" s="13" t="s">
        <v>76</v>
      </c>
      <c r="F745" s="14"/>
      <c r="G745" s="14"/>
      <c r="H745" s="14"/>
      <c r="I745" s="14"/>
      <c r="J745" s="14">
        <f t="shared" si="33"/>
        <v>0</v>
      </c>
      <c r="K745" s="14">
        <f t="shared" si="34"/>
        <v>0</v>
      </c>
      <c r="L745" s="17">
        <f t="shared" si="35"/>
        <v>0</v>
      </c>
      <c r="M745" s="14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 spans="1:27" s="2" customFormat="1" ht="14">
      <c r="A746" s="12" t="s">
        <v>2126</v>
      </c>
      <c r="B746" s="13" t="s">
        <v>14</v>
      </c>
      <c r="C746" s="13" t="s">
        <v>2127</v>
      </c>
      <c r="D746" s="13" t="s">
        <v>2128</v>
      </c>
      <c r="E746" s="13" t="s">
        <v>114</v>
      </c>
      <c r="F746" s="14"/>
      <c r="G746" s="14"/>
      <c r="H746" s="14"/>
      <c r="I746" s="14"/>
      <c r="J746" s="14">
        <f t="shared" si="33"/>
        <v>0</v>
      </c>
      <c r="K746" s="14">
        <f t="shared" si="34"/>
        <v>0</v>
      </c>
      <c r="L746" s="17">
        <f t="shared" si="35"/>
        <v>0</v>
      </c>
      <c r="M746" s="14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 spans="1:27" s="2" customFormat="1" ht="14">
      <c r="A747" s="12" t="s">
        <v>2129</v>
      </c>
      <c r="B747" s="13" t="s">
        <v>14</v>
      </c>
      <c r="C747" s="13" t="s">
        <v>2130</v>
      </c>
      <c r="D747" s="13" t="s">
        <v>2131</v>
      </c>
      <c r="E747" s="13" t="s">
        <v>126</v>
      </c>
      <c r="F747" s="14"/>
      <c r="G747" s="14"/>
      <c r="H747" s="14"/>
      <c r="I747" s="14"/>
      <c r="J747" s="14">
        <f t="shared" si="33"/>
        <v>0</v>
      </c>
      <c r="K747" s="14">
        <f t="shared" si="34"/>
        <v>0</v>
      </c>
      <c r="L747" s="17">
        <f t="shared" si="35"/>
        <v>0</v>
      </c>
      <c r="M747" s="14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 spans="1:27" s="2" customFormat="1" ht="14">
      <c r="A748" s="12" t="s">
        <v>2132</v>
      </c>
      <c r="B748" s="13" t="s">
        <v>14</v>
      </c>
      <c r="C748" s="13" t="s">
        <v>2133</v>
      </c>
      <c r="D748" s="13" t="s">
        <v>2134</v>
      </c>
      <c r="E748" s="13" t="s">
        <v>17</v>
      </c>
      <c r="F748" s="14"/>
      <c r="G748" s="14"/>
      <c r="H748" s="14"/>
      <c r="I748" s="14"/>
      <c r="J748" s="14">
        <f t="shared" si="33"/>
        <v>0</v>
      </c>
      <c r="K748" s="14">
        <f t="shared" si="34"/>
        <v>0</v>
      </c>
      <c r="L748" s="17">
        <f t="shared" si="35"/>
        <v>0</v>
      </c>
      <c r="M748" s="14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 spans="1:27" s="2" customFormat="1" ht="14">
      <c r="A749" s="12" t="s">
        <v>2135</v>
      </c>
      <c r="B749" s="13" t="s">
        <v>14</v>
      </c>
      <c r="C749" s="13" t="s">
        <v>2136</v>
      </c>
      <c r="D749" s="13" t="s">
        <v>2137</v>
      </c>
      <c r="E749" s="13" t="s">
        <v>25</v>
      </c>
      <c r="F749" s="14"/>
      <c r="G749" s="14"/>
      <c r="H749" s="14"/>
      <c r="I749" s="14"/>
      <c r="J749" s="14">
        <f t="shared" si="33"/>
        <v>0</v>
      </c>
      <c r="K749" s="14">
        <f t="shared" si="34"/>
        <v>0</v>
      </c>
      <c r="L749" s="17">
        <f t="shared" si="35"/>
        <v>0</v>
      </c>
      <c r="M749" s="14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 spans="1:27" s="2" customFormat="1" ht="14">
      <c r="A750" s="12" t="s">
        <v>2138</v>
      </c>
      <c r="B750" s="13" t="s">
        <v>14</v>
      </c>
      <c r="C750" s="13" t="s">
        <v>2139</v>
      </c>
      <c r="D750" s="13" t="s">
        <v>2140</v>
      </c>
      <c r="E750" s="13" t="s">
        <v>220</v>
      </c>
      <c r="F750" s="14"/>
      <c r="G750" s="14"/>
      <c r="H750" s="14"/>
      <c r="I750" s="14"/>
      <c r="J750" s="14">
        <f t="shared" si="33"/>
        <v>0</v>
      </c>
      <c r="K750" s="14">
        <f t="shared" si="34"/>
        <v>0</v>
      </c>
      <c r="L750" s="17">
        <f t="shared" si="35"/>
        <v>0</v>
      </c>
      <c r="M750" s="14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 spans="1:27" s="2" customFormat="1" ht="14">
      <c r="A751" s="12" t="s">
        <v>2141</v>
      </c>
      <c r="B751" s="13" t="s">
        <v>62</v>
      </c>
      <c r="C751" s="13" t="s">
        <v>2142</v>
      </c>
      <c r="D751" s="13" t="s">
        <v>2143</v>
      </c>
      <c r="E751" s="13" t="s">
        <v>120</v>
      </c>
      <c r="F751" s="14"/>
      <c r="G751" s="14"/>
      <c r="H751" s="14"/>
      <c r="I751" s="14"/>
      <c r="J751" s="14">
        <f t="shared" si="33"/>
        <v>0</v>
      </c>
      <c r="K751" s="14">
        <f t="shared" si="34"/>
        <v>0</v>
      </c>
      <c r="L751" s="17">
        <f t="shared" si="35"/>
        <v>0</v>
      </c>
      <c r="M751" s="14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 spans="1:27" s="2" customFormat="1" ht="14">
      <c r="A752" s="12" t="s">
        <v>2144</v>
      </c>
      <c r="B752" s="13" t="s">
        <v>14</v>
      </c>
      <c r="C752" s="13" t="s">
        <v>2145</v>
      </c>
      <c r="D752" s="13" t="s">
        <v>2146</v>
      </c>
      <c r="E752" s="13" t="s">
        <v>220</v>
      </c>
      <c r="F752" s="14"/>
      <c r="G752" s="14"/>
      <c r="H752" s="14"/>
      <c r="I752" s="14"/>
      <c r="J752" s="14">
        <f t="shared" si="33"/>
        <v>0</v>
      </c>
      <c r="K752" s="14">
        <f t="shared" si="34"/>
        <v>0</v>
      </c>
      <c r="L752" s="17">
        <f t="shared" si="35"/>
        <v>0</v>
      </c>
      <c r="M752" s="14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 spans="1:27" s="2" customFormat="1" ht="14">
      <c r="A753" s="12" t="s">
        <v>2147</v>
      </c>
      <c r="B753" s="13" t="s">
        <v>14</v>
      </c>
      <c r="C753" s="13" t="s">
        <v>2148</v>
      </c>
      <c r="D753" s="13" t="s">
        <v>2149</v>
      </c>
      <c r="E753" s="13" t="s">
        <v>156</v>
      </c>
      <c r="F753" s="14"/>
      <c r="G753" s="14"/>
      <c r="H753" s="14"/>
      <c r="I753" s="14"/>
      <c r="J753" s="14">
        <f t="shared" si="33"/>
        <v>0</v>
      </c>
      <c r="K753" s="14">
        <f t="shared" si="34"/>
        <v>0</v>
      </c>
      <c r="L753" s="17">
        <f t="shared" si="35"/>
        <v>0</v>
      </c>
      <c r="M753" s="14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 spans="1:27" s="2" customFormat="1" ht="14">
      <c r="A754" s="12" t="s">
        <v>2150</v>
      </c>
      <c r="B754" s="13" t="s">
        <v>14</v>
      </c>
      <c r="C754" s="13" t="s">
        <v>2151</v>
      </c>
      <c r="D754" s="13" t="s">
        <v>2152</v>
      </c>
      <c r="E754" s="13" t="s">
        <v>215</v>
      </c>
      <c r="F754" s="14"/>
      <c r="G754" s="14"/>
      <c r="H754" s="14"/>
      <c r="I754" s="14"/>
      <c r="J754" s="14">
        <f t="shared" si="33"/>
        <v>0</v>
      </c>
      <c r="K754" s="14">
        <f t="shared" si="34"/>
        <v>0</v>
      </c>
      <c r="L754" s="17">
        <f t="shared" si="35"/>
        <v>0</v>
      </c>
      <c r="M754" s="14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 spans="1:27" s="2" customFormat="1" ht="14">
      <c r="A755" s="12" t="s">
        <v>2153</v>
      </c>
      <c r="B755" s="13" t="s">
        <v>62</v>
      </c>
      <c r="C755" s="13" t="s">
        <v>2154</v>
      </c>
      <c r="D755" s="13" t="s">
        <v>2155</v>
      </c>
      <c r="E755" s="13" t="s">
        <v>91</v>
      </c>
      <c r="F755" s="14"/>
      <c r="G755" s="14"/>
      <c r="H755" s="14"/>
      <c r="I755" s="14"/>
      <c r="J755" s="14">
        <f t="shared" si="33"/>
        <v>0</v>
      </c>
      <c r="K755" s="14">
        <f t="shared" si="34"/>
        <v>0</v>
      </c>
      <c r="L755" s="17">
        <f t="shared" si="35"/>
        <v>0</v>
      </c>
      <c r="M755" s="14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 spans="1:27" s="2" customFormat="1" ht="14">
      <c r="A756" s="12" t="s">
        <v>2156</v>
      </c>
      <c r="B756" s="13" t="s">
        <v>14</v>
      </c>
      <c r="C756" s="13" t="s">
        <v>2157</v>
      </c>
      <c r="D756" s="13" t="s">
        <v>2158</v>
      </c>
      <c r="E756" s="13" t="s">
        <v>215</v>
      </c>
      <c r="F756" s="14"/>
      <c r="G756" s="14"/>
      <c r="H756" s="14"/>
      <c r="I756" s="14"/>
      <c r="J756" s="14">
        <f t="shared" si="33"/>
        <v>0</v>
      </c>
      <c r="K756" s="14">
        <f t="shared" si="34"/>
        <v>0</v>
      </c>
      <c r="L756" s="17">
        <f t="shared" si="35"/>
        <v>0</v>
      </c>
      <c r="M756" s="14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 spans="1:27" s="2" customFormat="1" ht="14">
      <c r="A757" s="12" t="s">
        <v>2159</v>
      </c>
      <c r="B757" s="13" t="s">
        <v>14</v>
      </c>
      <c r="C757" s="13" t="s">
        <v>2160</v>
      </c>
      <c r="D757" s="13" t="s">
        <v>2161</v>
      </c>
      <c r="E757" s="13" t="s">
        <v>25</v>
      </c>
      <c r="F757" s="14"/>
      <c r="G757" s="14"/>
      <c r="H757" s="14"/>
      <c r="I757" s="14"/>
      <c r="J757" s="14">
        <f t="shared" si="33"/>
        <v>0</v>
      </c>
      <c r="K757" s="14">
        <f t="shared" si="34"/>
        <v>0</v>
      </c>
      <c r="L757" s="17">
        <f t="shared" si="35"/>
        <v>0</v>
      </c>
      <c r="M757" s="14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 spans="1:27" s="2" customFormat="1" ht="14">
      <c r="A758" s="12" t="s">
        <v>2162</v>
      </c>
      <c r="B758" s="13" t="s">
        <v>14</v>
      </c>
      <c r="C758" s="13" t="s">
        <v>2163</v>
      </c>
      <c r="D758" s="13" t="s">
        <v>2164</v>
      </c>
      <c r="E758" s="13" t="s">
        <v>183</v>
      </c>
      <c r="F758" s="14"/>
      <c r="G758" s="14"/>
      <c r="H758" s="14"/>
      <c r="I758" s="14"/>
      <c r="J758" s="14">
        <f t="shared" si="33"/>
        <v>0</v>
      </c>
      <c r="K758" s="14">
        <f t="shared" si="34"/>
        <v>0</v>
      </c>
      <c r="L758" s="17">
        <f t="shared" si="35"/>
        <v>0</v>
      </c>
      <c r="M758" s="14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 spans="1:27" s="2" customFormat="1" ht="14">
      <c r="A759" s="12" t="s">
        <v>2165</v>
      </c>
      <c r="B759" s="13" t="s">
        <v>62</v>
      </c>
      <c r="C759" s="13" t="s">
        <v>2166</v>
      </c>
      <c r="D759" s="13" t="s">
        <v>2167</v>
      </c>
      <c r="E759" s="13" t="s">
        <v>91</v>
      </c>
      <c r="F759" s="14"/>
      <c r="G759" s="14"/>
      <c r="H759" s="14"/>
      <c r="I759" s="14"/>
      <c r="J759" s="14">
        <f t="shared" si="33"/>
        <v>0</v>
      </c>
      <c r="K759" s="14">
        <f t="shared" si="34"/>
        <v>0</v>
      </c>
      <c r="L759" s="17">
        <f t="shared" si="35"/>
        <v>0</v>
      </c>
      <c r="M759" s="14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 spans="1:27" s="2" customFormat="1" ht="14">
      <c r="A760" s="12" t="s">
        <v>2168</v>
      </c>
      <c r="B760" s="13" t="s">
        <v>14</v>
      </c>
      <c r="C760" s="13" t="s">
        <v>2169</v>
      </c>
      <c r="D760" s="13" t="s">
        <v>2170</v>
      </c>
      <c r="E760" s="13" t="s">
        <v>220</v>
      </c>
      <c r="F760" s="14"/>
      <c r="G760" s="14"/>
      <c r="H760" s="14"/>
      <c r="I760" s="14"/>
      <c r="J760" s="14">
        <f t="shared" si="33"/>
        <v>0</v>
      </c>
      <c r="K760" s="14">
        <f t="shared" si="34"/>
        <v>0</v>
      </c>
      <c r="L760" s="17">
        <f t="shared" si="35"/>
        <v>0</v>
      </c>
      <c r="M760" s="14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 spans="1:27" s="2" customFormat="1" ht="14">
      <c r="A761" s="12" t="s">
        <v>2171</v>
      </c>
      <c r="B761" s="13" t="s">
        <v>14</v>
      </c>
      <c r="C761" s="13" t="s">
        <v>2172</v>
      </c>
      <c r="D761" s="13" t="s">
        <v>2173</v>
      </c>
      <c r="E761" s="13" t="s">
        <v>46</v>
      </c>
      <c r="F761" s="14"/>
      <c r="G761" s="14"/>
      <c r="H761" s="14"/>
      <c r="I761" s="14"/>
      <c r="J761" s="14">
        <f t="shared" si="33"/>
        <v>0</v>
      </c>
      <c r="K761" s="14">
        <f t="shared" si="34"/>
        <v>0</v>
      </c>
      <c r="L761" s="17">
        <f t="shared" si="35"/>
        <v>0</v>
      </c>
      <c r="M761" s="14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 spans="1:27" s="2" customFormat="1" ht="14">
      <c r="A762" s="12" t="s">
        <v>2174</v>
      </c>
      <c r="B762" s="13" t="s">
        <v>14</v>
      </c>
      <c r="C762" s="13" t="s">
        <v>2175</v>
      </c>
      <c r="D762" s="13" t="s">
        <v>2176</v>
      </c>
      <c r="E762" s="13" t="s">
        <v>25</v>
      </c>
      <c r="F762" s="14"/>
      <c r="G762" s="14"/>
      <c r="H762" s="14"/>
      <c r="I762" s="14"/>
      <c r="J762" s="14">
        <f t="shared" si="33"/>
        <v>0</v>
      </c>
      <c r="K762" s="14">
        <f t="shared" si="34"/>
        <v>0</v>
      </c>
      <c r="L762" s="17">
        <f t="shared" si="35"/>
        <v>0</v>
      </c>
      <c r="M762" s="14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 spans="1:27" s="2" customFormat="1" ht="14">
      <c r="A763" s="12" t="s">
        <v>2177</v>
      </c>
      <c r="B763" s="13" t="s">
        <v>14</v>
      </c>
      <c r="C763" s="13" t="s">
        <v>2178</v>
      </c>
      <c r="D763" s="13" t="s">
        <v>2179</v>
      </c>
      <c r="E763" s="13" t="s">
        <v>25</v>
      </c>
      <c r="F763" s="14"/>
      <c r="G763" s="14"/>
      <c r="H763" s="14"/>
      <c r="I763" s="14"/>
      <c r="J763" s="14">
        <f t="shared" si="33"/>
        <v>0</v>
      </c>
      <c r="K763" s="14">
        <f t="shared" si="34"/>
        <v>0</v>
      </c>
      <c r="L763" s="17">
        <f t="shared" si="35"/>
        <v>0</v>
      </c>
      <c r="M763" s="14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 spans="1:27" s="2" customFormat="1" ht="14">
      <c r="A764" s="12" t="s">
        <v>2180</v>
      </c>
      <c r="B764" s="13" t="s">
        <v>14</v>
      </c>
      <c r="C764" s="13" t="s">
        <v>2181</v>
      </c>
      <c r="D764" s="13" t="s">
        <v>2182</v>
      </c>
      <c r="E764" s="13" t="s">
        <v>68</v>
      </c>
      <c r="F764" s="14"/>
      <c r="G764" s="14"/>
      <c r="H764" s="14"/>
      <c r="I764" s="14"/>
      <c r="J764" s="14">
        <f t="shared" si="33"/>
        <v>0</v>
      </c>
      <c r="K764" s="14">
        <f t="shared" si="34"/>
        <v>0</v>
      </c>
      <c r="L764" s="17">
        <f t="shared" si="35"/>
        <v>0</v>
      </c>
      <c r="M764" s="14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 spans="1:27" s="2" customFormat="1" ht="14">
      <c r="A765" s="12" t="s">
        <v>2183</v>
      </c>
      <c r="B765" s="13" t="s">
        <v>14</v>
      </c>
      <c r="C765" s="13" t="s">
        <v>2184</v>
      </c>
      <c r="D765" s="13" t="s">
        <v>2185</v>
      </c>
      <c r="E765" s="13" t="s">
        <v>21</v>
      </c>
      <c r="F765" s="14"/>
      <c r="G765" s="14"/>
      <c r="H765" s="14"/>
      <c r="I765" s="14"/>
      <c r="J765" s="14">
        <f t="shared" si="33"/>
        <v>0</v>
      </c>
      <c r="K765" s="14">
        <f t="shared" si="34"/>
        <v>0</v>
      </c>
      <c r="L765" s="17">
        <f t="shared" si="35"/>
        <v>0</v>
      </c>
      <c r="M765" s="14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 spans="1:27" s="2" customFormat="1" ht="14">
      <c r="A766" s="12" t="s">
        <v>2186</v>
      </c>
      <c r="B766" s="13" t="s">
        <v>14</v>
      </c>
      <c r="C766" s="13" t="s">
        <v>2187</v>
      </c>
      <c r="D766" s="13" t="s">
        <v>2188</v>
      </c>
      <c r="E766" s="13" t="s">
        <v>29</v>
      </c>
      <c r="F766" s="14"/>
      <c r="G766" s="14"/>
      <c r="H766" s="14"/>
      <c r="I766" s="14"/>
      <c r="J766" s="14">
        <f t="shared" si="33"/>
        <v>0</v>
      </c>
      <c r="K766" s="14">
        <f t="shared" si="34"/>
        <v>0</v>
      </c>
      <c r="L766" s="17">
        <f t="shared" si="35"/>
        <v>0</v>
      </c>
      <c r="M766" s="14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 spans="1:27" s="2" customFormat="1" ht="14">
      <c r="A767" s="12" t="s">
        <v>2189</v>
      </c>
      <c r="B767" s="13" t="s">
        <v>62</v>
      </c>
      <c r="C767" s="13" t="s">
        <v>2190</v>
      </c>
      <c r="D767" s="13" t="s">
        <v>2191</v>
      </c>
      <c r="E767" s="13" t="s">
        <v>50</v>
      </c>
      <c r="F767" s="14"/>
      <c r="G767" s="14"/>
      <c r="H767" s="14"/>
      <c r="I767" s="14"/>
      <c r="J767" s="14">
        <f t="shared" si="33"/>
        <v>0</v>
      </c>
      <c r="K767" s="14">
        <f t="shared" si="34"/>
        <v>0</v>
      </c>
      <c r="L767" s="17">
        <f t="shared" si="35"/>
        <v>0</v>
      </c>
      <c r="M767" s="14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 spans="1:27" s="2" customFormat="1" ht="14">
      <c r="A768" s="12" t="s">
        <v>2192</v>
      </c>
      <c r="B768" s="13" t="s">
        <v>14</v>
      </c>
      <c r="C768" s="13" t="s">
        <v>2193</v>
      </c>
      <c r="D768" s="13" t="s">
        <v>2194</v>
      </c>
      <c r="E768" s="13" t="s">
        <v>114</v>
      </c>
      <c r="F768" s="14"/>
      <c r="G768" s="14"/>
      <c r="H768" s="14"/>
      <c r="I768" s="14"/>
      <c r="J768" s="14">
        <f t="shared" si="33"/>
        <v>0</v>
      </c>
      <c r="K768" s="14">
        <f t="shared" si="34"/>
        <v>0</v>
      </c>
      <c r="L768" s="17">
        <f t="shared" si="35"/>
        <v>0</v>
      </c>
      <c r="M768" s="14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 spans="1:27" s="2" customFormat="1" ht="14">
      <c r="A769" s="12" t="s">
        <v>2195</v>
      </c>
      <c r="B769" s="13" t="s">
        <v>14</v>
      </c>
      <c r="C769" s="13" t="s">
        <v>2196</v>
      </c>
      <c r="D769" s="13" t="s">
        <v>2197</v>
      </c>
      <c r="E769" s="13" t="s">
        <v>25</v>
      </c>
      <c r="F769" s="14"/>
      <c r="G769" s="14"/>
      <c r="H769" s="14"/>
      <c r="I769" s="14"/>
      <c r="J769" s="14">
        <f t="shared" si="33"/>
        <v>0</v>
      </c>
      <c r="K769" s="14">
        <f t="shared" si="34"/>
        <v>0</v>
      </c>
      <c r="L769" s="17">
        <f t="shared" si="35"/>
        <v>0</v>
      </c>
      <c r="M769" s="14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 spans="1:27" s="2" customFormat="1" ht="14">
      <c r="A770" s="12" t="s">
        <v>2198</v>
      </c>
      <c r="B770" s="13" t="s">
        <v>14</v>
      </c>
      <c r="C770" s="13" t="s">
        <v>2199</v>
      </c>
      <c r="D770" s="13" t="s">
        <v>2200</v>
      </c>
      <c r="E770" s="13" t="s">
        <v>126</v>
      </c>
      <c r="F770" s="14"/>
      <c r="G770" s="14"/>
      <c r="H770" s="14"/>
      <c r="I770" s="14"/>
      <c r="J770" s="14">
        <f t="shared" ref="J770:J833" si="36">IF(G770&gt;0,1,0)</f>
        <v>0</v>
      </c>
      <c r="K770" s="14">
        <f t="shared" ref="K770:K833" si="37">IF(H770&gt;0,1,0)</f>
        <v>0</v>
      </c>
      <c r="L770" s="17">
        <f t="shared" ref="L770:L833" si="38">IF(G770&gt;0,IF(H770&gt;0,1,0),0)</f>
        <v>0</v>
      </c>
      <c r="M770" s="14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 spans="1:27" s="2" customFormat="1" ht="14">
      <c r="A771" s="12" t="s">
        <v>2201</v>
      </c>
      <c r="B771" s="13" t="s">
        <v>14</v>
      </c>
      <c r="C771" s="13" t="s">
        <v>2202</v>
      </c>
      <c r="D771" s="13" t="s">
        <v>2203</v>
      </c>
      <c r="E771" s="13" t="s">
        <v>285</v>
      </c>
      <c r="F771" s="14"/>
      <c r="G771" s="14"/>
      <c r="H771" s="14"/>
      <c r="I771" s="14"/>
      <c r="J771" s="14">
        <f t="shared" si="36"/>
        <v>0</v>
      </c>
      <c r="K771" s="14">
        <f t="shared" si="37"/>
        <v>0</v>
      </c>
      <c r="L771" s="17">
        <f t="shared" si="38"/>
        <v>0</v>
      </c>
      <c r="M771" s="14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 spans="1:27" s="2" customFormat="1" ht="14">
      <c r="A772" s="12" t="s">
        <v>2204</v>
      </c>
      <c r="B772" s="13" t="s">
        <v>14</v>
      </c>
      <c r="C772" s="13" t="s">
        <v>2205</v>
      </c>
      <c r="D772" s="13" t="s">
        <v>2206</v>
      </c>
      <c r="E772" s="13" t="s">
        <v>17</v>
      </c>
      <c r="F772" s="14"/>
      <c r="G772" s="14"/>
      <c r="H772" s="14"/>
      <c r="I772" s="14"/>
      <c r="J772" s="14">
        <f t="shared" si="36"/>
        <v>0</v>
      </c>
      <c r="K772" s="14">
        <f t="shared" si="37"/>
        <v>0</v>
      </c>
      <c r="L772" s="17">
        <f t="shared" si="38"/>
        <v>0</v>
      </c>
      <c r="M772" s="14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 spans="1:27" s="2" customFormat="1" ht="14">
      <c r="A773" s="12" t="s">
        <v>2207</v>
      </c>
      <c r="B773" s="13" t="s">
        <v>14</v>
      </c>
      <c r="C773" s="13" t="s">
        <v>2208</v>
      </c>
      <c r="D773" s="13" t="s">
        <v>2209</v>
      </c>
      <c r="E773" s="13" t="s">
        <v>21</v>
      </c>
      <c r="F773" s="14"/>
      <c r="G773" s="14"/>
      <c r="H773" s="14"/>
      <c r="I773" s="14"/>
      <c r="J773" s="14">
        <f t="shared" si="36"/>
        <v>0</v>
      </c>
      <c r="K773" s="14">
        <f t="shared" si="37"/>
        <v>0</v>
      </c>
      <c r="L773" s="17">
        <f t="shared" si="38"/>
        <v>0</v>
      </c>
      <c r="M773" s="14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spans="1:27" s="2" customFormat="1" ht="14">
      <c r="A774" s="12" t="s">
        <v>2210</v>
      </c>
      <c r="B774" s="13" t="s">
        <v>14</v>
      </c>
      <c r="C774" s="13" t="s">
        <v>2211</v>
      </c>
      <c r="D774" s="13" t="s">
        <v>2212</v>
      </c>
      <c r="E774" s="13" t="s">
        <v>97</v>
      </c>
      <c r="F774" s="14"/>
      <c r="G774" s="14"/>
      <c r="H774" s="14"/>
      <c r="I774" s="14"/>
      <c r="J774" s="14">
        <f t="shared" si="36"/>
        <v>0</v>
      </c>
      <c r="K774" s="14">
        <f t="shared" si="37"/>
        <v>0</v>
      </c>
      <c r="L774" s="17">
        <f t="shared" si="38"/>
        <v>0</v>
      </c>
      <c r="M774" s="14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spans="1:27" s="2" customFormat="1" ht="14">
      <c r="A775" s="12" t="s">
        <v>2213</v>
      </c>
      <c r="B775" s="13" t="s">
        <v>14</v>
      </c>
      <c r="C775" s="13" t="s">
        <v>2214</v>
      </c>
      <c r="D775" s="13" t="s">
        <v>2215</v>
      </c>
      <c r="E775" s="13" t="s">
        <v>17</v>
      </c>
      <c r="F775" s="14"/>
      <c r="G775" s="14"/>
      <c r="H775" s="14"/>
      <c r="I775" s="14"/>
      <c r="J775" s="14">
        <f t="shared" si="36"/>
        <v>0</v>
      </c>
      <c r="K775" s="14">
        <f t="shared" si="37"/>
        <v>0</v>
      </c>
      <c r="L775" s="17">
        <f t="shared" si="38"/>
        <v>0</v>
      </c>
      <c r="M775" s="14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 spans="1:27" s="2" customFormat="1" ht="14">
      <c r="A776" s="12" t="s">
        <v>2216</v>
      </c>
      <c r="B776" s="13" t="s">
        <v>14</v>
      </c>
      <c r="C776" s="13" t="s">
        <v>2217</v>
      </c>
      <c r="D776" s="13" t="s">
        <v>2218</v>
      </c>
      <c r="E776" s="13" t="s">
        <v>220</v>
      </c>
      <c r="F776" s="14"/>
      <c r="G776" s="14"/>
      <c r="H776" s="14"/>
      <c r="I776" s="14"/>
      <c r="J776" s="14">
        <f t="shared" si="36"/>
        <v>0</v>
      </c>
      <c r="K776" s="14">
        <f t="shared" si="37"/>
        <v>0</v>
      </c>
      <c r="L776" s="17">
        <f t="shared" si="38"/>
        <v>0</v>
      </c>
      <c r="M776" s="14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 spans="1:27" s="2" customFormat="1" ht="14">
      <c r="A777" s="12" t="s">
        <v>2219</v>
      </c>
      <c r="B777" s="13" t="s">
        <v>14</v>
      </c>
      <c r="C777" s="13" t="s">
        <v>2220</v>
      </c>
      <c r="D777" s="13" t="s">
        <v>2221</v>
      </c>
      <c r="E777" s="13" t="s">
        <v>29</v>
      </c>
      <c r="F777" s="14"/>
      <c r="G777" s="14"/>
      <c r="H777" s="14"/>
      <c r="I777" s="14"/>
      <c r="J777" s="14">
        <f t="shared" si="36"/>
        <v>0</v>
      </c>
      <c r="K777" s="14">
        <f t="shared" si="37"/>
        <v>0</v>
      </c>
      <c r="L777" s="17">
        <f t="shared" si="38"/>
        <v>0</v>
      </c>
      <c r="M777" s="14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 spans="1:27" s="2" customFormat="1" ht="14">
      <c r="A778" s="12" t="s">
        <v>2222</v>
      </c>
      <c r="B778" s="13" t="s">
        <v>62</v>
      </c>
      <c r="C778" s="13" t="s">
        <v>2223</v>
      </c>
      <c r="D778" s="13" t="s">
        <v>2224</v>
      </c>
      <c r="E778" s="13" t="s">
        <v>29</v>
      </c>
      <c r="F778" s="14"/>
      <c r="G778" s="14"/>
      <c r="H778" s="14"/>
      <c r="I778" s="14"/>
      <c r="J778" s="14">
        <f t="shared" si="36"/>
        <v>0</v>
      </c>
      <c r="K778" s="14">
        <f t="shared" si="37"/>
        <v>0</v>
      </c>
      <c r="L778" s="17">
        <f t="shared" si="38"/>
        <v>0</v>
      </c>
      <c r="M778" s="14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 spans="1:27" s="2" customFormat="1" ht="14">
      <c r="A779" s="12" t="s">
        <v>2225</v>
      </c>
      <c r="B779" s="13" t="s">
        <v>14</v>
      </c>
      <c r="C779" s="13" t="s">
        <v>2226</v>
      </c>
      <c r="D779" s="13" t="s">
        <v>2227</v>
      </c>
      <c r="E779" s="13" t="s">
        <v>40</v>
      </c>
      <c r="F779" s="14"/>
      <c r="G779" s="14"/>
      <c r="H779" s="14"/>
      <c r="I779" s="14"/>
      <c r="J779" s="14">
        <f t="shared" si="36"/>
        <v>0</v>
      </c>
      <c r="K779" s="14">
        <f t="shared" si="37"/>
        <v>0</v>
      </c>
      <c r="L779" s="17">
        <f t="shared" si="38"/>
        <v>0</v>
      </c>
      <c r="M779" s="14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 spans="1:27" s="2" customFormat="1" ht="14">
      <c r="A780" s="12" t="s">
        <v>2228</v>
      </c>
      <c r="B780" s="13" t="s">
        <v>62</v>
      </c>
      <c r="C780" s="13" t="s">
        <v>2229</v>
      </c>
      <c r="D780" s="13" t="s">
        <v>2230</v>
      </c>
      <c r="E780" s="13" t="s">
        <v>25</v>
      </c>
      <c r="F780" s="14"/>
      <c r="G780" s="14"/>
      <c r="H780" s="14"/>
      <c r="I780" s="14"/>
      <c r="J780" s="14">
        <f t="shared" si="36"/>
        <v>0</v>
      </c>
      <c r="K780" s="14">
        <f t="shared" si="37"/>
        <v>0</v>
      </c>
      <c r="L780" s="17">
        <f t="shared" si="38"/>
        <v>0</v>
      </c>
      <c r="M780" s="14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 spans="1:27" s="2" customFormat="1" ht="14">
      <c r="A781" s="12" t="s">
        <v>2231</v>
      </c>
      <c r="B781" s="13" t="s">
        <v>14</v>
      </c>
      <c r="C781" s="13" t="s">
        <v>2232</v>
      </c>
      <c r="D781" s="13" t="s">
        <v>2233</v>
      </c>
      <c r="E781" s="13" t="s">
        <v>104</v>
      </c>
      <c r="F781" s="14"/>
      <c r="G781" s="14"/>
      <c r="H781" s="14"/>
      <c r="I781" s="14"/>
      <c r="J781" s="14">
        <f t="shared" si="36"/>
        <v>0</v>
      </c>
      <c r="K781" s="14">
        <f t="shared" si="37"/>
        <v>0</v>
      </c>
      <c r="L781" s="17">
        <f t="shared" si="38"/>
        <v>0</v>
      </c>
      <c r="M781" s="14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 spans="1:27" s="2" customFormat="1" ht="14">
      <c r="A782" s="12" t="s">
        <v>2234</v>
      </c>
      <c r="B782" s="13" t="s">
        <v>62</v>
      </c>
      <c r="C782" s="13" t="s">
        <v>2235</v>
      </c>
      <c r="D782" s="13" t="s">
        <v>2236</v>
      </c>
      <c r="E782" s="13" t="s">
        <v>76</v>
      </c>
      <c r="F782" s="14"/>
      <c r="G782" s="14"/>
      <c r="H782" s="14"/>
      <c r="I782" s="14"/>
      <c r="J782" s="14">
        <f t="shared" si="36"/>
        <v>0</v>
      </c>
      <c r="K782" s="14">
        <f t="shared" si="37"/>
        <v>0</v>
      </c>
      <c r="L782" s="17">
        <f t="shared" si="38"/>
        <v>0</v>
      </c>
      <c r="M782" s="14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 spans="1:27" s="2" customFormat="1" ht="14">
      <c r="A783" s="12" t="s">
        <v>2237</v>
      </c>
      <c r="B783" s="13" t="s">
        <v>14</v>
      </c>
      <c r="C783" s="13" t="s">
        <v>2238</v>
      </c>
      <c r="D783" s="13" t="s">
        <v>2239</v>
      </c>
      <c r="E783" s="13" t="s">
        <v>215</v>
      </c>
      <c r="F783" s="14"/>
      <c r="G783" s="14"/>
      <c r="H783" s="14"/>
      <c r="I783" s="14"/>
      <c r="J783" s="14">
        <f t="shared" si="36"/>
        <v>0</v>
      </c>
      <c r="K783" s="14">
        <f t="shared" si="37"/>
        <v>0</v>
      </c>
      <c r="L783" s="17">
        <f t="shared" si="38"/>
        <v>0</v>
      </c>
      <c r="M783" s="14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 spans="1:27" s="2" customFormat="1" ht="14">
      <c r="A784" s="12" t="s">
        <v>2240</v>
      </c>
      <c r="B784" s="13" t="s">
        <v>14</v>
      </c>
      <c r="C784" s="13" t="s">
        <v>2241</v>
      </c>
      <c r="D784" s="13" t="s">
        <v>2242</v>
      </c>
      <c r="E784" s="13" t="s">
        <v>205</v>
      </c>
      <c r="F784" s="14"/>
      <c r="G784" s="14"/>
      <c r="H784" s="14"/>
      <c r="I784" s="14"/>
      <c r="J784" s="14">
        <f t="shared" si="36"/>
        <v>0</v>
      </c>
      <c r="K784" s="14">
        <f t="shared" si="37"/>
        <v>0</v>
      </c>
      <c r="L784" s="17">
        <f t="shared" si="38"/>
        <v>0</v>
      </c>
      <c r="M784" s="14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 spans="1:27" s="2" customFormat="1" ht="14">
      <c r="A785" s="12" t="s">
        <v>2243</v>
      </c>
      <c r="B785" s="13" t="s">
        <v>14</v>
      </c>
      <c r="C785" s="13" t="s">
        <v>2244</v>
      </c>
      <c r="D785" s="13" t="s">
        <v>2245</v>
      </c>
      <c r="E785" s="13" t="s">
        <v>29</v>
      </c>
      <c r="F785" s="14"/>
      <c r="G785" s="14"/>
      <c r="H785" s="14"/>
      <c r="I785" s="14"/>
      <c r="J785" s="14">
        <f t="shared" si="36"/>
        <v>0</v>
      </c>
      <c r="K785" s="14">
        <f t="shared" si="37"/>
        <v>0</v>
      </c>
      <c r="L785" s="17">
        <f t="shared" si="38"/>
        <v>0</v>
      </c>
      <c r="M785" s="14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 spans="1:27" s="2" customFormat="1" ht="14">
      <c r="A786" s="12" t="s">
        <v>2246</v>
      </c>
      <c r="B786" s="13" t="s">
        <v>14</v>
      </c>
      <c r="C786" s="13" t="s">
        <v>2247</v>
      </c>
      <c r="D786" s="13" t="s">
        <v>2248</v>
      </c>
      <c r="E786" s="13" t="s">
        <v>104</v>
      </c>
      <c r="F786" s="14"/>
      <c r="G786" s="14"/>
      <c r="H786" s="14"/>
      <c r="I786" s="14"/>
      <c r="J786" s="14">
        <f t="shared" si="36"/>
        <v>0</v>
      </c>
      <c r="K786" s="14">
        <f t="shared" si="37"/>
        <v>0</v>
      </c>
      <c r="L786" s="17">
        <f t="shared" si="38"/>
        <v>0</v>
      </c>
      <c r="M786" s="14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 spans="1:27" s="2" customFormat="1" ht="14">
      <c r="A787" s="12" t="s">
        <v>2249</v>
      </c>
      <c r="B787" s="13" t="s">
        <v>14</v>
      </c>
      <c r="C787" s="13" t="s">
        <v>2250</v>
      </c>
      <c r="D787" s="13" t="s">
        <v>2251</v>
      </c>
      <c r="E787" s="13" t="s">
        <v>215</v>
      </c>
      <c r="F787" s="14"/>
      <c r="G787" s="14"/>
      <c r="H787" s="14"/>
      <c r="I787" s="14"/>
      <c r="J787" s="14">
        <f t="shared" si="36"/>
        <v>0</v>
      </c>
      <c r="K787" s="14">
        <f t="shared" si="37"/>
        <v>0</v>
      </c>
      <c r="L787" s="17">
        <f t="shared" si="38"/>
        <v>0</v>
      </c>
      <c r="M787" s="14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 spans="1:27" s="2" customFormat="1" ht="14">
      <c r="A788" s="12" t="s">
        <v>2252</v>
      </c>
      <c r="B788" s="13" t="s">
        <v>14</v>
      </c>
      <c r="C788" s="13" t="s">
        <v>2253</v>
      </c>
      <c r="D788" s="13" t="s">
        <v>2254</v>
      </c>
      <c r="E788" s="13" t="s">
        <v>21</v>
      </c>
      <c r="F788" s="14"/>
      <c r="G788" s="14"/>
      <c r="H788" s="14"/>
      <c r="I788" s="14"/>
      <c r="J788" s="14">
        <f t="shared" si="36"/>
        <v>0</v>
      </c>
      <c r="K788" s="14">
        <f t="shared" si="37"/>
        <v>0</v>
      </c>
      <c r="L788" s="17">
        <f t="shared" si="38"/>
        <v>0</v>
      </c>
      <c r="M788" s="14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 spans="1:27" s="2" customFormat="1" ht="14">
      <c r="A789" s="12" t="s">
        <v>2255</v>
      </c>
      <c r="B789" s="13" t="s">
        <v>14</v>
      </c>
      <c r="C789" s="13" t="s">
        <v>2256</v>
      </c>
      <c r="D789" s="13" t="s">
        <v>2257</v>
      </c>
      <c r="E789" s="13" t="s">
        <v>156</v>
      </c>
      <c r="F789" s="14"/>
      <c r="G789" s="14"/>
      <c r="H789" s="14"/>
      <c r="I789" s="14"/>
      <c r="J789" s="14">
        <f t="shared" si="36"/>
        <v>0</v>
      </c>
      <c r="K789" s="14">
        <f t="shared" si="37"/>
        <v>0</v>
      </c>
      <c r="L789" s="17">
        <f t="shared" si="38"/>
        <v>0</v>
      </c>
      <c r="M789" s="14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 spans="1:27" s="2" customFormat="1" ht="14">
      <c r="A790" s="12" t="s">
        <v>2258</v>
      </c>
      <c r="B790" s="13" t="s">
        <v>14</v>
      </c>
      <c r="C790" s="13" t="s">
        <v>2259</v>
      </c>
      <c r="D790" s="13" t="s">
        <v>2260</v>
      </c>
      <c r="E790" s="13" t="s">
        <v>57</v>
      </c>
      <c r="F790" s="14"/>
      <c r="G790" s="14"/>
      <c r="H790" s="14"/>
      <c r="I790" s="14"/>
      <c r="J790" s="14">
        <f t="shared" si="36"/>
        <v>0</v>
      </c>
      <c r="K790" s="14">
        <f t="shared" si="37"/>
        <v>0</v>
      </c>
      <c r="L790" s="17">
        <f t="shared" si="38"/>
        <v>0</v>
      </c>
      <c r="M790" s="14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 spans="1:27" s="2" customFormat="1" ht="14">
      <c r="A791" s="12" t="s">
        <v>2261</v>
      </c>
      <c r="B791" s="13" t="s">
        <v>62</v>
      </c>
      <c r="C791" s="13" t="s">
        <v>2262</v>
      </c>
      <c r="D791" s="13" t="s">
        <v>2263</v>
      </c>
      <c r="E791" s="13" t="s">
        <v>285</v>
      </c>
      <c r="F791" s="14"/>
      <c r="G791" s="14"/>
      <c r="H791" s="14"/>
      <c r="I791" s="14"/>
      <c r="J791" s="14">
        <f t="shared" si="36"/>
        <v>0</v>
      </c>
      <c r="K791" s="14">
        <f t="shared" si="37"/>
        <v>0</v>
      </c>
      <c r="L791" s="17">
        <f t="shared" si="38"/>
        <v>0</v>
      </c>
      <c r="M791" s="14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 spans="1:27" s="2" customFormat="1" ht="14">
      <c r="A792" s="12" t="s">
        <v>2264</v>
      </c>
      <c r="B792" s="13" t="s">
        <v>14</v>
      </c>
      <c r="C792" s="13" t="s">
        <v>2265</v>
      </c>
      <c r="D792" s="13" t="s">
        <v>2266</v>
      </c>
      <c r="E792" s="13" t="s">
        <v>488</v>
      </c>
      <c r="F792" s="14"/>
      <c r="G792" s="14"/>
      <c r="H792" s="14"/>
      <c r="I792" s="14"/>
      <c r="J792" s="14">
        <f t="shared" si="36"/>
        <v>0</v>
      </c>
      <c r="K792" s="14">
        <f t="shared" si="37"/>
        <v>0</v>
      </c>
      <c r="L792" s="17">
        <f t="shared" si="38"/>
        <v>0</v>
      </c>
      <c r="M792" s="14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 spans="1:27" s="2" customFormat="1" ht="14">
      <c r="A793" s="12" t="s">
        <v>2267</v>
      </c>
      <c r="B793" s="13" t="s">
        <v>14</v>
      </c>
      <c r="C793" s="13" t="s">
        <v>2268</v>
      </c>
      <c r="D793" s="13" t="s">
        <v>2269</v>
      </c>
      <c r="E793" s="13" t="s">
        <v>215</v>
      </c>
      <c r="F793" s="14"/>
      <c r="G793" s="14"/>
      <c r="H793" s="14"/>
      <c r="I793" s="14"/>
      <c r="J793" s="14">
        <f t="shared" si="36"/>
        <v>0</v>
      </c>
      <c r="K793" s="14">
        <f t="shared" si="37"/>
        <v>0</v>
      </c>
      <c r="L793" s="17">
        <f t="shared" si="38"/>
        <v>0</v>
      </c>
      <c r="M793" s="14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 spans="1:27" s="2" customFormat="1" ht="14">
      <c r="A794" s="12" t="s">
        <v>2270</v>
      </c>
      <c r="B794" s="13" t="s">
        <v>14</v>
      </c>
      <c r="C794" s="13" t="s">
        <v>2271</v>
      </c>
      <c r="D794" s="13" t="s">
        <v>2272</v>
      </c>
      <c r="E794" s="13" t="s">
        <v>40</v>
      </c>
      <c r="F794" s="14"/>
      <c r="G794" s="14"/>
      <c r="H794" s="14"/>
      <c r="I794" s="14"/>
      <c r="J794" s="14">
        <f t="shared" si="36"/>
        <v>0</v>
      </c>
      <c r="K794" s="14">
        <f t="shared" si="37"/>
        <v>0</v>
      </c>
      <c r="L794" s="17">
        <f t="shared" si="38"/>
        <v>0</v>
      </c>
      <c r="M794" s="14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 spans="1:27" s="2" customFormat="1" ht="14">
      <c r="A795" s="12" t="s">
        <v>2273</v>
      </c>
      <c r="B795" s="13" t="s">
        <v>14</v>
      </c>
      <c r="C795" s="13" t="s">
        <v>2274</v>
      </c>
      <c r="D795" s="13" t="s">
        <v>2275</v>
      </c>
      <c r="E795" s="13" t="s">
        <v>57</v>
      </c>
      <c r="F795" s="14"/>
      <c r="G795" s="14"/>
      <c r="H795" s="14"/>
      <c r="I795" s="14"/>
      <c r="J795" s="14">
        <f t="shared" si="36"/>
        <v>0</v>
      </c>
      <c r="K795" s="14">
        <f t="shared" si="37"/>
        <v>0</v>
      </c>
      <c r="L795" s="17">
        <f t="shared" si="38"/>
        <v>0</v>
      </c>
      <c r="M795" s="14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 spans="1:27" s="2" customFormat="1" ht="14">
      <c r="A796" s="12" t="s">
        <v>2276</v>
      </c>
      <c r="B796" s="13" t="s">
        <v>62</v>
      </c>
      <c r="C796" s="13" t="s">
        <v>2277</v>
      </c>
      <c r="D796" s="13" t="s">
        <v>2278</v>
      </c>
      <c r="E796" s="13" t="s">
        <v>40</v>
      </c>
      <c r="F796" s="14"/>
      <c r="G796" s="14"/>
      <c r="H796" s="14"/>
      <c r="I796" s="14"/>
      <c r="J796" s="14">
        <f t="shared" si="36"/>
        <v>0</v>
      </c>
      <c r="K796" s="14">
        <f t="shared" si="37"/>
        <v>0</v>
      </c>
      <c r="L796" s="17">
        <f t="shared" si="38"/>
        <v>0</v>
      </c>
      <c r="M796" s="14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 spans="1:27" s="2" customFormat="1" ht="14">
      <c r="A797" s="12" t="s">
        <v>2279</v>
      </c>
      <c r="B797" s="13" t="s">
        <v>14</v>
      </c>
      <c r="C797" s="13" t="s">
        <v>2280</v>
      </c>
      <c r="D797" s="13" t="s">
        <v>2281</v>
      </c>
      <c r="E797" s="13" t="s">
        <v>32</v>
      </c>
      <c r="F797" s="14"/>
      <c r="G797" s="14"/>
      <c r="H797" s="14"/>
      <c r="I797" s="14"/>
      <c r="J797" s="14">
        <f t="shared" si="36"/>
        <v>0</v>
      </c>
      <c r="K797" s="14">
        <f t="shared" si="37"/>
        <v>0</v>
      </c>
      <c r="L797" s="17">
        <f t="shared" si="38"/>
        <v>0</v>
      </c>
      <c r="M797" s="14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 spans="1:27" s="2" customFormat="1" ht="14">
      <c r="A798" s="12" t="s">
        <v>2282</v>
      </c>
      <c r="B798" s="13" t="s">
        <v>14</v>
      </c>
      <c r="C798" s="13" t="s">
        <v>2283</v>
      </c>
      <c r="D798" s="13" t="s">
        <v>2284</v>
      </c>
      <c r="E798" s="13" t="s">
        <v>97</v>
      </c>
      <c r="F798" s="14"/>
      <c r="G798" s="14"/>
      <c r="H798" s="14"/>
      <c r="I798" s="14"/>
      <c r="J798" s="14">
        <f t="shared" si="36"/>
        <v>0</v>
      </c>
      <c r="K798" s="14">
        <f t="shared" si="37"/>
        <v>0</v>
      </c>
      <c r="L798" s="17">
        <f t="shared" si="38"/>
        <v>0</v>
      </c>
      <c r="M798" s="14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 spans="1:27" s="2" customFormat="1" ht="14">
      <c r="A799" s="12" t="s">
        <v>2285</v>
      </c>
      <c r="B799" s="13" t="s">
        <v>62</v>
      </c>
      <c r="C799" s="13" t="s">
        <v>2286</v>
      </c>
      <c r="D799" s="13" t="s">
        <v>2287</v>
      </c>
      <c r="E799" s="13" t="s">
        <v>156</v>
      </c>
      <c r="F799" s="14"/>
      <c r="G799" s="14"/>
      <c r="H799" s="14"/>
      <c r="I799" s="14"/>
      <c r="J799" s="14">
        <f t="shared" si="36"/>
        <v>0</v>
      </c>
      <c r="K799" s="14">
        <f t="shared" si="37"/>
        <v>0</v>
      </c>
      <c r="L799" s="17">
        <f t="shared" si="38"/>
        <v>0</v>
      </c>
      <c r="M799" s="14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 spans="1:27" s="2" customFormat="1" ht="14">
      <c r="A800" s="12" t="s">
        <v>2288</v>
      </c>
      <c r="B800" s="13" t="s">
        <v>14</v>
      </c>
      <c r="C800" s="13" t="s">
        <v>2289</v>
      </c>
      <c r="D800" s="13" t="s">
        <v>2290</v>
      </c>
      <c r="E800" s="13" t="s">
        <v>97</v>
      </c>
      <c r="F800" s="14"/>
      <c r="G800" s="14"/>
      <c r="H800" s="14"/>
      <c r="I800" s="14"/>
      <c r="J800" s="14">
        <f t="shared" si="36"/>
        <v>0</v>
      </c>
      <c r="K800" s="14">
        <f t="shared" si="37"/>
        <v>0</v>
      </c>
      <c r="L800" s="17">
        <f t="shared" si="38"/>
        <v>0</v>
      </c>
      <c r="M800" s="14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 spans="1:27" s="2" customFormat="1" ht="14">
      <c r="A801" s="12" t="s">
        <v>2291</v>
      </c>
      <c r="B801" s="13" t="s">
        <v>62</v>
      </c>
      <c r="C801" s="13" t="s">
        <v>2292</v>
      </c>
      <c r="D801" s="13" t="s">
        <v>2293</v>
      </c>
      <c r="E801" s="13" t="s">
        <v>238</v>
      </c>
      <c r="F801" s="14"/>
      <c r="G801" s="14"/>
      <c r="H801" s="14"/>
      <c r="I801" s="14"/>
      <c r="J801" s="14">
        <f t="shared" si="36"/>
        <v>0</v>
      </c>
      <c r="K801" s="14">
        <f t="shared" si="37"/>
        <v>0</v>
      </c>
      <c r="L801" s="17">
        <f t="shared" si="38"/>
        <v>0</v>
      </c>
      <c r="M801" s="14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 spans="1:27" s="2" customFormat="1" ht="14">
      <c r="A802" s="12" t="s">
        <v>2294</v>
      </c>
      <c r="B802" s="13" t="s">
        <v>62</v>
      </c>
      <c r="C802" s="13" t="s">
        <v>2295</v>
      </c>
      <c r="D802" s="13" t="s">
        <v>2296</v>
      </c>
      <c r="E802" s="13" t="s">
        <v>136</v>
      </c>
      <c r="F802" s="14"/>
      <c r="G802" s="14"/>
      <c r="H802" s="14"/>
      <c r="I802" s="14"/>
      <c r="J802" s="14">
        <f t="shared" si="36"/>
        <v>0</v>
      </c>
      <c r="K802" s="14">
        <f t="shared" si="37"/>
        <v>0</v>
      </c>
      <c r="L802" s="17">
        <f t="shared" si="38"/>
        <v>0</v>
      </c>
      <c r="M802" s="14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 spans="1:27" s="2" customFormat="1" ht="14">
      <c r="A803" s="12" t="s">
        <v>2297</v>
      </c>
      <c r="B803" s="13" t="s">
        <v>14</v>
      </c>
      <c r="C803" s="13" t="s">
        <v>2298</v>
      </c>
      <c r="D803" s="13" t="s">
        <v>2299</v>
      </c>
      <c r="E803" s="13" t="s">
        <v>369</v>
      </c>
      <c r="F803" s="14"/>
      <c r="G803" s="14"/>
      <c r="H803" s="14"/>
      <c r="I803" s="14"/>
      <c r="J803" s="14">
        <f t="shared" si="36"/>
        <v>0</v>
      </c>
      <c r="K803" s="14">
        <f t="shared" si="37"/>
        <v>0</v>
      </c>
      <c r="L803" s="17">
        <f t="shared" si="38"/>
        <v>0</v>
      </c>
      <c r="M803" s="14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 spans="1:27" s="2" customFormat="1" ht="14">
      <c r="A804" s="12" t="s">
        <v>2300</v>
      </c>
      <c r="B804" s="13" t="s">
        <v>14</v>
      </c>
      <c r="C804" s="13" t="s">
        <v>2301</v>
      </c>
      <c r="D804" s="13" t="s">
        <v>2302</v>
      </c>
      <c r="E804" s="13" t="s">
        <v>91</v>
      </c>
      <c r="F804" s="14"/>
      <c r="G804" s="14"/>
      <c r="H804" s="14"/>
      <c r="I804" s="14"/>
      <c r="J804" s="14">
        <f t="shared" si="36"/>
        <v>0</v>
      </c>
      <c r="K804" s="14">
        <f t="shared" si="37"/>
        <v>0</v>
      </c>
      <c r="L804" s="17">
        <f t="shared" si="38"/>
        <v>0</v>
      </c>
      <c r="M804" s="14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 spans="1:27" s="2" customFormat="1" ht="14">
      <c r="A805" s="12" t="s">
        <v>2303</v>
      </c>
      <c r="B805" s="13" t="s">
        <v>62</v>
      </c>
      <c r="C805" s="13" t="s">
        <v>2304</v>
      </c>
      <c r="D805" s="13" t="s">
        <v>2305</v>
      </c>
      <c r="E805" s="13" t="s">
        <v>156</v>
      </c>
      <c r="F805" s="14"/>
      <c r="G805" s="14"/>
      <c r="H805" s="14"/>
      <c r="I805" s="14"/>
      <c r="J805" s="14">
        <f t="shared" si="36"/>
        <v>0</v>
      </c>
      <c r="K805" s="14">
        <f t="shared" si="37"/>
        <v>0</v>
      </c>
      <c r="L805" s="17">
        <f t="shared" si="38"/>
        <v>0</v>
      </c>
      <c r="M805" s="14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 spans="1:27" s="2" customFormat="1" ht="14">
      <c r="A806" s="12" t="s">
        <v>2306</v>
      </c>
      <c r="B806" s="13" t="s">
        <v>62</v>
      </c>
      <c r="C806" s="13" t="s">
        <v>2307</v>
      </c>
      <c r="D806" s="13" t="s">
        <v>2308</v>
      </c>
      <c r="E806" s="13" t="s">
        <v>354</v>
      </c>
      <c r="F806" s="14"/>
      <c r="G806" s="14"/>
      <c r="H806" s="14"/>
      <c r="I806" s="14"/>
      <c r="J806" s="14">
        <f t="shared" si="36"/>
        <v>0</v>
      </c>
      <c r="K806" s="14">
        <f t="shared" si="37"/>
        <v>0</v>
      </c>
      <c r="L806" s="17">
        <f t="shared" si="38"/>
        <v>0</v>
      </c>
      <c r="M806" s="14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 spans="1:27" s="2" customFormat="1" ht="14">
      <c r="A807" s="12" t="s">
        <v>2309</v>
      </c>
      <c r="B807" s="13" t="s">
        <v>62</v>
      </c>
      <c r="C807" s="13" t="s">
        <v>2310</v>
      </c>
      <c r="D807" s="13" t="s">
        <v>2311</v>
      </c>
      <c r="E807" s="13" t="s">
        <v>443</v>
      </c>
      <c r="F807" s="14"/>
      <c r="G807" s="14"/>
      <c r="H807" s="14"/>
      <c r="I807" s="14"/>
      <c r="J807" s="14">
        <f t="shared" si="36"/>
        <v>0</v>
      </c>
      <c r="K807" s="14">
        <f t="shared" si="37"/>
        <v>0</v>
      </c>
      <c r="L807" s="17">
        <f t="shared" si="38"/>
        <v>0</v>
      </c>
      <c r="M807" s="14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 spans="1:27" s="2" customFormat="1" ht="14">
      <c r="A808" s="12" t="s">
        <v>2312</v>
      </c>
      <c r="B808" s="13" t="s">
        <v>62</v>
      </c>
      <c r="C808" s="13" t="s">
        <v>2313</v>
      </c>
      <c r="D808" s="13" t="s">
        <v>2314</v>
      </c>
      <c r="E808" s="13" t="s">
        <v>267</v>
      </c>
      <c r="F808" s="14"/>
      <c r="G808" s="14"/>
      <c r="H808" s="14"/>
      <c r="I808" s="14"/>
      <c r="J808" s="14">
        <f t="shared" si="36"/>
        <v>0</v>
      </c>
      <c r="K808" s="14">
        <f t="shared" si="37"/>
        <v>0</v>
      </c>
      <c r="L808" s="17">
        <f t="shared" si="38"/>
        <v>0</v>
      </c>
      <c r="M808" s="14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 spans="1:27" s="2" customFormat="1" ht="14">
      <c r="A809" s="12" t="s">
        <v>2315</v>
      </c>
      <c r="B809" s="13" t="s">
        <v>14</v>
      </c>
      <c r="C809" s="13" t="s">
        <v>2316</v>
      </c>
      <c r="D809" s="13" t="s">
        <v>2317</v>
      </c>
      <c r="E809" s="13" t="s">
        <v>32</v>
      </c>
      <c r="F809" s="14"/>
      <c r="G809" s="14"/>
      <c r="H809" s="14"/>
      <c r="I809" s="14"/>
      <c r="J809" s="14">
        <f t="shared" si="36"/>
        <v>0</v>
      </c>
      <c r="K809" s="14">
        <f t="shared" si="37"/>
        <v>0</v>
      </c>
      <c r="L809" s="17">
        <f t="shared" si="38"/>
        <v>0</v>
      </c>
      <c r="M809" s="14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 spans="1:27" s="2" customFormat="1" ht="14">
      <c r="A810" s="12" t="s">
        <v>2318</v>
      </c>
      <c r="B810" s="13" t="s">
        <v>14</v>
      </c>
      <c r="C810" s="13" t="s">
        <v>2319</v>
      </c>
      <c r="D810" s="13" t="s">
        <v>2320</v>
      </c>
      <c r="E810" s="13" t="s">
        <v>72</v>
      </c>
      <c r="F810" s="14"/>
      <c r="G810" s="14"/>
      <c r="H810" s="14"/>
      <c r="I810" s="14"/>
      <c r="J810" s="14">
        <f t="shared" si="36"/>
        <v>0</v>
      </c>
      <c r="K810" s="14">
        <f t="shared" si="37"/>
        <v>0</v>
      </c>
      <c r="L810" s="17">
        <f t="shared" si="38"/>
        <v>0</v>
      </c>
      <c r="M810" s="14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 spans="1:27" s="2" customFormat="1" ht="14">
      <c r="A811" s="12" t="s">
        <v>2321</v>
      </c>
      <c r="B811" s="13" t="s">
        <v>14</v>
      </c>
      <c r="C811" s="13" t="s">
        <v>2322</v>
      </c>
      <c r="D811" s="13" t="s">
        <v>2323</v>
      </c>
      <c r="E811" s="13" t="s">
        <v>32</v>
      </c>
      <c r="F811" s="14"/>
      <c r="G811" s="14"/>
      <c r="H811" s="14"/>
      <c r="I811" s="14"/>
      <c r="J811" s="14">
        <f t="shared" si="36"/>
        <v>0</v>
      </c>
      <c r="K811" s="14">
        <f t="shared" si="37"/>
        <v>0</v>
      </c>
      <c r="L811" s="17">
        <f t="shared" si="38"/>
        <v>0</v>
      </c>
      <c r="M811" s="14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 spans="1:27" s="2" customFormat="1" ht="14">
      <c r="A812" s="12" t="s">
        <v>2324</v>
      </c>
      <c r="B812" s="13" t="s">
        <v>14</v>
      </c>
      <c r="C812" s="13" t="s">
        <v>2325</v>
      </c>
      <c r="D812" s="13" t="s">
        <v>2326</v>
      </c>
      <c r="E812" s="13" t="s">
        <v>40</v>
      </c>
      <c r="F812" s="14"/>
      <c r="G812" s="14"/>
      <c r="H812" s="14"/>
      <c r="I812" s="14"/>
      <c r="J812" s="14">
        <f t="shared" si="36"/>
        <v>0</v>
      </c>
      <c r="K812" s="14">
        <f t="shared" si="37"/>
        <v>0</v>
      </c>
      <c r="L812" s="17">
        <f t="shared" si="38"/>
        <v>0</v>
      </c>
      <c r="M812" s="14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 spans="1:27" s="2" customFormat="1" ht="14">
      <c r="A813" s="12" t="s">
        <v>2327</v>
      </c>
      <c r="B813" s="13" t="s">
        <v>14</v>
      </c>
      <c r="C813" s="13" t="s">
        <v>2328</v>
      </c>
      <c r="D813" s="13" t="s">
        <v>2329</v>
      </c>
      <c r="E813" s="13" t="s">
        <v>267</v>
      </c>
      <c r="F813" s="14"/>
      <c r="G813" s="14"/>
      <c r="H813" s="14"/>
      <c r="I813" s="14"/>
      <c r="J813" s="14">
        <f t="shared" si="36"/>
        <v>0</v>
      </c>
      <c r="K813" s="14">
        <f t="shared" si="37"/>
        <v>0</v>
      </c>
      <c r="L813" s="17">
        <f t="shared" si="38"/>
        <v>0</v>
      </c>
      <c r="M813" s="14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 spans="1:27" s="2" customFormat="1" ht="14">
      <c r="A814" s="12" t="s">
        <v>2330</v>
      </c>
      <c r="B814" s="13" t="s">
        <v>14</v>
      </c>
      <c r="C814" s="13" t="s">
        <v>2331</v>
      </c>
      <c r="D814" s="13" t="s">
        <v>2332</v>
      </c>
      <c r="E814" s="13" t="s">
        <v>156</v>
      </c>
      <c r="F814" s="14"/>
      <c r="G814" s="14"/>
      <c r="H814" s="14"/>
      <c r="I814" s="14"/>
      <c r="J814" s="14">
        <f t="shared" si="36"/>
        <v>0</v>
      </c>
      <c r="K814" s="14">
        <f t="shared" si="37"/>
        <v>0</v>
      </c>
      <c r="L814" s="17">
        <f t="shared" si="38"/>
        <v>0</v>
      </c>
      <c r="M814" s="14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 spans="1:27" s="2" customFormat="1" ht="14">
      <c r="A815" s="12" t="s">
        <v>2333</v>
      </c>
      <c r="B815" s="13" t="s">
        <v>14</v>
      </c>
      <c r="C815" s="13" t="s">
        <v>2334</v>
      </c>
      <c r="D815" s="13" t="s">
        <v>2335</v>
      </c>
      <c r="E815" s="13" t="s">
        <v>83</v>
      </c>
      <c r="F815" s="14"/>
      <c r="G815" s="14"/>
      <c r="H815" s="14"/>
      <c r="I815" s="14"/>
      <c r="J815" s="14">
        <f t="shared" si="36"/>
        <v>0</v>
      </c>
      <c r="K815" s="14">
        <f t="shared" si="37"/>
        <v>0</v>
      </c>
      <c r="L815" s="17">
        <f t="shared" si="38"/>
        <v>0</v>
      </c>
      <c r="M815" s="14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 spans="1:27" s="2" customFormat="1" ht="14">
      <c r="A816" s="12" t="s">
        <v>2336</v>
      </c>
      <c r="B816" s="13" t="s">
        <v>14</v>
      </c>
      <c r="C816" s="13" t="s">
        <v>2337</v>
      </c>
      <c r="D816" s="13" t="s">
        <v>2338</v>
      </c>
      <c r="E816" s="13" t="s">
        <v>40</v>
      </c>
      <c r="F816" s="14"/>
      <c r="G816" s="14"/>
      <c r="H816" s="14"/>
      <c r="I816" s="14"/>
      <c r="J816" s="14">
        <f t="shared" si="36"/>
        <v>0</v>
      </c>
      <c r="K816" s="14">
        <f t="shared" si="37"/>
        <v>0</v>
      </c>
      <c r="L816" s="17">
        <f t="shared" si="38"/>
        <v>0</v>
      </c>
      <c r="M816" s="14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 spans="1:27" s="2" customFormat="1" ht="14">
      <c r="A817" s="12" t="s">
        <v>2339</v>
      </c>
      <c r="B817" s="13" t="s">
        <v>14</v>
      </c>
      <c r="C817" s="13" t="s">
        <v>2340</v>
      </c>
      <c r="D817" s="13" t="s">
        <v>2341</v>
      </c>
      <c r="E817" s="13" t="s">
        <v>97</v>
      </c>
      <c r="F817" s="14"/>
      <c r="G817" s="14"/>
      <c r="H817" s="14"/>
      <c r="I817" s="14"/>
      <c r="J817" s="14">
        <f t="shared" si="36"/>
        <v>0</v>
      </c>
      <c r="K817" s="14">
        <f t="shared" si="37"/>
        <v>0</v>
      </c>
      <c r="L817" s="17">
        <f t="shared" si="38"/>
        <v>0</v>
      </c>
      <c r="M817" s="14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 spans="1:27" s="2" customFormat="1" ht="14">
      <c r="A818" s="12" t="s">
        <v>2342</v>
      </c>
      <c r="B818" s="13" t="s">
        <v>14</v>
      </c>
      <c r="C818" s="13" t="s">
        <v>2343</v>
      </c>
      <c r="D818" s="13" t="s">
        <v>2344</v>
      </c>
      <c r="E818" s="13" t="s">
        <v>68</v>
      </c>
      <c r="F818" s="14"/>
      <c r="G818" s="14"/>
      <c r="H818" s="14"/>
      <c r="I818" s="14"/>
      <c r="J818" s="14">
        <f t="shared" si="36"/>
        <v>0</v>
      </c>
      <c r="K818" s="14">
        <f t="shared" si="37"/>
        <v>0</v>
      </c>
      <c r="L818" s="17">
        <f t="shared" si="38"/>
        <v>0</v>
      </c>
      <c r="M818" s="14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 spans="1:27" s="2" customFormat="1" ht="14">
      <c r="A819" s="12" t="s">
        <v>2345</v>
      </c>
      <c r="B819" s="13" t="s">
        <v>62</v>
      </c>
      <c r="C819" s="13" t="s">
        <v>2346</v>
      </c>
      <c r="D819" s="13" t="s">
        <v>2347</v>
      </c>
      <c r="E819" s="13" t="s">
        <v>354</v>
      </c>
      <c r="F819" s="14"/>
      <c r="G819" s="14"/>
      <c r="H819" s="14"/>
      <c r="I819" s="14"/>
      <c r="J819" s="14">
        <f t="shared" si="36"/>
        <v>0</v>
      </c>
      <c r="K819" s="14">
        <f t="shared" si="37"/>
        <v>0</v>
      </c>
      <c r="L819" s="17">
        <f t="shared" si="38"/>
        <v>0</v>
      </c>
      <c r="M819" s="14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 spans="1:27" s="2" customFormat="1" ht="14">
      <c r="A820" s="12" t="s">
        <v>2348</v>
      </c>
      <c r="B820" s="13" t="s">
        <v>62</v>
      </c>
      <c r="C820" s="13" t="s">
        <v>2349</v>
      </c>
      <c r="D820" s="13" t="s">
        <v>2350</v>
      </c>
      <c r="E820" s="13" t="s">
        <v>72</v>
      </c>
      <c r="F820" s="14"/>
      <c r="G820" s="14"/>
      <c r="H820" s="14"/>
      <c r="I820" s="14"/>
      <c r="J820" s="14">
        <f t="shared" si="36"/>
        <v>0</v>
      </c>
      <c r="K820" s="14">
        <f t="shared" si="37"/>
        <v>0</v>
      </c>
      <c r="L820" s="17">
        <f t="shared" si="38"/>
        <v>0</v>
      </c>
      <c r="M820" s="14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 spans="1:27" s="2" customFormat="1" ht="14">
      <c r="A821" s="12" t="s">
        <v>2351</v>
      </c>
      <c r="B821" s="13" t="s">
        <v>14</v>
      </c>
      <c r="C821" s="13" t="s">
        <v>2352</v>
      </c>
      <c r="D821" s="13" t="s">
        <v>2353</v>
      </c>
      <c r="E821" s="13" t="s">
        <v>36</v>
      </c>
      <c r="F821" s="14"/>
      <c r="G821" s="14"/>
      <c r="H821" s="14"/>
      <c r="I821" s="14"/>
      <c r="J821" s="14">
        <f t="shared" si="36"/>
        <v>0</v>
      </c>
      <c r="K821" s="14">
        <f t="shared" si="37"/>
        <v>0</v>
      </c>
      <c r="L821" s="17">
        <f t="shared" si="38"/>
        <v>0</v>
      </c>
      <c r="M821" s="14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 spans="1:27" s="2" customFormat="1" ht="14">
      <c r="A822" s="12" t="s">
        <v>2354</v>
      </c>
      <c r="B822" s="13" t="s">
        <v>62</v>
      </c>
      <c r="C822" s="13" t="s">
        <v>2355</v>
      </c>
      <c r="D822" s="13" t="s">
        <v>2356</v>
      </c>
      <c r="E822" s="13" t="s">
        <v>365</v>
      </c>
      <c r="F822" s="14"/>
      <c r="G822" s="14"/>
      <c r="H822" s="14"/>
      <c r="I822" s="14"/>
      <c r="J822" s="14">
        <f t="shared" si="36"/>
        <v>0</v>
      </c>
      <c r="K822" s="14">
        <f t="shared" si="37"/>
        <v>0</v>
      </c>
      <c r="L822" s="17">
        <f t="shared" si="38"/>
        <v>0</v>
      </c>
      <c r="M822" s="14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 spans="1:27" s="2" customFormat="1" ht="14">
      <c r="A823" s="12" t="s">
        <v>2357</v>
      </c>
      <c r="B823" s="13" t="s">
        <v>62</v>
      </c>
      <c r="C823" s="13" t="s">
        <v>2358</v>
      </c>
      <c r="D823" s="13" t="s">
        <v>2359</v>
      </c>
      <c r="E823" s="13" t="s">
        <v>150</v>
      </c>
      <c r="F823" s="14"/>
      <c r="G823" s="14"/>
      <c r="H823" s="14"/>
      <c r="I823" s="14"/>
      <c r="J823" s="14">
        <f t="shared" si="36"/>
        <v>0</v>
      </c>
      <c r="K823" s="14">
        <f t="shared" si="37"/>
        <v>0</v>
      </c>
      <c r="L823" s="17">
        <f t="shared" si="38"/>
        <v>0</v>
      </c>
      <c r="M823" s="14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 spans="1:27" s="2" customFormat="1" ht="14">
      <c r="A824" s="12" t="s">
        <v>2360</v>
      </c>
      <c r="B824" s="13" t="s">
        <v>14</v>
      </c>
      <c r="C824" s="13" t="s">
        <v>2361</v>
      </c>
      <c r="D824" s="13" t="s">
        <v>2362</v>
      </c>
      <c r="E824" s="13" t="s">
        <v>205</v>
      </c>
      <c r="F824" s="14"/>
      <c r="G824" s="14"/>
      <c r="H824" s="14"/>
      <c r="I824" s="14"/>
      <c r="J824" s="14">
        <f t="shared" si="36"/>
        <v>0</v>
      </c>
      <c r="K824" s="14">
        <f t="shared" si="37"/>
        <v>0</v>
      </c>
      <c r="L824" s="17">
        <f t="shared" si="38"/>
        <v>0</v>
      </c>
      <c r="M824" s="14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 spans="1:27" s="2" customFormat="1" ht="14">
      <c r="A825" s="12" t="s">
        <v>2363</v>
      </c>
      <c r="B825" s="13" t="s">
        <v>14</v>
      </c>
      <c r="C825" s="13" t="s">
        <v>2364</v>
      </c>
      <c r="D825" s="13" t="s">
        <v>2365</v>
      </c>
      <c r="E825" s="13" t="s">
        <v>156</v>
      </c>
      <c r="F825" s="14"/>
      <c r="G825" s="14"/>
      <c r="H825" s="14"/>
      <c r="I825" s="14"/>
      <c r="J825" s="14">
        <f t="shared" si="36"/>
        <v>0</v>
      </c>
      <c r="K825" s="14">
        <f t="shared" si="37"/>
        <v>0</v>
      </c>
      <c r="L825" s="17">
        <f t="shared" si="38"/>
        <v>0</v>
      </c>
      <c r="M825" s="14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 spans="1:27" s="2" customFormat="1" ht="14">
      <c r="A826" s="12" t="s">
        <v>2366</v>
      </c>
      <c r="B826" s="13" t="s">
        <v>14</v>
      </c>
      <c r="C826" s="13" t="s">
        <v>2367</v>
      </c>
      <c r="D826" s="13" t="s">
        <v>2368</v>
      </c>
      <c r="E826" s="13" t="s">
        <v>91</v>
      </c>
      <c r="F826" s="14"/>
      <c r="G826" s="14"/>
      <c r="H826" s="14"/>
      <c r="I826" s="14"/>
      <c r="J826" s="14">
        <f t="shared" si="36"/>
        <v>0</v>
      </c>
      <c r="K826" s="14">
        <f t="shared" si="37"/>
        <v>0</v>
      </c>
      <c r="L826" s="17">
        <f t="shared" si="38"/>
        <v>0</v>
      </c>
      <c r="M826" s="14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 spans="1:27" s="2" customFormat="1" ht="14">
      <c r="A827" s="12" t="s">
        <v>2369</v>
      </c>
      <c r="B827" s="13" t="s">
        <v>14</v>
      </c>
      <c r="C827" s="13" t="s">
        <v>2370</v>
      </c>
      <c r="D827" s="13" t="s">
        <v>2371</v>
      </c>
      <c r="E827" s="13" t="s">
        <v>443</v>
      </c>
      <c r="F827" s="14"/>
      <c r="G827" s="14"/>
      <c r="H827" s="14"/>
      <c r="I827" s="14"/>
      <c r="J827" s="14">
        <f t="shared" si="36"/>
        <v>0</v>
      </c>
      <c r="K827" s="14">
        <f t="shared" si="37"/>
        <v>0</v>
      </c>
      <c r="L827" s="17">
        <f t="shared" si="38"/>
        <v>0</v>
      </c>
      <c r="M827" s="14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 spans="1:27" s="2" customFormat="1" ht="14">
      <c r="A828" s="12" t="s">
        <v>2372</v>
      </c>
      <c r="B828" s="13" t="s">
        <v>14</v>
      </c>
      <c r="C828" s="13" t="s">
        <v>2373</v>
      </c>
      <c r="D828" s="13" t="s">
        <v>2374</v>
      </c>
      <c r="E828" s="13" t="s">
        <v>97</v>
      </c>
      <c r="F828" s="14"/>
      <c r="G828" s="14"/>
      <c r="H828" s="14"/>
      <c r="I828" s="14"/>
      <c r="J828" s="14">
        <f t="shared" si="36"/>
        <v>0</v>
      </c>
      <c r="K828" s="14">
        <f t="shared" si="37"/>
        <v>0</v>
      </c>
      <c r="L828" s="17">
        <f t="shared" si="38"/>
        <v>0</v>
      </c>
      <c r="M828" s="14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 spans="1:27" s="2" customFormat="1" ht="14">
      <c r="A829" s="12" t="s">
        <v>2375</v>
      </c>
      <c r="B829" s="13" t="s">
        <v>14</v>
      </c>
      <c r="C829" s="13" t="s">
        <v>2376</v>
      </c>
      <c r="D829" s="13" t="s">
        <v>2377</v>
      </c>
      <c r="E829" s="13" t="s">
        <v>156</v>
      </c>
      <c r="F829" s="14"/>
      <c r="G829" s="14"/>
      <c r="H829" s="14"/>
      <c r="I829" s="14"/>
      <c r="J829" s="14">
        <f t="shared" si="36"/>
        <v>0</v>
      </c>
      <c r="K829" s="14">
        <f t="shared" si="37"/>
        <v>0</v>
      </c>
      <c r="L829" s="17">
        <f t="shared" si="38"/>
        <v>0</v>
      </c>
      <c r="M829" s="14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 spans="1:27" s="2" customFormat="1" ht="14">
      <c r="A830" s="12" t="s">
        <v>2378</v>
      </c>
      <c r="B830" s="13" t="s">
        <v>14</v>
      </c>
      <c r="C830" s="13" t="s">
        <v>2379</v>
      </c>
      <c r="D830" s="13" t="s">
        <v>2380</v>
      </c>
      <c r="E830" s="13" t="s">
        <v>46</v>
      </c>
      <c r="F830" s="14"/>
      <c r="G830" s="14"/>
      <c r="H830" s="14"/>
      <c r="I830" s="14"/>
      <c r="J830" s="14">
        <f t="shared" si="36"/>
        <v>0</v>
      </c>
      <c r="K830" s="14">
        <f t="shared" si="37"/>
        <v>0</v>
      </c>
      <c r="L830" s="17">
        <f t="shared" si="38"/>
        <v>0</v>
      </c>
      <c r="M830" s="14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 spans="1:27" s="2" customFormat="1" ht="14">
      <c r="A831" s="12" t="s">
        <v>2381</v>
      </c>
      <c r="B831" s="13" t="s">
        <v>14</v>
      </c>
      <c r="C831" s="13" t="s">
        <v>2382</v>
      </c>
      <c r="D831" s="13" t="s">
        <v>2383</v>
      </c>
      <c r="E831" s="13" t="s">
        <v>40</v>
      </c>
      <c r="F831" s="14"/>
      <c r="G831" s="14"/>
      <c r="H831" s="14"/>
      <c r="I831" s="14"/>
      <c r="J831" s="14">
        <f t="shared" si="36"/>
        <v>0</v>
      </c>
      <c r="K831" s="14">
        <f t="shared" si="37"/>
        <v>0</v>
      </c>
      <c r="L831" s="17">
        <f t="shared" si="38"/>
        <v>0</v>
      </c>
      <c r="M831" s="14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 spans="1:27" s="2" customFormat="1" ht="14">
      <c r="A832" s="12" t="s">
        <v>2384</v>
      </c>
      <c r="B832" s="13" t="s">
        <v>14</v>
      </c>
      <c r="C832" s="13" t="s">
        <v>2385</v>
      </c>
      <c r="D832" s="13" t="s">
        <v>2386</v>
      </c>
      <c r="E832" s="13" t="s">
        <v>83</v>
      </c>
      <c r="F832" s="14"/>
      <c r="G832" s="14"/>
      <c r="H832" s="14"/>
      <c r="I832" s="14"/>
      <c r="J832" s="14">
        <f t="shared" si="36"/>
        <v>0</v>
      </c>
      <c r="K832" s="14">
        <f t="shared" si="37"/>
        <v>0</v>
      </c>
      <c r="L832" s="17">
        <f t="shared" si="38"/>
        <v>0</v>
      </c>
      <c r="M832" s="14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 spans="1:27" s="2" customFormat="1" ht="14">
      <c r="A833" s="12" t="s">
        <v>2387</v>
      </c>
      <c r="B833" s="13" t="s">
        <v>14</v>
      </c>
      <c r="C833" s="13" t="s">
        <v>2388</v>
      </c>
      <c r="D833" s="13" t="s">
        <v>2389</v>
      </c>
      <c r="E833" s="13" t="s">
        <v>285</v>
      </c>
      <c r="F833" s="14"/>
      <c r="G833" s="14"/>
      <c r="H833" s="14"/>
      <c r="I833" s="14"/>
      <c r="J833" s="14">
        <f t="shared" si="36"/>
        <v>0</v>
      </c>
      <c r="K833" s="14">
        <f t="shared" si="37"/>
        <v>0</v>
      </c>
      <c r="L833" s="17">
        <f t="shared" si="38"/>
        <v>0</v>
      </c>
      <c r="M833" s="14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 spans="1:27" s="2" customFormat="1" ht="14">
      <c r="A834" s="12" t="s">
        <v>2390</v>
      </c>
      <c r="B834" s="13" t="s">
        <v>14</v>
      </c>
      <c r="C834" s="13" t="s">
        <v>2391</v>
      </c>
      <c r="D834" s="13" t="s">
        <v>2392</v>
      </c>
      <c r="E834" s="13" t="s">
        <v>220</v>
      </c>
      <c r="F834" s="14"/>
      <c r="G834" s="14"/>
      <c r="H834" s="14"/>
      <c r="I834" s="14"/>
      <c r="J834" s="14">
        <f t="shared" ref="J834:J897" si="39">IF(G834&gt;0,1,0)</f>
        <v>0</v>
      </c>
      <c r="K834" s="14">
        <f t="shared" ref="K834:K897" si="40">IF(H834&gt;0,1,0)</f>
        <v>0</v>
      </c>
      <c r="L834" s="17">
        <f t="shared" ref="L834:L897" si="41">IF(G834&gt;0,IF(H834&gt;0,1,0),0)</f>
        <v>0</v>
      </c>
      <c r="M834" s="14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 spans="1:27" s="2" customFormat="1" ht="14">
      <c r="A835" s="12" t="s">
        <v>2393</v>
      </c>
      <c r="B835" s="13" t="s">
        <v>62</v>
      </c>
      <c r="C835" s="13" t="s">
        <v>2394</v>
      </c>
      <c r="D835" s="13" t="s">
        <v>2395</v>
      </c>
      <c r="E835" s="13" t="s">
        <v>150</v>
      </c>
      <c r="F835" s="14"/>
      <c r="G835" s="14"/>
      <c r="H835" s="14"/>
      <c r="I835" s="14"/>
      <c r="J835" s="14">
        <f t="shared" si="39"/>
        <v>0</v>
      </c>
      <c r="K835" s="14">
        <f t="shared" si="40"/>
        <v>0</v>
      </c>
      <c r="L835" s="17">
        <f t="shared" si="41"/>
        <v>0</v>
      </c>
      <c r="M835" s="14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 spans="1:27" s="2" customFormat="1" ht="14">
      <c r="A836" s="12" t="s">
        <v>2396</v>
      </c>
      <c r="B836" s="13" t="s">
        <v>62</v>
      </c>
      <c r="C836" s="13" t="s">
        <v>2397</v>
      </c>
      <c r="D836" s="13" t="s">
        <v>2398</v>
      </c>
      <c r="E836" s="13" t="s">
        <v>2399</v>
      </c>
      <c r="F836" s="14"/>
      <c r="G836" s="14"/>
      <c r="H836" s="14"/>
      <c r="I836" s="14"/>
      <c r="J836" s="14">
        <f t="shared" si="39"/>
        <v>0</v>
      </c>
      <c r="K836" s="14">
        <f t="shared" si="40"/>
        <v>0</v>
      </c>
      <c r="L836" s="17">
        <f t="shared" si="41"/>
        <v>0</v>
      </c>
      <c r="M836" s="14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 spans="1:27" s="2" customFormat="1" ht="14">
      <c r="A837" s="12" t="s">
        <v>2400</v>
      </c>
      <c r="B837" s="13" t="s">
        <v>14</v>
      </c>
      <c r="C837" s="13" t="s">
        <v>2401</v>
      </c>
      <c r="D837" s="13" t="s">
        <v>2402</v>
      </c>
      <c r="E837" s="13" t="s">
        <v>220</v>
      </c>
      <c r="F837" s="14"/>
      <c r="G837" s="14"/>
      <c r="H837" s="14"/>
      <c r="I837" s="14"/>
      <c r="J837" s="14">
        <f t="shared" si="39"/>
        <v>0</v>
      </c>
      <c r="K837" s="14">
        <f t="shared" si="40"/>
        <v>0</v>
      </c>
      <c r="L837" s="17">
        <f t="shared" si="41"/>
        <v>0</v>
      </c>
      <c r="M837" s="14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 spans="1:27" s="2" customFormat="1" ht="14">
      <c r="A838" s="12" t="s">
        <v>2403</v>
      </c>
      <c r="B838" s="13" t="s">
        <v>14</v>
      </c>
      <c r="C838" s="13" t="s">
        <v>2404</v>
      </c>
      <c r="D838" s="13" t="s">
        <v>2405</v>
      </c>
      <c r="E838" s="13" t="s">
        <v>488</v>
      </c>
      <c r="F838" s="14"/>
      <c r="G838" s="14"/>
      <c r="H838" s="14"/>
      <c r="I838" s="14"/>
      <c r="J838" s="14">
        <f t="shared" si="39"/>
        <v>0</v>
      </c>
      <c r="K838" s="14">
        <f t="shared" si="40"/>
        <v>0</v>
      </c>
      <c r="L838" s="17">
        <f t="shared" si="41"/>
        <v>0</v>
      </c>
      <c r="M838" s="14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 spans="1:27" s="2" customFormat="1" ht="14">
      <c r="A839" s="12" t="s">
        <v>2406</v>
      </c>
      <c r="B839" s="13" t="s">
        <v>14</v>
      </c>
      <c r="C839" s="13" t="s">
        <v>2407</v>
      </c>
      <c r="D839" s="13" t="s">
        <v>2408</v>
      </c>
      <c r="E839" s="13" t="s">
        <v>72</v>
      </c>
      <c r="F839" s="14"/>
      <c r="G839" s="14"/>
      <c r="H839" s="14"/>
      <c r="I839" s="14"/>
      <c r="J839" s="14">
        <f t="shared" si="39"/>
        <v>0</v>
      </c>
      <c r="K839" s="14">
        <f t="shared" si="40"/>
        <v>0</v>
      </c>
      <c r="L839" s="17">
        <f t="shared" si="41"/>
        <v>0</v>
      </c>
      <c r="M839" s="14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 spans="1:27" s="2" customFormat="1" ht="14">
      <c r="A840" s="12" t="s">
        <v>2409</v>
      </c>
      <c r="B840" s="13" t="s">
        <v>14</v>
      </c>
      <c r="C840" s="13" t="s">
        <v>2410</v>
      </c>
      <c r="D840" s="13" t="s">
        <v>2411</v>
      </c>
      <c r="E840" s="13" t="s">
        <v>136</v>
      </c>
      <c r="F840" s="14"/>
      <c r="G840" s="14"/>
      <c r="H840" s="14"/>
      <c r="I840" s="14"/>
      <c r="J840" s="14">
        <f t="shared" si="39"/>
        <v>0</v>
      </c>
      <c r="K840" s="14">
        <f t="shared" si="40"/>
        <v>0</v>
      </c>
      <c r="L840" s="17">
        <f t="shared" si="41"/>
        <v>0</v>
      </c>
      <c r="M840" s="14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 spans="1:27" s="2" customFormat="1" ht="14">
      <c r="A841" s="12" t="s">
        <v>2412</v>
      </c>
      <c r="B841" s="13" t="s">
        <v>62</v>
      </c>
      <c r="C841" s="13" t="s">
        <v>2413</v>
      </c>
      <c r="D841" s="13" t="s">
        <v>2414</v>
      </c>
      <c r="E841" s="13" t="s">
        <v>201</v>
      </c>
      <c r="F841" s="14"/>
      <c r="G841" s="14"/>
      <c r="H841" s="14"/>
      <c r="I841" s="14"/>
      <c r="J841" s="14">
        <f t="shared" si="39"/>
        <v>0</v>
      </c>
      <c r="K841" s="14">
        <f t="shared" si="40"/>
        <v>0</v>
      </c>
      <c r="L841" s="17">
        <f t="shared" si="41"/>
        <v>0</v>
      </c>
      <c r="M841" s="14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 spans="1:27" s="2" customFormat="1" ht="14">
      <c r="A842" s="12" t="s">
        <v>2415</v>
      </c>
      <c r="B842" s="13" t="s">
        <v>14</v>
      </c>
      <c r="C842" s="13" t="s">
        <v>2416</v>
      </c>
      <c r="D842" s="13" t="s">
        <v>2417</v>
      </c>
      <c r="E842" s="13" t="s">
        <v>17</v>
      </c>
      <c r="F842" s="14"/>
      <c r="G842" s="14"/>
      <c r="H842" s="14"/>
      <c r="I842" s="14"/>
      <c r="J842" s="14">
        <f t="shared" si="39"/>
        <v>0</v>
      </c>
      <c r="K842" s="14">
        <f t="shared" si="40"/>
        <v>0</v>
      </c>
      <c r="L842" s="17">
        <f t="shared" si="41"/>
        <v>0</v>
      </c>
      <c r="M842" s="14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 spans="1:27" s="2" customFormat="1" ht="14">
      <c r="A843" s="12" t="s">
        <v>2418</v>
      </c>
      <c r="B843" s="13" t="s">
        <v>14</v>
      </c>
      <c r="C843" s="13" t="s">
        <v>2419</v>
      </c>
      <c r="D843" s="13" t="s">
        <v>2420</v>
      </c>
      <c r="E843" s="13" t="s">
        <v>104</v>
      </c>
      <c r="F843" s="14"/>
      <c r="G843" s="14"/>
      <c r="H843" s="14"/>
      <c r="I843" s="14"/>
      <c r="J843" s="14">
        <f t="shared" si="39"/>
        <v>0</v>
      </c>
      <c r="K843" s="14">
        <f t="shared" si="40"/>
        <v>0</v>
      </c>
      <c r="L843" s="17">
        <f t="shared" si="41"/>
        <v>0</v>
      </c>
      <c r="M843" s="14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 spans="1:27" s="2" customFormat="1" ht="14">
      <c r="A844" s="12" t="s">
        <v>2421</v>
      </c>
      <c r="B844" s="13" t="s">
        <v>62</v>
      </c>
      <c r="C844" s="13" t="s">
        <v>2422</v>
      </c>
      <c r="D844" s="13" t="s">
        <v>2423</v>
      </c>
      <c r="E844" s="13" t="s">
        <v>156</v>
      </c>
      <c r="F844" s="14"/>
      <c r="G844" s="14"/>
      <c r="H844" s="14"/>
      <c r="I844" s="14"/>
      <c r="J844" s="14">
        <f t="shared" si="39"/>
        <v>0</v>
      </c>
      <c r="K844" s="14">
        <f t="shared" si="40"/>
        <v>0</v>
      </c>
      <c r="L844" s="17">
        <f t="shared" si="41"/>
        <v>0</v>
      </c>
      <c r="M844" s="14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 spans="1:27" s="2" customFormat="1" ht="14">
      <c r="A845" s="12" t="s">
        <v>2424</v>
      </c>
      <c r="B845" s="13" t="s">
        <v>62</v>
      </c>
      <c r="C845" s="13" t="s">
        <v>2425</v>
      </c>
      <c r="D845" s="13" t="s">
        <v>2426</v>
      </c>
      <c r="E845" s="13" t="s">
        <v>183</v>
      </c>
      <c r="F845" s="14"/>
      <c r="G845" s="14"/>
      <c r="H845" s="14"/>
      <c r="I845" s="14"/>
      <c r="J845" s="14">
        <f t="shared" si="39"/>
        <v>0</v>
      </c>
      <c r="K845" s="14">
        <f t="shared" si="40"/>
        <v>0</v>
      </c>
      <c r="L845" s="17">
        <f t="shared" si="41"/>
        <v>0</v>
      </c>
      <c r="M845" s="14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 spans="1:27" s="2" customFormat="1" ht="14">
      <c r="A846" s="12" t="s">
        <v>2427</v>
      </c>
      <c r="B846" s="13" t="s">
        <v>14</v>
      </c>
      <c r="C846" s="13" t="s">
        <v>2428</v>
      </c>
      <c r="D846" s="13" t="s">
        <v>2429</v>
      </c>
      <c r="E846" s="13" t="s">
        <v>398</v>
      </c>
      <c r="F846" s="14"/>
      <c r="G846" s="14"/>
      <c r="H846" s="14"/>
      <c r="I846" s="14"/>
      <c r="J846" s="14">
        <f t="shared" si="39"/>
        <v>0</v>
      </c>
      <c r="K846" s="14">
        <f t="shared" si="40"/>
        <v>0</v>
      </c>
      <c r="L846" s="17">
        <f t="shared" si="41"/>
        <v>0</v>
      </c>
      <c r="M846" s="14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 spans="1:27" s="2" customFormat="1" ht="14">
      <c r="A847" s="12" t="s">
        <v>2430</v>
      </c>
      <c r="B847" s="13" t="s">
        <v>14</v>
      </c>
      <c r="C847" s="13" t="s">
        <v>2431</v>
      </c>
      <c r="D847" s="13" t="s">
        <v>2432</v>
      </c>
      <c r="E847" s="13" t="s">
        <v>285</v>
      </c>
      <c r="F847" s="14"/>
      <c r="G847" s="14"/>
      <c r="H847" s="14"/>
      <c r="I847" s="14"/>
      <c r="J847" s="14">
        <f t="shared" si="39"/>
        <v>0</v>
      </c>
      <c r="K847" s="14">
        <f t="shared" si="40"/>
        <v>0</v>
      </c>
      <c r="L847" s="17">
        <f t="shared" si="41"/>
        <v>0</v>
      </c>
      <c r="M847" s="14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 spans="1:27" s="2" customFormat="1" ht="14">
      <c r="A848" s="12" t="s">
        <v>2433</v>
      </c>
      <c r="B848" s="13" t="s">
        <v>14</v>
      </c>
      <c r="C848" s="13" t="s">
        <v>2434</v>
      </c>
      <c r="D848" s="13" t="s">
        <v>2435</v>
      </c>
      <c r="E848" s="13" t="s">
        <v>201</v>
      </c>
      <c r="F848" s="14"/>
      <c r="G848" s="14"/>
      <c r="H848" s="14"/>
      <c r="I848" s="14"/>
      <c r="J848" s="14">
        <f t="shared" si="39"/>
        <v>0</v>
      </c>
      <c r="K848" s="14">
        <f t="shared" si="40"/>
        <v>0</v>
      </c>
      <c r="L848" s="17">
        <f t="shared" si="41"/>
        <v>0</v>
      </c>
      <c r="M848" s="14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 spans="1:27" s="2" customFormat="1" ht="14">
      <c r="A849" s="12" t="s">
        <v>2436</v>
      </c>
      <c r="B849" s="13" t="s">
        <v>62</v>
      </c>
      <c r="C849" s="13" t="s">
        <v>2437</v>
      </c>
      <c r="D849" s="13" t="s">
        <v>2438</v>
      </c>
      <c r="E849" s="13" t="s">
        <v>201</v>
      </c>
      <c r="F849" s="14"/>
      <c r="G849" s="14"/>
      <c r="H849" s="14"/>
      <c r="I849" s="14"/>
      <c r="J849" s="14">
        <f t="shared" si="39"/>
        <v>0</v>
      </c>
      <c r="K849" s="14">
        <f t="shared" si="40"/>
        <v>0</v>
      </c>
      <c r="L849" s="17">
        <f t="shared" si="41"/>
        <v>0</v>
      </c>
      <c r="M849" s="14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 spans="1:27" s="2" customFormat="1" ht="14">
      <c r="A850" s="12" t="s">
        <v>2439</v>
      </c>
      <c r="B850" s="13" t="s">
        <v>14</v>
      </c>
      <c r="C850" s="13" t="s">
        <v>2440</v>
      </c>
      <c r="D850" s="13" t="s">
        <v>2441</v>
      </c>
      <c r="E850" s="13" t="s">
        <v>267</v>
      </c>
      <c r="F850" s="14"/>
      <c r="G850" s="14"/>
      <c r="H850" s="14"/>
      <c r="I850" s="14"/>
      <c r="J850" s="14">
        <f t="shared" si="39"/>
        <v>0</v>
      </c>
      <c r="K850" s="14">
        <f t="shared" si="40"/>
        <v>0</v>
      </c>
      <c r="L850" s="17">
        <f t="shared" si="41"/>
        <v>0</v>
      </c>
      <c r="M850" s="14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 spans="1:27" s="2" customFormat="1" ht="14">
      <c r="A851" s="12" t="s">
        <v>2442</v>
      </c>
      <c r="B851" s="13" t="s">
        <v>62</v>
      </c>
      <c r="C851" s="13" t="s">
        <v>2443</v>
      </c>
      <c r="D851" s="13" t="s">
        <v>2444</v>
      </c>
      <c r="E851" s="13" t="s">
        <v>201</v>
      </c>
      <c r="F851" s="14"/>
      <c r="G851" s="14"/>
      <c r="H851" s="14"/>
      <c r="I851" s="14"/>
      <c r="J851" s="14">
        <f t="shared" si="39"/>
        <v>0</v>
      </c>
      <c r="K851" s="14">
        <f t="shared" si="40"/>
        <v>0</v>
      </c>
      <c r="L851" s="17">
        <f t="shared" si="41"/>
        <v>0</v>
      </c>
      <c r="M851" s="14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 spans="1:27" s="2" customFormat="1" ht="14">
      <c r="A852" s="12" t="s">
        <v>2445</v>
      </c>
      <c r="B852" s="13" t="s">
        <v>14</v>
      </c>
      <c r="C852" s="13" t="s">
        <v>2446</v>
      </c>
      <c r="D852" s="13" t="s">
        <v>2447</v>
      </c>
      <c r="E852" s="13" t="s">
        <v>97</v>
      </c>
      <c r="F852" s="14"/>
      <c r="G852" s="14"/>
      <c r="H852" s="14"/>
      <c r="I852" s="14"/>
      <c r="J852" s="14">
        <f t="shared" si="39"/>
        <v>0</v>
      </c>
      <c r="K852" s="14">
        <f t="shared" si="40"/>
        <v>0</v>
      </c>
      <c r="L852" s="17">
        <f t="shared" si="41"/>
        <v>0</v>
      </c>
      <c r="M852" s="14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 spans="1:27" s="2" customFormat="1" ht="14">
      <c r="A853" s="12" t="s">
        <v>2448</v>
      </c>
      <c r="B853" s="13" t="s">
        <v>14</v>
      </c>
      <c r="C853" s="13" t="s">
        <v>2449</v>
      </c>
      <c r="D853" s="13" t="s">
        <v>2450</v>
      </c>
      <c r="E853" s="13" t="s">
        <v>220</v>
      </c>
      <c r="F853" s="14"/>
      <c r="G853" s="14"/>
      <c r="H853" s="14"/>
      <c r="I853" s="14"/>
      <c r="J853" s="14">
        <f t="shared" si="39"/>
        <v>0</v>
      </c>
      <c r="K853" s="14">
        <f t="shared" si="40"/>
        <v>0</v>
      </c>
      <c r="L853" s="17">
        <f t="shared" si="41"/>
        <v>0</v>
      </c>
      <c r="M853" s="14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 spans="1:27" s="2" customFormat="1" ht="14">
      <c r="A854" s="12" t="s">
        <v>2451</v>
      </c>
      <c r="B854" s="13" t="s">
        <v>14</v>
      </c>
      <c r="C854" s="13" t="s">
        <v>2452</v>
      </c>
      <c r="D854" s="13" t="s">
        <v>2453</v>
      </c>
      <c r="E854" s="13" t="s">
        <v>136</v>
      </c>
      <c r="F854" s="14"/>
      <c r="G854" s="14"/>
      <c r="H854" s="14"/>
      <c r="I854" s="14"/>
      <c r="J854" s="14">
        <f t="shared" si="39"/>
        <v>0</v>
      </c>
      <c r="K854" s="14">
        <f t="shared" si="40"/>
        <v>0</v>
      </c>
      <c r="L854" s="17">
        <f t="shared" si="41"/>
        <v>0</v>
      </c>
      <c r="M854" s="14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 spans="1:27" s="2" customFormat="1" ht="14">
      <c r="A855" s="12" t="s">
        <v>2454</v>
      </c>
      <c r="B855" s="13" t="s">
        <v>14</v>
      </c>
      <c r="C855" s="13" t="s">
        <v>2455</v>
      </c>
      <c r="D855" s="13" t="s">
        <v>2456</v>
      </c>
      <c r="E855" s="13" t="s">
        <v>36</v>
      </c>
      <c r="F855" s="14"/>
      <c r="G855" s="14"/>
      <c r="H855" s="14"/>
      <c r="I855" s="14"/>
      <c r="J855" s="14">
        <f t="shared" si="39"/>
        <v>0</v>
      </c>
      <c r="K855" s="14">
        <f t="shared" si="40"/>
        <v>0</v>
      </c>
      <c r="L855" s="17">
        <f t="shared" si="41"/>
        <v>0</v>
      </c>
      <c r="M855" s="14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 spans="1:27" s="2" customFormat="1" ht="14">
      <c r="A856" s="12" t="s">
        <v>2457</v>
      </c>
      <c r="B856" s="13" t="s">
        <v>14</v>
      </c>
      <c r="C856" s="13" t="s">
        <v>2458</v>
      </c>
      <c r="D856" s="13" t="s">
        <v>2459</v>
      </c>
      <c r="E856" s="13" t="s">
        <v>971</v>
      </c>
      <c r="F856" s="14"/>
      <c r="G856" s="14"/>
      <c r="H856" s="14"/>
      <c r="I856" s="14"/>
      <c r="J856" s="14">
        <f t="shared" si="39"/>
        <v>0</v>
      </c>
      <c r="K856" s="14">
        <f t="shared" si="40"/>
        <v>0</v>
      </c>
      <c r="L856" s="17">
        <f t="shared" si="41"/>
        <v>0</v>
      </c>
      <c r="M856" s="14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 spans="1:27" s="2" customFormat="1" ht="14">
      <c r="A857" s="12" t="s">
        <v>2460</v>
      </c>
      <c r="B857" s="13" t="s">
        <v>14</v>
      </c>
      <c r="C857" s="13" t="s">
        <v>2461</v>
      </c>
      <c r="D857" s="13" t="s">
        <v>2462</v>
      </c>
      <c r="E857" s="13" t="s">
        <v>402</v>
      </c>
      <c r="F857" s="14"/>
      <c r="G857" s="14"/>
      <c r="H857" s="14"/>
      <c r="I857" s="14"/>
      <c r="J857" s="14">
        <f t="shared" si="39"/>
        <v>0</v>
      </c>
      <c r="K857" s="14">
        <f t="shared" si="40"/>
        <v>0</v>
      </c>
      <c r="L857" s="17">
        <f t="shared" si="41"/>
        <v>0</v>
      </c>
      <c r="M857" s="14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 spans="1:27" s="2" customFormat="1" ht="14">
      <c r="A858" s="12" t="s">
        <v>2463</v>
      </c>
      <c r="B858" s="13" t="s">
        <v>62</v>
      </c>
      <c r="C858" s="13" t="s">
        <v>2464</v>
      </c>
      <c r="D858" s="13" t="s">
        <v>2465</v>
      </c>
      <c r="E858" s="13" t="s">
        <v>136</v>
      </c>
      <c r="F858" s="14"/>
      <c r="G858" s="14"/>
      <c r="H858" s="14"/>
      <c r="I858" s="14"/>
      <c r="J858" s="14">
        <f t="shared" si="39"/>
        <v>0</v>
      </c>
      <c r="K858" s="14">
        <f t="shared" si="40"/>
        <v>0</v>
      </c>
      <c r="L858" s="17">
        <f t="shared" si="41"/>
        <v>0</v>
      </c>
      <c r="M858" s="14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 spans="1:27" s="2" customFormat="1" ht="14">
      <c r="A859" s="12" t="s">
        <v>2466</v>
      </c>
      <c r="B859" s="13" t="s">
        <v>14</v>
      </c>
      <c r="C859" s="13" t="s">
        <v>2467</v>
      </c>
      <c r="D859" s="13" t="s">
        <v>2468</v>
      </c>
      <c r="E859" s="13" t="s">
        <v>40</v>
      </c>
      <c r="F859" s="14"/>
      <c r="G859" s="14"/>
      <c r="H859" s="14"/>
      <c r="I859" s="14"/>
      <c r="J859" s="14">
        <f t="shared" si="39"/>
        <v>0</v>
      </c>
      <c r="K859" s="14">
        <f t="shared" si="40"/>
        <v>0</v>
      </c>
      <c r="L859" s="17">
        <f t="shared" si="41"/>
        <v>0</v>
      </c>
      <c r="M859" s="14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 spans="1:27" s="2" customFormat="1" ht="14">
      <c r="A860" s="12" t="s">
        <v>2469</v>
      </c>
      <c r="B860" s="13" t="s">
        <v>14</v>
      </c>
      <c r="C860" s="13" t="s">
        <v>2470</v>
      </c>
      <c r="D860" s="13" t="s">
        <v>2471</v>
      </c>
      <c r="E860" s="13" t="s">
        <v>46</v>
      </c>
      <c r="F860" s="14"/>
      <c r="G860" s="14"/>
      <c r="H860" s="14"/>
      <c r="I860" s="14"/>
      <c r="J860" s="14">
        <f t="shared" si="39"/>
        <v>0</v>
      </c>
      <c r="K860" s="14">
        <f t="shared" si="40"/>
        <v>0</v>
      </c>
      <c r="L860" s="17">
        <f t="shared" si="41"/>
        <v>0</v>
      </c>
      <c r="M860" s="14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 spans="1:27" s="2" customFormat="1" ht="14">
      <c r="A861" s="12" t="s">
        <v>2472</v>
      </c>
      <c r="B861" s="13" t="s">
        <v>14</v>
      </c>
      <c r="C861" s="13" t="s">
        <v>2473</v>
      </c>
      <c r="D861" s="13" t="s">
        <v>2474</v>
      </c>
      <c r="E861" s="13" t="s">
        <v>17</v>
      </c>
      <c r="F861" s="14"/>
      <c r="G861" s="14"/>
      <c r="H861" s="14"/>
      <c r="I861" s="14"/>
      <c r="J861" s="14">
        <f t="shared" si="39"/>
        <v>0</v>
      </c>
      <c r="K861" s="14">
        <f t="shared" si="40"/>
        <v>0</v>
      </c>
      <c r="L861" s="17">
        <f t="shared" si="41"/>
        <v>0</v>
      </c>
      <c r="M861" s="14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 spans="1:27" s="2" customFormat="1" ht="14">
      <c r="A862" s="12" t="s">
        <v>2475</v>
      </c>
      <c r="B862" s="13" t="s">
        <v>14</v>
      </c>
      <c r="C862" s="13" t="s">
        <v>2476</v>
      </c>
      <c r="D862" s="13" t="s">
        <v>2477</v>
      </c>
      <c r="E862" s="13" t="s">
        <v>50</v>
      </c>
      <c r="F862" s="14"/>
      <c r="G862" s="14"/>
      <c r="H862" s="14"/>
      <c r="I862" s="14"/>
      <c r="J862" s="14">
        <f t="shared" si="39"/>
        <v>0</v>
      </c>
      <c r="K862" s="14">
        <f t="shared" si="40"/>
        <v>0</v>
      </c>
      <c r="L862" s="17">
        <f t="shared" si="41"/>
        <v>0</v>
      </c>
      <c r="M862" s="14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 spans="1:27" s="2" customFormat="1" ht="14">
      <c r="A863" s="12" t="s">
        <v>2478</v>
      </c>
      <c r="B863" s="13" t="s">
        <v>14</v>
      </c>
      <c r="C863" s="13" t="s">
        <v>2479</v>
      </c>
      <c r="D863" s="13" t="s">
        <v>2480</v>
      </c>
      <c r="E863" s="13" t="s">
        <v>32</v>
      </c>
      <c r="F863" s="14"/>
      <c r="G863" s="14"/>
      <c r="H863" s="14"/>
      <c r="I863" s="14"/>
      <c r="J863" s="14">
        <f t="shared" si="39"/>
        <v>0</v>
      </c>
      <c r="K863" s="14">
        <f t="shared" si="40"/>
        <v>0</v>
      </c>
      <c r="L863" s="17">
        <f t="shared" si="41"/>
        <v>0</v>
      </c>
      <c r="M863" s="14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 spans="1:27" s="2" customFormat="1" ht="14">
      <c r="A864" s="12" t="s">
        <v>2481</v>
      </c>
      <c r="B864" s="13" t="s">
        <v>62</v>
      </c>
      <c r="C864" s="13" t="s">
        <v>2482</v>
      </c>
      <c r="D864" s="13" t="s">
        <v>2483</v>
      </c>
      <c r="E864" s="13" t="s">
        <v>104</v>
      </c>
      <c r="F864" s="14"/>
      <c r="G864" s="14"/>
      <c r="H864" s="14"/>
      <c r="I864" s="14"/>
      <c r="J864" s="14">
        <f t="shared" si="39"/>
        <v>0</v>
      </c>
      <c r="K864" s="14">
        <f t="shared" si="40"/>
        <v>0</v>
      </c>
      <c r="L864" s="17">
        <f t="shared" si="41"/>
        <v>0</v>
      </c>
      <c r="M864" s="14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 spans="1:27" s="2" customFormat="1" ht="14">
      <c r="A865" s="12" t="s">
        <v>2484</v>
      </c>
      <c r="B865" s="13" t="s">
        <v>14</v>
      </c>
      <c r="C865" s="13" t="s">
        <v>2485</v>
      </c>
      <c r="D865" s="13" t="s">
        <v>2486</v>
      </c>
      <c r="E865" s="13" t="s">
        <v>25</v>
      </c>
      <c r="F865" s="14"/>
      <c r="G865" s="14"/>
      <c r="H865" s="14"/>
      <c r="I865" s="14"/>
      <c r="J865" s="14">
        <f t="shared" si="39"/>
        <v>0</v>
      </c>
      <c r="K865" s="14">
        <f t="shared" si="40"/>
        <v>0</v>
      </c>
      <c r="L865" s="17">
        <f t="shared" si="41"/>
        <v>0</v>
      </c>
      <c r="M865" s="14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 spans="1:27" s="2" customFormat="1" ht="14">
      <c r="A866" s="12" t="s">
        <v>2487</v>
      </c>
      <c r="B866" s="13" t="s">
        <v>62</v>
      </c>
      <c r="C866" s="13" t="s">
        <v>2488</v>
      </c>
      <c r="D866" s="13" t="s">
        <v>2489</v>
      </c>
      <c r="E866" s="13" t="s">
        <v>46</v>
      </c>
      <c r="F866" s="14"/>
      <c r="G866" s="14"/>
      <c r="H866" s="14"/>
      <c r="I866" s="14"/>
      <c r="J866" s="14">
        <f t="shared" si="39"/>
        <v>0</v>
      </c>
      <c r="K866" s="14">
        <f t="shared" si="40"/>
        <v>0</v>
      </c>
      <c r="L866" s="17">
        <f t="shared" si="41"/>
        <v>0</v>
      </c>
      <c r="M866" s="14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 spans="1:27" s="2" customFormat="1" ht="14">
      <c r="A867" s="12" t="s">
        <v>2490</v>
      </c>
      <c r="B867" s="13" t="s">
        <v>14</v>
      </c>
      <c r="C867" s="13" t="s">
        <v>2491</v>
      </c>
      <c r="D867" s="13" t="s">
        <v>2492</v>
      </c>
      <c r="E867" s="13" t="s">
        <v>72</v>
      </c>
      <c r="F867" s="14"/>
      <c r="G867" s="14"/>
      <c r="H867" s="14"/>
      <c r="I867" s="14"/>
      <c r="J867" s="14">
        <f t="shared" si="39"/>
        <v>0</v>
      </c>
      <c r="K867" s="14">
        <f t="shared" si="40"/>
        <v>0</v>
      </c>
      <c r="L867" s="17">
        <f t="shared" si="41"/>
        <v>0</v>
      </c>
      <c r="M867" s="14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 spans="1:27" s="2" customFormat="1" ht="14">
      <c r="A868" s="12" t="s">
        <v>2493</v>
      </c>
      <c r="B868" s="13" t="s">
        <v>14</v>
      </c>
      <c r="C868" s="13" t="s">
        <v>2494</v>
      </c>
      <c r="D868" s="13" t="s">
        <v>2495</v>
      </c>
      <c r="E868" s="13" t="s">
        <v>68</v>
      </c>
      <c r="F868" s="14"/>
      <c r="G868" s="14"/>
      <c r="H868" s="14"/>
      <c r="I868" s="14"/>
      <c r="J868" s="14">
        <f t="shared" si="39"/>
        <v>0</v>
      </c>
      <c r="K868" s="14">
        <f t="shared" si="40"/>
        <v>0</v>
      </c>
      <c r="L868" s="17">
        <f t="shared" si="41"/>
        <v>0</v>
      </c>
      <c r="M868" s="14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 spans="1:27" s="2" customFormat="1" ht="14">
      <c r="A869" s="12" t="s">
        <v>2496</v>
      </c>
      <c r="B869" s="13" t="s">
        <v>62</v>
      </c>
      <c r="C869" s="13" t="s">
        <v>2497</v>
      </c>
      <c r="D869" s="13" t="s">
        <v>2498</v>
      </c>
      <c r="E869" s="13" t="s">
        <v>76</v>
      </c>
      <c r="F869" s="14"/>
      <c r="G869" s="14"/>
      <c r="H869" s="14"/>
      <c r="I869" s="14"/>
      <c r="J869" s="14">
        <f t="shared" si="39"/>
        <v>0</v>
      </c>
      <c r="K869" s="14">
        <f t="shared" si="40"/>
        <v>0</v>
      </c>
      <c r="L869" s="17">
        <f t="shared" si="41"/>
        <v>0</v>
      </c>
      <c r="M869" s="14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 spans="1:27" s="2" customFormat="1" ht="14">
      <c r="A870" s="12" t="s">
        <v>2499</v>
      </c>
      <c r="B870" s="13" t="s">
        <v>14</v>
      </c>
      <c r="C870" s="13" t="s">
        <v>2500</v>
      </c>
      <c r="D870" s="13" t="s">
        <v>2501</v>
      </c>
      <c r="E870" s="13" t="s">
        <v>17</v>
      </c>
      <c r="F870" s="14"/>
      <c r="G870" s="14"/>
      <c r="H870" s="14"/>
      <c r="I870" s="14"/>
      <c r="J870" s="14">
        <f t="shared" si="39"/>
        <v>0</v>
      </c>
      <c r="K870" s="14">
        <f t="shared" si="40"/>
        <v>0</v>
      </c>
      <c r="L870" s="17">
        <f t="shared" si="41"/>
        <v>0</v>
      </c>
      <c r="M870" s="14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 spans="1:27" s="2" customFormat="1" ht="14">
      <c r="A871" s="12" t="s">
        <v>2502</v>
      </c>
      <c r="B871" s="13" t="s">
        <v>62</v>
      </c>
      <c r="C871" s="13" t="s">
        <v>2503</v>
      </c>
      <c r="D871" s="13" t="s">
        <v>2504</v>
      </c>
      <c r="E871" s="13" t="s">
        <v>201</v>
      </c>
      <c r="F871" s="14"/>
      <c r="G871" s="14"/>
      <c r="H871" s="14"/>
      <c r="I871" s="14"/>
      <c r="J871" s="14">
        <f t="shared" si="39"/>
        <v>0</v>
      </c>
      <c r="K871" s="14">
        <f t="shared" si="40"/>
        <v>0</v>
      </c>
      <c r="L871" s="17">
        <f t="shared" si="41"/>
        <v>0</v>
      </c>
      <c r="M871" s="14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 spans="1:27" s="2" customFormat="1" ht="14">
      <c r="A872" s="12" t="s">
        <v>2505</v>
      </c>
      <c r="B872" s="13" t="s">
        <v>14</v>
      </c>
      <c r="C872" s="13" t="s">
        <v>2506</v>
      </c>
      <c r="D872" s="13" t="s">
        <v>2507</v>
      </c>
      <c r="E872" s="13" t="s">
        <v>267</v>
      </c>
      <c r="F872" s="14"/>
      <c r="G872" s="14"/>
      <c r="H872" s="14"/>
      <c r="I872" s="14"/>
      <c r="J872" s="14">
        <f t="shared" si="39"/>
        <v>0</v>
      </c>
      <c r="K872" s="14">
        <f t="shared" si="40"/>
        <v>0</v>
      </c>
      <c r="L872" s="17">
        <f t="shared" si="41"/>
        <v>0</v>
      </c>
      <c r="M872" s="14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 spans="1:27" s="2" customFormat="1" ht="14">
      <c r="A873" s="12" t="s">
        <v>2508</v>
      </c>
      <c r="B873" s="13" t="s">
        <v>14</v>
      </c>
      <c r="C873" s="13" t="s">
        <v>2509</v>
      </c>
      <c r="D873" s="13" t="s">
        <v>2510</v>
      </c>
      <c r="E873" s="13" t="s">
        <v>215</v>
      </c>
      <c r="F873" s="14"/>
      <c r="G873" s="14"/>
      <c r="H873" s="14"/>
      <c r="I873" s="14"/>
      <c r="J873" s="14">
        <f t="shared" si="39"/>
        <v>0</v>
      </c>
      <c r="K873" s="14">
        <f t="shared" si="40"/>
        <v>0</v>
      </c>
      <c r="L873" s="17">
        <f t="shared" si="41"/>
        <v>0</v>
      </c>
      <c r="M873" s="14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 spans="1:27" s="2" customFormat="1" ht="14">
      <c r="A874" s="12" t="s">
        <v>2511</v>
      </c>
      <c r="B874" s="13" t="s">
        <v>14</v>
      </c>
      <c r="C874" s="13" t="s">
        <v>2512</v>
      </c>
      <c r="D874" s="13" t="s">
        <v>2513</v>
      </c>
      <c r="E874" s="13" t="s">
        <v>36</v>
      </c>
      <c r="F874" s="14"/>
      <c r="G874" s="14"/>
      <c r="H874" s="14"/>
      <c r="I874" s="14"/>
      <c r="J874" s="14">
        <f t="shared" si="39"/>
        <v>0</v>
      </c>
      <c r="K874" s="14">
        <f t="shared" si="40"/>
        <v>0</v>
      </c>
      <c r="L874" s="17">
        <f t="shared" si="41"/>
        <v>0</v>
      </c>
      <c r="M874" s="14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 spans="1:27" s="2" customFormat="1" ht="14">
      <c r="A875" s="12" t="s">
        <v>2514</v>
      </c>
      <c r="B875" s="13" t="s">
        <v>14</v>
      </c>
      <c r="C875" s="13" t="s">
        <v>2515</v>
      </c>
      <c r="D875" s="13" t="s">
        <v>2516</v>
      </c>
      <c r="E875" s="13" t="s">
        <v>402</v>
      </c>
      <c r="F875" s="14"/>
      <c r="G875" s="14"/>
      <c r="H875" s="14"/>
      <c r="I875" s="14"/>
      <c r="J875" s="14">
        <f t="shared" si="39"/>
        <v>0</v>
      </c>
      <c r="K875" s="14">
        <f t="shared" si="40"/>
        <v>0</v>
      </c>
      <c r="L875" s="17">
        <f t="shared" si="41"/>
        <v>0</v>
      </c>
      <c r="M875" s="14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 spans="1:27" s="2" customFormat="1" ht="14">
      <c r="A876" s="12" t="s">
        <v>2517</v>
      </c>
      <c r="B876" s="13" t="s">
        <v>14</v>
      </c>
      <c r="C876" s="13" t="s">
        <v>2518</v>
      </c>
      <c r="D876" s="13" t="s">
        <v>2519</v>
      </c>
      <c r="E876" s="13" t="s">
        <v>446</v>
      </c>
      <c r="F876" s="14"/>
      <c r="G876" s="14"/>
      <c r="H876" s="14"/>
      <c r="I876" s="14"/>
      <c r="J876" s="14">
        <f t="shared" si="39"/>
        <v>0</v>
      </c>
      <c r="K876" s="14">
        <f t="shared" si="40"/>
        <v>0</v>
      </c>
      <c r="L876" s="17">
        <f t="shared" si="41"/>
        <v>0</v>
      </c>
      <c r="M876" s="14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 spans="1:27" s="2" customFormat="1" ht="14">
      <c r="A877" s="12" t="s">
        <v>2520</v>
      </c>
      <c r="B877" s="13" t="s">
        <v>14</v>
      </c>
      <c r="C877" s="13" t="s">
        <v>2521</v>
      </c>
      <c r="D877" s="13" t="s">
        <v>2522</v>
      </c>
      <c r="E877" s="13" t="s">
        <v>114</v>
      </c>
      <c r="F877" s="14"/>
      <c r="G877" s="14"/>
      <c r="H877" s="14"/>
      <c r="I877" s="14"/>
      <c r="J877" s="14">
        <f t="shared" si="39"/>
        <v>0</v>
      </c>
      <c r="K877" s="14">
        <f t="shared" si="40"/>
        <v>0</v>
      </c>
      <c r="L877" s="17">
        <f t="shared" si="41"/>
        <v>0</v>
      </c>
      <c r="M877" s="14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 spans="1:27" s="2" customFormat="1" ht="14">
      <c r="A878" s="12" t="s">
        <v>2523</v>
      </c>
      <c r="B878" s="13" t="s">
        <v>14</v>
      </c>
      <c r="C878" s="13" t="s">
        <v>2524</v>
      </c>
      <c r="D878" s="13" t="s">
        <v>2525</v>
      </c>
      <c r="E878" s="13" t="s">
        <v>215</v>
      </c>
      <c r="F878" s="14"/>
      <c r="G878" s="14"/>
      <c r="H878" s="14"/>
      <c r="I878" s="14"/>
      <c r="J878" s="14">
        <f t="shared" si="39"/>
        <v>0</v>
      </c>
      <c r="K878" s="14">
        <f t="shared" si="40"/>
        <v>0</v>
      </c>
      <c r="L878" s="17">
        <f t="shared" si="41"/>
        <v>0</v>
      </c>
      <c r="M878" s="14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 spans="1:27" s="2" customFormat="1" ht="14">
      <c r="A879" s="12" t="s">
        <v>2526</v>
      </c>
      <c r="B879" s="13" t="s">
        <v>14</v>
      </c>
      <c r="C879" s="13" t="s">
        <v>2527</v>
      </c>
      <c r="D879" s="13" t="s">
        <v>2528</v>
      </c>
      <c r="E879" s="13" t="s">
        <v>971</v>
      </c>
      <c r="F879" s="14"/>
      <c r="G879" s="14"/>
      <c r="H879" s="14"/>
      <c r="I879" s="14"/>
      <c r="J879" s="14">
        <f t="shared" si="39"/>
        <v>0</v>
      </c>
      <c r="K879" s="14">
        <f t="shared" si="40"/>
        <v>0</v>
      </c>
      <c r="L879" s="17">
        <f t="shared" si="41"/>
        <v>0</v>
      </c>
      <c r="M879" s="14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 spans="1:27" s="2" customFormat="1" ht="14">
      <c r="A880" s="12" t="s">
        <v>2529</v>
      </c>
      <c r="B880" s="13" t="s">
        <v>14</v>
      </c>
      <c r="C880" s="13" t="s">
        <v>2530</v>
      </c>
      <c r="D880" s="13" t="s">
        <v>2531</v>
      </c>
      <c r="E880" s="13" t="s">
        <v>402</v>
      </c>
      <c r="F880" s="14"/>
      <c r="G880" s="14"/>
      <c r="H880" s="14"/>
      <c r="I880" s="14"/>
      <c r="J880" s="14">
        <f t="shared" si="39"/>
        <v>0</v>
      </c>
      <c r="K880" s="14">
        <f t="shared" si="40"/>
        <v>0</v>
      </c>
      <c r="L880" s="17">
        <f t="shared" si="41"/>
        <v>0</v>
      </c>
      <c r="M880" s="14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 spans="1:27" s="2" customFormat="1" ht="14">
      <c r="A881" s="12" t="s">
        <v>2532</v>
      </c>
      <c r="B881" s="13" t="s">
        <v>62</v>
      </c>
      <c r="C881" s="13" t="s">
        <v>2533</v>
      </c>
      <c r="D881" s="13" t="s">
        <v>2534</v>
      </c>
      <c r="E881" s="13" t="s">
        <v>443</v>
      </c>
      <c r="F881" s="14"/>
      <c r="G881" s="14"/>
      <c r="H881" s="14"/>
      <c r="I881" s="14"/>
      <c r="J881" s="14">
        <f t="shared" si="39"/>
        <v>0</v>
      </c>
      <c r="K881" s="14">
        <f t="shared" si="40"/>
        <v>0</v>
      </c>
      <c r="L881" s="17">
        <f t="shared" si="41"/>
        <v>0</v>
      </c>
      <c r="M881" s="14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 spans="1:27" s="2" customFormat="1" ht="14">
      <c r="A882" s="12" t="s">
        <v>2535</v>
      </c>
      <c r="B882" s="13" t="s">
        <v>14</v>
      </c>
      <c r="C882" s="13" t="s">
        <v>2536</v>
      </c>
      <c r="D882" s="13" t="s">
        <v>2537</v>
      </c>
      <c r="E882" s="13" t="s">
        <v>36</v>
      </c>
      <c r="F882" s="14"/>
      <c r="G882" s="14"/>
      <c r="H882" s="14"/>
      <c r="I882" s="14"/>
      <c r="J882" s="14">
        <f t="shared" si="39"/>
        <v>0</v>
      </c>
      <c r="K882" s="14">
        <f t="shared" si="40"/>
        <v>0</v>
      </c>
      <c r="L882" s="17">
        <f t="shared" si="41"/>
        <v>0</v>
      </c>
      <c r="M882" s="14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 spans="1:27" s="2" customFormat="1" ht="14">
      <c r="A883" s="12" t="s">
        <v>2538</v>
      </c>
      <c r="B883" s="13" t="s">
        <v>62</v>
      </c>
      <c r="C883" s="13" t="s">
        <v>2539</v>
      </c>
      <c r="D883" s="13" t="s">
        <v>2540</v>
      </c>
      <c r="E883" s="13" t="s">
        <v>29</v>
      </c>
      <c r="F883" s="14"/>
      <c r="G883" s="14"/>
      <c r="H883" s="14"/>
      <c r="I883" s="14"/>
      <c r="J883" s="14">
        <f t="shared" si="39"/>
        <v>0</v>
      </c>
      <c r="K883" s="14">
        <f t="shared" si="40"/>
        <v>0</v>
      </c>
      <c r="L883" s="17">
        <f t="shared" si="41"/>
        <v>0</v>
      </c>
      <c r="M883" s="14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 spans="1:27" s="2" customFormat="1" ht="14">
      <c r="A884" s="12" t="s">
        <v>2541</v>
      </c>
      <c r="B884" s="13" t="s">
        <v>14</v>
      </c>
      <c r="C884" s="13" t="s">
        <v>2542</v>
      </c>
      <c r="D884" s="13" t="s">
        <v>2543</v>
      </c>
      <c r="E884" s="13" t="s">
        <v>285</v>
      </c>
      <c r="F884" s="14"/>
      <c r="G884" s="14"/>
      <c r="H884" s="14"/>
      <c r="I884" s="14"/>
      <c r="J884" s="14">
        <f t="shared" si="39"/>
        <v>0</v>
      </c>
      <c r="K884" s="14">
        <f t="shared" si="40"/>
        <v>0</v>
      </c>
      <c r="L884" s="17">
        <f t="shared" si="41"/>
        <v>0</v>
      </c>
      <c r="M884" s="14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 spans="1:27" s="2" customFormat="1" ht="14">
      <c r="A885" s="12" t="s">
        <v>2544</v>
      </c>
      <c r="B885" s="13" t="s">
        <v>14</v>
      </c>
      <c r="C885" s="13" t="s">
        <v>2545</v>
      </c>
      <c r="D885" s="13" t="s">
        <v>2546</v>
      </c>
      <c r="E885" s="13" t="s">
        <v>17</v>
      </c>
      <c r="F885" s="14"/>
      <c r="G885" s="14"/>
      <c r="H885" s="14"/>
      <c r="I885" s="14"/>
      <c r="J885" s="14">
        <f t="shared" si="39"/>
        <v>0</v>
      </c>
      <c r="K885" s="14">
        <f t="shared" si="40"/>
        <v>0</v>
      </c>
      <c r="L885" s="17">
        <f t="shared" si="41"/>
        <v>0</v>
      </c>
      <c r="M885" s="14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 spans="1:27" s="2" customFormat="1" ht="14">
      <c r="A886" s="12" t="s">
        <v>2547</v>
      </c>
      <c r="B886" s="13" t="s">
        <v>14</v>
      </c>
      <c r="C886" s="13" t="s">
        <v>2548</v>
      </c>
      <c r="D886" s="13" t="s">
        <v>2549</v>
      </c>
      <c r="E886" s="13" t="s">
        <v>97</v>
      </c>
      <c r="F886" s="14"/>
      <c r="G886" s="14"/>
      <c r="H886" s="14"/>
      <c r="I886" s="14"/>
      <c r="J886" s="14">
        <f t="shared" si="39"/>
        <v>0</v>
      </c>
      <c r="K886" s="14">
        <f t="shared" si="40"/>
        <v>0</v>
      </c>
      <c r="L886" s="17">
        <f t="shared" si="41"/>
        <v>0</v>
      </c>
      <c r="M886" s="14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 spans="1:27" s="2" customFormat="1" ht="14">
      <c r="A887" s="12" t="s">
        <v>2550</v>
      </c>
      <c r="B887" s="13" t="s">
        <v>14</v>
      </c>
      <c r="C887" s="13" t="s">
        <v>2551</v>
      </c>
      <c r="D887" s="13" t="s">
        <v>2552</v>
      </c>
      <c r="E887" s="13" t="s">
        <v>97</v>
      </c>
      <c r="F887" s="14"/>
      <c r="G887" s="14"/>
      <c r="H887" s="14"/>
      <c r="I887" s="14"/>
      <c r="J887" s="14">
        <f t="shared" si="39"/>
        <v>0</v>
      </c>
      <c r="K887" s="14">
        <f t="shared" si="40"/>
        <v>0</v>
      </c>
      <c r="L887" s="17">
        <f t="shared" si="41"/>
        <v>0</v>
      </c>
      <c r="M887" s="14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 spans="1:27" s="2" customFormat="1" ht="14">
      <c r="A888" s="12" t="s">
        <v>2553</v>
      </c>
      <c r="B888" s="13" t="s">
        <v>14</v>
      </c>
      <c r="C888" s="13" t="s">
        <v>2554</v>
      </c>
      <c r="D888" s="13" t="s">
        <v>2555</v>
      </c>
      <c r="E888" s="13" t="s">
        <v>40</v>
      </c>
      <c r="F888" s="14"/>
      <c r="G888" s="14"/>
      <c r="H888" s="14"/>
      <c r="I888" s="14"/>
      <c r="J888" s="14">
        <f t="shared" si="39"/>
        <v>0</v>
      </c>
      <c r="K888" s="14">
        <f t="shared" si="40"/>
        <v>0</v>
      </c>
      <c r="L888" s="17">
        <f t="shared" si="41"/>
        <v>0</v>
      </c>
      <c r="M888" s="14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 spans="1:27" s="2" customFormat="1" ht="14">
      <c r="A889" s="12" t="s">
        <v>2556</v>
      </c>
      <c r="B889" s="13" t="s">
        <v>14</v>
      </c>
      <c r="C889" s="13" t="s">
        <v>2557</v>
      </c>
      <c r="D889" s="13" t="s">
        <v>2558</v>
      </c>
      <c r="E889" s="13" t="s">
        <v>17</v>
      </c>
      <c r="F889" s="14"/>
      <c r="G889" s="14"/>
      <c r="H889" s="14"/>
      <c r="I889" s="14"/>
      <c r="J889" s="14">
        <f t="shared" si="39"/>
        <v>0</v>
      </c>
      <c r="K889" s="14">
        <f t="shared" si="40"/>
        <v>0</v>
      </c>
      <c r="L889" s="17">
        <f t="shared" si="41"/>
        <v>0</v>
      </c>
      <c r="M889" s="14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 spans="1:27" s="2" customFormat="1" ht="14">
      <c r="A890" s="12" t="s">
        <v>2559</v>
      </c>
      <c r="B890" s="13" t="s">
        <v>14</v>
      </c>
      <c r="C890" s="13" t="s">
        <v>2560</v>
      </c>
      <c r="D890" s="13" t="s">
        <v>2561</v>
      </c>
      <c r="E890" s="13" t="s">
        <v>36</v>
      </c>
      <c r="F890" s="14"/>
      <c r="G890" s="14"/>
      <c r="H890" s="14"/>
      <c r="I890" s="14"/>
      <c r="J890" s="14">
        <f t="shared" si="39"/>
        <v>0</v>
      </c>
      <c r="K890" s="14">
        <f t="shared" si="40"/>
        <v>0</v>
      </c>
      <c r="L890" s="17">
        <f t="shared" si="41"/>
        <v>0</v>
      </c>
      <c r="M890" s="14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 spans="1:27" s="2" customFormat="1" ht="14">
      <c r="A891" s="12" t="s">
        <v>2562</v>
      </c>
      <c r="B891" s="13" t="s">
        <v>14</v>
      </c>
      <c r="C891" s="13" t="s">
        <v>2563</v>
      </c>
      <c r="D891" s="13" t="s">
        <v>2564</v>
      </c>
      <c r="E891" s="13" t="s">
        <v>285</v>
      </c>
      <c r="F891" s="14"/>
      <c r="G891" s="14"/>
      <c r="H891" s="14"/>
      <c r="I891" s="14"/>
      <c r="J891" s="14">
        <f t="shared" si="39"/>
        <v>0</v>
      </c>
      <c r="K891" s="14">
        <f t="shared" si="40"/>
        <v>0</v>
      </c>
      <c r="L891" s="17">
        <f t="shared" si="41"/>
        <v>0</v>
      </c>
      <c r="M891" s="14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 spans="1:27" s="2" customFormat="1" ht="14">
      <c r="A892" s="12" t="s">
        <v>2565</v>
      </c>
      <c r="B892" s="13" t="s">
        <v>14</v>
      </c>
      <c r="C892" s="13" t="s">
        <v>2566</v>
      </c>
      <c r="D892" s="13" t="s">
        <v>2567</v>
      </c>
      <c r="E892" s="13" t="s">
        <v>150</v>
      </c>
      <c r="F892" s="14"/>
      <c r="G892" s="14"/>
      <c r="H892" s="14"/>
      <c r="I892" s="14"/>
      <c r="J892" s="14">
        <f t="shared" si="39"/>
        <v>0</v>
      </c>
      <c r="K892" s="14">
        <f t="shared" si="40"/>
        <v>0</v>
      </c>
      <c r="L892" s="17">
        <f t="shared" si="41"/>
        <v>0</v>
      </c>
      <c r="M892" s="14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 spans="1:27" s="2" customFormat="1" ht="14">
      <c r="A893" s="12" t="s">
        <v>2568</v>
      </c>
      <c r="B893" s="13" t="s">
        <v>62</v>
      </c>
      <c r="C893" s="13" t="s">
        <v>2569</v>
      </c>
      <c r="D893" s="13" t="s">
        <v>2570</v>
      </c>
      <c r="E893" s="13" t="s">
        <v>50</v>
      </c>
      <c r="F893" s="14"/>
      <c r="G893" s="14"/>
      <c r="H893" s="14"/>
      <c r="I893" s="14"/>
      <c r="J893" s="14">
        <f t="shared" si="39"/>
        <v>0</v>
      </c>
      <c r="K893" s="14">
        <f t="shared" si="40"/>
        <v>0</v>
      </c>
      <c r="L893" s="17">
        <f t="shared" si="41"/>
        <v>0</v>
      </c>
      <c r="M893" s="14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 spans="1:27" s="2" customFormat="1" ht="14">
      <c r="A894" s="12" t="s">
        <v>2571</v>
      </c>
      <c r="B894" s="13" t="s">
        <v>14</v>
      </c>
      <c r="C894" s="13" t="s">
        <v>2572</v>
      </c>
      <c r="D894" s="13" t="s">
        <v>2573</v>
      </c>
      <c r="E894" s="13" t="s">
        <v>285</v>
      </c>
      <c r="F894" s="14"/>
      <c r="G894" s="14"/>
      <c r="H894" s="14"/>
      <c r="I894" s="14"/>
      <c r="J894" s="14">
        <f t="shared" si="39"/>
        <v>0</v>
      </c>
      <c r="K894" s="14">
        <f t="shared" si="40"/>
        <v>0</v>
      </c>
      <c r="L894" s="17">
        <f t="shared" si="41"/>
        <v>0</v>
      </c>
      <c r="M894" s="14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 spans="1:27" s="2" customFormat="1" ht="14">
      <c r="A895" s="12" t="s">
        <v>2574</v>
      </c>
      <c r="B895" s="13" t="s">
        <v>14</v>
      </c>
      <c r="C895" s="13" t="s">
        <v>2575</v>
      </c>
      <c r="D895" s="13" t="s">
        <v>2576</v>
      </c>
      <c r="E895" s="13" t="s">
        <v>32</v>
      </c>
      <c r="F895" s="14"/>
      <c r="G895" s="14"/>
      <c r="H895" s="14"/>
      <c r="I895" s="14"/>
      <c r="J895" s="14">
        <f t="shared" si="39"/>
        <v>0</v>
      </c>
      <c r="K895" s="14">
        <f t="shared" si="40"/>
        <v>0</v>
      </c>
      <c r="L895" s="17">
        <f t="shared" si="41"/>
        <v>0</v>
      </c>
      <c r="M895" s="14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 spans="1:27" s="2" customFormat="1" ht="14">
      <c r="A896" s="12" t="s">
        <v>2577</v>
      </c>
      <c r="B896" s="13" t="s">
        <v>14</v>
      </c>
      <c r="C896" s="13" t="s">
        <v>2578</v>
      </c>
      <c r="D896" s="13" t="s">
        <v>2579</v>
      </c>
      <c r="E896" s="13" t="s">
        <v>285</v>
      </c>
      <c r="F896" s="14"/>
      <c r="G896" s="14"/>
      <c r="H896" s="14"/>
      <c r="I896" s="14"/>
      <c r="J896" s="14">
        <f t="shared" si="39"/>
        <v>0</v>
      </c>
      <c r="K896" s="14">
        <f t="shared" si="40"/>
        <v>0</v>
      </c>
      <c r="L896" s="17">
        <f t="shared" si="41"/>
        <v>0</v>
      </c>
      <c r="M896" s="14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 spans="1:27" s="2" customFormat="1" ht="14">
      <c r="A897" s="12" t="s">
        <v>2580</v>
      </c>
      <c r="B897" s="13" t="s">
        <v>14</v>
      </c>
      <c r="C897" s="13" t="s">
        <v>2581</v>
      </c>
      <c r="D897" s="13" t="s">
        <v>2582</v>
      </c>
      <c r="E897" s="13" t="s">
        <v>183</v>
      </c>
      <c r="F897" s="14"/>
      <c r="G897" s="14"/>
      <c r="H897" s="14"/>
      <c r="I897" s="14"/>
      <c r="J897" s="14">
        <f t="shared" si="39"/>
        <v>0</v>
      </c>
      <c r="K897" s="14">
        <f t="shared" si="40"/>
        <v>0</v>
      </c>
      <c r="L897" s="17">
        <f t="shared" si="41"/>
        <v>0</v>
      </c>
      <c r="M897" s="14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 spans="1:27" s="2" customFormat="1" ht="14">
      <c r="A898" s="12">
        <v>1118903</v>
      </c>
      <c r="B898" s="13" t="s">
        <v>14</v>
      </c>
      <c r="C898" s="13" t="s">
        <v>2583</v>
      </c>
      <c r="D898" s="13" t="s">
        <v>2584</v>
      </c>
      <c r="E898" s="13" t="s">
        <v>2585</v>
      </c>
      <c r="F898" s="14"/>
      <c r="G898" s="14"/>
      <c r="H898" s="14"/>
      <c r="I898" s="14"/>
      <c r="J898" s="14">
        <f t="shared" ref="J898:J961" si="42">IF(G898&gt;0,1,0)</f>
        <v>0</v>
      </c>
      <c r="K898" s="14">
        <f t="shared" ref="K898:K961" si="43">IF(H898&gt;0,1,0)</f>
        <v>0</v>
      </c>
      <c r="L898" s="17">
        <f t="shared" ref="L898:L961" si="44">IF(G898&gt;0,IF(H898&gt;0,1,0),0)</f>
        <v>0</v>
      </c>
      <c r="M898" s="14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 spans="1:27" s="2" customFormat="1" ht="14">
      <c r="A899" s="12" t="s">
        <v>2586</v>
      </c>
      <c r="B899" s="13" t="s">
        <v>62</v>
      </c>
      <c r="C899" s="13" t="s">
        <v>2587</v>
      </c>
      <c r="D899" s="13" t="s">
        <v>2588</v>
      </c>
      <c r="E899" s="13" t="s">
        <v>57</v>
      </c>
      <c r="F899" s="14"/>
      <c r="G899" s="14"/>
      <c r="H899" s="14"/>
      <c r="I899" s="14"/>
      <c r="J899" s="14">
        <f t="shared" si="42"/>
        <v>0</v>
      </c>
      <c r="K899" s="14">
        <f t="shared" si="43"/>
        <v>0</v>
      </c>
      <c r="L899" s="17">
        <f t="shared" si="44"/>
        <v>0</v>
      </c>
      <c r="M899" s="14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 spans="1:27" s="2" customFormat="1" ht="14">
      <c r="A900" s="12" t="s">
        <v>2589</v>
      </c>
      <c r="B900" s="13" t="s">
        <v>14</v>
      </c>
      <c r="C900" s="13" t="s">
        <v>2590</v>
      </c>
      <c r="D900" s="13" t="s">
        <v>2591</v>
      </c>
      <c r="E900" s="13" t="s">
        <v>17</v>
      </c>
      <c r="F900" s="14"/>
      <c r="G900" s="14"/>
      <c r="H900" s="14"/>
      <c r="I900" s="14"/>
      <c r="J900" s="14">
        <f t="shared" si="42"/>
        <v>0</v>
      </c>
      <c r="K900" s="14">
        <f t="shared" si="43"/>
        <v>0</v>
      </c>
      <c r="L900" s="17">
        <f t="shared" si="44"/>
        <v>0</v>
      </c>
      <c r="M900" s="14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 spans="1:27" s="2" customFormat="1" ht="14">
      <c r="A901" s="12" t="s">
        <v>2592</v>
      </c>
      <c r="B901" s="13" t="s">
        <v>14</v>
      </c>
      <c r="C901" s="13" t="s">
        <v>2593</v>
      </c>
      <c r="D901" s="13" t="s">
        <v>2594</v>
      </c>
      <c r="E901" s="13" t="s">
        <v>97</v>
      </c>
      <c r="F901" s="14"/>
      <c r="G901" s="14"/>
      <c r="H901" s="14"/>
      <c r="I901" s="14"/>
      <c r="J901" s="14">
        <f t="shared" si="42"/>
        <v>0</v>
      </c>
      <c r="K901" s="14">
        <f t="shared" si="43"/>
        <v>0</v>
      </c>
      <c r="L901" s="17">
        <f t="shared" si="44"/>
        <v>0</v>
      </c>
      <c r="M901" s="14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 spans="1:27" s="2" customFormat="1" ht="14">
      <c r="A902" s="12" t="s">
        <v>2595</v>
      </c>
      <c r="B902" s="13" t="s">
        <v>14</v>
      </c>
      <c r="C902" s="13" t="s">
        <v>2596</v>
      </c>
      <c r="D902" s="13" t="s">
        <v>2597</v>
      </c>
      <c r="E902" s="13" t="s">
        <v>402</v>
      </c>
      <c r="F902" s="14"/>
      <c r="G902" s="14"/>
      <c r="H902" s="14"/>
      <c r="I902" s="14"/>
      <c r="J902" s="14">
        <f t="shared" si="42"/>
        <v>0</v>
      </c>
      <c r="K902" s="14">
        <f t="shared" si="43"/>
        <v>0</v>
      </c>
      <c r="L902" s="17">
        <f t="shared" si="44"/>
        <v>0</v>
      </c>
      <c r="M902" s="14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 spans="1:27" s="2" customFormat="1" ht="14">
      <c r="A903" s="12" t="s">
        <v>2598</v>
      </c>
      <c r="B903" s="13" t="s">
        <v>14</v>
      </c>
      <c r="C903" s="13" t="s">
        <v>2599</v>
      </c>
      <c r="D903" s="13" t="s">
        <v>2600</v>
      </c>
      <c r="E903" s="13" t="s">
        <v>36</v>
      </c>
      <c r="F903" s="14"/>
      <c r="G903" s="14"/>
      <c r="H903" s="14"/>
      <c r="I903" s="14"/>
      <c r="J903" s="14">
        <f t="shared" si="42"/>
        <v>0</v>
      </c>
      <c r="K903" s="14">
        <f t="shared" si="43"/>
        <v>0</v>
      </c>
      <c r="L903" s="17">
        <f t="shared" si="44"/>
        <v>0</v>
      </c>
      <c r="M903" s="14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 spans="1:27" s="2" customFormat="1" ht="14">
      <c r="A904" s="12" t="s">
        <v>2601</v>
      </c>
      <c r="B904" s="13" t="s">
        <v>62</v>
      </c>
      <c r="C904" s="13" t="s">
        <v>2602</v>
      </c>
      <c r="D904" s="13" t="s">
        <v>2603</v>
      </c>
      <c r="E904" s="13" t="s">
        <v>79</v>
      </c>
      <c r="F904" s="14"/>
      <c r="G904" s="14"/>
      <c r="H904" s="14"/>
      <c r="I904" s="14"/>
      <c r="J904" s="14">
        <f t="shared" si="42"/>
        <v>0</v>
      </c>
      <c r="K904" s="14">
        <f t="shared" si="43"/>
        <v>0</v>
      </c>
      <c r="L904" s="17">
        <f t="shared" si="44"/>
        <v>0</v>
      </c>
      <c r="M904" s="14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 spans="1:27" s="2" customFormat="1" ht="14">
      <c r="A905" s="12" t="s">
        <v>2604</v>
      </c>
      <c r="B905" s="13" t="s">
        <v>62</v>
      </c>
      <c r="C905" s="13" t="s">
        <v>2605</v>
      </c>
      <c r="D905" s="13" t="s">
        <v>2606</v>
      </c>
      <c r="E905" s="13" t="s">
        <v>25</v>
      </c>
      <c r="F905" s="14"/>
      <c r="G905" s="14"/>
      <c r="H905" s="14"/>
      <c r="I905" s="14"/>
      <c r="J905" s="14">
        <f t="shared" si="42"/>
        <v>0</v>
      </c>
      <c r="K905" s="14">
        <f t="shared" si="43"/>
        <v>0</v>
      </c>
      <c r="L905" s="17">
        <f t="shared" si="44"/>
        <v>0</v>
      </c>
      <c r="M905" s="14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 spans="1:27" s="2" customFormat="1" ht="14">
      <c r="A906" s="12" t="s">
        <v>2607</v>
      </c>
      <c r="B906" s="13" t="s">
        <v>14</v>
      </c>
      <c r="C906" s="13" t="s">
        <v>2608</v>
      </c>
      <c r="D906" s="13" t="s">
        <v>2609</v>
      </c>
      <c r="E906" s="13" t="s">
        <v>446</v>
      </c>
      <c r="F906" s="14"/>
      <c r="G906" s="14"/>
      <c r="H906" s="14"/>
      <c r="I906" s="14"/>
      <c r="J906" s="14">
        <f t="shared" si="42"/>
        <v>0</v>
      </c>
      <c r="K906" s="14">
        <f t="shared" si="43"/>
        <v>0</v>
      </c>
      <c r="L906" s="17">
        <f t="shared" si="44"/>
        <v>0</v>
      </c>
      <c r="M906" s="14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 spans="1:27" s="2" customFormat="1" ht="14">
      <c r="A907" s="12" t="s">
        <v>2610</v>
      </c>
      <c r="B907" s="13" t="s">
        <v>14</v>
      </c>
      <c r="C907" s="13" t="s">
        <v>2611</v>
      </c>
      <c r="D907" s="13" t="s">
        <v>2612</v>
      </c>
      <c r="E907" s="13" t="s">
        <v>17</v>
      </c>
      <c r="F907" s="14"/>
      <c r="G907" s="14"/>
      <c r="H907" s="14"/>
      <c r="I907" s="14"/>
      <c r="J907" s="14">
        <f t="shared" si="42"/>
        <v>0</v>
      </c>
      <c r="K907" s="14">
        <f t="shared" si="43"/>
        <v>0</v>
      </c>
      <c r="L907" s="17">
        <f t="shared" si="44"/>
        <v>0</v>
      </c>
      <c r="M907" s="14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 spans="1:27" s="2" customFormat="1" ht="14">
      <c r="A908" s="12" t="s">
        <v>2613</v>
      </c>
      <c r="B908" s="13" t="s">
        <v>14</v>
      </c>
      <c r="C908" s="13" t="s">
        <v>2614</v>
      </c>
      <c r="D908" s="13" t="s">
        <v>2615</v>
      </c>
      <c r="E908" s="13" t="s">
        <v>36</v>
      </c>
      <c r="F908" s="14"/>
      <c r="G908" s="14"/>
      <c r="H908" s="14"/>
      <c r="I908" s="14"/>
      <c r="J908" s="14">
        <f t="shared" si="42"/>
        <v>0</v>
      </c>
      <c r="K908" s="14">
        <f t="shared" si="43"/>
        <v>0</v>
      </c>
      <c r="L908" s="17">
        <f t="shared" si="44"/>
        <v>0</v>
      </c>
      <c r="M908" s="14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 spans="1:27" s="2" customFormat="1" ht="14">
      <c r="A909" s="12" t="s">
        <v>2616</v>
      </c>
      <c r="B909" s="13" t="s">
        <v>14</v>
      </c>
      <c r="C909" s="13" t="s">
        <v>2617</v>
      </c>
      <c r="D909" s="13" t="s">
        <v>2618</v>
      </c>
      <c r="E909" s="13" t="s">
        <v>136</v>
      </c>
      <c r="F909" s="14"/>
      <c r="G909" s="14"/>
      <c r="H909" s="14"/>
      <c r="I909" s="14"/>
      <c r="J909" s="14">
        <f t="shared" si="42"/>
        <v>0</v>
      </c>
      <c r="K909" s="14">
        <f t="shared" si="43"/>
        <v>0</v>
      </c>
      <c r="L909" s="17">
        <f t="shared" si="44"/>
        <v>0</v>
      </c>
      <c r="M909" s="14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 spans="1:27" s="2" customFormat="1" ht="14">
      <c r="A910" s="12" t="s">
        <v>2619</v>
      </c>
      <c r="B910" s="13" t="s">
        <v>14</v>
      </c>
      <c r="C910" s="13" t="s">
        <v>2620</v>
      </c>
      <c r="D910" s="13" t="s">
        <v>2621</v>
      </c>
      <c r="E910" s="13" t="s">
        <v>402</v>
      </c>
      <c r="F910" s="14"/>
      <c r="G910" s="14"/>
      <c r="H910" s="14"/>
      <c r="I910" s="14"/>
      <c r="J910" s="14">
        <f t="shared" si="42"/>
        <v>0</v>
      </c>
      <c r="K910" s="14">
        <f t="shared" si="43"/>
        <v>0</v>
      </c>
      <c r="L910" s="17">
        <f t="shared" si="44"/>
        <v>0</v>
      </c>
      <c r="M910" s="14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 spans="1:27" s="2" customFormat="1" ht="14">
      <c r="A911" s="12" t="s">
        <v>2622</v>
      </c>
      <c r="B911" s="13" t="s">
        <v>14</v>
      </c>
      <c r="C911" s="13" t="s">
        <v>2623</v>
      </c>
      <c r="D911" s="13" t="s">
        <v>2624</v>
      </c>
      <c r="E911" s="13" t="s">
        <v>36</v>
      </c>
      <c r="F911" s="14"/>
      <c r="G911" s="14"/>
      <c r="H911" s="14"/>
      <c r="I911" s="14"/>
      <c r="J911" s="14">
        <f t="shared" si="42"/>
        <v>0</v>
      </c>
      <c r="K911" s="14">
        <f t="shared" si="43"/>
        <v>0</v>
      </c>
      <c r="L911" s="17">
        <f t="shared" si="44"/>
        <v>0</v>
      </c>
      <c r="M911" s="14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 spans="1:27" s="2" customFormat="1" ht="14">
      <c r="A912" s="12" t="s">
        <v>2625</v>
      </c>
      <c r="B912" s="13" t="s">
        <v>14</v>
      </c>
      <c r="C912" s="13" t="s">
        <v>2626</v>
      </c>
      <c r="D912" s="13" t="s">
        <v>2627</v>
      </c>
      <c r="E912" s="13" t="s">
        <v>205</v>
      </c>
      <c r="F912" s="14"/>
      <c r="G912" s="14"/>
      <c r="H912" s="14"/>
      <c r="I912" s="14"/>
      <c r="J912" s="14">
        <f t="shared" si="42"/>
        <v>0</v>
      </c>
      <c r="K912" s="14">
        <f t="shared" si="43"/>
        <v>0</v>
      </c>
      <c r="L912" s="17">
        <f t="shared" si="44"/>
        <v>0</v>
      </c>
      <c r="M912" s="14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 spans="1:27" s="2" customFormat="1" ht="14">
      <c r="A913" s="12" t="s">
        <v>2628</v>
      </c>
      <c r="B913" s="13" t="s">
        <v>14</v>
      </c>
      <c r="C913" s="13" t="s">
        <v>2629</v>
      </c>
      <c r="D913" s="13" t="s">
        <v>2630</v>
      </c>
      <c r="E913" s="13" t="s">
        <v>46</v>
      </c>
      <c r="F913" s="14"/>
      <c r="G913" s="14"/>
      <c r="H913" s="14"/>
      <c r="I913" s="14"/>
      <c r="J913" s="14">
        <f t="shared" si="42"/>
        <v>0</v>
      </c>
      <c r="K913" s="14">
        <f t="shared" si="43"/>
        <v>0</v>
      </c>
      <c r="L913" s="17">
        <f t="shared" si="44"/>
        <v>0</v>
      </c>
      <c r="M913" s="14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 spans="1:27" s="2" customFormat="1" ht="14">
      <c r="A914" s="12" t="s">
        <v>2631</v>
      </c>
      <c r="B914" s="13" t="s">
        <v>14</v>
      </c>
      <c r="C914" s="13" t="s">
        <v>2632</v>
      </c>
      <c r="D914" s="13" t="s">
        <v>2633</v>
      </c>
      <c r="E914" s="13" t="s">
        <v>17</v>
      </c>
      <c r="F914" s="14"/>
      <c r="G914" s="14"/>
      <c r="H914" s="14"/>
      <c r="I914" s="14"/>
      <c r="J914" s="14">
        <f t="shared" si="42"/>
        <v>0</v>
      </c>
      <c r="K914" s="14">
        <f t="shared" si="43"/>
        <v>0</v>
      </c>
      <c r="L914" s="17">
        <f t="shared" si="44"/>
        <v>0</v>
      </c>
      <c r="M914" s="14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 spans="1:27" s="2" customFormat="1" ht="14">
      <c r="A915" s="12" t="s">
        <v>2634</v>
      </c>
      <c r="B915" s="13" t="s">
        <v>14</v>
      </c>
      <c r="C915" s="13" t="s">
        <v>2635</v>
      </c>
      <c r="D915" s="13" t="s">
        <v>2636</v>
      </c>
      <c r="E915" s="13" t="s">
        <v>36</v>
      </c>
      <c r="F915" s="14"/>
      <c r="G915" s="14"/>
      <c r="H915" s="14"/>
      <c r="I915" s="14"/>
      <c r="J915" s="14">
        <f t="shared" si="42"/>
        <v>0</v>
      </c>
      <c r="K915" s="14">
        <f t="shared" si="43"/>
        <v>0</v>
      </c>
      <c r="L915" s="17">
        <f t="shared" si="44"/>
        <v>0</v>
      </c>
      <c r="M915" s="14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 spans="1:27" s="2" customFormat="1" ht="14">
      <c r="A916" s="12" t="s">
        <v>2637</v>
      </c>
      <c r="B916" s="13" t="s">
        <v>62</v>
      </c>
      <c r="C916" s="13" t="s">
        <v>2638</v>
      </c>
      <c r="D916" s="13" t="s">
        <v>2639</v>
      </c>
      <c r="E916" s="13" t="s">
        <v>126</v>
      </c>
      <c r="F916" s="14"/>
      <c r="G916" s="14"/>
      <c r="H916" s="14"/>
      <c r="I916" s="14"/>
      <c r="J916" s="14">
        <f t="shared" si="42"/>
        <v>0</v>
      </c>
      <c r="K916" s="14">
        <f t="shared" si="43"/>
        <v>0</v>
      </c>
      <c r="L916" s="17">
        <f t="shared" si="44"/>
        <v>0</v>
      </c>
      <c r="M916" s="14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 spans="1:27" s="2" customFormat="1" ht="14">
      <c r="A917" s="12" t="s">
        <v>2640</v>
      </c>
      <c r="B917" s="13" t="s">
        <v>14</v>
      </c>
      <c r="C917" s="13" t="s">
        <v>2641</v>
      </c>
      <c r="D917" s="13" t="s">
        <v>2642</v>
      </c>
      <c r="E917" s="13" t="s">
        <v>136</v>
      </c>
      <c r="F917" s="14"/>
      <c r="G917" s="14"/>
      <c r="H917" s="14"/>
      <c r="I917" s="14"/>
      <c r="J917" s="14">
        <f t="shared" si="42"/>
        <v>0</v>
      </c>
      <c r="K917" s="14">
        <f t="shared" si="43"/>
        <v>0</v>
      </c>
      <c r="L917" s="17">
        <f t="shared" si="44"/>
        <v>0</v>
      </c>
      <c r="M917" s="14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 spans="1:27" s="2" customFormat="1" ht="14">
      <c r="A918" s="12" t="s">
        <v>2643</v>
      </c>
      <c r="B918" s="13" t="s">
        <v>14</v>
      </c>
      <c r="C918" s="13" t="s">
        <v>2644</v>
      </c>
      <c r="D918" s="13" t="s">
        <v>2645</v>
      </c>
      <c r="E918" s="13" t="s">
        <v>446</v>
      </c>
      <c r="F918" s="14"/>
      <c r="G918" s="14"/>
      <c r="H918" s="14"/>
      <c r="I918" s="14"/>
      <c r="J918" s="14">
        <f t="shared" si="42"/>
        <v>0</v>
      </c>
      <c r="K918" s="14">
        <f t="shared" si="43"/>
        <v>0</v>
      </c>
      <c r="L918" s="17">
        <f t="shared" si="44"/>
        <v>0</v>
      </c>
      <c r="M918" s="14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 spans="1:27" s="2" customFormat="1" ht="14">
      <c r="A919" s="12" t="s">
        <v>2646</v>
      </c>
      <c r="B919" s="13" t="s">
        <v>14</v>
      </c>
      <c r="C919" s="13" t="s">
        <v>2647</v>
      </c>
      <c r="D919" s="13" t="s">
        <v>2648</v>
      </c>
      <c r="E919" s="13" t="s">
        <v>68</v>
      </c>
      <c r="F919" s="14"/>
      <c r="G919" s="14"/>
      <c r="H919" s="14"/>
      <c r="I919" s="14"/>
      <c r="J919" s="14">
        <f t="shared" si="42"/>
        <v>0</v>
      </c>
      <c r="K919" s="14">
        <f t="shared" si="43"/>
        <v>0</v>
      </c>
      <c r="L919" s="17">
        <f t="shared" si="44"/>
        <v>0</v>
      </c>
      <c r="M919" s="14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 spans="1:27" s="2" customFormat="1" ht="14">
      <c r="A920" s="12" t="s">
        <v>2649</v>
      </c>
      <c r="B920" s="13" t="s">
        <v>14</v>
      </c>
      <c r="C920" s="13" t="s">
        <v>2650</v>
      </c>
      <c r="D920" s="13" t="s">
        <v>2651</v>
      </c>
      <c r="E920" s="13" t="s">
        <v>183</v>
      </c>
      <c r="F920" s="14"/>
      <c r="G920" s="14"/>
      <c r="H920" s="14"/>
      <c r="I920" s="14"/>
      <c r="J920" s="14">
        <f t="shared" si="42"/>
        <v>0</v>
      </c>
      <c r="K920" s="14">
        <f t="shared" si="43"/>
        <v>0</v>
      </c>
      <c r="L920" s="17">
        <f t="shared" si="44"/>
        <v>0</v>
      </c>
      <c r="M920" s="14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 spans="1:27" s="2" customFormat="1" ht="14">
      <c r="A921" s="12" t="s">
        <v>2652</v>
      </c>
      <c r="B921" s="13" t="s">
        <v>62</v>
      </c>
      <c r="C921" s="13" t="s">
        <v>2653</v>
      </c>
      <c r="D921" s="13" t="s">
        <v>2654</v>
      </c>
      <c r="E921" s="13" t="s">
        <v>36</v>
      </c>
      <c r="F921" s="14"/>
      <c r="G921" s="14"/>
      <c r="H921" s="14"/>
      <c r="I921" s="14"/>
      <c r="J921" s="14">
        <f t="shared" si="42"/>
        <v>0</v>
      </c>
      <c r="K921" s="14">
        <f t="shared" si="43"/>
        <v>0</v>
      </c>
      <c r="L921" s="17">
        <f t="shared" si="44"/>
        <v>0</v>
      </c>
      <c r="M921" s="14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 spans="1:27" s="2" customFormat="1" ht="14">
      <c r="A922" s="12" t="s">
        <v>2655</v>
      </c>
      <c r="B922" s="13" t="s">
        <v>14</v>
      </c>
      <c r="C922" s="13" t="s">
        <v>2656</v>
      </c>
      <c r="D922" s="13" t="s">
        <v>2657</v>
      </c>
      <c r="E922" s="13" t="s">
        <v>21</v>
      </c>
      <c r="F922" s="14"/>
      <c r="G922" s="14"/>
      <c r="H922" s="14"/>
      <c r="I922" s="14"/>
      <c r="J922" s="14">
        <f t="shared" si="42"/>
        <v>0</v>
      </c>
      <c r="K922" s="14">
        <f t="shared" si="43"/>
        <v>0</v>
      </c>
      <c r="L922" s="17">
        <f t="shared" si="44"/>
        <v>0</v>
      </c>
      <c r="M922" s="14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 spans="1:27" s="2" customFormat="1" ht="14">
      <c r="A923" s="12" t="s">
        <v>2658</v>
      </c>
      <c r="B923" s="13" t="s">
        <v>62</v>
      </c>
      <c r="C923" s="13" t="s">
        <v>2659</v>
      </c>
      <c r="D923" s="13" t="s">
        <v>2660</v>
      </c>
      <c r="E923" s="13" t="s">
        <v>91</v>
      </c>
      <c r="F923" s="14"/>
      <c r="G923" s="14"/>
      <c r="H923" s="14"/>
      <c r="I923" s="14"/>
      <c r="J923" s="14">
        <f t="shared" si="42"/>
        <v>0</v>
      </c>
      <c r="K923" s="14">
        <f t="shared" si="43"/>
        <v>0</v>
      </c>
      <c r="L923" s="17">
        <f t="shared" si="44"/>
        <v>0</v>
      </c>
      <c r="M923" s="14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 spans="1:27" s="2" customFormat="1" ht="14">
      <c r="A924" s="12" t="s">
        <v>2661</v>
      </c>
      <c r="B924" s="13" t="s">
        <v>14</v>
      </c>
      <c r="C924" s="13" t="s">
        <v>2662</v>
      </c>
      <c r="D924" s="13" t="s">
        <v>2663</v>
      </c>
      <c r="E924" s="13" t="s">
        <v>46</v>
      </c>
      <c r="F924" s="14"/>
      <c r="G924" s="14"/>
      <c r="H924" s="14"/>
      <c r="I924" s="14"/>
      <c r="J924" s="14">
        <f t="shared" si="42"/>
        <v>0</v>
      </c>
      <c r="K924" s="14">
        <f t="shared" si="43"/>
        <v>0</v>
      </c>
      <c r="L924" s="17">
        <f t="shared" si="44"/>
        <v>0</v>
      </c>
      <c r="M924" s="14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 spans="1:27" s="2" customFormat="1" ht="14">
      <c r="A925" s="12" t="s">
        <v>2664</v>
      </c>
      <c r="B925" s="13" t="s">
        <v>14</v>
      </c>
      <c r="C925" s="13" t="s">
        <v>2665</v>
      </c>
      <c r="D925" s="13" t="s">
        <v>2666</v>
      </c>
      <c r="E925" s="13" t="s">
        <v>68</v>
      </c>
      <c r="F925" s="14"/>
      <c r="G925" s="14"/>
      <c r="H925" s="14"/>
      <c r="I925" s="14"/>
      <c r="J925" s="14">
        <f t="shared" si="42"/>
        <v>0</v>
      </c>
      <c r="K925" s="14">
        <f t="shared" si="43"/>
        <v>0</v>
      </c>
      <c r="L925" s="17">
        <f t="shared" si="44"/>
        <v>0</v>
      </c>
      <c r="M925" s="14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 spans="1:27" s="2" customFormat="1" ht="14">
      <c r="A926" s="12" t="s">
        <v>2667</v>
      </c>
      <c r="B926" s="13" t="s">
        <v>62</v>
      </c>
      <c r="C926" s="13" t="s">
        <v>2668</v>
      </c>
      <c r="D926" s="13" t="s">
        <v>2669</v>
      </c>
      <c r="E926" s="13" t="s">
        <v>126</v>
      </c>
      <c r="F926" s="14"/>
      <c r="G926" s="14"/>
      <c r="H926" s="14"/>
      <c r="I926" s="14"/>
      <c r="J926" s="14">
        <f t="shared" si="42"/>
        <v>0</v>
      </c>
      <c r="K926" s="14">
        <f t="shared" si="43"/>
        <v>0</v>
      </c>
      <c r="L926" s="17">
        <f t="shared" si="44"/>
        <v>0</v>
      </c>
      <c r="M926" s="14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 spans="1:27" s="2" customFormat="1" ht="14">
      <c r="A927" s="12" t="s">
        <v>2670</v>
      </c>
      <c r="B927" s="13" t="s">
        <v>62</v>
      </c>
      <c r="C927" s="13" t="s">
        <v>2671</v>
      </c>
      <c r="D927" s="13" t="s">
        <v>2672</v>
      </c>
      <c r="E927" s="13" t="s">
        <v>446</v>
      </c>
      <c r="F927" s="14"/>
      <c r="G927" s="14"/>
      <c r="H927" s="14"/>
      <c r="I927" s="14"/>
      <c r="J927" s="14">
        <f t="shared" si="42"/>
        <v>0</v>
      </c>
      <c r="K927" s="14">
        <f t="shared" si="43"/>
        <v>0</v>
      </c>
      <c r="L927" s="17">
        <f t="shared" si="44"/>
        <v>0</v>
      </c>
      <c r="M927" s="14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 spans="1:27" s="2" customFormat="1" ht="14">
      <c r="A928" s="12" t="s">
        <v>2673</v>
      </c>
      <c r="B928" s="13" t="s">
        <v>14</v>
      </c>
      <c r="C928" s="13" t="s">
        <v>2674</v>
      </c>
      <c r="D928" s="13" t="s">
        <v>2675</v>
      </c>
      <c r="E928" s="13" t="s">
        <v>25</v>
      </c>
      <c r="F928" s="14"/>
      <c r="G928" s="14"/>
      <c r="H928" s="14"/>
      <c r="I928" s="14"/>
      <c r="J928" s="14">
        <f t="shared" si="42"/>
        <v>0</v>
      </c>
      <c r="K928" s="14">
        <f t="shared" si="43"/>
        <v>0</v>
      </c>
      <c r="L928" s="17">
        <f t="shared" si="44"/>
        <v>0</v>
      </c>
      <c r="M928" s="14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 spans="1:27" s="2" customFormat="1" ht="14">
      <c r="A929" s="12" t="s">
        <v>2676</v>
      </c>
      <c r="B929" s="13" t="s">
        <v>14</v>
      </c>
      <c r="C929" s="13" t="s">
        <v>2677</v>
      </c>
      <c r="D929" s="13" t="s">
        <v>2678</v>
      </c>
      <c r="E929" s="13" t="s">
        <v>136</v>
      </c>
      <c r="F929" s="14"/>
      <c r="G929" s="14"/>
      <c r="H929" s="14"/>
      <c r="I929" s="14"/>
      <c r="J929" s="14">
        <f t="shared" si="42"/>
        <v>0</v>
      </c>
      <c r="K929" s="14">
        <f t="shared" si="43"/>
        <v>0</v>
      </c>
      <c r="L929" s="17">
        <f t="shared" si="44"/>
        <v>0</v>
      </c>
      <c r="M929" s="14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 spans="1:27" s="2" customFormat="1" ht="14">
      <c r="A930" s="12" t="s">
        <v>2679</v>
      </c>
      <c r="B930" s="13" t="s">
        <v>14</v>
      </c>
      <c r="C930" s="13" t="s">
        <v>2680</v>
      </c>
      <c r="D930" s="13" t="s">
        <v>2681</v>
      </c>
      <c r="E930" s="13" t="s">
        <v>285</v>
      </c>
      <c r="F930" s="14"/>
      <c r="G930" s="14"/>
      <c r="H930" s="14"/>
      <c r="I930" s="14"/>
      <c r="J930" s="14">
        <f t="shared" si="42"/>
        <v>0</v>
      </c>
      <c r="K930" s="14">
        <f t="shared" si="43"/>
        <v>0</v>
      </c>
      <c r="L930" s="17">
        <f t="shared" si="44"/>
        <v>0</v>
      </c>
      <c r="M930" s="14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 spans="1:27" s="2" customFormat="1" ht="14">
      <c r="A931" s="12" t="s">
        <v>2682</v>
      </c>
      <c r="B931" s="13" t="s">
        <v>14</v>
      </c>
      <c r="C931" s="13" t="s">
        <v>2683</v>
      </c>
      <c r="D931" s="13" t="s">
        <v>2684</v>
      </c>
      <c r="E931" s="13" t="s">
        <v>32</v>
      </c>
      <c r="F931" s="14"/>
      <c r="G931" s="14"/>
      <c r="H931" s="14"/>
      <c r="I931" s="14"/>
      <c r="J931" s="14">
        <f t="shared" si="42"/>
        <v>0</v>
      </c>
      <c r="K931" s="14">
        <f t="shared" si="43"/>
        <v>0</v>
      </c>
      <c r="L931" s="17">
        <f t="shared" si="44"/>
        <v>0</v>
      </c>
      <c r="M931" s="14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 spans="1:27" s="2" customFormat="1" ht="14">
      <c r="A932" s="12" t="s">
        <v>2685</v>
      </c>
      <c r="B932" s="13" t="s">
        <v>62</v>
      </c>
      <c r="C932" s="13" t="s">
        <v>2686</v>
      </c>
      <c r="D932" s="13" t="s">
        <v>2687</v>
      </c>
      <c r="E932" s="13" t="s">
        <v>97</v>
      </c>
      <c r="F932" s="14"/>
      <c r="G932" s="14"/>
      <c r="H932" s="14"/>
      <c r="I932" s="14"/>
      <c r="J932" s="14">
        <f t="shared" si="42"/>
        <v>0</v>
      </c>
      <c r="K932" s="14">
        <f t="shared" si="43"/>
        <v>0</v>
      </c>
      <c r="L932" s="17">
        <f t="shared" si="44"/>
        <v>0</v>
      </c>
      <c r="M932" s="14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 spans="1:27" s="2" customFormat="1" ht="14">
      <c r="A933" s="12" t="s">
        <v>2688</v>
      </c>
      <c r="B933" s="13" t="s">
        <v>62</v>
      </c>
      <c r="C933" s="13" t="s">
        <v>2689</v>
      </c>
      <c r="D933" s="13" t="s">
        <v>2690</v>
      </c>
      <c r="E933" s="13" t="s">
        <v>72</v>
      </c>
      <c r="F933" s="14"/>
      <c r="G933" s="14"/>
      <c r="H933" s="14"/>
      <c r="I933" s="14"/>
      <c r="J933" s="14">
        <f t="shared" si="42"/>
        <v>0</v>
      </c>
      <c r="K933" s="14">
        <f t="shared" si="43"/>
        <v>0</v>
      </c>
      <c r="L933" s="17">
        <f t="shared" si="44"/>
        <v>0</v>
      </c>
      <c r="M933" s="14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 spans="1:27" s="2" customFormat="1" ht="14">
      <c r="A934" s="12" t="s">
        <v>2691</v>
      </c>
      <c r="B934" s="13" t="s">
        <v>62</v>
      </c>
      <c r="C934" s="13" t="s">
        <v>2692</v>
      </c>
      <c r="D934" s="13" t="s">
        <v>2693</v>
      </c>
      <c r="E934" s="13" t="s">
        <v>68</v>
      </c>
      <c r="F934" s="14"/>
      <c r="G934" s="14"/>
      <c r="H934" s="14"/>
      <c r="I934" s="14"/>
      <c r="J934" s="14">
        <f t="shared" si="42"/>
        <v>0</v>
      </c>
      <c r="K934" s="14">
        <f t="shared" si="43"/>
        <v>0</v>
      </c>
      <c r="L934" s="17">
        <f t="shared" si="44"/>
        <v>0</v>
      </c>
      <c r="M934" s="14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 spans="1:27" s="2" customFormat="1" ht="14">
      <c r="A935" s="12" t="s">
        <v>2694</v>
      </c>
      <c r="B935" s="13" t="s">
        <v>14</v>
      </c>
      <c r="C935" s="13" t="s">
        <v>2695</v>
      </c>
      <c r="D935" s="13" t="s">
        <v>2696</v>
      </c>
      <c r="E935" s="13" t="s">
        <v>398</v>
      </c>
      <c r="F935" s="14"/>
      <c r="G935" s="14"/>
      <c r="H935" s="14"/>
      <c r="I935" s="14"/>
      <c r="J935" s="14">
        <f t="shared" si="42"/>
        <v>0</v>
      </c>
      <c r="K935" s="14">
        <f t="shared" si="43"/>
        <v>0</v>
      </c>
      <c r="L935" s="17">
        <f t="shared" si="44"/>
        <v>0</v>
      </c>
      <c r="M935" s="14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 spans="1:27" s="2" customFormat="1" ht="14">
      <c r="A936" s="12" t="s">
        <v>2697</v>
      </c>
      <c r="B936" s="13" t="s">
        <v>62</v>
      </c>
      <c r="C936" s="13" t="s">
        <v>2698</v>
      </c>
      <c r="D936" s="13" t="s">
        <v>2699</v>
      </c>
      <c r="E936" s="13" t="s">
        <v>205</v>
      </c>
      <c r="F936" s="14"/>
      <c r="G936" s="14"/>
      <c r="H936" s="14"/>
      <c r="I936" s="14"/>
      <c r="J936" s="14">
        <f t="shared" si="42"/>
        <v>0</v>
      </c>
      <c r="K936" s="14">
        <f t="shared" si="43"/>
        <v>0</v>
      </c>
      <c r="L936" s="17">
        <f t="shared" si="44"/>
        <v>0</v>
      </c>
      <c r="M936" s="14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 spans="1:27" s="2" customFormat="1" ht="14">
      <c r="A937" s="12" t="s">
        <v>2700</v>
      </c>
      <c r="B937" s="13" t="s">
        <v>14</v>
      </c>
      <c r="C937" s="13" t="s">
        <v>2701</v>
      </c>
      <c r="D937" s="13" t="s">
        <v>2702</v>
      </c>
      <c r="E937" s="13" t="s">
        <v>183</v>
      </c>
      <c r="F937" s="14"/>
      <c r="G937" s="14"/>
      <c r="H937" s="14"/>
      <c r="I937" s="14"/>
      <c r="J937" s="14">
        <f t="shared" si="42"/>
        <v>0</v>
      </c>
      <c r="K937" s="14">
        <f t="shared" si="43"/>
        <v>0</v>
      </c>
      <c r="L937" s="17">
        <f t="shared" si="44"/>
        <v>0</v>
      </c>
      <c r="M937" s="14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 spans="1:27" s="2" customFormat="1" ht="14">
      <c r="A938" s="12" t="s">
        <v>2703</v>
      </c>
      <c r="B938" s="13" t="s">
        <v>14</v>
      </c>
      <c r="C938" s="13" t="s">
        <v>2704</v>
      </c>
      <c r="D938" s="13" t="s">
        <v>2705</v>
      </c>
      <c r="E938" s="13" t="s">
        <v>32</v>
      </c>
      <c r="F938" s="14"/>
      <c r="G938" s="14"/>
      <c r="H938" s="14"/>
      <c r="I938" s="14"/>
      <c r="J938" s="14">
        <f t="shared" si="42"/>
        <v>0</v>
      </c>
      <c r="K938" s="14">
        <f t="shared" si="43"/>
        <v>0</v>
      </c>
      <c r="L938" s="17">
        <f t="shared" si="44"/>
        <v>0</v>
      </c>
      <c r="M938" s="14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 spans="1:27" s="2" customFormat="1" ht="14">
      <c r="A939" s="12" t="s">
        <v>2706</v>
      </c>
      <c r="B939" s="13" t="s">
        <v>14</v>
      </c>
      <c r="C939" s="13" t="s">
        <v>2707</v>
      </c>
      <c r="D939" s="13" t="s">
        <v>2708</v>
      </c>
      <c r="E939" s="13" t="s">
        <v>201</v>
      </c>
      <c r="F939" s="14"/>
      <c r="G939" s="14"/>
      <c r="H939" s="14"/>
      <c r="I939" s="14"/>
      <c r="J939" s="14">
        <f t="shared" si="42"/>
        <v>0</v>
      </c>
      <c r="K939" s="14">
        <f t="shared" si="43"/>
        <v>0</v>
      </c>
      <c r="L939" s="17">
        <f t="shared" si="44"/>
        <v>0</v>
      </c>
      <c r="M939" s="14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 spans="1:27" s="2" customFormat="1" ht="14">
      <c r="A940" s="12" t="s">
        <v>2709</v>
      </c>
      <c r="B940" s="13" t="s">
        <v>62</v>
      </c>
      <c r="C940" s="13" t="s">
        <v>2710</v>
      </c>
      <c r="D940" s="13" t="s">
        <v>2711</v>
      </c>
      <c r="E940" s="13" t="s">
        <v>36</v>
      </c>
      <c r="F940" s="14"/>
      <c r="G940" s="14"/>
      <c r="H940" s="14"/>
      <c r="I940" s="14"/>
      <c r="J940" s="14">
        <f t="shared" si="42"/>
        <v>0</v>
      </c>
      <c r="K940" s="14">
        <f t="shared" si="43"/>
        <v>0</v>
      </c>
      <c r="L940" s="17">
        <f t="shared" si="44"/>
        <v>0</v>
      </c>
      <c r="M940" s="14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 spans="1:27" s="2" customFormat="1" ht="14">
      <c r="A941" s="12" t="s">
        <v>2712</v>
      </c>
      <c r="B941" s="13" t="s">
        <v>14</v>
      </c>
      <c r="C941" s="13" t="s">
        <v>2713</v>
      </c>
      <c r="D941" s="13" t="s">
        <v>2714</v>
      </c>
      <c r="E941" s="13" t="s">
        <v>215</v>
      </c>
      <c r="F941" s="14"/>
      <c r="G941" s="14"/>
      <c r="H941" s="14"/>
      <c r="I941" s="14"/>
      <c r="J941" s="14">
        <f t="shared" si="42"/>
        <v>0</v>
      </c>
      <c r="K941" s="14">
        <f t="shared" si="43"/>
        <v>0</v>
      </c>
      <c r="L941" s="17">
        <f t="shared" si="44"/>
        <v>0</v>
      </c>
      <c r="M941" s="14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 spans="1:27" s="2" customFormat="1" ht="14">
      <c r="A942" s="12" t="s">
        <v>2715</v>
      </c>
      <c r="B942" s="13" t="s">
        <v>14</v>
      </c>
      <c r="C942" s="13" t="s">
        <v>2716</v>
      </c>
      <c r="D942" s="13" t="s">
        <v>2717</v>
      </c>
      <c r="E942" s="13" t="s">
        <v>72</v>
      </c>
      <c r="F942" s="14"/>
      <c r="G942" s="14"/>
      <c r="H942" s="14"/>
      <c r="I942" s="14"/>
      <c r="J942" s="14">
        <f t="shared" si="42"/>
        <v>0</v>
      </c>
      <c r="K942" s="14">
        <f t="shared" si="43"/>
        <v>0</v>
      </c>
      <c r="L942" s="17">
        <f t="shared" si="44"/>
        <v>0</v>
      </c>
      <c r="M942" s="14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 spans="1:27" s="2" customFormat="1" ht="14">
      <c r="A943" s="12" t="s">
        <v>2718</v>
      </c>
      <c r="B943" s="13" t="s">
        <v>14</v>
      </c>
      <c r="C943" s="13" t="s">
        <v>2719</v>
      </c>
      <c r="D943" s="13" t="s">
        <v>2720</v>
      </c>
      <c r="E943" s="13" t="s">
        <v>21</v>
      </c>
      <c r="F943" s="14"/>
      <c r="G943" s="14"/>
      <c r="H943" s="14"/>
      <c r="I943" s="14"/>
      <c r="J943" s="14">
        <f t="shared" si="42"/>
        <v>0</v>
      </c>
      <c r="K943" s="14">
        <f t="shared" si="43"/>
        <v>0</v>
      </c>
      <c r="L943" s="17">
        <f t="shared" si="44"/>
        <v>0</v>
      </c>
      <c r="M943" s="14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 spans="1:27" s="2" customFormat="1" ht="14">
      <c r="A944" s="12" t="s">
        <v>2721</v>
      </c>
      <c r="B944" s="13" t="s">
        <v>14</v>
      </c>
      <c r="C944" s="13" t="s">
        <v>2722</v>
      </c>
      <c r="D944" s="13" t="s">
        <v>2723</v>
      </c>
      <c r="E944" s="13" t="s">
        <v>97</v>
      </c>
      <c r="F944" s="14"/>
      <c r="G944" s="14"/>
      <c r="H944" s="14"/>
      <c r="I944" s="14"/>
      <c r="J944" s="14">
        <f t="shared" si="42"/>
        <v>0</v>
      </c>
      <c r="K944" s="14">
        <f t="shared" si="43"/>
        <v>0</v>
      </c>
      <c r="L944" s="17">
        <f t="shared" si="44"/>
        <v>0</v>
      </c>
      <c r="M944" s="14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 spans="1:27" s="2" customFormat="1" ht="14">
      <c r="A945" s="12" t="s">
        <v>2724</v>
      </c>
      <c r="B945" s="13" t="s">
        <v>14</v>
      </c>
      <c r="C945" s="13" t="s">
        <v>2725</v>
      </c>
      <c r="D945" s="13" t="s">
        <v>2726</v>
      </c>
      <c r="E945" s="13" t="s">
        <v>40</v>
      </c>
      <c r="F945" s="14"/>
      <c r="G945" s="14"/>
      <c r="H945" s="14"/>
      <c r="I945" s="14"/>
      <c r="J945" s="14">
        <f t="shared" si="42"/>
        <v>0</v>
      </c>
      <c r="K945" s="14">
        <f t="shared" si="43"/>
        <v>0</v>
      </c>
      <c r="L945" s="17">
        <f t="shared" si="44"/>
        <v>0</v>
      </c>
      <c r="M945" s="14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 spans="1:27" s="2" customFormat="1" ht="14">
      <c r="A946" s="12" t="s">
        <v>2727</v>
      </c>
      <c r="B946" s="13" t="s">
        <v>14</v>
      </c>
      <c r="C946" s="13" t="s">
        <v>2728</v>
      </c>
      <c r="D946" s="13" t="s">
        <v>2729</v>
      </c>
      <c r="E946" s="13" t="s">
        <v>201</v>
      </c>
      <c r="F946" s="14"/>
      <c r="G946" s="14"/>
      <c r="H946" s="14"/>
      <c r="I946" s="14"/>
      <c r="J946" s="14">
        <f t="shared" si="42"/>
        <v>0</v>
      </c>
      <c r="K946" s="14">
        <f t="shared" si="43"/>
        <v>0</v>
      </c>
      <c r="L946" s="17">
        <f t="shared" si="44"/>
        <v>0</v>
      </c>
      <c r="M946" s="14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 spans="1:27" s="2" customFormat="1" ht="14">
      <c r="A947" s="12" t="s">
        <v>2730</v>
      </c>
      <c r="B947" s="13" t="s">
        <v>14</v>
      </c>
      <c r="C947" s="13" t="s">
        <v>2731</v>
      </c>
      <c r="D947" s="13" t="s">
        <v>2732</v>
      </c>
      <c r="E947" s="13" t="s">
        <v>32</v>
      </c>
      <c r="F947" s="14"/>
      <c r="G947" s="14"/>
      <c r="H947" s="14"/>
      <c r="I947" s="14"/>
      <c r="J947" s="14">
        <f t="shared" si="42"/>
        <v>0</v>
      </c>
      <c r="K947" s="14">
        <f t="shared" si="43"/>
        <v>0</v>
      </c>
      <c r="L947" s="17">
        <f t="shared" si="44"/>
        <v>0</v>
      </c>
      <c r="M947" s="14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 spans="1:27" s="2" customFormat="1" ht="14">
      <c r="A948" s="12" t="s">
        <v>2733</v>
      </c>
      <c r="B948" s="13" t="s">
        <v>62</v>
      </c>
      <c r="C948" s="13" t="s">
        <v>2734</v>
      </c>
      <c r="D948" s="13" t="s">
        <v>2735</v>
      </c>
      <c r="E948" s="13" t="s">
        <v>183</v>
      </c>
      <c r="F948" s="14"/>
      <c r="G948" s="14"/>
      <c r="H948" s="14"/>
      <c r="I948" s="14"/>
      <c r="J948" s="14">
        <f t="shared" si="42"/>
        <v>0</v>
      </c>
      <c r="K948" s="14">
        <f t="shared" si="43"/>
        <v>0</v>
      </c>
      <c r="L948" s="17">
        <f t="shared" si="44"/>
        <v>0</v>
      </c>
      <c r="M948" s="14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 spans="1:27" s="2" customFormat="1" ht="14">
      <c r="A949" s="12" t="s">
        <v>2736</v>
      </c>
      <c r="B949" s="13" t="s">
        <v>14</v>
      </c>
      <c r="C949" s="13" t="s">
        <v>2737</v>
      </c>
      <c r="D949" s="13" t="s">
        <v>2738</v>
      </c>
      <c r="E949" s="13" t="s">
        <v>83</v>
      </c>
      <c r="F949" s="14"/>
      <c r="G949" s="14"/>
      <c r="H949" s="14"/>
      <c r="I949" s="14"/>
      <c r="J949" s="14">
        <f t="shared" si="42"/>
        <v>0</v>
      </c>
      <c r="K949" s="14">
        <f t="shared" si="43"/>
        <v>0</v>
      </c>
      <c r="L949" s="17">
        <f t="shared" si="44"/>
        <v>0</v>
      </c>
      <c r="M949" s="14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 spans="1:27" s="2" customFormat="1" ht="14">
      <c r="A950" s="12" t="s">
        <v>2739</v>
      </c>
      <c r="B950" s="13" t="s">
        <v>14</v>
      </c>
      <c r="C950" s="13" t="s">
        <v>2740</v>
      </c>
      <c r="D950" s="13" t="s">
        <v>2741</v>
      </c>
      <c r="E950" s="13" t="s">
        <v>446</v>
      </c>
      <c r="F950" s="14"/>
      <c r="G950" s="14"/>
      <c r="H950" s="14"/>
      <c r="I950" s="14"/>
      <c r="J950" s="14">
        <f t="shared" si="42"/>
        <v>0</v>
      </c>
      <c r="K950" s="14">
        <f t="shared" si="43"/>
        <v>0</v>
      </c>
      <c r="L950" s="17">
        <f t="shared" si="44"/>
        <v>0</v>
      </c>
      <c r="M950" s="14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 spans="1:27" s="2" customFormat="1" ht="14">
      <c r="A951" s="12" t="s">
        <v>2742</v>
      </c>
      <c r="B951" s="13" t="s">
        <v>62</v>
      </c>
      <c r="C951" s="13" t="s">
        <v>2743</v>
      </c>
      <c r="D951" s="13" t="s">
        <v>2744</v>
      </c>
      <c r="E951" s="13" t="s">
        <v>68</v>
      </c>
      <c r="F951" s="14"/>
      <c r="G951" s="14"/>
      <c r="H951" s="14"/>
      <c r="I951" s="14"/>
      <c r="J951" s="14">
        <f t="shared" si="42"/>
        <v>0</v>
      </c>
      <c r="K951" s="14">
        <f t="shared" si="43"/>
        <v>0</v>
      </c>
      <c r="L951" s="17">
        <f t="shared" si="44"/>
        <v>0</v>
      </c>
      <c r="M951" s="14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 spans="1:27" s="2" customFormat="1" ht="14">
      <c r="A952" s="12" t="s">
        <v>2745</v>
      </c>
      <c r="B952" s="13" t="s">
        <v>14</v>
      </c>
      <c r="C952" s="13" t="s">
        <v>2746</v>
      </c>
      <c r="D952" s="13" t="s">
        <v>2747</v>
      </c>
      <c r="E952" s="13" t="s">
        <v>68</v>
      </c>
      <c r="F952" s="14"/>
      <c r="G952" s="14"/>
      <c r="H952" s="14"/>
      <c r="I952" s="14"/>
      <c r="J952" s="14">
        <f t="shared" si="42"/>
        <v>0</v>
      </c>
      <c r="K952" s="14">
        <f t="shared" si="43"/>
        <v>0</v>
      </c>
      <c r="L952" s="17">
        <f t="shared" si="44"/>
        <v>0</v>
      </c>
      <c r="M952" s="14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 spans="1:27" s="2" customFormat="1" ht="14">
      <c r="A953" s="12" t="s">
        <v>2748</v>
      </c>
      <c r="B953" s="13" t="s">
        <v>14</v>
      </c>
      <c r="C953" s="13" t="s">
        <v>2749</v>
      </c>
      <c r="D953" s="13" t="s">
        <v>2750</v>
      </c>
      <c r="E953" s="13" t="s">
        <v>17</v>
      </c>
      <c r="F953" s="14"/>
      <c r="G953" s="14"/>
      <c r="H953" s="14"/>
      <c r="I953" s="14"/>
      <c r="J953" s="14">
        <f t="shared" si="42"/>
        <v>0</v>
      </c>
      <c r="K953" s="14">
        <f t="shared" si="43"/>
        <v>0</v>
      </c>
      <c r="L953" s="17">
        <f t="shared" si="44"/>
        <v>0</v>
      </c>
      <c r="M953" s="14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 spans="1:27" s="2" customFormat="1" ht="14">
      <c r="A954" s="12" t="s">
        <v>2751</v>
      </c>
      <c r="B954" s="13" t="s">
        <v>14</v>
      </c>
      <c r="C954" s="13" t="s">
        <v>2752</v>
      </c>
      <c r="D954" s="13" t="s">
        <v>2753</v>
      </c>
      <c r="E954" s="13" t="s">
        <v>97</v>
      </c>
      <c r="F954" s="14"/>
      <c r="G954" s="14"/>
      <c r="H954" s="14"/>
      <c r="I954" s="14"/>
      <c r="J954" s="14">
        <f t="shared" si="42"/>
        <v>0</v>
      </c>
      <c r="K954" s="14">
        <f t="shared" si="43"/>
        <v>0</v>
      </c>
      <c r="L954" s="17">
        <f t="shared" si="44"/>
        <v>0</v>
      </c>
      <c r="M954" s="14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 spans="1:27" s="2" customFormat="1" ht="14">
      <c r="A955" s="12" t="s">
        <v>2754</v>
      </c>
      <c r="B955" s="13" t="s">
        <v>62</v>
      </c>
      <c r="C955" s="13" t="s">
        <v>2755</v>
      </c>
      <c r="D955" s="13" t="s">
        <v>2756</v>
      </c>
      <c r="E955" s="13" t="s">
        <v>402</v>
      </c>
      <c r="F955" s="14"/>
      <c r="G955" s="14"/>
      <c r="H955" s="14"/>
      <c r="I955" s="14"/>
      <c r="J955" s="14">
        <f t="shared" si="42"/>
        <v>0</v>
      </c>
      <c r="K955" s="14">
        <f t="shared" si="43"/>
        <v>0</v>
      </c>
      <c r="L955" s="17">
        <f t="shared" si="44"/>
        <v>0</v>
      </c>
      <c r="M955" s="14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 spans="1:27" s="2" customFormat="1" ht="14">
      <c r="A956" s="12" t="s">
        <v>2757</v>
      </c>
      <c r="B956" s="13" t="s">
        <v>14</v>
      </c>
      <c r="C956" s="13" t="s">
        <v>2758</v>
      </c>
      <c r="D956" s="13" t="s">
        <v>2759</v>
      </c>
      <c r="E956" s="13" t="s">
        <v>190</v>
      </c>
      <c r="F956" s="14"/>
      <c r="G956" s="14"/>
      <c r="H956" s="14"/>
      <c r="I956" s="14"/>
      <c r="J956" s="14">
        <f t="shared" si="42"/>
        <v>0</v>
      </c>
      <c r="K956" s="14">
        <f t="shared" si="43"/>
        <v>0</v>
      </c>
      <c r="L956" s="17">
        <f t="shared" si="44"/>
        <v>0</v>
      </c>
      <c r="M956" s="14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 spans="1:27" s="2" customFormat="1" ht="14">
      <c r="A957" s="12" t="s">
        <v>2760</v>
      </c>
      <c r="B957" s="13" t="s">
        <v>14</v>
      </c>
      <c r="C957" s="13" t="s">
        <v>2761</v>
      </c>
      <c r="D957" s="13" t="s">
        <v>2762</v>
      </c>
      <c r="E957" s="13" t="s">
        <v>32</v>
      </c>
      <c r="F957" s="14"/>
      <c r="G957" s="14"/>
      <c r="H957" s="14"/>
      <c r="I957" s="14"/>
      <c r="J957" s="14">
        <f t="shared" si="42"/>
        <v>0</v>
      </c>
      <c r="K957" s="14">
        <f t="shared" si="43"/>
        <v>0</v>
      </c>
      <c r="L957" s="17">
        <f t="shared" si="44"/>
        <v>0</v>
      </c>
      <c r="M957" s="14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 spans="1:27" s="2" customFormat="1" ht="14">
      <c r="A958" s="12" t="s">
        <v>2763</v>
      </c>
      <c r="B958" s="13" t="s">
        <v>62</v>
      </c>
      <c r="C958" s="13" t="s">
        <v>2764</v>
      </c>
      <c r="D958" s="13" t="s">
        <v>2765</v>
      </c>
      <c r="E958" s="13" t="s">
        <v>21</v>
      </c>
      <c r="F958" s="14"/>
      <c r="G958" s="14"/>
      <c r="H958" s="14"/>
      <c r="I958" s="14"/>
      <c r="J958" s="14">
        <f t="shared" si="42"/>
        <v>0</v>
      </c>
      <c r="K958" s="14">
        <f t="shared" si="43"/>
        <v>0</v>
      </c>
      <c r="L958" s="17">
        <f t="shared" si="44"/>
        <v>0</v>
      </c>
      <c r="M958" s="14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 spans="1:27" s="2" customFormat="1" ht="14">
      <c r="A959" s="12" t="s">
        <v>2766</v>
      </c>
      <c r="B959" s="13" t="s">
        <v>62</v>
      </c>
      <c r="C959" s="13" t="s">
        <v>2767</v>
      </c>
      <c r="D959" s="13" t="s">
        <v>2768</v>
      </c>
      <c r="E959" s="13" t="s">
        <v>21</v>
      </c>
      <c r="F959" s="14"/>
      <c r="G959" s="14"/>
      <c r="H959" s="14"/>
      <c r="I959" s="14"/>
      <c r="J959" s="14">
        <f t="shared" si="42"/>
        <v>0</v>
      </c>
      <c r="K959" s="14">
        <f t="shared" si="43"/>
        <v>0</v>
      </c>
      <c r="L959" s="17">
        <f t="shared" si="44"/>
        <v>0</v>
      </c>
      <c r="M959" s="14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 spans="1:27" s="2" customFormat="1" ht="14">
      <c r="A960" s="12" t="s">
        <v>2769</v>
      </c>
      <c r="B960" s="13" t="s">
        <v>14</v>
      </c>
      <c r="C960" s="13" t="s">
        <v>2770</v>
      </c>
      <c r="D960" s="13" t="s">
        <v>2771</v>
      </c>
      <c r="E960" s="13" t="s">
        <v>21</v>
      </c>
      <c r="F960" s="14"/>
      <c r="G960" s="14"/>
      <c r="H960" s="14"/>
      <c r="I960" s="14"/>
      <c r="J960" s="14">
        <f t="shared" si="42"/>
        <v>0</v>
      </c>
      <c r="K960" s="14">
        <f t="shared" si="43"/>
        <v>0</v>
      </c>
      <c r="L960" s="17">
        <f t="shared" si="44"/>
        <v>0</v>
      </c>
      <c r="M960" s="14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 spans="1:27" s="2" customFormat="1" ht="14">
      <c r="A961" s="12" t="s">
        <v>2772</v>
      </c>
      <c r="B961" s="13" t="s">
        <v>14</v>
      </c>
      <c r="C961" s="13" t="s">
        <v>2773</v>
      </c>
      <c r="D961" s="13" t="s">
        <v>2774</v>
      </c>
      <c r="E961" s="13" t="s">
        <v>114</v>
      </c>
      <c r="F961" s="14"/>
      <c r="G961" s="14"/>
      <c r="H961" s="14"/>
      <c r="I961" s="14"/>
      <c r="J961" s="14">
        <f t="shared" si="42"/>
        <v>0</v>
      </c>
      <c r="K961" s="14">
        <f t="shared" si="43"/>
        <v>0</v>
      </c>
      <c r="L961" s="17">
        <f t="shared" si="44"/>
        <v>0</v>
      </c>
      <c r="M961" s="14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 spans="1:27" s="2" customFormat="1" ht="14">
      <c r="A962" s="12" t="s">
        <v>2775</v>
      </c>
      <c r="B962" s="13" t="s">
        <v>14</v>
      </c>
      <c r="C962" s="13" t="s">
        <v>2776</v>
      </c>
      <c r="D962" s="13" t="s">
        <v>2777</v>
      </c>
      <c r="E962" s="13" t="s">
        <v>285</v>
      </c>
      <c r="F962" s="14"/>
      <c r="G962" s="14"/>
      <c r="H962" s="14"/>
      <c r="I962" s="14"/>
      <c r="J962" s="14">
        <f t="shared" ref="J962:J1025" si="45">IF(G962&gt;0,1,0)</f>
        <v>0</v>
      </c>
      <c r="K962" s="14">
        <f t="shared" ref="K962:K1025" si="46">IF(H962&gt;0,1,0)</f>
        <v>0</v>
      </c>
      <c r="L962" s="17">
        <f t="shared" ref="L962:L1025" si="47">IF(G962&gt;0,IF(H962&gt;0,1,0),0)</f>
        <v>0</v>
      </c>
      <c r="M962" s="14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 spans="1:27" s="2" customFormat="1" ht="14">
      <c r="A963" s="12" t="s">
        <v>2778</v>
      </c>
      <c r="B963" s="13" t="s">
        <v>14</v>
      </c>
      <c r="C963" s="13" t="s">
        <v>2779</v>
      </c>
      <c r="D963" s="13" t="s">
        <v>2780</v>
      </c>
      <c r="E963" s="13" t="s">
        <v>40</v>
      </c>
      <c r="F963" s="14"/>
      <c r="G963" s="14"/>
      <c r="H963" s="14"/>
      <c r="I963" s="14"/>
      <c r="J963" s="14">
        <f t="shared" si="45"/>
        <v>0</v>
      </c>
      <c r="K963" s="14">
        <f t="shared" si="46"/>
        <v>0</v>
      </c>
      <c r="L963" s="17">
        <f t="shared" si="47"/>
        <v>0</v>
      </c>
      <c r="M963" s="14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 spans="1:27" s="2" customFormat="1" ht="14">
      <c r="A964" s="12" t="s">
        <v>2781</v>
      </c>
      <c r="B964" s="13" t="s">
        <v>62</v>
      </c>
      <c r="C964" s="13" t="s">
        <v>2782</v>
      </c>
      <c r="D964" s="13" t="s">
        <v>2783</v>
      </c>
      <c r="E964" s="13" t="s">
        <v>21</v>
      </c>
      <c r="F964" s="14"/>
      <c r="G964" s="14"/>
      <c r="H964" s="14"/>
      <c r="I964" s="14"/>
      <c r="J964" s="14">
        <f t="shared" si="45"/>
        <v>0</v>
      </c>
      <c r="K964" s="14">
        <f t="shared" si="46"/>
        <v>0</v>
      </c>
      <c r="L964" s="17">
        <f t="shared" si="47"/>
        <v>0</v>
      </c>
      <c r="M964" s="14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 spans="1:27" s="2" customFormat="1" ht="14">
      <c r="A965" s="12" t="s">
        <v>2784</v>
      </c>
      <c r="B965" s="13" t="s">
        <v>14</v>
      </c>
      <c r="C965" s="13" t="s">
        <v>2785</v>
      </c>
      <c r="D965" s="13" t="s">
        <v>2786</v>
      </c>
      <c r="E965" s="13" t="s">
        <v>68</v>
      </c>
      <c r="F965" s="14"/>
      <c r="G965" s="14"/>
      <c r="H965" s="14"/>
      <c r="I965" s="14"/>
      <c r="J965" s="14">
        <f t="shared" si="45"/>
        <v>0</v>
      </c>
      <c r="K965" s="14">
        <f t="shared" si="46"/>
        <v>0</v>
      </c>
      <c r="L965" s="17">
        <f t="shared" si="47"/>
        <v>0</v>
      </c>
      <c r="M965" s="14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 spans="1:27" s="2" customFormat="1" ht="14">
      <c r="A966" s="12" t="s">
        <v>2787</v>
      </c>
      <c r="B966" s="13" t="s">
        <v>14</v>
      </c>
      <c r="C966" s="13" t="s">
        <v>2788</v>
      </c>
      <c r="D966" s="13" t="s">
        <v>2789</v>
      </c>
      <c r="E966" s="13" t="s">
        <v>32</v>
      </c>
      <c r="F966" s="14"/>
      <c r="G966" s="14"/>
      <c r="H966" s="14"/>
      <c r="I966" s="14"/>
      <c r="J966" s="14">
        <f t="shared" si="45"/>
        <v>0</v>
      </c>
      <c r="K966" s="14">
        <f t="shared" si="46"/>
        <v>0</v>
      </c>
      <c r="L966" s="17">
        <f t="shared" si="47"/>
        <v>0</v>
      </c>
      <c r="M966" s="14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 spans="1:27" s="2" customFormat="1" ht="14">
      <c r="A967" s="12" t="s">
        <v>2790</v>
      </c>
      <c r="B967" s="13" t="s">
        <v>14</v>
      </c>
      <c r="C967" s="13" t="s">
        <v>2791</v>
      </c>
      <c r="D967" s="13" t="s">
        <v>2792</v>
      </c>
      <c r="E967" s="13" t="s">
        <v>68</v>
      </c>
      <c r="F967" s="14"/>
      <c r="G967" s="14"/>
      <c r="H967" s="14"/>
      <c r="I967" s="14"/>
      <c r="J967" s="14">
        <f t="shared" si="45"/>
        <v>0</v>
      </c>
      <c r="K967" s="14">
        <f t="shared" si="46"/>
        <v>0</v>
      </c>
      <c r="L967" s="17">
        <f t="shared" si="47"/>
        <v>0</v>
      </c>
      <c r="M967" s="14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 spans="1:27" s="2" customFormat="1" ht="14">
      <c r="A968" s="12" t="s">
        <v>2793</v>
      </c>
      <c r="B968" s="13" t="s">
        <v>14</v>
      </c>
      <c r="C968" s="13" t="s">
        <v>2794</v>
      </c>
      <c r="D968" s="13" t="s">
        <v>2795</v>
      </c>
      <c r="E968" s="13" t="s">
        <v>46</v>
      </c>
      <c r="F968" s="14"/>
      <c r="G968" s="14"/>
      <c r="H968" s="14"/>
      <c r="I968" s="14"/>
      <c r="J968" s="14">
        <f t="shared" si="45"/>
        <v>0</v>
      </c>
      <c r="K968" s="14">
        <f t="shared" si="46"/>
        <v>0</v>
      </c>
      <c r="L968" s="17">
        <f t="shared" si="47"/>
        <v>0</v>
      </c>
      <c r="M968" s="14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 spans="1:27" s="2" customFormat="1" ht="14">
      <c r="A969" s="12" t="s">
        <v>2796</v>
      </c>
      <c r="B969" s="13" t="s">
        <v>14</v>
      </c>
      <c r="C969" s="13" t="s">
        <v>2797</v>
      </c>
      <c r="D969" s="13" t="s">
        <v>2798</v>
      </c>
      <c r="E969" s="13" t="s">
        <v>156</v>
      </c>
      <c r="F969" s="14"/>
      <c r="G969" s="14"/>
      <c r="H969" s="14"/>
      <c r="I969" s="14"/>
      <c r="J969" s="14">
        <f t="shared" si="45"/>
        <v>0</v>
      </c>
      <c r="K969" s="14">
        <f t="shared" si="46"/>
        <v>0</v>
      </c>
      <c r="L969" s="17">
        <f t="shared" si="47"/>
        <v>0</v>
      </c>
      <c r="M969" s="14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 spans="1:27" s="2" customFormat="1" ht="14">
      <c r="A970" s="12" t="s">
        <v>2799</v>
      </c>
      <c r="B970" s="13" t="s">
        <v>14</v>
      </c>
      <c r="C970" s="13" t="s">
        <v>2800</v>
      </c>
      <c r="D970" s="13" t="s">
        <v>2801</v>
      </c>
      <c r="E970" s="13" t="s">
        <v>57</v>
      </c>
      <c r="F970" s="14"/>
      <c r="G970" s="14"/>
      <c r="H970" s="14"/>
      <c r="I970" s="14"/>
      <c r="J970" s="14">
        <f t="shared" si="45"/>
        <v>0</v>
      </c>
      <c r="K970" s="14">
        <f t="shared" si="46"/>
        <v>0</v>
      </c>
      <c r="L970" s="17">
        <f t="shared" si="47"/>
        <v>0</v>
      </c>
      <c r="M970" s="14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 spans="1:27" s="2" customFormat="1" ht="14">
      <c r="A971" s="12" t="s">
        <v>2802</v>
      </c>
      <c r="B971" s="13" t="s">
        <v>14</v>
      </c>
      <c r="C971" s="13" t="s">
        <v>2803</v>
      </c>
      <c r="D971" s="13" t="s">
        <v>2804</v>
      </c>
      <c r="E971" s="13" t="s">
        <v>267</v>
      </c>
      <c r="F971" s="14"/>
      <c r="G971" s="14"/>
      <c r="H971" s="14"/>
      <c r="I971" s="14"/>
      <c r="J971" s="14">
        <f t="shared" si="45"/>
        <v>0</v>
      </c>
      <c r="K971" s="14">
        <f t="shared" si="46"/>
        <v>0</v>
      </c>
      <c r="L971" s="17">
        <f t="shared" si="47"/>
        <v>0</v>
      </c>
      <c r="M971" s="14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 spans="1:27" s="2" customFormat="1" ht="14">
      <c r="A972" s="12" t="s">
        <v>2805</v>
      </c>
      <c r="B972" s="13" t="s">
        <v>62</v>
      </c>
      <c r="C972" s="13" t="s">
        <v>2806</v>
      </c>
      <c r="D972" s="13" t="s">
        <v>2807</v>
      </c>
      <c r="E972" s="13" t="s">
        <v>205</v>
      </c>
      <c r="F972" s="14"/>
      <c r="G972" s="14"/>
      <c r="H972" s="14"/>
      <c r="I972" s="14"/>
      <c r="J972" s="14">
        <f t="shared" si="45"/>
        <v>0</v>
      </c>
      <c r="K972" s="14">
        <f t="shared" si="46"/>
        <v>0</v>
      </c>
      <c r="L972" s="17">
        <f t="shared" si="47"/>
        <v>0</v>
      </c>
      <c r="M972" s="14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 spans="1:27" s="2" customFormat="1" ht="14">
      <c r="A973" s="12" t="s">
        <v>2808</v>
      </c>
      <c r="B973" s="13" t="s">
        <v>14</v>
      </c>
      <c r="C973" s="13" t="s">
        <v>2809</v>
      </c>
      <c r="D973" s="13" t="s">
        <v>2810</v>
      </c>
      <c r="E973" s="13" t="s">
        <v>43</v>
      </c>
      <c r="F973" s="14"/>
      <c r="G973" s="14"/>
      <c r="H973" s="14"/>
      <c r="I973" s="14"/>
      <c r="J973" s="14">
        <f t="shared" si="45"/>
        <v>0</v>
      </c>
      <c r="K973" s="14">
        <f t="shared" si="46"/>
        <v>0</v>
      </c>
      <c r="L973" s="17">
        <f t="shared" si="47"/>
        <v>0</v>
      </c>
      <c r="M973" s="14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 spans="1:27" s="2" customFormat="1" ht="14">
      <c r="A974" s="12" t="s">
        <v>2811</v>
      </c>
      <c r="B974" s="13" t="s">
        <v>14</v>
      </c>
      <c r="C974" s="13" t="s">
        <v>2812</v>
      </c>
      <c r="D974" s="13" t="s">
        <v>2813</v>
      </c>
      <c r="E974" s="13" t="s">
        <v>319</v>
      </c>
      <c r="F974" s="14"/>
      <c r="G974" s="14"/>
      <c r="H974" s="14"/>
      <c r="I974" s="14"/>
      <c r="J974" s="14">
        <f t="shared" si="45"/>
        <v>0</v>
      </c>
      <c r="K974" s="14">
        <f t="shared" si="46"/>
        <v>0</v>
      </c>
      <c r="L974" s="17">
        <f t="shared" si="47"/>
        <v>0</v>
      </c>
      <c r="M974" s="14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 spans="1:27" s="2" customFormat="1" ht="14">
      <c r="A975" s="12" t="s">
        <v>2814</v>
      </c>
      <c r="B975" s="13" t="s">
        <v>14</v>
      </c>
      <c r="C975" s="13" t="s">
        <v>2815</v>
      </c>
      <c r="D975" s="13" t="s">
        <v>2816</v>
      </c>
      <c r="E975" s="13" t="s">
        <v>83</v>
      </c>
      <c r="F975" s="14"/>
      <c r="G975" s="14"/>
      <c r="H975" s="14"/>
      <c r="I975" s="14"/>
      <c r="J975" s="14">
        <f t="shared" si="45"/>
        <v>0</v>
      </c>
      <c r="K975" s="14">
        <f t="shared" si="46"/>
        <v>0</v>
      </c>
      <c r="L975" s="17">
        <f t="shared" si="47"/>
        <v>0</v>
      </c>
      <c r="M975" s="14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 spans="1:27" s="2" customFormat="1" ht="14">
      <c r="A976" s="12" t="s">
        <v>2817</v>
      </c>
      <c r="B976" s="13" t="s">
        <v>62</v>
      </c>
      <c r="C976" s="13" t="s">
        <v>2818</v>
      </c>
      <c r="D976" s="13" t="s">
        <v>2819</v>
      </c>
      <c r="E976" s="13" t="s">
        <v>319</v>
      </c>
      <c r="F976" s="14"/>
      <c r="G976" s="14"/>
      <c r="H976" s="14"/>
      <c r="I976" s="14"/>
      <c r="J976" s="14">
        <f t="shared" si="45"/>
        <v>0</v>
      </c>
      <c r="K976" s="14">
        <f t="shared" si="46"/>
        <v>0</v>
      </c>
      <c r="L976" s="17">
        <f t="shared" si="47"/>
        <v>0</v>
      </c>
      <c r="M976" s="14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 spans="1:27" s="2" customFormat="1" ht="14">
      <c r="A977" s="12" t="s">
        <v>2820</v>
      </c>
      <c r="B977" s="13" t="s">
        <v>14</v>
      </c>
      <c r="C977" s="13" t="s">
        <v>2821</v>
      </c>
      <c r="D977" s="13" t="s">
        <v>2822</v>
      </c>
      <c r="E977" s="13" t="s">
        <v>83</v>
      </c>
      <c r="F977" s="14"/>
      <c r="G977" s="14"/>
      <c r="H977" s="14"/>
      <c r="I977" s="14"/>
      <c r="J977" s="14">
        <f t="shared" si="45"/>
        <v>0</v>
      </c>
      <c r="K977" s="14">
        <f t="shared" si="46"/>
        <v>0</v>
      </c>
      <c r="L977" s="17">
        <f t="shared" si="47"/>
        <v>0</v>
      </c>
      <c r="M977" s="14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 spans="1:27" s="2" customFormat="1" ht="14">
      <c r="A978" s="12" t="s">
        <v>2823</v>
      </c>
      <c r="B978" s="13" t="s">
        <v>62</v>
      </c>
      <c r="C978" s="13" t="s">
        <v>2824</v>
      </c>
      <c r="D978" s="13" t="s">
        <v>2825</v>
      </c>
      <c r="E978" s="13" t="s">
        <v>1113</v>
      </c>
      <c r="F978" s="14"/>
      <c r="G978" s="14"/>
      <c r="H978" s="14"/>
      <c r="I978" s="14"/>
      <c r="J978" s="14">
        <f t="shared" si="45"/>
        <v>0</v>
      </c>
      <c r="K978" s="14">
        <f t="shared" si="46"/>
        <v>0</v>
      </c>
      <c r="L978" s="17">
        <f t="shared" si="47"/>
        <v>0</v>
      </c>
      <c r="M978" s="14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 spans="1:27" s="2" customFormat="1" ht="14">
      <c r="A979" s="12" t="s">
        <v>2826</v>
      </c>
      <c r="B979" s="13" t="s">
        <v>14</v>
      </c>
      <c r="C979" s="13" t="s">
        <v>2827</v>
      </c>
      <c r="D979" s="13" t="s">
        <v>2828</v>
      </c>
      <c r="E979" s="13" t="s">
        <v>402</v>
      </c>
      <c r="F979" s="14"/>
      <c r="G979" s="14"/>
      <c r="H979" s="14"/>
      <c r="I979" s="14"/>
      <c r="J979" s="14">
        <f t="shared" si="45"/>
        <v>0</v>
      </c>
      <c r="K979" s="14">
        <f t="shared" si="46"/>
        <v>0</v>
      </c>
      <c r="L979" s="17">
        <f t="shared" si="47"/>
        <v>0</v>
      </c>
      <c r="M979" s="14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 spans="1:27" s="2" customFormat="1" ht="14">
      <c r="A980" s="12" t="s">
        <v>2829</v>
      </c>
      <c r="B980" s="13" t="s">
        <v>14</v>
      </c>
      <c r="C980" s="13" t="s">
        <v>2830</v>
      </c>
      <c r="D980" s="13" t="s">
        <v>2831</v>
      </c>
      <c r="E980" s="13" t="s">
        <v>136</v>
      </c>
      <c r="F980" s="14"/>
      <c r="G980" s="14"/>
      <c r="H980" s="14"/>
      <c r="I980" s="14"/>
      <c r="J980" s="14">
        <f t="shared" si="45"/>
        <v>0</v>
      </c>
      <c r="K980" s="14">
        <f t="shared" si="46"/>
        <v>0</v>
      </c>
      <c r="L980" s="17">
        <f t="shared" si="47"/>
        <v>0</v>
      </c>
      <c r="M980" s="14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 spans="1:27" s="2" customFormat="1" ht="14">
      <c r="A981" s="12" t="s">
        <v>2832</v>
      </c>
      <c r="B981" s="13" t="s">
        <v>14</v>
      </c>
      <c r="C981" s="13" t="s">
        <v>2833</v>
      </c>
      <c r="D981" s="13" t="s">
        <v>2834</v>
      </c>
      <c r="E981" s="13" t="s">
        <v>68</v>
      </c>
      <c r="F981" s="14"/>
      <c r="G981" s="14"/>
      <c r="H981" s="14"/>
      <c r="I981" s="14"/>
      <c r="J981" s="14">
        <f t="shared" si="45"/>
        <v>0</v>
      </c>
      <c r="K981" s="14">
        <f t="shared" si="46"/>
        <v>0</v>
      </c>
      <c r="L981" s="17">
        <f t="shared" si="47"/>
        <v>0</v>
      </c>
      <c r="M981" s="14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 spans="1:27" s="2" customFormat="1" ht="14">
      <c r="A982" s="12" t="s">
        <v>2835</v>
      </c>
      <c r="B982" s="13" t="s">
        <v>14</v>
      </c>
      <c r="C982" s="13" t="s">
        <v>2836</v>
      </c>
      <c r="D982" s="13" t="s">
        <v>2837</v>
      </c>
      <c r="E982" s="13" t="s">
        <v>46</v>
      </c>
      <c r="F982" s="14"/>
      <c r="G982" s="14"/>
      <c r="H982" s="14"/>
      <c r="I982" s="14"/>
      <c r="J982" s="14">
        <f t="shared" si="45"/>
        <v>0</v>
      </c>
      <c r="K982" s="14">
        <f t="shared" si="46"/>
        <v>0</v>
      </c>
      <c r="L982" s="17">
        <f t="shared" si="47"/>
        <v>0</v>
      </c>
      <c r="M982" s="14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 spans="1:27" s="2" customFormat="1" ht="14">
      <c r="A983" s="12" t="s">
        <v>2838</v>
      </c>
      <c r="B983" s="13" t="s">
        <v>14</v>
      </c>
      <c r="C983" s="13" t="s">
        <v>2839</v>
      </c>
      <c r="D983" s="13" t="s">
        <v>2840</v>
      </c>
      <c r="E983" s="13" t="s">
        <v>57</v>
      </c>
      <c r="F983" s="14"/>
      <c r="G983" s="14"/>
      <c r="H983" s="14"/>
      <c r="I983" s="14"/>
      <c r="J983" s="14">
        <f t="shared" si="45"/>
        <v>0</v>
      </c>
      <c r="K983" s="14">
        <f t="shared" si="46"/>
        <v>0</v>
      </c>
      <c r="L983" s="17">
        <f t="shared" si="47"/>
        <v>0</v>
      </c>
      <c r="M983" s="14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 spans="1:27" s="2" customFormat="1" ht="14">
      <c r="A984" s="12" t="s">
        <v>2841</v>
      </c>
      <c r="B984" s="13" t="s">
        <v>62</v>
      </c>
      <c r="C984" s="13" t="s">
        <v>2842</v>
      </c>
      <c r="D984" s="13" t="s">
        <v>2843</v>
      </c>
      <c r="E984" s="13" t="s">
        <v>25</v>
      </c>
      <c r="F984" s="14"/>
      <c r="G984" s="14"/>
      <c r="H984" s="14"/>
      <c r="I984" s="14"/>
      <c r="J984" s="14">
        <f t="shared" si="45"/>
        <v>0</v>
      </c>
      <c r="K984" s="14">
        <f t="shared" si="46"/>
        <v>0</v>
      </c>
      <c r="L984" s="17">
        <f t="shared" si="47"/>
        <v>0</v>
      </c>
      <c r="M984" s="14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 spans="1:27" s="2" customFormat="1" ht="14">
      <c r="A985" s="12" t="s">
        <v>2844</v>
      </c>
      <c r="B985" s="13" t="s">
        <v>14</v>
      </c>
      <c r="C985" s="13" t="s">
        <v>2845</v>
      </c>
      <c r="D985" s="13" t="s">
        <v>2846</v>
      </c>
      <c r="E985" s="13" t="s">
        <v>50</v>
      </c>
      <c r="F985" s="14"/>
      <c r="G985" s="14"/>
      <c r="H985" s="14"/>
      <c r="I985" s="14"/>
      <c r="J985" s="14">
        <f t="shared" si="45"/>
        <v>0</v>
      </c>
      <c r="K985" s="14">
        <f t="shared" si="46"/>
        <v>0</v>
      </c>
      <c r="L985" s="17">
        <f t="shared" si="47"/>
        <v>0</v>
      </c>
      <c r="M985" s="14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 spans="1:27" s="2" customFormat="1" ht="14">
      <c r="A986" s="12" t="s">
        <v>2847</v>
      </c>
      <c r="B986" s="13" t="s">
        <v>14</v>
      </c>
      <c r="C986" s="13" t="s">
        <v>2848</v>
      </c>
      <c r="D986" s="13" t="s">
        <v>2849</v>
      </c>
      <c r="E986" s="13" t="s">
        <v>104</v>
      </c>
      <c r="F986" s="14"/>
      <c r="G986" s="14"/>
      <c r="H986" s="14"/>
      <c r="I986" s="14"/>
      <c r="J986" s="14">
        <f t="shared" si="45"/>
        <v>0</v>
      </c>
      <c r="K986" s="14">
        <f t="shared" si="46"/>
        <v>0</v>
      </c>
      <c r="L986" s="17">
        <f t="shared" si="47"/>
        <v>0</v>
      </c>
      <c r="M986" s="14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 spans="1:27" s="2" customFormat="1" ht="14">
      <c r="A987" s="12" t="s">
        <v>2850</v>
      </c>
      <c r="B987" s="13" t="s">
        <v>14</v>
      </c>
      <c r="C987" s="13" t="s">
        <v>2851</v>
      </c>
      <c r="D987" s="13" t="s">
        <v>2852</v>
      </c>
      <c r="E987" s="13" t="s">
        <v>215</v>
      </c>
      <c r="F987" s="14"/>
      <c r="G987" s="14"/>
      <c r="H987" s="14"/>
      <c r="I987" s="14"/>
      <c r="J987" s="14">
        <f t="shared" si="45"/>
        <v>0</v>
      </c>
      <c r="K987" s="14">
        <f t="shared" si="46"/>
        <v>0</v>
      </c>
      <c r="L987" s="17">
        <f t="shared" si="47"/>
        <v>0</v>
      </c>
      <c r="M987" s="14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 spans="1:27" s="2" customFormat="1" ht="14">
      <c r="A988" s="12" t="s">
        <v>2853</v>
      </c>
      <c r="B988" s="13" t="s">
        <v>14</v>
      </c>
      <c r="C988" s="13" t="s">
        <v>2854</v>
      </c>
      <c r="D988" s="13" t="s">
        <v>2855</v>
      </c>
      <c r="E988" s="13" t="s">
        <v>136</v>
      </c>
      <c r="F988" s="14"/>
      <c r="G988" s="14"/>
      <c r="H988" s="14"/>
      <c r="I988" s="14"/>
      <c r="J988" s="14">
        <f t="shared" si="45"/>
        <v>0</v>
      </c>
      <c r="K988" s="14">
        <f t="shared" si="46"/>
        <v>0</v>
      </c>
      <c r="L988" s="17">
        <f t="shared" si="47"/>
        <v>0</v>
      </c>
      <c r="M988" s="14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 spans="1:27" s="2" customFormat="1" ht="14">
      <c r="A989" s="12" t="s">
        <v>2856</v>
      </c>
      <c r="B989" s="13" t="s">
        <v>62</v>
      </c>
      <c r="C989" s="13" t="s">
        <v>2857</v>
      </c>
      <c r="D989" s="13" t="s">
        <v>2858</v>
      </c>
      <c r="E989" s="13" t="s">
        <v>57</v>
      </c>
      <c r="F989" s="14"/>
      <c r="G989" s="14"/>
      <c r="H989" s="14"/>
      <c r="I989" s="14"/>
      <c r="J989" s="14">
        <f t="shared" si="45"/>
        <v>0</v>
      </c>
      <c r="K989" s="14">
        <f t="shared" si="46"/>
        <v>0</v>
      </c>
      <c r="L989" s="17">
        <f t="shared" si="47"/>
        <v>0</v>
      </c>
      <c r="M989" s="14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 spans="1:27" s="2" customFormat="1" ht="14">
      <c r="A990" s="12" t="s">
        <v>2859</v>
      </c>
      <c r="B990" s="13" t="s">
        <v>62</v>
      </c>
      <c r="C990" s="13" t="s">
        <v>2860</v>
      </c>
      <c r="D990" s="13" t="s">
        <v>2861</v>
      </c>
      <c r="E990" s="13" t="s">
        <v>97</v>
      </c>
      <c r="F990" s="14"/>
      <c r="G990" s="14"/>
      <c r="H990" s="14"/>
      <c r="I990" s="14"/>
      <c r="J990" s="14">
        <f t="shared" si="45"/>
        <v>0</v>
      </c>
      <c r="K990" s="14">
        <f t="shared" si="46"/>
        <v>0</v>
      </c>
      <c r="L990" s="17">
        <f t="shared" si="47"/>
        <v>0</v>
      </c>
      <c r="M990" s="14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 spans="1:27" s="2" customFormat="1" ht="14">
      <c r="A991" s="12" t="s">
        <v>2862</v>
      </c>
      <c r="B991" s="13" t="s">
        <v>14</v>
      </c>
      <c r="C991" s="13" t="s">
        <v>2863</v>
      </c>
      <c r="D991" s="13" t="s">
        <v>2864</v>
      </c>
      <c r="E991" s="13" t="s">
        <v>215</v>
      </c>
      <c r="F991" s="14"/>
      <c r="G991" s="14"/>
      <c r="H991" s="14"/>
      <c r="I991" s="14"/>
      <c r="J991" s="14">
        <f t="shared" si="45"/>
        <v>0</v>
      </c>
      <c r="K991" s="14">
        <f t="shared" si="46"/>
        <v>0</v>
      </c>
      <c r="L991" s="17">
        <f t="shared" si="47"/>
        <v>0</v>
      </c>
      <c r="M991" s="14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 spans="1:27" s="2" customFormat="1" ht="14">
      <c r="A992" s="12" t="s">
        <v>2865</v>
      </c>
      <c r="B992" s="13" t="s">
        <v>14</v>
      </c>
      <c r="C992" s="13" t="s">
        <v>2866</v>
      </c>
      <c r="D992" s="13" t="s">
        <v>2867</v>
      </c>
      <c r="E992" s="13" t="s">
        <v>285</v>
      </c>
      <c r="F992" s="14"/>
      <c r="G992" s="14"/>
      <c r="H992" s="14"/>
      <c r="I992" s="14"/>
      <c r="J992" s="14">
        <f t="shared" si="45"/>
        <v>0</v>
      </c>
      <c r="K992" s="14">
        <f t="shared" si="46"/>
        <v>0</v>
      </c>
      <c r="L992" s="17">
        <f t="shared" si="47"/>
        <v>0</v>
      </c>
      <c r="M992" s="14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 spans="1:27" s="2" customFormat="1" ht="14">
      <c r="A993" s="12" t="s">
        <v>2868</v>
      </c>
      <c r="B993" s="13" t="s">
        <v>14</v>
      </c>
      <c r="C993" s="13" t="s">
        <v>2869</v>
      </c>
      <c r="D993" s="13" t="s">
        <v>2870</v>
      </c>
      <c r="E993" s="13" t="s">
        <v>247</v>
      </c>
      <c r="F993" s="14"/>
      <c r="G993" s="14"/>
      <c r="H993" s="14"/>
      <c r="I993" s="14"/>
      <c r="J993" s="14">
        <f t="shared" si="45"/>
        <v>0</v>
      </c>
      <c r="K993" s="14">
        <f t="shared" si="46"/>
        <v>0</v>
      </c>
      <c r="L993" s="17">
        <f t="shared" si="47"/>
        <v>0</v>
      </c>
      <c r="M993" s="14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 spans="1:27" s="2" customFormat="1" ht="14">
      <c r="A994" s="12" t="s">
        <v>2871</v>
      </c>
      <c r="B994" s="13" t="s">
        <v>14</v>
      </c>
      <c r="C994" s="13" t="s">
        <v>2872</v>
      </c>
      <c r="D994" s="13" t="s">
        <v>2873</v>
      </c>
      <c r="E994" s="13" t="s">
        <v>29</v>
      </c>
      <c r="F994" s="14"/>
      <c r="G994" s="14"/>
      <c r="H994" s="14"/>
      <c r="I994" s="14"/>
      <c r="J994" s="14">
        <f t="shared" si="45"/>
        <v>0</v>
      </c>
      <c r="K994" s="14">
        <f t="shared" si="46"/>
        <v>0</v>
      </c>
      <c r="L994" s="17">
        <f t="shared" si="47"/>
        <v>0</v>
      </c>
      <c r="M994" s="14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 spans="1:27" s="2" customFormat="1" ht="14">
      <c r="A995" s="12" t="s">
        <v>2874</v>
      </c>
      <c r="B995" s="13" t="s">
        <v>62</v>
      </c>
      <c r="C995" s="13" t="s">
        <v>2875</v>
      </c>
      <c r="D995" s="13" t="s">
        <v>2876</v>
      </c>
      <c r="E995" s="13" t="s">
        <v>68</v>
      </c>
      <c r="F995" s="14"/>
      <c r="G995" s="14"/>
      <c r="H995" s="14"/>
      <c r="I995" s="14"/>
      <c r="J995" s="14">
        <f t="shared" si="45"/>
        <v>0</v>
      </c>
      <c r="K995" s="14">
        <f t="shared" si="46"/>
        <v>0</v>
      </c>
      <c r="L995" s="17">
        <f t="shared" si="47"/>
        <v>0</v>
      </c>
      <c r="M995" s="14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 spans="1:27" s="2" customFormat="1" ht="14">
      <c r="A996" s="12" t="s">
        <v>2877</v>
      </c>
      <c r="B996" s="13" t="s">
        <v>14</v>
      </c>
      <c r="C996" s="13" t="s">
        <v>2878</v>
      </c>
      <c r="D996" s="13" t="s">
        <v>2879</v>
      </c>
      <c r="E996" s="13" t="s">
        <v>97</v>
      </c>
      <c r="F996" s="14"/>
      <c r="G996" s="14"/>
      <c r="H996" s="14"/>
      <c r="I996" s="14"/>
      <c r="J996" s="14">
        <f t="shared" si="45"/>
        <v>0</v>
      </c>
      <c r="K996" s="14">
        <f t="shared" si="46"/>
        <v>0</v>
      </c>
      <c r="L996" s="17">
        <f t="shared" si="47"/>
        <v>0</v>
      </c>
      <c r="M996" s="14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 spans="1:27" s="2" customFormat="1" ht="14">
      <c r="A997" s="12" t="s">
        <v>2880</v>
      </c>
      <c r="B997" s="13" t="s">
        <v>14</v>
      </c>
      <c r="C997" s="13" t="s">
        <v>2881</v>
      </c>
      <c r="D997" s="13" t="s">
        <v>2882</v>
      </c>
      <c r="E997" s="13" t="s">
        <v>40</v>
      </c>
      <c r="F997" s="14"/>
      <c r="G997" s="14"/>
      <c r="H997" s="14"/>
      <c r="I997" s="14"/>
      <c r="J997" s="14">
        <f t="shared" si="45"/>
        <v>0</v>
      </c>
      <c r="K997" s="14">
        <f t="shared" si="46"/>
        <v>0</v>
      </c>
      <c r="L997" s="17">
        <f t="shared" si="47"/>
        <v>0</v>
      </c>
      <c r="M997" s="14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r="998" spans="1:27" s="2" customFormat="1" ht="14">
      <c r="A998" s="12" t="s">
        <v>2883</v>
      </c>
      <c r="B998" s="13" t="s">
        <v>14</v>
      </c>
      <c r="C998" s="13" t="s">
        <v>2884</v>
      </c>
      <c r="D998" s="13" t="s">
        <v>2885</v>
      </c>
      <c r="E998" s="13" t="s">
        <v>205</v>
      </c>
      <c r="F998" s="14"/>
      <c r="G998" s="14"/>
      <c r="H998" s="14"/>
      <c r="I998" s="14"/>
      <c r="J998" s="14">
        <f t="shared" si="45"/>
        <v>0</v>
      </c>
      <c r="K998" s="14">
        <f t="shared" si="46"/>
        <v>0</v>
      </c>
      <c r="L998" s="17">
        <f t="shared" si="47"/>
        <v>0</v>
      </c>
      <c r="M998" s="14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r="999" spans="1:27" s="2" customFormat="1" ht="14">
      <c r="A999" s="12" t="s">
        <v>2886</v>
      </c>
      <c r="B999" s="13" t="s">
        <v>14</v>
      </c>
      <c r="C999" s="13" t="s">
        <v>2887</v>
      </c>
      <c r="D999" s="13" t="s">
        <v>2888</v>
      </c>
      <c r="E999" s="13" t="s">
        <v>156</v>
      </c>
      <c r="F999" s="14"/>
      <c r="G999" s="14"/>
      <c r="H999" s="14"/>
      <c r="I999" s="14"/>
      <c r="J999" s="14">
        <f t="shared" si="45"/>
        <v>0</v>
      </c>
      <c r="K999" s="14">
        <f t="shared" si="46"/>
        <v>0</v>
      </c>
      <c r="L999" s="17">
        <f t="shared" si="47"/>
        <v>0</v>
      </c>
      <c r="M999" s="14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  <row r="1000" spans="1:27" s="2" customFormat="1" ht="14">
      <c r="A1000" s="12" t="s">
        <v>2889</v>
      </c>
      <c r="B1000" s="13" t="s">
        <v>14</v>
      </c>
      <c r="C1000" s="13" t="s">
        <v>2890</v>
      </c>
      <c r="D1000" s="13" t="s">
        <v>2891</v>
      </c>
      <c r="E1000" s="13" t="s">
        <v>156</v>
      </c>
      <c r="F1000" s="14"/>
      <c r="G1000" s="14"/>
      <c r="H1000" s="14"/>
      <c r="I1000" s="14"/>
      <c r="J1000" s="14">
        <f t="shared" si="45"/>
        <v>0</v>
      </c>
      <c r="K1000" s="14">
        <f t="shared" si="46"/>
        <v>0</v>
      </c>
      <c r="L1000" s="17">
        <f t="shared" si="47"/>
        <v>0</v>
      </c>
      <c r="M1000" s="14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</row>
    <row r="1001" spans="1:27" s="2" customFormat="1" ht="14">
      <c r="A1001" s="12" t="s">
        <v>2892</v>
      </c>
      <c r="B1001" s="13" t="s">
        <v>14</v>
      </c>
      <c r="C1001" s="13" t="s">
        <v>2893</v>
      </c>
      <c r="D1001" s="13" t="s">
        <v>2894</v>
      </c>
      <c r="E1001" s="13" t="s">
        <v>97</v>
      </c>
      <c r="F1001" s="14"/>
      <c r="G1001" s="14"/>
      <c r="H1001" s="14"/>
      <c r="I1001" s="14"/>
      <c r="J1001" s="14">
        <f t="shared" si="45"/>
        <v>0</v>
      </c>
      <c r="K1001" s="14">
        <f t="shared" si="46"/>
        <v>0</v>
      </c>
      <c r="L1001" s="17">
        <f t="shared" si="47"/>
        <v>0</v>
      </c>
      <c r="M1001" s="14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</row>
    <row r="1002" spans="1:27" s="2" customFormat="1" ht="14">
      <c r="A1002" s="12" t="s">
        <v>2895</v>
      </c>
      <c r="B1002" s="13" t="s">
        <v>62</v>
      </c>
      <c r="C1002" s="13" t="s">
        <v>2896</v>
      </c>
      <c r="D1002" s="13" t="s">
        <v>2897</v>
      </c>
      <c r="E1002" s="13" t="s">
        <v>285</v>
      </c>
      <c r="F1002" s="14"/>
      <c r="G1002" s="14"/>
      <c r="H1002" s="14"/>
      <c r="I1002" s="14"/>
      <c r="J1002" s="14">
        <f t="shared" si="45"/>
        <v>0</v>
      </c>
      <c r="K1002" s="14">
        <f t="shared" si="46"/>
        <v>0</v>
      </c>
      <c r="L1002" s="17">
        <f t="shared" si="47"/>
        <v>0</v>
      </c>
      <c r="M1002" s="14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</row>
    <row r="1003" spans="1:27" s="2" customFormat="1" ht="14">
      <c r="A1003" s="12" t="s">
        <v>2898</v>
      </c>
      <c r="B1003" s="13" t="s">
        <v>14</v>
      </c>
      <c r="C1003" s="13" t="s">
        <v>2899</v>
      </c>
      <c r="D1003" s="13" t="s">
        <v>2900</v>
      </c>
      <c r="E1003" s="13" t="s">
        <v>220</v>
      </c>
      <c r="F1003" s="14"/>
      <c r="G1003" s="14"/>
      <c r="H1003" s="14"/>
      <c r="I1003" s="14"/>
      <c r="J1003" s="14">
        <f t="shared" si="45"/>
        <v>0</v>
      </c>
      <c r="K1003" s="14">
        <f t="shared" si="46"/>
        <v>0</v>
      </c>
      <c r="L1003" s="17">
        <f t="shared" si="47"/>
        <v>0</v>
      </c>
      <c r="M1003" s="14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</row>
    <row r="1004" spans="1:27" s="2" customFormat="1" ht="14">
      <c r="A1004" s="12" t="s">
        <v>2901</v>
      </c>
      <c r="B1004" s="13" t="s">
        <v>14</v>
      </c>
      <c r="C1004" s="13" t="s">
        <v>2902</v>
      </c>
      <c r="D1004" s="13" t="s">
        <v>2903</v>
      </c>
      <c r="E1004" s="13" t="s">
        <v>285</v>
      </c>
      <c r="F1004" s="14"/>
      <c r="G1004" s="14"/>
      <c r="H1004" s="14"/>
      <c r="I1004" s="14"/>
      <c r="J1004" s="14">
        <f t="shared" si="45"/>
        <v>0</v>
      </c>
      <c r="K1004" s="14">
        <f t="shared" si="46"/>
        <v>0</v>
      </c>
      <c r="L1004" s="17">
        <f t="shared" si="47"/>
        <v>0</v>
      </c>
      <c r="M1004" s="14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</row>
    <row r="1005" spans="1:27" s="2" customFormat="1" ht="14">
      <c r="A1005" s="12" t="s">
        <v>2904</v>
      </c>
      <c r="B1005" s="13" t="s">
        <v>14</v>
      </c>
      <c r="C1005" s="13" t="s">
        <v>2905</v>
      </c>
      <c r="D1005" s="13" t="s">
        <v>2906</v>
      </c>
      <c r="E1005" s="13" t="s">
        <v>72</v>
      </c>
      <c r="F1005" s="14"/>
      <c r="G1005" s="14"/>
      <c r="H1005" s="14"/>
      <c r="I1005" s="14"/>
      <c r="J1005" s="14">
        <f t="shared" si="45"/>
        <v>0</v>
      </c>
      <c r="K1005" s="14">
        <f t="shared" si="46"/>
        <v>0</v>
      </c>
      <c r="L1005" s="17">
        <f t="shared" si="47"/>
        <v>0</v>
      </c>
      <c r="M1005" s="14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</row>
    <row r="1006" spans="1:27" s="2" customFormat="1" ht="14">
      <c r="A1006" s="12" t="s">
        <v>2907</v>
      </c>
      <c r="B1006" s="13" t="s">
        <v>62</v>
      </c>
      <c r="C1006" s="13" t="s">
        <v>2908</v>
      </c>
      <c r="D1006" s="13" t="s">
        <v>2909</v>
      </c>
      <c r="E1006" s="13" t="s">
        <v>205</v>
      </c>
      <c r="F1006" s="14"/>
      <c r="G1006" s="14"/>
      <c r="H1006" s="14"/>
      <c r="I1006" s="14"/>
      <c r="J1006" s="14">
        <f t="shared" si="45"/>
        <v>0</v>
      </c>
      <c r="K1006" s="14">
        <f t="shared" si="46"/>
        <v>0</v>
      </c>
      <c r="L1006" s="17">
        <f t="shared" si="47"/>
        <v>0</v>
      </c>
      <c r="M1006" s="14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</row>
    <row r="1007" spans="1:27" s="2" customFormat="1" ht="14">
      <c r="A1007" s="12" t="s">
        <v>2910</v>
      </c>
      <c r="B1007" s="13" t="s">
        <v>14</v>
      </c>
      <c r="C1007" s="13" t="s">
        <v>2911</v>
      </c>
      <c r="D1007" s="13" t="s">
        <v>2912</v>
      </c>
      <c r="E1007" s="13" t="s">
        <v>17</v>
      </c>
      <c r="F1007" s="14"/>
      <c r="G1007" s="14"/>
      <c r="H1007" s="14"/>
      <c r="I1007" s="14"/>
      <c r="J1007" s="14">
        <f t="shared" si="45"/>
        <v>0</v>
      </c>
      <c r="K1007" s="14">
        <f t="shared" si="46"/>
        <v>0</v>
      </c>
      <c r="L1007" s="17">
        <f t="shared" si="47"/>
        <v>0</v>
      </c>
      <c r="M1007" s="14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  <c r="AA1007" s="16"/>
    </row>
    <row r="1008" spans="1:27" s="2" customFormat="1" ht="14">
      <c r="A1008" s="12" t="s">
        <v>2913</v>
      </c>
      <c r="B1008" s="13" t="s">
        <v>62</v>
      </c>
      <c r="C1008" s="13" t="s">
        <v>2914</v>
      </c>
      <c r="D1008" s="13" t="s">
        <v>2915</v>
      </c>
      <c r="E1008" s="13" t="s">
        <v>319</v>
      </c>
      <c r="F1008" s="14"/>
      <c r="G1008" s="14"/>
      <c r="H1008" s="14"/>
      <c r="I1008" s="14"/>
      <c r="J1008" s="14">
        <f t="shared" si="45"/>
        <v>0</v>
      </c>
      <c r="K1008" s="14">
        <f t="shared" si="46"/>
        <v>0</v>
      </c>
      <c r="L1008" s="17">
        <f t="shared" si="47"/>
        <v>0</v>
      </c>
      <c r="M1008" s="14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</row>
    <row r="1009" spans="1:27" s="2" customFormat="1" ht="14">
      <c r="A1009" s="12" t="s">
        <v>2916</v>
      </c>
      <c r="B1009" s="13" t="s">
        <v>14</v>
      </c>
      <c r="C1009" s="13" t="s">
        <v>2917</v>
      </c>
      <c r="D1009" s="13" t="s">
        <v>2918</v>
      </c>
      <c r="E1009" s="13" t="s">
        <v>43</v>
      </c>
      <c r="F1009" s="14"/>
      <c r="G1009" s="14"/>
      <c r="H1009" s="14"/>
      <c r="I1009" s="14"/>
      <c r="J1009" s="14">
        <f t="shared" si="45"/>
        <v>0</v>
      </c>
      <c r="K1009" s="14">
        <f t="shared" si="46"/>
        <v>0</v>
      </c>
      <c r="L1009" s="17">
        <f t="shared" si="47"/>
        <v>0</v>
      </c>
      <c r="M1009" s="14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</row>
    <row r="1010" spans="1:27" s="2" customFormat="1" ht="14">
      <c r="A1010" s="12" t="s">
        <v>2919</v>
      </c>
      <c r="B1010" s="13" t="s">
        <v>14</v>
      </c>
      <c r="C1010" s="13" t="s">
        <v>2920</v>
      </c>
      <c r="D1010" s="13" t="s">
        <v>2921</v>
      </c>
      <c r="E1010" s="13" t="s">
        <v>267</v>
      </c>
      <c r="F1010" s="14"/>
      <c r="G1010" s="14"/>
      <c r="H1010" s="14"/>
      <c r="I1010" s="14"/>
      <c r="J1010" s="14">
        <f t="shared" si="45"/>
        <v>0</v>
      </c>
      <c r="K1010" s="14">
        <f t="shared" si="46"/>
        <v>0</v>
      </c>
      <c r="L1010" s="17">
        <f t="shared" si="47"/>
        <v>0</v>
      </c>
      <c r="M1010" s="14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/>
    </row>
    <row r="1011" spans="1:27" s="2" customFormat="1" ht="14">
      <c r="A1011" s="12" t="s">
        <v>2922</v>
      </c>
      <c r="B1011" s="13" t="s">
        <v>62</v>
      </c>
      <c r="C1011" s="13" t="s">
        <v>2923</v>
      </c>
      <c r="D1011" s="13" t="s">
        <v>2924</v>
      </c>
      <c r="E1011" s="13" t="s">
        <v>29</v>
      </c>
      <c r="F1011" s="14"/>
      <c r="G1011" s="14"/>
      <c r="H1011" s="14"/>
      <c r="I1011" s="14"/>
      <c r="J1011" s="14">
        <f t="shared" si="45"/>
        <v>0</v>
      </c>
      <c r="K1011" s="14">
        <f t="shared" si="46"/>
        <v>0</v>
      </c>
      <c r="L1011" s="17">
        <f t="shared" si="47"/>
        <v>0</v>
      </c>
      <c r="M1011" s="14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</row>
    <row r="1012" spans="1:27" s="2" customFormat="1" ht="14">
      <c r="A1012" s="12" t="s">
        <v>2925</v>
      </c>
      <c r="B1012" s="13" t="s">
        <v>14</v>
      </c>
      <c r="C1012" s="13" t="s">
        <v>2926</v>
      </c>
      <c r="D1012" s="13" t="s">
        <v>2927</v>
      </c>
      <c r="E1012" s="13" t="s">
        <v>25</v>
      </c>
      <c r="F1012" s="14"/>
      <c r="G1012" s="14"/>
      <c r="H1012" s="14"/>
      <c r="I1012" s="14"/>
      <c r="J1012" s="14">
        <f t="shared" si="45"/>
        <v>0</v>
      </c>
      <c r="K1012" s="14">
        <f t="shared" si="46"/>
        <v>0</v>
      </c>
      <c r="L1012" s="17">
        <f t="shared" si="47"/>
        <v>0</v>
      </c>
      <c r="M1012" s="14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6"/>
    </row>
    <row r="1013" spans="1:27" s="2" customFormat="1" ht="14">
      <c r="A1013" s="12" t="s">
        <v>2928</v>
      </c>
      <c r="B1013" s="13" t="s">
        <v>14</v>
      </c>
      <c r="C1013" s="13" t="s">
        <v>2929</v>
      </c>
      <c r="D1013" s="13" t="s">
        <v>2930</v>
      </c>
      <c r="E1013" s="13" t="s">
        <v>136</v>
      </c>
      <c r="F1013" s="14"/>
      <c r="G1013" s="14"/>
      <c r="H1013" s="14"/>
      <c r="I1013" s="14"/>
      <c r="J1013" s="14">
        <f t="shared" si="45"/>
        <v>0</v>
      </c>
      <c r="K1013" s="14">
        <f t="shared" si="46"/>
        <v>0</v>
      </c>
      <c r="L1013" s="17">
        <f t="shared" si="47"/>
        <v>0</v>
      </c>
      <c r="M1013" s="14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  <c r="AA1013" s="16"/>
    </row>
    <row r="1014" spans="1:27" s="2" customFormat="1" ht="14">
      <c r="A1014" s="12" t="s">
        <v>2931</v>
      </c>
      <c r="B1014" s="13" t="s">
        <v>62</v>
      </c>
      <c r="C1014" s="13" t="s">
        <v>2932</v>
      </c>
      <c r="D1014" s="13" t="s">
        <v>2933</v>
      </c>
      <c r="E1014" s="13" t="s">
        <v>2934</v>
      </c>
      <c r="F1014" s="14"/>
      <c r="G1014" s="14"/>
      <c r="H1014" s="14"/>
      <c r="I1014" s="14"/>
      <c r="J1014" s="14">
        <f t="shared" si="45"/>
        <v>0</v>
      </c>
      <c r="K1014" s="14">
        <f t="shared" si="46"/>
        <v>0</v>
      </c>
      <c r="L1014" s="17">
        <f t="shared" si="47"/>
        <v>0</v>
      </c>
      <c r="M1014" s="14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  <c r="AA1014" s="16"/>
    </row>
    <row r="1015" spans="1:27" s="2" customFormat="1" ht="14">
      <c r="A1015" s="12" t="s">
        <v>2935</v>
      </c>
      <c r="B1015" s="13" t="s">
        <v>14</v>
      </c>
      <c r="C1015" s="13" t="s">
        <v>2936</v>
      </c>
      <c r="D1015" s="13" t="s">
        <v>2937</v>
      </c>
      <c r="E1015" s="13" t="s">
        <v>43</v>
      </c>
      <c r="F1015" s="14"/>
      <c r="G1015" s="14"/>
      <c r="H1015" s="14"/>
      <c r="I1015" s="14"/>
      <c r="J1015" s="14">
        <f t="shared" si="45"/>
        <v>0</v>
      </c>
      <c r="K1015" s="14">
        <f t="shared" si="46"/>
        <v>0</v>
      </c>
      <c r="L1015" s="17">
        <f t="shared" si="47"/>
        <v>0</v>
      </c>
      <c r="M1015" s="14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  <c r="AA1015" s="16"/>
    </row>
    <row r="1016" spans="1:27" s="2" customFormat="1" ht="14">
      <c r="A1016" s="12" t="s">
        <v>2938</v>
      </c>
      <c r="B1016" s="13" t="s">
        <v>62</v>
      </c>
      <c r="C1016" s="13" t="s">
        <v>2939</v>
      </c>
      <c r="D1016" s="13" t="s">
        <v>2940</v>
      </c>
      <c r="E1016" s="13" t="s">
        <v>488</v>
      </c>
      <c r="F1016" s="14"/>
      <c r="G1016" s="14"/>
      <c r="H1016" s="14"/>
      <c r="I1016" s="14"/>
      <c r="J1016" s="14">
        <f t="shared" si="45"/>
        <v>0</v>
      </c>
      <c r="K1016" s="14">
        <f t="shared" si="46"/>
        <v>0</v>
      </c>
      <c r="L1016" s="17">
        <f t="shared" si="47"/>
        <v>0</v>
      </c>
      <c r="M1016" s="14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  <c r="AA1016" s="16"/>
    </row>
    <row r="1017" spans="1:27" s="2" customFormat="1" ht="14">
      <c r="A1017" s="12" t="s">
        <v>2941</v>
      </c>
      <c r="B1017" s="13" t="s">
        <v>62</v>
      </c>
      <c r="C1017" s="13" t="s">
        <v>2942</v>
      </c>
      <c r="D1017" s="13" t="s">
        <v>2943</v>
      </c>
      <c r="E1017" s="13" t="s">
        <v>50</v>
      </c>
      <c r="F1017" s="14"/>
      <c r="G1017" s="14"/>
      <c r="H1017" s="14"/>
      <c r="I1017" s="14"/>
      <c r="J1017" s="14">
        <f t="shared" si="45"/>
        <v>0</v>
      </c>
      <c r="K1017" s="14">
        <f t="shared" si="46"/>
        <v>0</v>
      </c>
      <c r="L1017" s="17">
        <f t="shared" si="47"/>
        <v>0</v>
      </c>
      <c r="M1017" s="14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  <c r="AA1017" s="16"/>
    </row>
    <row r="1018" spans="1:27" s="2" customFormat="1" ht="14">
      <c r="A1018" s="12" t="s">
        <v>2944</v>
      </c>
      <c r="B1018" s="13" t="s">
        <v>14</v>
      </c>
      <c r="C1018" s="13" t="s">
        <v>2945</v>
      </c>
      <c r="D1018" s="13" t="s">
        <v>2946</v>
      </c>
      <c r="E1018" s="13" t="s">
        <v>215</v>
      </c>
      <c r="F1018" s="14"/>
      <c r="G1018" s="14"/>
      <c r="H1018" s="14"/>
      <c r="I1018" s="14"/>
      <c r="J1018" s="14">
        <f t="shared" si="45"/>
        <v>0</v>
      </c>
      <c r="K1018" s="14">
        <f t="shared" si="46"/>
        <v>0</v>
      </c>
      <c r="L1018" s="17">
        <f t="shared" si="47"/>
        <v>0</v>
      </c>
      <c r="M1018" s="14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</row>
    <row r="1019" spans="1:27" s="2" customFormat="1" ht="14">
      <c r="A1019" s="12" t="s">
        <v>2947</v>
      </c>
      <c r="B1019" s="13" t="s">
        <v>62</v>
      </c>
      <c r="C1019" s="13" t="s">
        <v>2948</v>
      </c>
      <c r="D1019" s="13" t="s">
        <v>2949</v>
      </c>
      <c r="E1019" s="13" t="s">
        <v>398</v>
      </c>
      <c r="F1019" s="14"/>
      <c r="G1019" s="14"/>
      <c r="H1019" s="14"/>
      <c r="I1019" s="14"/>
      <c r="J1019" s="14">
        <f t="shared" si="45"/>
        <v>0</v>
      </c>
      <c r="K1019" s="14">
        <f t="shared" si="46"/>
        <v>0</v>
      </c>
      <c r="L1019" s="17">
        <f t="shared" si="47"/>
        <v>0</v>
      </c>
      <c r="M1019" s="14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  <c r="AA1019" s="16"/>
    </row>
    <row r="1020" spans="1:27" s="2" customFormat="1" ht="14">
      <c r="A1020" s="12" t="s">
        <v>2950</v>
      </c>
      <c r="B1020" s="13" t="s">
        <v>14</v>
      </c>
      <c r="C1020" s="13" t="s">
        <v>2951</v>
      </c>
      <c r="D1020" s="13" t="s">
        <v>2952</v>
      </c>
      <c r="E1020" s="13" t="s">
        <v>488</v>
      </c>
      <c r="F1020" s="14"/>
      <c r="G1020" s="14"/>
      <c r="H1020" s="14"/>
      <c r="I1020" s="14"/>
      <c r="J1020" s="14">
        <f t="shared" si="45"/>
        <v>0</v>
      </c>
      <c r="K1020" s="14">
        <f t="shared" si="46"/>
        <v>0</v>
      </c>
      <c r="L1020" s="17">
        <f t="shared" si="47"/>
        <v>0</v>
      </c>
      <c r="M1020" s="14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16"/>
      <c r="AA1020" s="16"/>
    </row>
    <row r="1021" spans="1:27" s="2" customFormat="1" ht="14">
      <c r="A1021" s="12" t="s">
        <v>2953</v>
      </c>
      <c r="B1021" s="13" t="s">
        <v>14</v>
      </c>
      <c r="C1021" s="13" t="s">
        <v>2954</v>
      </c>
      <c r="D1021" s="13" t="s">
        <v>2955</v>
      </c>
      <c r="E1021" s="13" t="s">
        <v>220</v>
      </c>
      <c r="F1021" s="14"/>
      <c r="G1021" s="14"/>
      <c r="H1021" s="14"/>
      <c r="I1021" s="14"/>
      <c r="J1021" s="14">
        <f t="shared" si="45"/>
        <v>0</v>
      </c>
      <c r="K1021" s="14">
        <f t="shared" si="46"/>
        <v>0</v>
      </c>
      <c r="L1021" s="17">
        <f t="shared" si="47"/>
        <v>0</v>
      </c>
      <c r="M1021" s="14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6"/>
      <c r="AA1021" s="16"/>
    </row>
    <row r="1022" spans="1:27" s="2" customFormat="1" ht="14">
      <c r="A1022" s="12" t="s">
        <v>2956</v>
      </c>
      <c r="B1022" s="13" t="s">
        <v>14</v>
      </c>
      <c r="C1022" s="13" t="s">
        <v>2957</v>
      </c>
      <c r="D1022" s="13" t="s">
        <v>2958</v>
      </c>
      <c r="E1022" s="13" t="s">
        <v>29</v>
      </c>
      <c r="F1022" s="14"/>
      <c r="G1022" s="14"/>
      <c r="H1022" s="14"/>
      <c r="I1022" s="14"/>
      <c r="J1022" s="14">
        <f t="shared" si="45"/>
        <v>0</v>
      </c>
      <c r="K1022" s="14">
        <f t="shared" si="46"/>
        <v>0</v>
      </c>
      <c r="L1022" s="17">
        <f t="shared" si="47"/>
        <v>0</v>
      </c>
      <c r="M1022" s="14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16"/>
      <c r="AA1022" s="16"/>
    </row>
    <row r="1023" spans="1:27" s="2" customFormat="1" ht="14">
      <c r="A1023" s="12" t="s">
        <v>2959</v>
      </c>
      <c r="B1023" s="13" t="s">
        <v>14</v>
      </c>
      <c r="C1023" s="13" t="s">
        <v>2960</v>
      </c>
      <c r="D1023" s="13" t="s">
        <v>2961</v>
      </c>
      <c r="E1023" s="13" t="s">
        <v>72</v>
      </c>
      <c r="F1023" s="14"/>
      <c r="G1023" s="14"/>
      <c r="H1023" s="14"/>
      <c r="I1023" s="14"/>
      <c r="J1023" s="14">
        <f t="shared" si="45"/>
        <v>0</v>
      </c>
      <c r="K1023" s="14">
        <f t="shared" si="46"/>
        <v>0</v>
      </c>
      <c r="L1023" s="17">
        <f t="shared" si="47"/>
        <v>0</v>
      </c>
      <c r="M1023" s="14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16"/>
      <c r="AA1023" s="16"/>
    </row>
    <row r="1024" spans="1:27" s="2" customFormat="1" ht="14">
      <c r="A1024" s="12" t="s">
        <v>2962</v>
      </c>
      <c r="B1024" s="13" t="s">
        <v>14</v>
      </c>
      <c r="C1024" s="13" t="s">
        <v>2963</v>
      </c>
      <c r="D1024" s="13" t="s">
        <v>2964</v>
      </c>
      <c r="E1024" s="13" t="s">
        <v>267</v>
      </c>
      <c r="F1024" s="14"/>
      <c r="G1024" s="14"/>
      <c r="H1024" s="14"/>
      <c r="I1024" s="14"/>
      <c r="J1024" s="14">
        <f t="shared" si="45"/>
        <v>0</v>
      </c>
      <c r="K1024" s="14">
        <f t="shared" si="46"/>
        <v>0</v>
      </c>
      <c r="L1024" s="17">
        <f t="shared" si="47"/>
        <v>0</v>
      </c>
      <c r="M1024" s="14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16"/>
      <c r="AA1024" s="16"/>
    </row>
    <row r="1025" spans="1:27" s="2" customFormat="1" ht="14">
      <c r="A1025" s="12" t="s">
        <v>2965</v>
      </c>
      <c r="B1025" s="13" t="s">
        <v>14</v>
      </c>
      <c r="C1025" s="13" t="s">
        <v>2966</v>
      </c>
      <c r="D1025" s="13" t="s">
        <v>2967</v>
      </c>
      <c r="E1025" s="13" t="s">
        <v>136</v>
      </c>
      <c r="F1025" s="14"/>
      <c r="G1025" s="14"/>
      <c r="H1025" s="14"/>
      <c r="I1025" s="14"/>
      <c r="J1025" s="14">
        <f t="shared" si="45"/>
        <v>0</v>
      </c>
      <c r="K1025" s="14">
        <f t="shared" si="46"/>
        <v>0</v>
      </c>
      <c r="L1025" s="17">
        <f t="shared" si="47"/>
        <v>0</v>
      </c>
      <c r="M1025" s="14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6"/>
      <c r="AA1025" s="16"/>
    </row>
    <row r="1026" spans="1:27" s="2" customFormat="1" ht="14">
      <c r="A1026" s="12" t="s">
        <v>2968</v>
      </c>
      <c r="B1026" s="13" t="s">
        <v>14</v>
      </c>
      <c r="C1026" s="13" t="s">
        <v>2969</v>
      </c>
      <c r="D1026" s="13" t="s">
        <v>2970</v>
      </c>
      <c r="E1026" s="13" t="s">
        <v>46</v>
      </c>
      <c r="F1026" s="14"/>
      <c r="G1026" s="14"/>
      <c r="H1026" s="14"/>
      <c r="I1026" s="14"/>
      <c r="J1026" s="14">
        <f t="shared" ref="J1026:J1089" si="48">IF(G1026&gt;0,1,0)</f>
        <v>0</v>
      </c>
      <c r="K1026" s="14">
        <f t="shared" ref="K1026:K1089" si="49">IF(H1026&gt;0,1,0)</f>
        <v>0</v>
      </c>
      <c r="L1026" s="17">
        <f t="shared" ref="L1026:L1089" si="50">IF(G1026&gt;0,IF(H1026&gt;0,1,0),0)</f>
        <v>0</v>
      </c>
      <c r="M1026" s="14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  <c r="AA1026" s="16"/>
    </row>
    <row r="1027" spans="1:27" s="2" customFormat="1" ht="14">
      <c r="A1027" s="12" t="s">
        <v>2971</v>
      </c>
      <c r="B1027" s="13" t="s">
        <v>62</v>
      </c>
      <c r="C1027" s="13" t="s">
        <v>2972</v>
      </c>
      <c r="D1027" s="13" t="s">
        <v>2973</v>
      </c>
      <c r="E1027" s="13" t="s">
        <v>72</v>
      </c>
      <c r="F1027" s="14"/>
      <c r="G1027" s="14"/>
      <c r="H1027" s="14"/>
      <c r="I1027" s="14"/>
      <c r="J1027" s="14">
        <f t="shared" si="48"/>
        <v>0</v>
      </c>
      <c r="K1027" s="14">
        <f t="shared" si="49"/>
        <v>0</v>
      </c>
      <c r="L1027" s="17">
        <f t="shared" si="50"/>
        <v>0</v>
      </c>
      <c r="M1027" s="14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16"/>
      <c r="AA1027" s="16"/>
    </row>
    <row r="1028" spans="1:27" s="2" customFormat="1" ht="14">
      <c r="A1028" s="12" t="s">
        <v>2974</v>
      </c>
      <c r="B1028" s="13" t="s">
        <v>14</v>
      </c>
      <c r="C1028" s="13" t="s">
        <v>2975</v>
      </c>
      <c r="D1028" s="13" t="s">
        <v>2976</v>
      </c>
      <c r="E1028" s="13" t="s">
        <v>285</v>
      </c>
      <c r="F1028" s="14"/>
      <c r="G1028" s="14"/>
      <c r="H1028" s="14"/>
      <c r="I1028" s="14"/>
      <c r="J1028" s="14">
        <f t="shared" si="48"/>
        <v>0</v>
      </c>
      <c r="K1028" s="14">
        <f t="shared" si="49"/>
        <v>0</v>
      </c>
      <c r="L1028" s="17">
        <f t="shared" si="50"/>
        <v>0</v>
      </c>
      <c r="M1028" s="14"/>
      <c r="N1028" s="16"/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  <c r="Z1028" s="16"/>
      <c r="AA1028" s="16"/>
    </row>
    <row r="1029" spans="1:27" s="2" customFormat="1" ht="14">
      <c r="A1029" s="12" t="s">
        <v>2977</v>
      </c>
      <c r="B1029" s="13" t="s">
        <v>14</v>
      </c>
      <c r="C1029" s="13" t="s">
        <v>2978</v>
      </c>
      <c r="D1029" s="13" t="s">
        <v>2979</v>
      </c>
      <c r="E1029" s="13" t="s">
        <v>17</v>
      </c>
      <c r="F1029" s="14"/>
      <c r="G1029" s="14"/>
      <c r="H1029" s="14"/>
      <c r="I1029" s="14"/>
      <c r="J1029" s="14">
        <f t="shared" si="48"/>
        <v>0</v>
      </c>
      <c r="K1029" s="14">
        <f t="shared" si="49"/>
        <v>0</v>
      </c>
      <c r="L1029" s="17">
        <f t="shared" si="50"/>
        <v>0</v>
      </c>
      <c r="M1029" s="14"/>
      <c r="N1029" s="16"/>
      <c r="O1029" s="16"/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  <c r="Z1029" s="16"/>
      <c r="AA1029" s="16"/>
    </row>
    <row r="1030" spans="1:27" s="2" customFormat="1" ht="14">
      <c r="A1030" s="12" t="s">
        <v>2980</v>
      </c>
      <c r="B1030" s="13" t="s">
        <v>14</v>
      </c>
      <c r="C1030" s="13" t="s">
        <v>2981</v>
      </c>
      <c r="D1030" s="13" t="s">
        <v>2982</v>
      </c>
      <c r="E1030" s="13" t="s">
        <v>136</v>
      </c>
      <c r="F1030" s="14"/>
      <c r="G1030" s="14"/>
      <c r="H1030" s="14"/>
      <c r="I1030" s="14"/>
      <c r="J1030" s="14">
        <f t="shared" si="48"/>
        <v>0</v>
      </c>
      <c r="K1030" s="14">
        <f t="shared" si="49"/>
        <v>0</v>
      </c>
      <c r="L1030" s="17">
        <f t="shared" si="50"/>
        <v>0</v>
      </c>
      <c r="M1030" s="14"/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  <c r="Z1030" s="16"/>
      <c r="AA1030" s="16"/>
    </row>
    <row r="1031" spans="1:27" s="2" customFormat="1" ht="14">
      <c r="A1031" s="12" t="s">
        <v>2983</v>
      </c>
      <c r="B1031" s="13" t="s">
        <v>14</v>
      </c>
      <c r="C1031" s="13" t="s">
        <v>2984</v>
      </c>
      <c r="D1031" s="13" t="s">
        <v>2985</v>
      </c>
      <c r="E1031" s="13" t="s">
        <v>29</v>
      </c>
      <c r="F1031" s="14"/>
      <c r="G1031" s="14"/>
      <c r="H1031" s="14"/>
      <c r="I1031" s="14"/>
      <c r="J1031" s="14">
        <f t="shared" si="48"/>
        <v>0</v>
      </c>
      <c r="K1031" s="14">
        <f t="shared" si="49"/>
        <v>0</v>
      </c>
      <c r="L1031" s="17">
        <f t="shared" si="50"/>
        <v>0</v>
      </c>
      <c r="M1031" s="14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16"/>
      <c r="AA1031" s="16"/>
    </row>
    <row r="1032" spans="1:27" s="2" customFormat="1" ht="14">
      <c r="A1032" s="12" t="s">
        <v>2986</v>
      </c>
      <c r="B1032" s="13" t="s">
        <v>14</v>
      </c>
      <c r="C1032" s="13" t="s">
        <v>2987</v>
      </c>
      <c r="D1032" s="13" t="s">
        <v>2988</v>
      </c>
      <c r="E1032" s="13" t="s">
        <v>285</v>
      </c>
      <c r="F1032" s="14"/>
      <c r="G1032" s="14"/>
      <c r="H1032" s="14"/>
      <c r="I1032" s="14"/>
      <c r="J1032" s="14">
        <f t="shared" si="48"/>
        <v>0</v>
      </c>
      <c r="K1032" s="14">
        <f t="shared" si="49"/>
        <v>0</v>
      </c>
      <c r="L1032" s="17">
        <f t="shared" si="50"/>
        <v>0</v>
      </c>
      <c r="M1032" s="14"/>
      <c r="N1032" s="16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16"/>
      <c r="AA1032" s="16"/>
    </row>
    <row r="1033" spans="1:27" s="2" customFormat="1" ht="14">
      <c r="A1033" s="12" t="s">
        <v>2989</v>
      </c>
      <c r="B1033" s="13" t="s">
        <v>14</v>
      </c>
      <c r="C1033" s="13" t="s">
        <v>2990</v>
      </c>
      <c r="D1033" s="13" t="s">
        <v>2991</v>
      </c>
      <c r="E1033" s="13" t="s">
        <v>29</v>
      </c>
      <c r="F1033" s="14"/>
      <c r="G1033" s="14"/>
      <c r="H1033" s="14"/>
      <c r="I1033" s="14"/>
      <c r="J1033" s="14">
        <f t="shared" si="48"/>
        <v>0</v>
      </c>
      <c r="K1033" s="14">
        <f t="shared" si="49"/>
        <v>0</v>
      </c>
      <c r="L1033" s="17">
        <f t="shared" si="50"/>
        <v>0</v>
      </c>
      <c r="M1033" s="14"/>
      <c r="N1033" s="16"/>
      <c r="O1033" s="16"/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  <c r="Z1033" s="16"/>
      <c r="AA1033" s="16"/>
    </row>
    <row r="1034" spans="1:27" s="2" customFormat="1" ht="14">
      <c r="A1034" s="12" t="s">
        <v>2992</v>
      </c>
      <c r="B1034" s="13" t="s">
        <v>14</v>
      </c>
      <c r="C1034" s="13" t="s">
        <v>2993</v>
      </c>
      <c r="D1034" s="13" t="s">
        <v>2994</v>
      </c>
      <c r="E1034" s="13" t="s">
        <v>72</v>
      </c>
      <c r="F1034" s="14"/>
      <c r="G1034" s="14"/>
      <c r="H1034" s="14"/>
      <c r="I1034" s="14"/>
      <c r="J1034" s="14">
        <f t="shared" si="48"/>
        <v>0</v>
      </c>
      <c r="K1034" s="14">
        <f t="shared" si="49"/>
        <v>0</v>
      </c>
      <c r="L1034" s="17">
        <f t="shared" si="50"/>
        <v>0</v>
      </c>
      <c r="M1034" s="14"/>
      <c r="N1034" s="16"/>
      <c r="O1034" s="16"/>
      <c r="P1034" s="16"/>
      <c r="Q1034" s="16"/>
      <c r="R1034" s="16"/>
      <c r="S1034" s="16"/>
      <c r="T1034" s="16"/>
      <c r="U1034" s="16"/>
      <c r="V1034" s="16"/>
      <c r="W1034" s="16"/>
      <c r="X1034" s="16"/>
      <c r="Y1034" s="16"/>
      <c r="Z1034" s="16"/>
      <c r="AA1034" s="16"/>
    </row>
    <row r="1035" spans="1:27" s="2" customFormat="1" ht="14">
      <c r="A1035" s="12" t="s">
        <v>2995</v>
      </c>
      <c r="B1035" s="13" t="s">
        <v>14</v>
      </c>
      <c r="C1035" s="13" t="s">
        <v>2996</v>
      </c>
      <c r="D1035" s="13" t="s">
        <v>2997</v>
      </c>
      <c r="E1035" s="13" t="s">
        <v>72</v>
      </c>
      <c r="F1035" s="14"/>
      <c r="G1035" s="14"/>
      <c r="H1035" s="14"/>
      <c r="I1035" s="14"/>
      <c r="J1035" s="14">
        <f t="shared" si="48"/>
        <v>0</v>
      </c>
      <c r="K1035" s="14">
        <f t="shared" si="49"/>
        <v>0</v>
      </c>
      <c r="L1035" s="17">
        <f t="shared" si="50"/>
        <v>0</v>
      </c>
      <c r="M1035" s="14"/>
      <c r="N1035" s="16"/>
      <c r="O1035" s="16"/>
      <c r="P1035" s="16"/>
      <c r="Q1035" s="16"/>
      <c r="R1035" s="16"/>
      <c r="S1035" s="16"/>
      <c r="T1035" s="16"/>
      <c r="U1035" s="16"/>
      <c r="V1035" s="16"/>
      <c r="W1035" s="16"/>
      <c r="X1035" s="16"/>
      <c r="Y1035" s="16"/>
      <c r="Z1035" s="16"/>
      <c r="AA1035" s="16"/>
    </row>
    <row r="1036" spans="1:27" s="2" customFormat="1" ht="14">
      <c r="A1036" s="12" t="s">
        <v>2998</v>
      </c>
      <c r="B1036" s="13" t="s">
        <v>14</v>
      </c>
      <c r="C1036" s="13" t="s">
        <v>2999</v>
      </c>
      <c r="D1036" s="13" t="s">
        <v>3000</v>
      </c>
      <c r="E1036" s="13" t="s">
        <v>43</v>
      </c>
      <c r="F1036" s="14"/>
      <c r="G1036" s="14"/>
      <c r="H1036" s="14"/>
      <c r="I1036" s="14"/>
      <c r="J1036" s="14">
        <f t="shared" si="48"/>
        <v>0</v>
      </c>
      <c r="K1036" s="14">
        <f t="shared" si="49"/>
        <v>0</v>
      </c>
      <c r="L1036" s="17">
        <f t="shared" si="50"/>
        <v>0</v>
      </c>
      <c r="M1036" s="14"/>
      <c r="N1036" s="16"/>
      <c r="O1036" s="16"/>
      <c r="P1036" s="16"/>
      <c r="Q1036" s="16"/>
      <c r="R1036" s="16"/>
      <c r="S1036" s="16"/>
      <c r="T1036" s="16"/>
      <c r="U1036" s="16"/>
      <c r="V1036" s="16"/>
      <c r="W1036" s="16"/>
      <c r="X1036" s="16"/>
      <c r="Y1036" s="16"/>
      <c r="Z1036" s="16"/>
      <c r="AA1036" s="16"/>
    </row>
    <row r="1037" spans="1:27" s="2" customFormat="1" ht="14">
      <c r="A1037" s="12" t="s">
        <v>3001</v>
      </c>
      <c r="B1037" s="13" t="s">
        <v>14</v>
      </c>
      <c r="C1037" s="13" t="s">
        <v>3002</v>
      </c>
      <c r="D1037" s="13" t="s">
        <v>3003</v>
      </c>
      <c r="E1037" s="13" t="s">
        <v>72</v>
      </c>
      <c r="F1037" s="14"/>
      <c r="G1037" s="14"/>
      <c r="H1037" s="14"/>
      <c r="I1037" s="14"/>
      <c r="J1037" s="14">
        <f t="shared" si="48"/>
        <v>0</v>
      </c>
      <c r="K1037" s="14">
        <f t="shared" si="49"/>
        <v>0</v>
      </c>
      <c r="L1037" s="17">
        <f t="shared" si="50"/>
        <v>0</v>
      </c>
      <c r="M1037" s="14"/>
      <c r="N1037" s="16"/>
      <c r="O1037" s="16"/>
      <c r="P1037" s="16"/>
      <c r="Q1037" s="16"/>
      <c r="R1037" s="16"/>
      <c r="S1037" s="16"/>
      <c r="T1037" s="16"/>
      <c r="U1037" s="16"/>
      <c r="V1037" s="16"/>
      <c r="W1037" s="16"/>
      <c r="X1037" s="16"/>
      <c r="Y1037" s="16"/>
      <c r="Z1037" s="16"/>
      <c r="AA1037" s="16"/>
    </row>
    <row r="1038" spans="1:27" s="2" customFormat="1" ht="14">
      <c r="A1038" s="12" t="s">
        <v>3004</v>
      </c>
      <c r="B1038" s="13" t="s">
        <v>62</v>
      </c>
      <c r="C1038" s="13" t="s">
        <v>3005</v>
      </c>
      <c r="D1038" s="13" t="s">
        <v>3006</v>
      </c>
      <c r="E1038" s="13" t="s">
        <v>319</v>
      </c>
      <c r="F1038" s="14"/>
      <c r="G1038" s="14"/>
      <c r="H1038" s="14"/>
      <c r="I1038" s="14"/>
      <c r="J1038" s="14">
        <f t="shared" si="48"/>
        <v>0</v>
      </c>
      <c r="K1038" s="14">
        <f t="shared" si="49"/>
        <v>0</v>
      </c>
      <c r="L1038" s="17">
        <f t="shared" si="50"/>
        <v>0</v>
      </c>
      <c r="M1038" s="14"/>
      <c r="N1038" s="16"/>
      <c r="O1038" s="16"/>
      <c r="P1038" s="16"/>
      <c r="Q1038" s="16"/>
      <c r="R1038" s="16"/>
      <c r="S1038" s="16"/>
      <c r="T1038" s="16"/>
      <c r="U1038" s="16"/>
      <c r="V1038" s="16"/>
      <c r="W1038" s="16"/>
      <c r="X1038" s="16"/>
      <c r="Y1038" s="16"/>
      <c r="Z1038" s="16"/>
      <c r="AA1038" s="16"/>
    </row>
    <row r="1039" spans="1:27" s="2" customFormat="1" ht="14">
      <c r="A1039" s="12" t="s">
        <v>3007</v>
      </c>
      <c r="B1039" s="13" t="s">
        <v>14</v>
      </c>
      <c r="C1039" s="13" t="s">
        <v>3008</v>
      </c>
      <c r="D1039" s="13" t="s">
        <v>3009</v>
      </c>
      <c r="E1039" s="13" t="s">
        <v>97</v>
      </c>
      <c r="F1039" s="14"/>
      <c r="G1039" s="14"/>
      <c r="H1039" s="14"/>
      <c r="I1039" s="14"/>
      <c r="J1039" s="14">
        <f t="shared" si="48"/>
        <v>0</v>
      </c>
      <c r="K1039" s="14">
        <f t="shared" si="49"/>
        <v>0</v>
      </c>
      <c r="L1039" s="17">
        <f t="shared" si="50"/>
        <v>0</v>
      </c>
      <c r="M1039" s="14"/>
      <c r="N1039" s="16"/>
      <c r="O1039" s="16"/>
      <c r="P1039" s="16"/>
      <c r="Q1039" s="16"/>
      <c r="R1039" s="16"/>
      <c r="S1039" s="16"/>
      <c r="T1039" s="16"/>
      <c r="U1039" s="16"/>
      <c r="V1039" s="16"/>
      <c r="W1039" s="16"/>
      <c r="X1039" s="16"/>
      <c r="Y1039" s="16"/>
      <c r="Z1039" s="16"/>
      <c r="AA1039" s="16"/>
    </row>
    <row r="1040" spans="1:27" s="2" customFormat="1" ht="14">
      <c r="A1040" s="12" t="s">
        <v>3010</v>
      </c>
      <c r="B1040" s="13" t="s">
        <v>14</v>
      </c>
      <c r="C1040" s="13" t="s">
        <v>3011</v>
      </c>
      <c r="D1040" s="13" t="s">
        <v>3012</v>
      </c>
      <c r="E1040" s="13" t="s">
        <v>215</v>
      </c>
      <c r="F1040" s="14"/>
      <c r="G1040" s="14"/>
      <c r="H1040" s="14"/>
      <c r="I1040" s="14"/>
      <c r="J1040" s="14">
        <f t="shared" si="48"/>
        <v>0</v>
      </c>
      <c r="K1040" s="14">
        <f t="shared" si="49"/>
        <v>0</v>
      </c>
      <c r="L1040" s="17">
        <f t="shared" si="50"/>
        <v>0</v>
      </c>
      <c r="M1040" s="14"/>
      <c r="N1040" s="16"/>
      <c r="O1040" s="16"/>
      <c r="P1040" s="16"/>
      <c r="Q1040" s="16"/>
      <c r="R1040" s="16"/>
      <c r="S1040" s="16"/>
      <c r="T1040" s="16"/>
      <c r="U1040" s="16"/>
      <c r="V1040" s="16"/>
      <c r="W1040" s="16"/>
      <c r="X1040" s="16"/>
      <c r="Y1040" s="16"/>
      <c r="Z1040" s="16"/>
      <c r="AA1040" s="16"/>
    </row>
    <row r="1041" spans="1:27" s="2" customFormat="1" ht="14">
      <c r="A1041" s="12" t="s">
        <v>3013</v>
      </c>
      <c r="B1041" s="13" t="s">
        <v>14</v>
      </c>
      <c r="C1041" s="13" t="s">
        <v>3014</v>
      </c>
      <c r="D1041" s="13" t="s">
        <v>3015</v>
      </c>
      <c r="E1041" s="13" t="s">
        <v>114</v>
      </c>
      <c r="F1041" s="14"/>
      <c r="G1041" s="14"/>
      <c r="H1041" s="14"/>
      <c r="I1041" s="14"/>
      <c r="J1041" s="14">
        <f t="shared" si="48"/>
        <v>0</v>
      </c>
      <c r="K1041" s="14">
        <f t="shared" si="49"/>
        <v>0</v>
      </c>
      <c r="L1041" s="17">
        <f t="shared" si="50"/>
        <v>0</v>
      </c>
      <c r="M1041" s="14"/>
      <c r="N1041" s="16"/>
      <c r="O1041" s="16"/>
      <c r="P1041" s="16"/>
      <c r="Q1041" s="16"/>
      <c r="R1041" s="16"/>
      <c r="S1041" s="16"/>
      <c r="T1041" s="16"/>
      <c r="U1041" s="16"/>
      <c r="V1041" s="16"/>
      <c r="W1041" s="16"/>
      <c r="X1041" s="16"/>
      <c r="Y1041" s="16"/>
      <c r="Z1041" s="16"/>
      <c r="AA1041" s="16"/>
    </row>
    <row r="1042" spans="1:27" s="2" customFormat="1" ht="14">
      <c r="A1042" s="12" t="s">
        <v>3016</v>
      </c>
      <c r="B1042" s="13" t="s">
        <v>62</v>
      </c>
      <c r="C1042" s="13" t="s">
        <v>3017</v>
      </c>
      <c r="D1042" s="13" t="s">
        <v>3018</v>
      </c>
      <c r="E1042" s="13" t="s">
        <v>201</v>
      </c>
      <c r="F1042" s="14"/>
      <c r="G1042" s="14"/>
      <c r="H1042" s="14"/>
      <c r="I1042" s="14"/>
      <c r="J1042" s="14">
        <f t="shared" si="48"/>
        <v>0</v>
      </c>
      <c r="K1042" s="14">
        <f t="shared" si="49"/>
        <v>0</v>
      </c>
      <c r="L1042" s="17">
        <f t="shared" si="50"/>
        <v>0</v>
      </c>
      <c r="M1042" s="14"/>
      <c r="N1042" s="16"/>
      <c r="O1042" s="16"/>
      <c r="P1042" s="16"/>
      <c r="Q1042" s="16"/>
      <c r="R1042" s="16"/>
      <c r="S1042" s="16"/>
      <c r="T1042" s="16"/>
      <c r="U1042" s="16"/>
      <c r="V1042" s="16"/>
      <c r="W1042" s="16"/>
      <c r="X1042" s="16"/>
      <c r="Y1042" s="16"/>
      <c r="Z1042" s="16"/>
      <c r="AA1042" s="16"/>
    </row>
    <row r="1043" spans="1:27" s="2" customFormat="1" ht="14">
      <c r="A1043" s="12" t="s">
        <v>3019</v>
      </c>
      <c r="B1043" s="13" t="s">
        <v>14</v>
      </c>
      <c r="C1043" s="13" t="s">
        <v>3020</v>
      </c>
      <c r="D1043" s="13" t="s">
        <v>3021</v>
      </c>
      <c r="E1043" s="13" t="s">
        <v>205</v>
      </c>
      <c r="F1043" s="14"/>
      <c r="G1043" s="14"/>
      <c r="H1043" s="14"/>
      <c r="I1043" s="14"/>
      <c r="J1043" s="14">
        <f t="shared" si="48"/>
        <v>0</v>
      </c>
      <c r="K1043" s="14">
        <f t="shared" si="49"/>
        <v>0</v>
      </c>
      <c r="L1043" s="17">
        <f t="shared" si="50"/>
        <v>0</v>
      </c>
      <c r="M1043" s="14"/>
      <c r="N1043" s="16"/>
      <c r="O1043" s="16"/>
      <c r="P1043" s="16"/>
      <c r="Q1043" s="16"/>
      <c r="R1043" s="16"/>
      <c r="S1043" s="16"/>
      <c r="T1043" s="16"/>
      <c r="U1043" s="16"/>
      <c r="V1043" s="16"/>
      <c r="W1043" s="16"/>
      <c r="X1043" s="16"/>
      <c r="Y1043" s="16"/>
      <c r="Z1043" s="16"/>
      <c r="AA1043" s="16"/>
    </row>
    <row r="1044" spans="1:27" s="2" customFormat="1" ht="14">
      <c r="A1044" s="12" t="s">
        <v>3022</v>
      </c>
      <c r="B1044" s="13" t="s">
        <v>62</v>
      </c>
      <c r="C1044" s="13" t="s">
        <v>3023</v>
      </c>
      <c r="D1044" s="13" t="s">
        <v>3024</v>
      </c>
      <c r="E1044" s="13" t="s">
        <v>859</v>
      </c>
      <c r="F1044" s="14"/>
      <c r="G1044" s="14"/>
      <c r="H1044" s="14"/>
      <c r="I1044" s="14"/>
      <c r="J1044" s="14">
        <f t="shared" si="48"/>
        <v>0</v>
      </c>
      <c r="K1044" s="14">
        <f t="shared" si="49"/>
        <v>0</v>
      </c>
      <c r="L1044" s="17">
        <f t="shared" si="50"/>
        <v>0</v>
      </c>
      <c r="M1044" s="14"/>
      <c r="N1044" s="16"/>
      <c r="O1044" s="16"/>
      <c r="P1044" s="16"/>
      <c r="Q1044" s="16"/>
      <c r="R1044" s="16"/>
      <c r="S1044" s="16"/>
      <c r="T1044" s="16"/>
      <c r="U1044" s="16"/>
      <c r="V1044" s="16"/>
      <c r="W1044" s="16"/>
      <c r="X1044" s="16"/>
      <c r="Y1044" s="16"/>
      <c r="Z1044" s="16"/>
      <c r="AA1044" s="16"/>
    </row>
    <row r="1045" spans="1:27" s="2" customFormat="1" ht="14">
      <c r="A1045" s="12" t="s">
        <v>3025</v>
      </c>
      <c r="B1045" s="13" t="s">
        <v>14</v>
      </c>
      <c r="C1045" s="13" t="s">
        <v>3026</v>
      </c>
      <c r="D1045" s="13" t="s">
        <v>3027</v>
      </c>
      <c r="E1045" s="13" t="s">
        <v>201</v>
      </c>
      <c r="F1045" s="14"/>
      <c r="G1045" s="14"/>
      <c r="H1045" s="14"/>
      <c r="I1045" s="14"/>
      <c r="J1045" s="14">
        <f t="shared" si="48"/>
        <v>0</v>
      </c>
      <c r="K1045" s="14">
        <f t="shared" si="49"/>
        <v>0</v>
      </c>
      <c r="L1045" s="17">
        <f t="shared" si="50"/>
        <v>0</v>
      </c>
      <c r="M1045" s="14"/>
      <c r="N1045" s="16"/>
      <c r="O1045" s="16"/>
      <c r="P1045" s="16"/>
      <c r="Q1045" s="16"/>
      <c r="R1045" s="16"/>
      <c r="S1045" s="16"/>
      <c r="T1045" s="16"/>
      <c r="U1045" s="16"/>
      <c r="V1045" s="16"/>
      <c r="W1045" s="16"/>
      <c r="X1045" s="16"/>
      <c r="Y1045" s="16"/>
      <c r="Z1045" s="16"/>
      <c r="AA1045" s="16"/>
    </row>
    <row r="1046" spans="1:27" s="2" customFormat="1" ht="14">
      <c r="A1046" s="12" t="s">
        <v>3028</v>
      </c>
      <c r="B1046" s="13" t="s">
        <v>14</v>
      </c>
      <c r="C1046" s="13" t="s">
        <v>3029</v>
      </c>
      <c r="D1046" s="13" t="s">
        <v>3030</v>
      </c>
      <c r="E1046" s="13" t="s">
        <v>285</v>
      </c>
      <c r="F1046" s="14"/>
      <c r="G1046" s="14"/>
      <c r="H1046" s="14"/>
      <c r="I1046" s="14"/>
      <c r="J1046" s="14">
        <f t="shared" si="48"/>
        <v>0</v>
      </c>
      <c r="K1046" s="14">
        <f t="shared" si="49"/>
        <v>0</v>
      </c>
      <c r="L1046" s="17">
        <f t="shared" si="50"/>
        <v>0</v>
      </c>
      <c r="M1046" s="14"/>
      <c r="N1046" s="16"/>
      <c r="O1046" s="16"/>
      <c r="P1046" s="16"/>
      <c r="Q1046" s="16"/>
      <c r="R1046" s="16"/>
      <c r="S1046" s="16"/>
      <c r="T1046" s="16"/>
      <c r="U1046" s="16"/>
      <c r="V1046" s="16"/>
      <c r="W1046" s="16"/>
      <c r="X1046" s="16"/>
      <c r="Y1046" s="16"/>
      <c r="Z1046" s="16"/>
      <c r="AA1046" s="16"/>
    </row>
    <row r="1047" spans="1:27" s="2" customFormat="1" ht="14">
      <c r="A1047" s="12" t="s">
        <v>3031</v>
      </c>
      <c r="B1047" s="13" t="s">
        <v>14</v>
      </c>
      <c r="C1047" s="13" t="s">
        <v>3032</v>
      </c>
      <c r="D1047" s="13" t="s">
        <v>3033</v>
      </c>
      <c r="E1047" s="13" t="s">
        <v>72</v>
      </c>
      <c r="F1047" s="14"/>
      <c r="G1047" s="14"/>
      <c r="H1047" s="14"/>
      <c r="I1047" s="14"/>
      <c r="J1047" s="14">
        <f t="shared" si="48"/>
        <v>0</v>
      </c>
      <c r="K1047" s="14">
        <f t="shared" si="49"/>
        <v>0</v>
      </c>
      <c r="L1047" s="17">
        <f t="shared" si="50"/>
        <v>0</v>
      </c>
      <c r="M1047" s="14"/>
      <c r="N1047" s="16"/>
      <c r="O1047" s="16"/>
      <c r="P1047" s="16"/>
      <c r="Q1047" s="16"/>
      <c r="R1047" s="16"/>
      <c r="S1047" s="16"/>
      <c r="T1047" s="16"/>
      <c r="U1047" s="16"/>
      <c r="V1047" s="16"/>
      <c r="W1047" s="16"/>
      <c r="X1047" s="16"/>
      <c r="Y1047" s="16"/>
      <c r="Z1047" s="16"/>
      <c r="AA1047" s="16"/>
    </row>
    <row r="1048" spans="1:27" s="2" customFormat="1" ht="14">
      <c r="A1048" s="12" t="s">
        <v>3034</v>
      </c>
      <c r="B1048" s="13" t="s">
        <v>14</v>
      </c>
      <c r="C1048" s="13" t="s">
        <v>3035</v>
      </c>
      <c r="D1048" s="13" t="s">
        <v>3036</v>
      </c>
      <c r="E1048" s="13" t="s">
        <v>29</v>
      </c>
      <c r="F1048" s="14"/>
      <c r="G1048" s="14"/>
      <c r="H1048" s="14"/>
      <c r="I1048" s="14"/>
      <c r="J1048" s="14">
        <f t="shared" si="48"/>
        <v>0</v>
      </c>
      <c r="K1048" s="14">
        <f t="shared" si="49"/>
        <v>0</v>
      </c>
      <c r="L1048" s="17">
        <f t="shared" si="50"/>
        <v>0</v>
      </c>
      <c r="M1048" s="14"/>
      <c r="N1048" s="16"/>
      <c r="O1048" s="16"/>
      <c r="P1048" s="16"/>
      <c r="Q1048" s="16"/>
      <c r="R1048" s="16"/>
      <c r="S1048" s="16"/>
      <c r="T1048" s="16"/>
      <c r="U1048" s="16"/>
      <c r="V1048" s="16"/>
      <c r="W1048" s="16"/>
      <c r="X1048" s="16"/>
      <c r="Y1048" s="16"/>
      <c r="Z1048" s="16"/>
      <c r="AA1048" s="16"/>
    </row>
    <row r="1049" spans="1:27" s="2" customFormat="1" ht="14">
      <c r="A1049" s="12" t="s">
        <v>3037</v>
      </c>
      <c r="B1049" s="13" t="s">
        <v>14</v>
      </c>
      <c r="C1049" s="13" t="s">
        <v>3038</v>
      </c>
      <c r="D1049" s="13" t="s">
        <v>3039</v>
      </c>
      <c r="E1049" s="13" t="s">
        <v>57</v>
      </c>
      <c r="F1049" s="14"/>
      <c r="G1049" s="14"/>
      <c r="H1049" s="14"/>
      <c r="I1049" s="14"/>
      <c r="J1049" s="14">
        <f t="shared" si="48"/>
        <v>0</v>
      </c>
      <c r="K1049" s="14">
        <f t="shared" si="49"/>
        <v>0</v>
      </c>
      <c r="L1049" s="17">
        <f t="shared" si="50"/>
        <v>0</v>
      </c>
      <c r="M1049" s="14"/>
      <c r="N1049" s="16"/>
      <c r="O1049" s="16"/>
      <c r="P1049" s="16"/>
      <c r="Q1049" s="16"/>
      <c r="R1049" s="16"/>
      <c r="S1049" s="16"/>
      <c r="T1049" s="16"/>
      <c r="U1049" s="16"/>
      <c r="V1049" s="16"/>
      <c r="W1049" s="16"/>
      <c r="X1049" s="16"/>
      <c r="Y1049" s="16"/>
      <c r="Z1049" s="16"/>
      <c r="AA1049" s="16"/>
    </row>
    <row r="1050" spans="1:27" s="2" customFormat="1" ht="14">
      <c r="A1050" s="12" t="s">
        <v>3040</v>
      </c>
      <c r="B1050" s="13" t="s">
        <v>14</v>
      </c>
      <c r="C1050" s="13" t="s">
        <v>3041</v>
      </c>
      <c r="D1050" s="13" t="s">
        <v>3042</v>
      </c>
      <c r="E1050" s="13" t="s">
        <v>285</v>
      </c>
      <c r="F1050" s="14"/>
      <c r="G1050" s="14"/>
      <c r="H1050" s="14"/>
      <c r="I1050" s="14"/>
      <c r="J1050" s="14">
        <f t="shared" si="48"/>
        <v>0</v>
      </c>
      <c r="K1050" s="14">
        <f t="shared" si="49"/>
        <v>0</v>
      </c>
      <c r="L1050" s="17">
        <f t="shared" si="50"/>
        <v>0</v>
      </c>
      <c r="M1050" s="14"/>
      <c r="N1050" s="16"/>
      <c r="O1050" s="16"/>
      <c r="P1050" s="16"/>
      <c r="Q1050" s="16"/>
      <c r="R1050" s="16"/>
      <c r="S1050" s="16"/>
      <c r="T1050" s="16"/>
      <c r="U1050" s="16"/>
      <c r="V1050" s="16"/>
      <c r="W1050" s="16"/>
      <c r="X1050" s="16"/>
      <c r="Y1050" s="16"/>
      <c r="Z1050" s="16"/>
      <c r="AA1050" s="16"/>
    </row>
    <row r="1051" spans="1:27" s="2" customFormat="1" ht="14">
      <c r="A1051" s="12" t="s">
        <v>3043</v>
      </c>
      <c r="B1051" s="13" t="s">
        <v>14</v>
      </c>
      <c r="C1051" s="13" t="s">
        <v>3044</v>
      </c>
      <c r="D1051" s="13" t="s">
        <v>3045</v>
      </c>
      <c r="E1051" s="13" t="s">
        <v>205</v>
      </c>
      <c r="F1051" s="14"/>
      <c r="G1051" s="14"/>
      <c r="H1051" s="14"/>
      <c r="I1051" s="14"/>
      <c r="J1051" s="14">
        <f t="shared" si="48"/>
        <v>0</v>
      </c>
      <c r="K1051" s="14">
        <f t="shared" si="49"/>
        <v>0</v>
      </c>
      <c r="L1051" s="17">
        <f t="shared" si="50"/>
        <v>0</v>
      </c>
      <c r="M1051" s="14"/>
      <c r="N1051" s="16"/>
      <c r="O1051" s="16"/>
      <c r="P1051" s="16"/>
      <c r="Q1051" s="16"/>
      <c r="R1051" s="16"/>
      <c r="S1051" s="16"/>
      <c r="T1051" s="16"/>
      <c r="U1051" s="16"/>
      <c r="V1051" s="16"/>
      <c r="W1051" s="16"/>
      <c r="X1051" s="16"/>
      <c r="Y1051" s="16"/>
      <c r="Z1051" s="16"/>
      <c r="AA1051" s="16"/>
    </row>
    <row r="1052" spans="1:27" s="2" customFormat="1" ht="14">
      <c r="A1052" s="12" t="s">
        <v>3046</v>
      </c>
      <c r="B1052" s="13" t="s">
        <v>62</v>
      </c>
      <c r="C1052" s="13" t="s">
        <v>3047</v>
      </c>
      <c r="D1052" s="13" t="s">
        <v>3048</v>
      </c>
      <c r="E1052" s="13" t="s">
        <v>104</v>
      </c>
      <c r="F1052" s="14"/>
      <c r="G1052" s="14"/>
      <c r="H1052" s="14"/>
      <c r="I1052" s="14"/>
      <c r="J1052" s="14">
        <f t="shared" si="48"/>
        <v>0</v>
      </c>
      <c r="K1052" s="14">
        <f t="shared" si="49"/>
        <v>0</v>
      </c>
      <c r="L1052" s="17">
        <f t="shared" si="50"/>
        <v>0</v>
      </c>
      <c r="M1052" s="14"/>
      <c r="N1052" s="16"/>
      <c r="O1052" s="16"/>
      <c r="P1052" s="16"/>
      <c r="Q1052" s="16"/>
      <c r="R1052" s="16"/>
      <c r="S1052" s="16"/>
      <c r="T1052" s="16"/>
      <c r="U1052" s="16"/>
      <c r="V1052" s="16"/>
      <c r="W1052" s="16"/>
      <c r="X1052" s="16"/>
      <c r="Y1052" s="16"/>
      <c r="Z1052" s="16"/>
      <c r="AA1052" s="16"/>
    </row>
    <row r="1053" spans="1:27" s="2" customFormat="1" ht="14">
      <c r="A1053" s="12" t="s">
        <v>3049</v>
      </c>
      <c r="B1053" s="13" t="s">
        <v>14</v>
      </c>
      <c r="C1053" s="13" t="s">
        <v>3050</v>
      </c>
      <c r="D1053" s="13" t="s">
        <v>3051</v>
      </c>
      <c r="E1053" s="13" t="s">
        <v>104</v>
      </c>
      <c r="F1053" s="14"/>
      <c r="G1053" s="14"/>
      <c r="H1053" s="14"/>
      <c r="I1053" s="14"/>
      <c r="J1053" s="14">
        <f t="shared" si="48"/>
        <v>0</v>
      </c>
      <c r="K1053" s="14">
        <f t="shared" si="49"/>
        <v>0</v>
      </c>
      <c r="L1053" s="17">
        <f t="shared" si="50"/>
        <v>0</v>
      </c>
      <c r="M1053" s="14"/>
      <c r="N1053" s="16"/>
      <c r="O1053" s="16"/>
      <c r="P1053" s="16"/>
      <c r="Q1053" s="16"/>
      <c r="R1053" s="16"/>
      <c r="S1053" s="16"/>
      <c r="T1053" s="16"/>
      <c r="U1053" s="16"/>
      <c r="V1053" s="16"/>
      <c r="W1053" s="16"/>
      <c r="X1053" s="16"/>
      <c r="Y1053" s="16"/>
      <c r="Z1053" s="16"/>
      <c r="AA1053" s="16"/>
    </row>
    <row r="1054" spans="1:27" s="2" customFormat="1" ht="14">
      <c r="A1054" s="12">
        <v>1166359</v>
      </c>
      <c r="B1054" s="13" t="s">
        <v>62</v>
      </c>
      <c r="C1054" s="13" t="s">
        <v>3052</v>
      </c>
      <c r="D1054" s="13" t="s">
        <v>3053</v>
      </c>
      <c r="E1054" s="13" t="s">
        <v>3054</v>
      </c>
      <c r="F1054" s="14"/>
      <c r="G1054" s="14"/>
      <c r="H1054" s="14"/>
      <c r="I1054" s="14"/>
      <c r="J1054" s="14">
        <f t="shared" si="48"/>
        <v>0</v>
      </c>
      <c r="K1054" s="14">
        <f t="shared" si="49"/>
        <v>0</v>
      </c>
      <c r="L1054" s="17">
        <f t="shared" si="50"/>
        <v>0</v>
      </c>
      <c r="M1054" s="14"/>
      <c r="N1054" s="16"/>
      <c r="O1054" s="16"/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  <c r="Z1054" s="16"/>
      <c r="AA1054" s="16"/>
    </row>
    <row r="1055" spans="1:27" s="2" customFormat="1" ht="14">
      <c r="A1055" s="12" t="s">
        <v>3055</v>
      </c>
      <c r="B1055" s="13" t="s">
        <v>14</v>
      </c>
      <c r="C1055" s="13" t="s">
        <v>3056</v>
      </c>
      <c r="D1055" s="13" t="s">
        <v>3057</v>
      </c>
      <c r="E1055" s="13" t="s">
        <v>21</v>
      </c>
      <c r="F1055" s="14"/>
      <c r="G1055" s="14"/>
      <c r="H1055" s="14"/>
      <c r="I1055" s="14"/>
      <c r="J1055" s="14">
        <f t="shared" si="48"/>
        <v>0</v>
      </c>
      <c r="K1055" s="14">
        <f t="shared" si="49"/>
        <v>0</v>
      </c>
      <c r="L1055" s="17">
        <f t="shared" si="50"/>
        <v>0</v>
      </c>
      <c r="M1055" s="14"/>
      <c r="N1055" s="16"/>
      <c r="O1055" s="16"/>
      <c r="P1055" s="16"/>
      <c r="Q1055" s="16"/>
      <c r="R1055" s="16"/>
      <c r="S1055" s="16"/>
      <c r="T1055" s="16"/>
      <c r="U1055" s="16"/>
      <c r="V1055" s="16"/>
      <c r="W1055" s="16"/>
      <c r="X1055" s="16"/>
      <c r="Y1055" s="16"/>
      <c r="Z1055" s="16"/>
      <c r="AA1055" s="16"/>
    </row>
    <row r="1056" spans="1:27" s="2" customFormat="1" ht="14">
      <c r="A1056" s="12" t="s">
        <v>3058</v>
      </c>
      <c r="B1056" s="13" t="s">
        <v>14</v>
      </c>
      <c r="C1056" s="13" t="s">
        <v>3059</v>
      </c>
      <c r="D1056" s="13" t="s">
        <v>3060</v>
      </c>
      <c r="E1056" s="13" t="s">
        <v>205</v>
      </c>
      <c r="F1056" s="14"/>
      <c r="G1056" s="14"/>
      <c r="H1056" s="14"/>
      <c r="I1056" s="14"/>
      <c r="J1056" s="14">
        <f t="shared" si="48"/>
        <v>0</v>
      </c>
      <c r="K1056" s="14">
        <f t="shared" si="49"/>
        <v>0</v>
      </c>
      <c r="L1056" s="17">
        <f t="shared" si="50"/>
        <v>0</v>
      </c>
      <c r="M1056" s="14"/>
      <c r="N1056" s="16"/>
      <c r="O1056" s="16"/>
      <c r="P1056" s="16"/>
      <c r="Q1056" s="16"/>
      <c r="R1056" s="16"/>
      <c r="S1056" s="16"/>
      <c r="T1056" s="16"/>
      <c r="U1056" s="16"/>
      <c r="V1056" s="16"/>
      <c r="W1056" s="16"/>
      <c r="X1056" s="16"/>
      <c r="Y1056" s="16"/>
      <c r="Z1056" s="16"/>
      <c r="AA1056" s="16"/>
    </row>
    <row r="1057" spans="1:27" s="2" customFormat="1" ht="14">
      <c r="A1057" s="12" t="s">
        <v>3061</v>
      </c>
      <c r="B1057" s="13" t="s">
        <v>14</v>
      </c>
      <c r="C1057" s="13" t="s">
        <v>3062</v>
      </c>
      <c r="D1057" s="13" t="s">
        <v>3063</v>
      </c>
      <c r="E1057" s="13" t="s">
        <v>46</v>
      </c>
      <c r="F1057" s="14"/>
      <c r="G1057" s="14"/>
      <c r="H1057" s="14"/>
      <c r="I1057" s="14"/>
      <c r="J1057" s="14">
        <f t="shared" si="48"/>
        <v>0</v>
      </c>
      <c r="K1057" s="14">
        <f t="shared" si="49"/>
        <v>0</v>
      </c>
      <c r="L1057" s="17">
        <f t="shared" si="50"/>
        <v>0</v>
      </c>
      <c r="M1057" s="14"/>
      <c r="N1057" s="16"/>
      <c r="O1057" s="16"/>
      <c r="P1057" s="16"/>
      <c r="Q1057" s="16"/>
      <c r="R1057" s="16"/>
      <c r="S1057" s="16"/>
      <c r="T1057" s="16"/>
      <c r="U1057" s="16"/>
      <c r="V1057" s="16"/>
      <c r="W1057" s="16"/>
      <c r="X1057" s="16"/>
      <c r="Y1057" s="16"/>
      <c r="Z1057" s="16"/>
      <c r="AA1057" s="16"/>
    </row>
    <row r="1058" spans="1:27" s="2" customFormat="1" ht="14">
      <c r="A1058" s="12" t="s">
        <v>3064</v>
      </c>
      <c r="B1058" s="13" t="s">
        <v>14</v>
      </c>
      <c r="C1058" s="13" t="s">
        <v>3065</v>
      </c>
      <c r="D1058" s="13" t="s">
        <v>3066</v>
      </c>
      <c r="E1058" s="13" t="s">
        <v>285</v>
      </c>
      <c r="F1058" s="14"/>
      <c r="G1058" s="14"/>
      <c r="H1058" s="14"/>
      <c r="I1058" s="14"/>
      <c r="J1058" s="14">
        <f t="shared" si="48"/>
        <v>0</v>
      </c>
      <c r="K1058" s="14">
        <f t="shared" si="49"/>
        <v>0</v>
      </c>
      <c r="L1058" s="17">
        <f t="shared" si="50"/>
        <v>0</v>
      </c>
      <c r="M1058" s="14"/>
      <c r="N1058" s="16"/>
      <c r="O1058" s="16"/>
      <c r="P1058" s="16"/>
      <c r="Q1058" s="16"/>
      <c r="R1058" s="16"/>
      <c r="S1058" s="16"/>
      <c r="T1058" s="16"/>
      <c r="U1058" s="16"/>
      <c r="V1058" s="16"/>
      <c r="W1058" s="16"/>
      <c r="X1058" s="16"/>
      <c r="Y1058" s="16"/>
      <c r="Z1058" s="16"/>
      <c r="AA1058" s="16"/>
    </row>
    <row r="1059" spans="1:27" s="2" customFormat="1" ht="14">
      <c r="A1059" s="12" t="s">
        <v>3067</v>
      </c>
      <c r="B1059" s="13" t="s">
        <v>14</v>
      </c>
      <c r="C1059" s="13" t="s">
        <v>3068</v>
      </c>
      <c r="D1059" s="13" t="s">
        <v>3069</v>
      </c>
      <c r="E1059" s="13" t="s">
        <v>114</v>
      </c>
      <c r="F1059" s="14"/>
      <c r="G1059" s="14"/>
      <c r="H1059" s="14"/>
      <c r="I1059" s="14"/>
      <c r="J1059" s="14">
        <f t="shared" si="48"/>
        <v>0</v>
      </c>
      <c r="K1059" s="14">
        <f t="shared" si="49"/>
        <v>0</v>
      </c>
      <c r="L1059" s="17">
        <f t="shared" si="50"/>
        <v>0</v>
      </c>
      <c r="M1059" s="14"/>
      <c r="N1059" s="16"/>
      <c r="O1059" s="16"/>
      <c r="P1059" s="16"/>
      <c r="Q1059" s="16"/>
      <c r="R1059" s="16"/>
      <c r="S1059" s="16"/>
      <c r="T1059" s="16"/>
      <c r="U1059" s="16"/>
      <c r="V1059" s="16"/>
      <c r="W1059" s="16"/>
      <c r="X1059" s="16"/>
      <c r="Y1059" s="16"/>
      <c r="Z1059" s="16"/>
      <c r="AA1059" s="16"/>
    </row>
    <row r="1060" spans="1:27" s="2" customFormat="1" ht="14">
      <c r="A1060" s="12" t="s">
        <v>3070</v>
      </c>
      <c r="B1060" s="13" t="s">
        <v>14</v>
      </c>
      <c r="C1060" s="13" t="s">
        <v>3071</v>
      </c>
      <c r="D1060" s="13" t="s">
        <v>3072</v>
      </c>
      <c r="E1060" s="13" t="s">
        <v>402</v>
      </c>
      <c r="F1060" s="14"/>
      <c r="G1060" s="14"/>
      <c r="H1060" s="14"/>
      <c r="I1060" s="14"/>
      <c r="J1060" s="14">
        <f t="shared" si="48"/>
        <v>0</v>
      </c>
      <c r="K1060" s="14">
        <f t="shared" si="49"/>
        <v>0</v>
      </c>
      <c r="L1060" s="17">
        <f t="shared" si="50"/>
        <v>0</v>
      </c>
      <c r="M1060" s="14"/>
      <c r="N1060" s="16"/>
      <c r="O1060" s="16"/>
      <c r="P1060" s="16"/>
      <c r="Q1060" s="16"/>
      <c r="R1060" s="16"/>
      <c r="S1060" s="16"/>
      <c r="T1060" s="16"/>
      <c r="U1060" s="16"/>
      <c r="V1060" s="16"/>
      <c r="W1060" s="16"/>
      <c r="X1060" s="16"/>
      <c r="Y1060" s="16"/>
      <c r="Z1060" s="16"/>
      <c r="AA1060" s="16"/>
    </row>
    <row r="1061" spans="1:27" s="2" customFormat="1" ht="14">
      <c r="A1061" s="12" t="s">
        <v>3073</v>
      </c>
      <c r="B1061" s="13" t="s">
        <v>62</v>
      </c>
      <c r="C1061" s="13" t="s">
        <v>3074</v>
      </c>
      <c r="D1061" s="13" t="s">
        <v>3075</v>
      </c>
      <c r="E1061" s="13" t="s">
        <v>205</v>
      </c>
      <c r="F1061" s="14"/>
      <c r="G1061" s="14"/>
      <c r="H1061" s="14"/>
      <c r="I1061" s="14"/>
      <c r="J1061" s="14">
        <f t="shared" si="48"/>
        <v>0</v>
      </c>
      <c r="K1061" s="14">
        <f t="shared" si="49"/>
        <v>0</v>
      </c>
      <c r="L1061" s="17">
        <f t="shared" si="50"/>
        <v>0</v>
      </c>
      <c r="M1061" s="14"/>
      <c r="N1061" s="16"/>
      <c r="O1061" s="16"/>
      <c r="P1061" s="16"/>
      <c r="Q1061" s="16"/>
      <c r="R1061" s="16"/>
      <c r="S1061" s="16"/>
      <c r="T1061" s="16"/>
      <c r="U1061" s="16"/>
      <c r="V1061" s="16"/>
      <c r="W1061" s="16"/>
      <c r="X1061" s="16"/>
      <c r="Y1061" s="16"/>
      <c r="Z1061" s="16"/>
      <c r="AA1061" s="16"/>
    </row>
    <row r="1062" spans="1:27" s="2" customFormat="1" ht="14">
      <c r="A1062" s="12" t="s">
        <v>3076</v>
      </c>
      <c r="B1062" s="13" t="s">
        <v>14</v>
      </c>
      <c r="C1062" s="13" t="s">
        <v>3077</v>
      </c>
      <c r="D1062" s="13" t="s">
        <v>3078</v>
      </c>
      <c r="E1062" s="13" t="s">
        <v>136</v>
      </c>
      <c r="F1062" s="14"/>
      <c r="G1062" s="14"/>
      <c r="H1062" s="14"/>
      <c r="I1062" s="14"/>
      <c r="J1062" s="14">
        <f t="shared" si="48"/>
        <v>0</v>
      </c>
      <c r="K1062" s="14">
        <f t="shared" si="49"/>
        <v>0</v>
      </c>
      <c r="L1062" s="17">
        <f t="shared" si="50"/>
        <v>0</v>
      </c>
      <c r="M1062" s="14"/>
      <c r="N1062" s="16"/>
      <c r="O1062" s="16"/>
      <c r="P1062" s="16"/>
      <c r="Q1062" s="16"/>
      <c r="R1062" s="16"/>
      <c r="S1062" s="16"/>
      <c r="T1062" s="16"/>
      <c r="U1062" s="16"/>
      <c r="V1062" s="16"/>
      <c r="W1062" s="16"/>
      <c r="X1062" s="16"/>
      <c r="Y1062" s="16"/>
      <c r="Z1062" s="16"/>
      <c r="AA1062" s="16"/>
    </row>
    <row r="1063" spans="1:27" s="2" customFormat="1" ht="14">
      <c r="A1063" s="12" t="s">
        <v>3079</v>
      </c>
      <c r="B1063" s="13" t="s">
        <v>14</v>
      </c>
      <c r="C1063" s="13" t="s">
        <v>3080</v>
      </c>
      <c r="D1063" s="13" t="s">
        <v>3081</v>
      </c>
      <c r="E1063" s="13" t="s">
        <v>57</v>
      </c>
      <c r="F1063" s="14"/>
      <c r="G1063" s="14"/>
      <c r="H1063" s="14"/>
      <c r="I1063" s="14"/>
      <c r="J1063" s="14">
        <f t="shared" si="48"/>
        <v>0</v>
      </c>
      <c r="K1063" s="14">
        <f t="shared" si="49"/>
        <v>0</v>
      </c>
      <c r="L1063" s="17">
        <f t="shared" si="50"/>
        <v>0</v>
      </c>
      <c r="M1063" s="14"/>
      <c r="N1063" s="16"/>
      <c r="O1063" s="16"/>
      <c r="P1063" s="16"/>
      <c r="Q1063" s="16"/>
      <c r="R1063" s="16"/>
      <c r="S1063" s="16"/>
      <c r="T1063" s="16"/>
      <c r="U1063" s="16"/>
      <c r="V1063" s="16"/>
      <c r="W1063" s="16"/>
      <c r="X1063" s="16"/>
      <c r="Y1063" s="16"/>
      <c r="Z1063" s="16"/>
      <c r="AA1063" s="16"/>
    </row>
    <row r="1064" spans="1:27" s="2" customFormat="1" ht="14">
      <c r="A1064" s="12" t="s">
        <v>3082</v>
      </c>
      <c r="B1064" s="13" t="s">
        <v>14</v>
      </c>
      <c r="C1064" s="13" t="s">
        <v>3083</v>
      </c>
      <c r="D1064" s="13" t="s">
        <v>3084</v>
      </c>
      <c r="E1064" s="13" t="s">
        <v>29</v>
      </c>
      <c r="F1064" s="14"/>
      <c r="G1064" s="14"/>
      <c r="H1064" s="14"/>
      <c r="I1064" s="14"/>
      <c r="J1064" s="14">
        <f t="shared" si="48"/>
        <v>0</v>
      </c>
      <c r="K1064" s="14">
        <f t="shared" si="49"/>
        <v>0</v>
      </c>
      <c r="L1064" s="17">
        <f t="shared" si="50"/>
        <v>0</v>
      </c>
      <c r="M1064" s="14"/>
      <c r="N1064" s="16"/>
      <c r="O1064" s="16"/>
      <c r="P1064" s="16"/>
      <c r="Q1064" s="16"/>
      <c r="R1064" s="16"/>
      <c r="S1064" s="16"/>
      <c r="T1064" s="16"/>
      <c r="U1064" s="16"/>
      <c r="V1064" s="16"/>
      <c r="W1064" s="16"/>
      <c r="X1064" s="16"/>
      <c r="Y1064" s="16"/>
      <c r="Z1064" s="16"/>
      <c r="AA1064" s="16"/>
    </row>
    <row r="1065" spans="1:27" s="2" customFormat="1" ht="14">
      <c r="A1065" s="12" t="s">
        <v>3085</v>
      </c>
      <c r="B1065" s="13" t="s">
        <v>14</v>
      </c>
      <c r="C1065" s="13" t="s">
        <v>3086</v>
      </c>
      <c r="D1065" s="13" t="s">
        <v>3087</v>
      </c>
      <c r="E1065" s="13" t="s">
        <v>104</v>
      </c>
      <c r="F1065" s="14"/>
      <c r="G1065" s="14"/>
      <c r="H1065" s="14"/>
      <c r="I1065" s="14"/>
      <c r="J1065" s="14">
        <f t="shared" si="48"/>
        <v>0</v>
      </c>
      <c r="K1065" s="14">
        <f t="shared" si="49"/>
        <v>0</v>
      </c>
      <c r="L1065" s="17">
        <f t="shared" si="50"/>
        <v>0</v>
      </c>
      <c r="M1065" s="14"/>
      <c r="N1065" s="16"/>
      <c r="O1065" s="16"/>
      <c r="P1065" s="16"/>
      <c r="Q1065" s="16"/>
      <c r="R1065" s="16"/>
      <c r="S1065" s="16"/>
      <c r="T1065" s="16"/>
      <c r="U1065" s="16"/>
      <c r="V1065" s="16"/>
      <c r="W1065" s="16"/>
      <c r="X1065" s="16"/>
      <c r="Y1065" s="16"/>
      <c r="Z1065" s="16"/>
      <c r="AA1065" s="16"/>
    </row>
    <row r="1066" spans="1:27" s="2" customFormat="1" ht="14">
      <c r="A1066" s="12" t="s">
        <v>3088</v>
      </c>
      <c r="B1066" s="13" t="s">
        <v>14</v>
      </c>
      <c r="C1066" s="13" t="s">
        <v>3089</v>
      </c>
      <c r="D1066" s="13" t="s">
        <v>3090</v>
      </c>
      <c r="E1066" s="13" t="s">
        <v>220</v>
      </c>
      <c r="F1066" s="14"/>
      <c r="G1066" s="14"/>
      <c r="H1066" s="14"/>
      <c r="I1066" s="14"/>
      <c r="J1066" s="14">
        <f t="shared" si="48"/>
        <v>0</v>
      </c>
      <c r="K1066" s="14">
        <f t="shared" si="49"/>
        <v>0</v>
      </c>
      <c r="L1066" s="17">
        <f t="shared" si="50"/>
        <v>0</v>
      </c>
      <c r="M1066" s="14"/>
      <c r="N1066" s="16"/>
      <c r="O1066" s="16"/>
      <c r="P1066" s="16"/>
      <c r="Q1066" s="16"/>
      <c r="R1066" s="16"/>
      <c r="S1066" s="16"/>
      <c r="T1066" s="16"/>
      <c r="U1066" s="16"/>
      <c r="V1066" s="16"/>
      <c r="W1066" s="16"/>
      <c r="X1066" s="16"/>
      <c r="Y1066" s="16"/>
      <c r="Z1066" s="16"/>
      <c r="AA1066" s="16"/>
    </row>
    <row r="1067" spans="1:27" s="2" customFormat="1" ht="14">
      <c r="A1067" s="12" t="s">
        <v>3091</v>
      </c>
      <c r="B1067" s="13" t="s">
        <v>62</v>
      </c>
      <c r="C1067" s="13" t="s">
        <v>3092</v>
      </c>
      <c r="D1067" s="13" t="s">
        <v>3093</v>
      </c>
      <c r="E1067" s="13" t="s">
        <v>267</v>
      </c>
      <c r="F1067" s="14"/>
      <c r="G1067" s="14"/>
      <c r="H1067" s="14"/>
      <c r="I1067" s="14"/>
      <c r="J1067" s="14">
        <f t="shared" si="48"/>
        <v>0</v>
      </c>
      <c r="K1067" s="14">
        <f t="shared" si="49"/>
        <v>0</v>
      </c>
      <c r="L1067" s="17">
        <f t="shared" si="50"/>
        <v>0</v>
      </c>
      <c r="M1067" s="14"/>
      <c r="N1067" s="16"/>
      <c r="O1067" s="16"/>
      <c r="P1067" s="16"/>
      <c r="Q1067" s="16"/>
      <c r="R1067" s="16"/>
      <c r="S1067" s="16"/>
      <c r="T1067" s="16"/>
      <c r="U1067" s="16"/>
      <c r="V1067" s="16"/>
      <c r="W1067" s="16"/>
      <c r="X1067" s="16"/>
      <c r="Y1067" s="16"/>
      <c r="Z1067" s="16"/>
      <c r="AA1067" s="16"/>
    </row>
    <row r="1068" spans="1:27" s="2" customFormat="1" ht="14">
      <c r="A1068" s="12" t="s">
        <v>3094</v>
      </c>
      <c r="B1068" s="13" t="s">
        <v>14</v>
      </c>
      <c r="C1068" s="13" t="s">
        <v>3095</v>
      </c>
      <c r="D1068" s="13" t="s">
        <v>3096</v>
      </c>
      <c r="E1068" s="13" t="s">
        <v>40</v>
      </c>
      <c r="F1068" s="14"/>
      <c r="G1068" s="14"/>
      <c r="H1068" s="14"/>
      <c r="I1068" s="14"/>
      <c r="J1068" s="14">
        <f t="shared" si="48"/>
        <v>0</v>
      </c>
      <c r="K1068" s="14">
        <f t="shared" si="49"/>
        <v>0</v>
      </c>
      <c r="L1068" s="17">
        <f t="shared" si="50"/>
        <v>0</v>
      </c>
      <c r="M1068" s="14"/>
      <c r="N1068" s="16"/>
      <c r="O1068" s="16"/>
      <c r="P1068" s="16"/>
      <c r="Q1068" s="16"/>
      <c r="R1068" s="16"/>
      <c r="S1068" s="16"/>
      <c r="T1068" s="16"/>
      <c r="U1068" s="16"/>
      <c r="V1068" s="16"/>
      <c r="W1068" s="16"/>
      <c r="X1068" s="16"/>
      <c r="Y1068" s="16"/>
      <c r="Z1068" s="16"/>
      <c r="AA1068" s="16"/>
    </row>
    <row r="1069" spans="1:27" s="2" customFormat="1" ht="14">
      <c r="A1069" s="12" t="s">
        <v>3097</v>
      </c>
      <c r="B1069" s="13" t="s">
        <v>14</v>
      </c>
      <c r="C1069" s="13" t="s">
        <v>3098</v>
      </c>
      <c r="D1069" s="13" t="s">
        <v>3099</v>
      </c>
      <c r="E1069" s="13" t="s">
        <v>17</v>
      </c>
      <c r="F1069" s="14"/>
      <c r="G1069" s="14"/>
      <c r="H1069" s="14"/>
      <c r="I1069" s="14"/>
      <c r="J1069" s="14">
        <f t="shared" si="48"/>
        <v>0</v>
      </c>
      <c r="K1069" s="14">
        <f t="shared" si="49"/>
        <v>0</v>
      </c>
      <c r="L1069" s="17">
        <f t="shared" si="50"/>
        <v>0</v>
      </c>
      <c r="M1069" s="14"/>
      <c r="N1069" s="16"/>
      <c r="O1069" s="16"/>
      <c r="P1069" s="16"/>
      <c r="Q1069" s="16"/>
      <c r="R1069" s="16"/>
      <c r="S1069" s="16"/>
      <c r="T1069" s="16"/>
      <c r="U1069" s="16"/>
      <c r="V1069" s="16"/>
      <c r="W1069" s="16"/>
      <c r="X1069" s="16"/>
      <c r="Y1069" s="16"/>
      <c r="Z1069" s="16"/>
      <c r="AA1069" s="16"/>
    </row>
    <row r="1070" spans="1:27" s="2" customFormat="1" ht="14">
      <c r="A1070" s="12" t="s">
        <v>3100</v>
      </c>
      <c r="B1070" s="13" t="s">
        <v>14</v>
      </c>
      <c r="C1070" s="13" t="s">
        <v>3101</v>
      </c>
      <c r="D1070" s="13" t="s">
        <v>3102</v>
      </c>
      <c r="E1070" s="13" t="s">
        <v>443</v>
      </c>
      <c r="F1070" s="14"/>
      <c r="G1070" s="14"/>
      <c r="H1070" s="14"/>
      <c r="I1070" s="14"/>
      <c r="J1070" s="14">
        <f t="shared" si="48"/>
        <v>0</v>
      </c>
      <c r="K1070" s="14">
        <f t="shared" si="49"/>
        <v>0</v>
      </c>
      <c r="L1070" s="17">
        <f t="shared" si="50"/>
        <v>0</v>
      </c>
      <c r="M1070" s="14"/>
      <c r="N1070" s="16"/>
      <c r="O1070" s="16"/>
      <c r="P1070" s="16"/>
      <c r="Q1070" s="16"/>
      <c r="R1070" s="16"/>
      <c r="S1070" s="16"/>
      <c r="T1070" s="16"/>
      <c r="U1070" s="16"/>
      <c r="V1070" s="16"/>
      <c r="W1070" s="16"/>
      <c r="X1070" s="16"/>
      <c r="Y1070" s="16"/>
      <c r="Z1070" s="16"/>
      <c r="AA1070" s="16"/>
    </row>
    <row r="1071" spans="1:27" s="2" customFormat="1" ht="14">
      <c r="A1071" s="12" t="s">
        <v>3103</v>
      </c>
      <c r="B1071" s="13" t="s">
        <v>14</v>
      </c>
      <c r="C1071" s="13" t="s">
        <v>3104</v>
      </c>
      <c r="D1071" s="13" t="s">
        <v>3105</v>
      </c>
      <c r="E1071" s="13" t="s">
        <v>57</v>
      </c>
      <c r="F1071" s="14"/>
      <c r="G1071" s="14"/>
      <c r="H1071" s="14"/>
      <c r="I1071" s="14"/>
      <c r="J1071" s="14">
        <f t="shared" si="48"/>
        <v>0</v>
      </c>
      <c r="K1071" s="14">
        <f t="shared" si="49"/>
        <v>0</v>
      </c>
      <c r="L1071" s="17">
        <f t="shared" si="50"/>
        <v>0</v>
      </c>
      <c r="M1071" s="14"/>
      <c r="N1071" s="16"/>
      <c r="O1071" s="16"/>
      <c r="P1071" s="16"/>
      <c r="Q1071" s="16"/>
      <c r="R1071" s="16"/>
      <c r="S1071" s="16"/>
      <c r="T1071" s="16"/>
      <c r="U1071" s="16"/>
      <c r="V1071" s="16"/>
      <c r="W1071" s="16"/>
      <c r="X1071" s="16"/>
      <c r="Y1071" s="16"/>
      <c r="Z1071" s="16"/>
      <c r="AA1071" s="16"/>
    </row>
    <row r="1072" spans="1:27" s="2" customFormat="1" ht="14">
      <c r="A1072" s="12" t="s">
        <v>3106</v>
      </c>
      <c r="B1072" s="13" t="s">
        <v>62</v>
      </c>
      <c r="C1072" s="13" t="s">
        <v>3107</v>
      </c>
      <c r="D1072" s="13" t="s">
        <v>3108</v>
      </c>
      <c r="E1072" s="13" t="s">
        <v>1113</v>
      </c>
      <c r="F1072" s="14"/>
      <c r="G1072" s="14"/>
      <c r="H1072" s="14"/>
      <c r="I1072" s="14"/>
      <c r="J1072" s="14">
        <f t="shared" si="48"/>
        <v>0</v>
      </c>
      <c r="K1072" s="14">
        <f t="shared" si="49"/>
        <v>0</v>
      </c>
      <c r="L1072" s="17">
        <f t="shared" si="50"/>
        <v>0</v>
      </c>
      <c r="M1072" s="14"/>
      <c r="N1072" s="16"/>
      <c r="O1072" s="16"/>
      <c r="P1072" s="16"/>
      <c r="Q1072" s="16"/>
      <c r="R1072" s="16"/>
      <c r="S1072" s="16"/>
      <c r="T1072" s="16"/>
      <c r="U1072" s="16"/>
      <c r="V1072" s="16"/>
      <c r="W1072" s="16"/>
      <c r="X1072" s="16"/>
      <c r="Y1072" s="16"/>
      <c r="Z1072" s="16"/>
      <c r="AA1072" s="16"/>
    </row>
    <row r="1073" spans="1:27" s="2" customFormat="1" ht="14">
      <c r="A1073" s="12" t="s">
        <v>3109</v>
      </c>
      <c r="B1073" s="13" t="s">
        <v>14</v>
      </c>
      <c r="C1073" s="13" t="s">
        <v>3110</v>
      </c>
      <c r="D1073" s="13" t="s">
        <v>3111</v>
      </c>
      <c r="E1073" s="13" t="s">
        <v>104</v>
      </c>
      <c r="F1073" s="14"/>
      <c r="G1073" s="14"/>
      <c r="H1073" s="14"/>
      <c r="I1073" s="14"/>
      <c r="J1073" s="14">
        <f t="shared" si="48"/>
        <v>0</v>
      </c>
      <c r="K1073" s="14">
        <f t="shared" si="49"/>
        <v>0</v>
      </c>
      <c r="L1073" s="17">
        <f t="shared" si="50"/>
        <v>0</v>
      </c>
      <c r="M1073" s="14"/>
      <c r="N1073" s="16"/>
      <c r="O1073" s="16"/>
      <c r="P1073" s="16"/>
      <c r="Q1073" s="16"/>
      <c r="R1073" s="16"/>
      <c r="S1073" s="16"/>
      <c r="T1073" s="16"/>
      <c r="U1073" s="16"/>
      <c r="V1073" s="16"/>
      <c r="W1073" s="16"/>
      <c r="X1073" s="16"/>
      <c r="Y1073" s="16"/>
      <c r="Z1073" s="16"/>
      <c r="AA1073" s="16"/>
    </row>
    <row r="1074" spans="1:27" s="2" customFormat="1" ht="14">
      <c r="A1074" s="12" t="s">
        <v>3112</v>
      </c>
      <c r="B1074" s="13" t="s">
        <v>14</v>
      </c>
      <c r="C1074" s="13" t="s">
        <v>3113</v>
      </c>
      <c r="D1074" s="13" t="s">
        <v>3114</v>
      </c>
      <c r="E1074" s="13" t="s">
        <v>25</v>
      </c>
      <c r="F1074" s="14"/>
      <c r="G1074" s="14"/>
      <c r="H1074" s="14"/>
      <c r="I1074" s="14"/>
      <c r="J1074" s="14">
        <f t="shared" si="48"/>
        <v>0</v>
      </c>
      <c r="K1074" s="14">
        <f t="shared" si="49"/>
        <v>0</v>
      </c>
      <c r="L1074" s="17">
        <f t="shared" si="50"/>
        <v>0</v>
      </c>
      <c r="M1074" s="14"/>
      <c r="N1074" s="16"/>
      <c r="O1074" s="16"/>
      <c r="P1074" s="16"/>
      <c r="Q1074" s="16"/>
      <c r="R1074" s="16"/>
      <c r="S1074" s="16"/>
      <c r="T1074" s="16"/>
      <c r="U1074" s="16"/>
      <c r="V1074" s="16"/>
      <c r="W1074" s="16"/>
      <c r="X1074" s="16"/>
      <c r="Y1074" s="16"/>
      <c r="Z1074" s="16"/>
      <c r="AA1074" s="16"/>
    </row>
    <row r="1075" spans="1:27" s="2" customFormat="1" ht="14">
      <c r="A1075" s="12" t="s">
        <v>3115</v>
      </c>
      <c r="B1075" s="13" t="s">
        <v>14</v>
      </c>
      <c r="C1075" s="13" t="s">
        <v>3116</v>
      </c>
      <c r="D1075" s="13" t="s">
        <v>3117</v>
      </c>
      <c r="E1075" s="13" t="s">
        <v>267</v>
      </c>
      <c r="F1075" s="14"/>
      <c r="G1075" s="14"/>
      <c r="H1075" s="14"/>
      <c r="I1075" s="14"/>
      <c r="J1075" s="14">
        <f t="shared" si="48"/>
        <v>0</v>
      </c>
      <c r="K1075" s="14">
        <f t="shared" si="49"/>
        <v>0</v>
      </c>
      <c r="L1075" s="17">
        <f t="shared" si="50"/>
        <v>0</v>
      </c>
      <c r="M1075" s="14"/>
      <c r="N1075" s="16"/>
      <c r="O1075" s="16"/>
      <c r="P1075" s="16"/>
      <c r="Q1075" s="16"/>
      <c r="R1075" s="16"/>
      <c r="S1075" s="16"/>
      <c r="T1075" s="16"/>
      <c r="U1075" s="16"/>
      <c r="V1075" s="16"/>
      <c r="W1075" s="16"/>
      <c r="X1075" s="16"/>
      <c r="Y1075" s="16"/>
      <c r="Z1075" s="16"/>
      <c r="AA1075" s="16"/>
    </row>
    <row r="1076" spans="1:27" s="2" customFormat="1" ht="14">
      <c r="A1076" s="12" t="s">
        <v>3118</v>
      </c>
      <c r="B1076" s="13" t="s">
        <v>14</v>
      </c>
      <c r="C1076" s="13" t="s">
        <v>3119</v>
      </c>
      <c r="D1076" s="13" t="s">
        <v>3120</v>
      </c>
      <c r="E1076" s="13" t="s">
        <v>57</v>
      </c>
      <c r="F1076" s="14"/>
      <c r="G1076" s="14"/>
      <c r="H1076" s="14"/>
      <c r="I1076" s="14"/>
      <c r="J1076" s="14">
        <f t="shared" si="48"/>
        <v>0</v>
      </c>
      <c r="K1076" s="14">
        <f t="shared" si="49"/>
        <v>0</v>
      </c>
      <c r="L1076" s="17">
        <f t="shared" si="50"/>
        <v>0</v>
      </c>
      <c r="M1076" s="14"/>
      <c r="N1076" s="16"/>
      <c r="O1076" s="16"/>
      <c r="P1076" s="16"/>
      <c r="Q1076" s="16"/>
      <c r="R1076" s="16"/>
      <c r="S1076" s="16"/>
      <c r="T1076" s="16"/>
      <c r="U1076" s="16"/>
      <c r="V1076" s="16"/>
      <c r="W1076" s="16"/>
      <c r="X1076" s="16"/>
      <c r="Y1076" s="16"/>
      <c r="Z1076" s="16"/>
      <c r="AA1076" s="16"/>
    </row>
    <row r="1077" spans="1:27" s="2" customFormat="1" ht="14">
      <c r="A1077" s="12" t="s">
        <v>3121</v>
      </c>
      <c r="B1077" s="13" t="s">
        <v>62</v>
      </c>
      <c r="C1077" s="13" t="s">
        <v>3122</v>
      </c>
      <c r="D1077" s="13" t="s">
        <v>3123</v>
      </c>
      <c r="E1077" s="13" t="s">
        <v>43</v>
      </c>
      <c r="F1077" s="14"/>
      <c r="G1077" s="14"/>
      <c r="H1077" s="14"/>
      <c r="I1077" s="14"/>
      <c r="J1077" s="14">
        <f t="shared" si="48"/>
        <v>0</v>
      </c>
      <c r="K1077" s="14">
        <f t="shared" si="49"/>
        <v>0</v>
      </c>
      <c r="L1077" s="17">
        <f t="shared" si="50"/>
        <v>0</v>
      </c>
      <c r="M1077" s="14"/>
      <c r="N1077" s="16"/>
      <c r="O1077" s="16"/>
      <c r="P1077" s="16"/>
      <c r="Q1077" s="16"/>
      <c r="R1077" s="16"/>
      <c r="S1077" s="16"/>
      <c r="T1077" s="16"/>
      <c r="U1077" s="16"/>
      <c r="V1077" s="16"/>
      <c r="W1077" s="16"/>
      <c r="X1077" s="16"/>
      <c r="Y1077" s="16"/>
      <c r="Z1077" s="16"/>
      <c r="AA1077" s="16"/>
    </row>
    <row r="1078" spans="1:27" s="2" customFormat="1" ht="14">
      <c r="A1078" s="12" t="s">
        <v>3124</v>
      </c>
      <c r="B1078" s="13" t="s">
        <v>14</v>
      </c>
      <c r="C1078" s="13" t="s">
        <v>3125</v>
      </c>
      <c r="D1078" s="13" t="s">
        <v>3126</v>
      </c>
      <c r="E1078" s="13" t="s">
        <v>91</v>
      </c>
      <c r="F1078" s="14"/>
      <c r="G1078" s="14"/>
      <c r="H1078" s="14"/>
      <c r="I1078" s="14"/>
      <c r="J1078" s="14">
        <f t="shared" si="48"/>
        <v>0</v>
      </c>
      <c r="K1078" s="14">
        <f t="shared" si="49"/>
        <v>0</v>
      </c>
      <c r="L1078" s="17">
        <f t="shared" si="50"/>
        <v>0</v>
      </c>
      <c r="M1078" s="14"/>
      <c r="N1078" s="16"/>
      <c r="O1078" s="16"/>
      <c r="P1078" s="16"/>
      <c r="Q1078" s="16"/>
      <c r="R1078" s="16"/>
      <c r="S1078" s="16"/>
      <c r="T1078" s="16"/>
      <c r="U1078" s="16"/>
      <c r="V1078" s="16"/>
      <c r="W1078" s="16"/>
      <c r="X1078" s="16"/>
      <c r="Y1078" s="16"/>
      <c r="Z1078" s="16"/>
      <c r="AA1078" s="16"/>
    </row>
    <row r="1079" spans="1:27" s="2" customFormat="1" ht="14">
      <c r="A1079" s="12" t="s">
        <v>3127</v>
      </c>
      <c r="B1079" s="13" t="s">
        <v>14</v>
      </c>
      <c r="C1079" s="13" t="s">
        <v>3128</v>
      </c>
      <c r="D1079" s="13" t="s">
        <v>3129</v>
      </c>
      <c r="E1079" s="13" t="s">
        <v>183</v>
      </c>
      <c r="F1079" s="14"/>
      <c r="G1079" s="14"/>
      <c r="H1079" s="14"/>
      <c r="I1079" s="14"/>
      <c r="J1079" s="14">
        <f t="shared" si="48"/>
        <v>0</v>
      </c>
      <c r="K1079" s="14">
        <f t="shared" si="49"/>
        <v>0</v>
      </c>
      <c r="L1079" s="17">
        <f t="shared" si="50"/>
        <v>0</v>
      </c>
      <c r="M1079" s="14"/>
      <c r="N1079" s="16"/>
      <c r="O1079" s="16"/>
      <c r="P1079" s="16"/>
      <c r="Q1079" s="16"/>
      <c r="R1079" s="16"/>
      <c r="S1079" s="16"/>
      <c r="T1079" s="16"/>
      <c r="U1079" s="16"/>
      <c r="V1079" s="16"/>
      <c r="W1079" s="16"/>
      <c r="X1079" s="16"/>
      <c r="Y1079" s="16"/>
      <c r="Z1079" s="16"/>
      <c r="AA1079" s="16"/>
    </row>
    <row r="1080" spans="1:27" s="2" customFormat="1" ht="14">
      <c r="A1080" s="12" t="s">
        <v>3130</v>
      </c>
      <c r="B1080" s="13" t="s">
        <v>14</v>
      </c>
      <c r="C1080" s="13" t="s">
        <v>3131</v>
      </c>
      <c r="D1080" s="13" t="s">
        <v>3132</v>
      </c>
      <c r="E1080" s="13" t="s">
        <v>25</v>
      </c>
      <c r="F1080" s="14"/>
      <c r="G1080" s="14"/>
      <c r="H1080" s="14"/>
      <c r="I1080" s="14"/>
      <c r="J1080" s="14">
        <f t="shared" si="48"/>
        <v>0</v>
      </c>
      <c r="K1080" s="14">
        <f t="shared" si="49"/>
        <v>0</v>
      </c>
      <c r="L1080" s="17">
        <f t="shared" si="50"/>
        <v>0</v>
      </c>
      <c r="M1080" s="14"/>
      <c r="N1080" s="16"/>
      <c r="O1080" s="16"/>
      <c r="P1080" s="16"/>
      <c r="Q1080" s="16"/>
      <c r="R1080" s="16"/>
      <c r="S1080" s="16"/>
      <c r="T1080" s="16"/>
      <c r="U1080" s="16"/>
      <c r="V1080" s="16"/>
      <c r="W1080" s="16"/>
      <c r="X1080" s="16"/>
      <c r="Y1080" s="16"/>
      <c r="Z1080" s="16"/>
      <c r="AA1080" s="16"/>
    </row>
    <row r="1081" spans="1:27" s="2" customFormat="1" ht="14">
      <c r="A1081" s="12" t="s">
        <v>3133</v>
      </c>
      <c r="B1081" s="13" t="s">
        <v>62</v>
      </c>
      <c r="C1081" s="13" t="s">
        <v>3134</v>
      </c>
      <c r="D1081" s="13" t="s">
        <v>3135</v>
      </c>
      <c r="E1081" s="13" t="s">
        <v>25</v>
      </c>
      <c r="F1081" s="14"/>
      <c r="G1081" s="14"/>
      <c r="H1081" s="14"/>
      <c r="I1081" s="14"/>
      <c r="J1081" s="14">
        <f t="shared" si="48"/>
        <v>0</v>
      </c>
      <c r="K1081" s="14">
        <f t="shared" si="49"/>
        <v>0</v>
      </c>
      <c r="L1081" s="17">
        <f t="shared" si="50"/>
        <v>0</v>
      </c>
      <c r="M1081" s="14"/>
      <c r="N1081" s="16"/>
      <c r="O1081" s="16"/>
      <c r="P1081" s="16"/>
      <c r="Q1081" s="16"/>
      <c r="R1081" s="16"/>
      <c r="S1081" s="16"/>
      <c r="T1081" s="16"/>
      <c r="U1081" s="16"/>
      <c r="V1081" s="16"/>
      <c r="W1081" s="16"/>
      <c r="X1081" s="16"/>
      <c r="Y1081" s="16"/>
      <c r="Z1081" s="16"/>
      <c r="AA1081" s="16"/>
    </row>
    <row r="1082" spans="1:27" s="2" customFormat="1" ht="14">
      <c r="A1082" s="12" t="s">
        <v>3136</v>
      </c>
      <c r="B1082" s="13" t="s">
        <v>62</v>
      </c>
      <c r="C1082" s="13" t="s">
        <v>3137</v>
      </c>
      <c r="D1082" s="13" t="s">
        <v>3138</v>
      </c>
      <c r="E1082" s="13" t="s">
        <v>183</v>
      </c>
      <c r="F1082" s="14"/>
      <c r="G1082" s="14"/>
      <c r="H1082" s="14"/>
      <c r="I1082" s="14"/>
      <c r="J1082" s="14">
        <f t="shared" si="48"/>
        <v>0</v>
      </c>
      <c r="K1082" s="14">
        <f t="shared" si="49"/>
        <v>0</v>
      </c>
      <c r="L1082" s="17">
        <f t="shared" si="50"/>
        <v>0</v>
      </c>
      <c r="M1082" s="14"/>
      <c r="N1082" s="16"/>
      <c r="O1082" s="16"/>
      <c r="P1082" s="16"/>
      <c r="Q1082" s="16"/>
      <c r="R1082" s="16"/>
      <c r="S1082" s="16"/>
      <c r="T1082" s="16"/>
      <c r="U1082" s="16"/>
      <c r="V1082" s="16"/>
      <c r="W1082" s="16"/>
      <c r="X1082" s="16"/>
      <c r="Y1082" s="16"/>
      <c r="Z1082" s="16"/>
      <c r="AA1082" s="16"/>
    </row>
    <row r="1083" spans="1:27" s="2" customFormat="1" ht="14">
      <c r="A1083" s="12" t="s">
        <v>3139</v>
      </c>
      <c r="B1083" s="13" t="s">
        <v>14</v>
      </c>
      <c r="C1083" s="13" t="s">
        <v>3140</v>
      </c>
      <c r="D1083" s="13" t="s">
        <v>3141</v>
      </c>
      <c r="E1083" s="13" t="s">
        <v>446</v>
      </c>
      <c r="F1083" s="14"/>
      <c r="G1083" s="14"/>
      <c r="H1083" s="14"/>
      <c r="I1083" s="14"/>
      <c r="J1083" s="14">
        <f t="shared" si="48"/>
        <v>0</v>
      </c>
      <c r="K1083" s="14">
        <f t="shared" si="49"/>
        <v>0</v>
      </c>
      <c r="L1083" s="17">
        <f t="shared" si="50"/>
        <v>0</v>
      </c>
      <c r="M1083" s="14"/>
      <c r="N1083" s="16"/>
      <c r="O1083" s="16"/>
      <c r="P1083" s="16"/>
      <c r="Q1083" s="16"/>
      <c r="R1083" s="16"/>
      <c r="S1083" s="16"/>
      <c r="T1083" s="16"/>
      <c r="U1083" s="16"/>
      <c r="V1083" s="16"/>
      <c r="W1083" s="16"/>
      <c r="X1083" s="16"/>
      <c r="Y1083" s="16"/>
      <c r="Z1083" s="16"/>
      <c r="AA1083" s="16"/>
    </row>
    <row r="1084" spans="1:27" s="2" customFormat="1" ht="14">
      <c r="A1084" s="12" t="s">
        <v>3142</v>
      </c>
      <c r="B1084" s="13" t="s">
        <v>62</v>
      </c>
      <c r="C1084" s="13" t="s">
        <v>3143</v>
      </c>
      <c r="D1084" s="13" t="s">
        <v>3144</v>
      </c>
      <c r="E1084" s="13" t="s">
        <v>91</v>
      </c>
      <c r="F1084" s="14"/>
      <c r="G1084" s="14"/>
      <c r="H1084" s="14"/>
      <c r="I1084" s="14"/>
      <c r="J1084" s="14">
        <f t="shared" si="48"/>
        <v>0</v>
      </c>
      <c r="K1084" s="14">
        <f t="shared" si="49"/>
        <v>0</v>
      </c>
      <c r="L1084" s="17">
        <f t="shared" si="50"/>
        <v>0</v>
      </c>
      <c r="M1084" s="14"/>
      <c r="N1084" s="16"/>
      <c r="O1084" s="16"/>
      <c r="P1084" s="16"/>
      <c r="Q1084" s="16"/>
      <c r="R1084" s="16"/>
      <c r="S1084" s="16"/>
      <c r="T1084" s="16"/>
      <c r="U1084" s="16"/>
      <c r="V1084" s="16"/>
      <c r="W1084" s="16"/>
      <c r="X1084" s="16"/>
      <c r="Y1084" s="16"/>
      <c r="Z1084" s="16"/>
      <c r="AA1084" s="16"/>
    </row>
    <row r="1085" spans="1:27" s="2" customFormat="1" ht="14">
      <c r="A1085" s="12" t="s">
        <v>3145</v>
      </c>
      <c r="B1085" s="13" t="s">
        <v>14</v>
      </c>
      <c r="C1085" s="13" t="s">
        <v>3146</v>
      </c>
      <c r="D1085" s="13" t="s">
        <v>3147</v>
      </c>
      <c r="E1085" s="13" t="s">
        <v>215</v>
      </c>
      <c r="F1085" s="14"/>
      <c r="G1085" s="14"/>
      <c r="H1085" s="14"/>
      <c r="I1085" s="14"/>
      <c r="J1085" s="14">
        <f t="shared" si="48"/>
        <v>0</v>
      </c>
      <c r="K1085" s="14">
        <f t="shared" si="49"/>
        <v>0</v>
      </c>
      <c r="L1085" s="17">
        <f t="shared" si="50"/>
        <v>0</v>
      </c>
      <c r="M1085" s="14"/>
      <c r="N1085" s="16"/>
      <c r="O1085" s="16"/>
      <c r="P1085" s="16"/>
      <c r="Q1085" s="16"/>
      <c r="R1085" s="16"/>
      <c r="S1085" s="16"/>
      <c r="T1085" s="16"/>
      <c r="U1085" s="16"/>
      <c r="V1085" s="16"/>
      <c r="W1085" s="16"/>
      <c r="X1085" s="16"/>
      <c r="Y1085" s="16"/>
      <c r="Z1085" s="16"/>
      <c r="AA1085" s="16"/>
    </row>
    <row r="1086" spans="1:27" s="2" customFormat="1" ht="14">
      <c r="A1086" s="12" t="s">
        <v>3148</v>
      </c>
      <c r="B1086" s="13" t="s">
        <v>14</v>
      </c>
      <c r="C1086" s="13" t="s">
        <v>3149</v>
      </c>
      <c r="D1086" s="13" t="s">
        <v>3150</v>
      </c>
      <c r="E1086" s="13" t="s">
        <v>126</v>
      </c>
      <c r="F1086" s="14"/>
      <c r="G1086" s="14"/>
      <c r="H1086" s="14"/>
      <c r="I1086" s="14"/>
      <c r="J1086" s="14">
        <f t="shared" si="48"/>
        <v>0</v>
      </c>
      <c r="K1086" s="14">
        <f t="shared" si="49"/>
        <v>0</v>
      </c>
      <c r="L1086" s="17">
        <f t="shared" si="50"/>
        <v>0</v>
      </c>
      <c r="M1086" s="14"/>
      <c r="N1086" s="16"/>
      <c r="O1086" s="16"/>
      <c r="P1086" s="16"/>
      <c r="Q1086" s="16"/>
      <c r="R1086" s="16"/>
      <c r="S1086" s="16"/>
      <c r="T1086" s="16"/>
      <c r="U1086" s="16"/>
      <c r="V1086" s="16"/>
      <c r="W1086" s="16"/>
      <c r="X1086" s="16"/>
      <c r="Y1086" s="16"/>
      <c r="Z1086" s="16"/>
      <c r="AA1086" s="16"/>
    </row>
    <row r="1087" spans="1:27" s="2" customFormat="1" ht="14">
      <c r="A1087" s="12" t="s">
        <v>3151</v>
      </c>
      <c r="B1087" s="13" t="s">
        <v>62</v>
      </c>
      <c r="C1087" s="13" t="s">
        <v>3152</v>
      </c>
      <c r="D1087" s="13" t="s">
        <v>3153</v>
      </c>
      <c r="E1087" s="13" t="s">
        <v>215</v>
      </c>
      <c r="F1087" s="14"/>
      <c r="G1087" s="14"/>
      <c r="H1087" s="14"/>
      <c r="I1087" s="14"/>
      <c r="J1087" s="14">
        <f t="shared" si="48"/>
        <v>0</v>
      </c>
      <c r="K1087" s="14">
        <f t="shared" si="49"/>
        <v>0</v>
      </c>
      <c r="L1087" s="17">
        <f t="shared" si="50"/>
        <v>0</v>
      </c>
      <c r="M1087" s="14"/>
      <c r="N1087" s="16"/>
      <c r="O1087" s="16"/>
      <c r="P1087" s="16"/>
      <c r="Q1087" s="16"/>
      <c r="R1087" s="16"/>
      <c r="S1087" s="16"/>
      <c r="T1087" s="16"/>
      <c r="U1087" s="16"/>
      <c r="V1087" s="16"/>
      <c r="W1087" s="16"/>
      <c r="X1087" s="16"/>
      <c r="Y1087" s="16"/>
      <c r="Z1087" s="16"/>
      <c r="AA1087" s="16"/>
    </row>
    <row r="1088" spans="1:27" s="2" customFormat="1" ht="14">
      <c r="A1088" s="12" t="s">
        <v>3154</v>
      </c>
      <c r="B1088" s="13" t="s">
        <v>14</v>
      </c>
      <c r="C1088" s="13" t="s">
        <v>3155</v>
      </c>
      <c r="D1088" s="13" t="s">
        <v>3156</v>
      </c>
      <c r="E1088" s="13" t="s">
        <v>183</v>
      </c>
      <c r="F1088" s="14"/>
      <c r="G1088" s="14"/>
      <c r="H1088" s="14"/>
      <c r="I1088" s="14"/>
      <c r="J1088" s="14">
        <f t="shared" si="48"/>
        <v>0</v>
      </c>
      <c r="K1088" s="14">
        <f t="shared" si="49"/>
        <v>0</v>
      </c>
      <c r="L1088" s="17">
        <f t="shared" si="50"/>
        <v>0</v>
      </c>
      <c r="M1088" s="14"/>
      <c r="N1088" s="16"/>
      <c r="O1088" s="16"/>
      <c r="P1088" s="16"/>
      <c r="Q1088" s="16"/>
      <c r="R1088" s="16"/>
      <c r="S1088" s="16"/>
      <c r="T1088" s="16"/>
      <c r="U1088" s="16"/>
      <c r="V1088" s="16"/>
      <c r="W1088" s="16"/>
      <c r="X1088" s="16"/>
      <c r="Y1088" s="16"/>
      <c r="Z1088" s="16"/>
      <c r="AA1088" s="16"/>
    </row>
    <row r="1089" spans="1:27" s="2" customFormat="1" ht="14">
      <c r="A1089" s="12" t="s">
        <v>3157</v>
      </c>
      <c r="B1089" s="13" t="s">
        <v>62</v>
      </c>
      <c r="C1089" s="13" t="s">
        <v>3158</v>
      </c>
      <c r="D1089" s="13" t="s">
        <v>3159</v>
      </c>
      <c r="E1089" s="13" t="s">
        <v>446</v>
      </c>
      <c r="F1089" s="14"/>
      <c r="G1089" s="14"/>
      <c r="H1089" s="14"/>
      <c r="I1089" s="14"/>
      <c r="J1089" s="14">
        <f t="shared" si="48"/>
        <v>0</v>
      </c>
      <c r="K1089" s="14">
        <f t="shared" si="49"/>
        <v>0</v>
      </c>
      <c r="L1089" s="17">
        <f t="shared" si="50"/>
        <v>0</v>
      </c>
      <c r="M1089" s="14"/>
      <c r="N1089" s="16"/>
      <c r="O1089" s="16"/>
      <c r="P1089" s="16"/>
      <c r="Q1089" s="16"/>
      <c r="R1089" s="16"/>
      <c r="S1089" s="16"/>
      <c r="T1089" s="16"/>
      <c r="U1089" s="16"/>
      <c r="V1089" s="16"/>
      <c r="W1089" s="16"/>
      <c r="X1089" s="16"/>
      <c r="Y1089" s="16"/>
      <c r="Z1089" s="16"/>
      <c r="AA1089" s="16"/>
    </row>
    <row r="1090" spans="1:27" s="2" customFormat="1" ht="14">
      <c r="A1090" s="12" t="s">
        <v>3160</v>
      </c>
      <c r="B1090" s="13" t="s">
        <v>14</v>
      </c>
      <c r="C1090" s="13" t="s">
        <v>3161</v>
      </c>
      <c r="D1090" s="13" t="s">
        <v>3162</v>
      </c>
      <c r="E1090" s="13" t="s">
        <v>446</v>
      </c>
      <c r="F1090" s="14"/>
      <c r="G1090" s="14"/>
      <c r="H1090" s="14"/>
      <c r="I1090" s="14"/>
      <c r="J1090" s="14">
        <f t="shared" ref="J1090:J1153" si="51">IF(G1090&gt;0,1,0)</f>
        <v>0</v>
      </c>
      <c r="K1090" s="14">
        <f t="shared" ref="K1090:K1153" si="52">IF(H1090&gt;0,1,0)</f>
        <v>0</v>
      </c>
      <c r="L1090" s="17">
        <f t="shared" ref="L1090:L1153" si="53">IF(G1090&gt;0,IF(H1090&gt;0,1,0),0)</f>
        <v>0</v>
      </c>
      <c r="M1090" s="14"/>
      <c r="N1090" s="16"/>
      <c r="O1090" s="16"/>
      <c r="P1090" s="16"/>
      <c r="Q1090" s="16"/>
      <c r="R1090" s="16"/>
      <c r="S1090" s="16"/>
      <c r="T1090" s="16"/>
      <c r="U1090" s="16"/>
      <c r="V1090" s="16"/>
      <c r="W1090" s="16"/>
      <c r="X1090" s="16"/>
      <c r="Y1090" s="16"/>
      <c r="Z1090" s="16"/>
      <c r="AA1090" s="16"/>
    </row>
    <row r="1091" spans="1:27" s="2" customFormat="1" ht="14">
      <c r="A1091" s="12" t="s">
        <v>3163</v>
      </c>
      <c r="B1091" s="13" t="s">
        <v>14</v>
      </c>
      <c r="C1091" s="13" t="s">
        <v>3164</v>
      </c>
      <c r="D1091" s="13" t="s">
        <v>3165</v>
      </c>
      <c r="E1091" s="13" t="s">
        <v>114</v>
      </c>
      <c r="F1091" s="14"/>
      <c r="G1091" s="14"/>
      <c r="H1091" s="14"/>
      <c r="I1091" s="14"/>
      <c r="J1091" s="14">
        <f t="shared" si="51"/>
        <v>0</v>
      </c>
      <c r="K1091" s="14">
        <f t="shared" si="52"/>
        <v>0</v>
      </c>
      <c r="L1091" s="17">
        <f t="shared" si="53"/>
        <v>0</v>
      </c>
      <c r="M1091" s="14"/>
      <c r="N1091" s="16"/>
      <c r="O1091" s="16"/>
      <c r="P1091" s="16"/>
      <c r="Q1091" s="16"/>
      <c r="R1091" s="16"/>
      <c r="S1091" s="16"/>
      <c r="T1091" s="16"/>
      <c r="U1091" s="16"/>
      <c r="V1091" s="16"/>
      <c r="W1091" s="16"/>
      <c r="X1091" s="16"/>
      <c r="Y1091" s="16"/>
      <c r="Z1091" s="16"/>
      <c r="AA1091" s="16"/>
    </row>
    <row r="1092" spans="1:27" s="2" customFormat="1" ht="14">
      <c r="A1092" s="12" t="s">
        <v>3166</v>
      </c>
      <c r="B1092" s="13" t="s">
        <v>14</v>
      </c>
      <c r="C1092" s="13" t="s">
        <v>3167</v>
      </c>
      <c r="D1092" s="13" t="s">
        <v>3168</v>
      </c>
      <c r="E1092" s="13" t="s">
        <v>183</v>
      </c>
      <c r="F1092" s="14"/>
      <c r="G1092" s="14"/>
      <c r="H1092" s="14"/>
      <c r="I1092" s="14"/>
      <c r="J1092" s="14">
        <f t="shared" si="51"/>
        <v>0</v>
      </c>
      <c r="K1092" s="14">
        <f t="shared" si="52"/>
        <v>0</v>
      </c>
      <c r="L1092" s="17">
        <f t="shared" si="53"/>
        <v>0</v>
      </c>
      <c r="M1092" s="14"/>
      <c r="N1092" s="16"/>
      <c r="O1092" s="16"/>
      <c r="P1092" s="16"/>
      <c r="Q1092" s="16"/>
      <c r="R1092" s="16"/>
      <c r="S1092" s="16"/>
      <c r="T1092" s="16"/>
      <c r="U1092" s="16"/>
      <c r="V1092" s="16"/>
      <c r="W1092" s="16"/>
      <c r="X1092" s="16"/>
      <c r="Y1092" s="16"/>
      <c r="Z1092" s="16"/>
      <c r="AA1092" s="16"/>
    </row>
    <row r="1093" spans="1:27" s="2" customFormat="1" ht="14">
      <c r="A1093" s="12" t="s">
        <v>3169</v>
      </c>
      <c r="B1093" s="13" t="s">
        <v>14</v>
      </c>
      <c r="C1093" s="13" t="s">
        <v>3170</v>
      </c>
      <c r="D1093" s="13" t="s">
        <v>3171</v>
      </c>
      <c r="E1093" s="13" t="s">
        <v>25</v>
      </c>
      <c r="F1093" s="14"/>
      <c r="G1093" s="14"/>
      <c r="H1093" s="14"/>
      <c r="I1093" s="14"/>
      <c r="J1093" s="14">
        <f t="shared" si="51"/>
        <v>0</v>
      </c>
      <c r="K1093" s="14">
        <f t="shared" si="52"/>
        <v>0</v>
      </c>
      <c r="L1093" s="17">
        <f t="shared" si="53"/>
        <v>0</v>
      </c>
      <c r="M1093" s="14"/>
      <c r="N1093" s="16"/>
      <c r="O1093" s="16"/>
      <c r="P1093" s="16"/>
      <c r="Q1093" s="16"/>
      <c r="R1093" s="16"/>
      <c r="S1093" s="16"/>
      <c r="T1093" s="16"/>
      <c r="U1093" s="16"/>
      <c r="V1093" s="16"/>
      <c r="W1093" s="16"/>
      <c r="X1093" s="16"/>
      <c r="Y1093" s="16"/>
      <c r="Z1093" s="16"/>
      <c r="AA1093" s="16"/>
    </row>
    <row r="1094" spans="1:27" s="2" customFormat="1" ht="14">
      <c r="A1094" s="12" t="s">
        <v>3172</v>
      </c>
      <c r="B1094" s="13" t="s">
        <v>14</v>
      </c>
      <c r="C1094" s="13" t="s">
        <v>3173</v>
      </c>
      <c r="D1094" s="13" t="s">
        <v>3174</v>
      </c>
      <c r="E1094" s="13" t="s">
        <v>126</v>
      </c>
      <c r="F1094" s="14"/>
      <c r="G1094" s="14"/>
      <c r="H1094" s="14"/>
      <c r="I1094" s="14"/>
      <c r="J1094" s="14">
        <f t="shared" si="51"/>
        <v>0</v>
      </c>
      <c r="K1094" s="14">
        <f t="shared" si="52"/>
        <v>0</v>
      </c>
      <c r="L1094" s="17">
        <f t="shared" si="53"/>
        <v>0</v>
      </c>
      <c r="M1094" s="14"/>
      <c r="N1094" s="16"/>
      <c r="O1094" s="16"/>
      <c r="P1094" s="16"/>
      <c r="Q1094" s="16"/>
      <c r="R1094" s="16"/>
      <c r="S1094" s="16"/>
      <c r="T1094" s="16"/>
      <c r="U1094" s="16"/>
      <c r="V1094" s="16"/>
      <c r="W1094" s="16"/>
      <c r="X1094" s="16"/>
      <c r="Y1094" s="16"/>
      <c r="Z1094" s="16"/>
      <c r="AA1094" s="16"/>
    </row>
    <row r="1095" spans="1:27" s="2" customFormat="1" ht="14">
      <c r="A1095" s="12" t="s">
        <v>3175</v>
      </c>
      <c r="B1095" s="13" t="s">
        <v>14</v>
      </c>
      <c r="C1095" s="13" t="s">
        <v>3176</v>
      </c>
      <c r="D1095" s="13" t="s">
        <v>3177</v>
      </c>
      <c r="E1095" s="13" t="s">
        <v>29</v>
      </c>
      <c r="F1095" s="14"/>
      <c r="G1095" s="14"/>
      <c r="H1095" s="14"/>
      <c r="I1095" s="14"/>
      <c r="J1095" s="14">
        <f t="shared" si="51"/>
        <v>0</v>
      </c>
      <c r="K1095" s="14">
        <f t="shared" si="52"/>
        <v>0</v>
      </c>
      <c r="L1095" s="17">
        <f t="shared" si="53"/>
        <v>0</v>
      </c>
      <c r="M1095" s="14"/>
      <c r="N1095" s="16"/>
      <c r="O1095" s="16"/>
      <c r="P1095" s="16"/>
      <c r="Q1095" s="16"/>
      <c r="R1095" s="16"/>
      <c r="S1095" s="16"/>
      <c r="T1095" s="16"/>
      <c r="U1095" s="16"/>
      <c r="V1095" s="16"/>
      <c r="W1095" s="16"/>
      <c r="X1095" s="16"/>
      <c r="Y1095" s="16"/>
      <c r="Z1095" s="16"/>
      <c r="AA1095" s="16"/>
    </row>
    <row r="1096" spans="1:27" s="2" customFormat="1" ht="14">
      <c r="A1096" s="12" t="s">
        <v>3178</v>
      </c>
      <c r="B1096" s="13" t="s">
        <v>14</v>
      </c>
      <c r="C1096" s="13" t="s">
        <v>3179</v>
      </c>
      <c r="D1096" s="13" t="s">
        <v>3180</v>
      </c>
      <c r="E1096" s="13" t="s">
        <v>32</v>
      </c>
      <c r="F1096" s="14"/>
      <c r="G1096" s="14"/>
      <c r="H1096" s="14"/>
      <c r="I1096" s="14"/>
      <c r="J1096" s="14">
        <f t="shared" si="51"/>
        <v>0</v>
      </c>
      <c r="K1096" s="14">
        <f t="shared" si="52"/>
        <v>0</v>
      </c>
      <c r="L1096" s="17">
        <f t="shared" si="53"/>
        <v>0</v>
      </c>
      <c r="M1096" s="14"/>
      <c r="N1096" s="16"/>
      <c r="O1096" s="16"/>
      <c r="P1096" s="16"/>
      <c r="Q1096" s="16"/>
      <c r="R1096" s="16"/>
      <c r="S1096" s="16"/>
      <c r="T1096" s="16"/>
      <c r="U1096" s="16"/>
      <c r="V1096" s="16"/>
      <c r="W1096" s="16"/>
      <c r="X1096" s="16"/>
      <c r="Y1096" s="16"/>
      <c r="Z1096" s="16"/>
      <c r="AA1096" s="16"/>
    </row>
    <row r="1097" spans="1:27" s="2" customFormat="1" ht="14">
      <c r="A1097" s="12" t="s">
        <v>3181</v>
      </c>
      <c r="B1097" s="13" t="s">
        <v>14</v>
      </c>
      <c r="C1097" s="13" t="s">
        <v>3182</v>
      </c>
      <c r="D1097" s="13" t="s">
        <v>3183</v>
      </c>
      <c r="E1097" s="13" t="s">
        <v>40</v>
      </c>
      <c r="F1097" s="14"/>
      <c r="G1097" s="14"/>
      <c r="H1097" s="14"/>
      <c r="I1097" s="14"/>
      <c r="J1097" s="14">
        <f t="shared" si="51"/>
        <v>0</v>
      </c>
      <c r="K1097" s="14">
        <f t="shared" si="52"/>
        <v>0</v>
      </c>
      <c r="L1097" s="17">
        <f t="shared" si="53"/>
        <v>0</v>
      </c>
      <c r="M1097" s="14"/>
      <c r="N1097" s="16"/>
      <c r="O1097" s="16"/>
      <c r="P1097" s="16"/>
      <c r="Q1097" s="16"/>
      <c r="R1097" s="16"/>
      <c r="S1097" s="16"/>
      <c r="T1097" s="16"/>
      <c r="U1097" s="16"/>
      <c r="V1097" s="16"/>
      <c r="W1097" s="16"/>
      <c r="X1097" s="16"/>
      <c r="Y1097" s="16"/>
      <c r="Z1097" s="16"/>
      <c r="AA1097" s="16"/>
    </row>
    <row r="1098" spans="1:27" s="2" customFormat="1" ht="14">
      <c r="A1098" s="12" t="s">
        <v>3184</v>
      </c>
      <c r="B1098" s="13" t="s">
        <v>62</v>
      </c>
      <c r="C1098" s="13" t="s">
        <v>3185</v>
      </c>
      <c r="D1098" s="13" t="s">
        <v>3186</v>
      </c>
      <c r="E1098" s="13" t="s">
        <v>25</v>
      </c>
      <c r="F1098" s="14"/>
      <c r="G1098" s="14"/>
      <c r="H1098" s="14"/>
      <c r="I1098" s="14"/>
      <c r="J1098" s="14">
        <f t="shared" si="51"/>
        <v>0</v>
      </c>
      <c r="K1098" s="14">
        <f t="shared" si="52"/>
        <v>0</v>
      </c>
      <c r="L1098" s="17">
        <f t="shared" si="53"/>
        <v>0</v>
      </c>
      <c r="M1098" s="14"/>
      <c r="N1098" s="16"/>
      <c r="O1098" s="16"/>
      <c r="P1098" s="16"/>
      <c r="Q1098" s="16"/>
      <c r="R1098" s="16"/>
      <c r="S1098" s="16"/>
      <c r="T1098" s="16"/>
      <c r="U1098" s="16"/>
      <c r="V1098" s="16"/>
      <c r="W1098" s="16"/>
      <c r="X1098" s="16"/>
      <c r="Y1098" s="16"/>
      <c r="Z1098" s="16"/>
      <c r="AA1098" s="16"/>
    </row>
    <row r="1099" spans="1:27" s="2" customFormat="1" ht="14">
      <c r="A1099" s="12">
        <v>1186276</v>
      </c>
      <c r="B1099" s="13" t="s">
        <v>62</v>
      </c>
      <c r="C1099" s="13" t="s">
        <v>3187</v>
      </c>
      <c r="D1099" s="13" t="s">
        <v>3188</v>
      </c>
      <c r="E1099" s="13" t="s">
        <v>3189</v>
      </c>
      <c r="F1099" s="14"/>
      <c r="G1099" s="14"/>
      <c r="H1099" s="14"/>
      <c r="I1099" s="14"/>
      <c r="J1099" s="14">
        <f t="shared" si="51"/>
        <v>0</v>
      </c>
      <c r="K1099" s="14">
        <f t="shared" si="52"/>
        <v>0</v>
      </c>
      <c r="L1099" s="17">
        <f t="shared" si="53"/>
        <v>0</v>
      </c>
      <c r="M1099" s="14"/>
      <c r="N1099" s="16"/>
      <c r="O1099" s="16"/>
      <c r="P1099" s="16"/>
      <c r="Q1099" s="16"/>
      <c r="R1099" s="16"/>
      <c r="S1099" s="16"/>
      <c r="T1099" s="16"/>
      <c r="U1099" s="16"/>
      <c r="V1099" s="16"/>
      <c r="W1099" s="16"/>
      <c r="X1099" s="16"/>
      <c r="Y1099" s="16"/>
      <c r="Z1099" s="16"/>
      <c r="AA1099" s="16"/>
    </row>
    <row r="1100" spans="1:27" s="2" customFormat="1" ht="14">
      <c r="A1100" s="12" t="s">
        <v>3190</v>
      </c>
      <c r="B1100" s="13" t="s">
        <v>14</v>
      </c>
      <c r="C1100" s="13" t="s">
        <v>3191</v>
      </c>
      <c r="D1100" s="13" t="s">
        <v>3192</v>
      </c>
      <c r="E1100" s="13" t="s">
        <v>32</v>
      </c>
      <c r="F1100" s="14"/>
      <c r="G1100" s="14"/>
      <c r="H1100" s="14"/>
      <c r="I1100" s="14"/>
      <c r="J1100" s="14">
        <f t="shared" si="51"/>
        <v>0</v>
      </c>
      <c r="K1100" s="14">
        <f t="shared" si="52"/>
        <v>0</v>
      </c>
      <c r="L1100" s="17">
        <f t="shared" si="53"/>
        <v>0</v>
      </c>
      <c r="M1100" s="14"/>
      <c r="N1100" s="16"/>
      <c r="O1100" s="16"/>
      <c r="P1100" s="16"/>
      <c r="Q1100" s="16"/>
      <c r="R1100" s="16"/>
      <c r="S1100" s="16"/>
      <c r="T1100" s="16"/>
      <c r="U1100" s="16"/>
      <c r="V1100" s="16"/>
      <c r="W1100" s="16"/>
      <c r="X1100" s="16"/>
      <c r="Y1100" s="16"/>
      <c r="Z1100" s="16"/>
      <c r="AA1100" s="16"/>
    </row>
    <row r="1101" spans="1:27" s="2" customFormat="1" ht="14">
      <c r="A1101" s="12" t="s">
        <v>3193</v>
      </c>
      <c r="B1101" s="13" t="s">
        <v>14</v>
      </c>
      <c r="C1101" s="13" t="s">
        <v>3194</v>
      </c>
      <c r="D1101" s="13" t="s">
        <v>3195</v>
      </c>
      <c r="E1101" s="13" t="s">
        <v>136</v>
      </c>
      <c r="F1101" s="14"/>
      <c r="G1101" s="14"/>
      <c r="H1101" s="14"/>
      <c r="I1101" s="14"/>
      <c r="J1101" s="14">
        <f t="shared" si="51"/>
        <v>0</v>
      </c>
      <c r="K1101" s="14">
        <f t="shared" si="52"/>
        <v>0</v>
      </c>
      <c r="L1101" s="17">
        <f t="shared" si="53"/>
        <v>0</v>
      </c>
      <c r="M1101" s="14"/>
      <c r="N1101" s="16"/>
      <c r="O1101" s="16"/>
      <c r="P1101" s="16"/>
      <c r="Q1101" s="16"/>
      <c r="R1101" s="16"/>
      <c r="S1101" s="16"/>
      <c r="T1101" s="16"/>
      <c r="U1101" s="16"/>
      <c r="V1101" s="16"/>
      <c r="W1101" s="16"/>
      <c r="X1101" s="16"/>
      <c r="Y1101" s="16"/>
      <c r="Z1101" s="16"/>
      <c r="AA1101" s="16"/>
    </row>
    <row r="1102" spans="1:27" s="2" customFormat="1" ht="14">
      <c r="A1102" s="12" t="s">
        <v>3196</v>
      </c>
      <c r="B1102" s="13" t="s">
        <v>14</v>
      </c>
      <c r="C1102" s="13" t="s">
        <v>3197</v>
      </c>
      <c r="D1102" s="13" t="s">
        <v>3198</v>
      </c>
      <c r="E1102" s="13" t="s">
        <v>79</v>
      </c>
      <c r="F1102" s="14"/>
      <c r="G1102" s="14"/>
      <c r="H1102" s="14"/>
      <c r="I1102" s="14"/>
      <c r="J1102" s="14">
        <f t="shared" si="51"/>
        <v>0</v>
      </c>
      <c r="K1102" s="14">
        <f t="shared" si="52"/>
        <v>0</v>
      </c>
      <c r="L1102" s="17">
        <f t="shared" si="53"/>
        <v>0</v>
      </c>
      <c r="M1102" s="14"/>
      <c r="N1102" s="16"/>
      <c r="O1102" s="16"/>
      <c r="P1102" s="16"/>
      <c r="Q1102" s="16"/>
      <c r="R1102" s="16"/>
      <c r="S1102" s="16"/>
      <c r="T1102" s="16"/>
      <c r="U1102" s="16"/>
      <c r="V1102" s="16"/>
      <c r="W1102" s="16"/>
      <c r="X1102" s="16"/>
      <c r="Y1102" s="16"/>
      <c r="Z1102" s="16"/>
      <c r="AA1102" s="16"/>
    </row>
    <row r="1103" spans="1:27" s="2" customFormat="1" ht="14">
      <c r="A1103" s="12" t="s">
        <v>3199</v>
      </c>
      <c r="B1103" s="13" t="s">
        <v>14</v>
      </c>
      <c r="C1103" s="13" t="s">
        <v>3200</v>
      </c>
      <c r="D1103" s="13" t="s">
        <v>3201</v>
      </c>
      <c r="E1103" s="13" t="s">
        <v>136</v>
      </c>
      <c r="F1103" s="14"/>
      <c r="G1103" s="14"/>
      <c r="H1103" s="14"/>
      <c r="I1103" s="14"/>
      <c r="J1103" s="14">
        <f t="shared" si="51"/>
        <v>0</v>
      </c>
      <c r="K1103" s="14">
        <f t="shared" si="52"/>
        <v>0</v>
      </c>
      <c r="L1103" s="17">
        <f t="shared" si="53"/>
        <v>0</v>
      </c>
      <c r="M1103" s="14"/>
      <c r="N1103" s="16"/>
      <c r="O1103" s="16"/>
      <c r="P1103" s="16"/>
      <c r="Q1103" s="16"/>
      <c r="R1103" s="16"/>
      <c r="S1103" s="16"/>
      <c r="T1103" s="16"/>
      <c r="U1103" s="16"/>
      <c r="V1103" s="16"/>
      <c r="W1103" s="16"/>
      <c r="X1103" s="16"/>
      <c r="Y1103" s="16"/>
      <c r="Z1103" s="16"/>
      <c r="AA1103" s="16"/>
    </row>
    <row r="1104" spans="1:27" s="2" customFormat="1" ht="14">
      <c r="A1104" s="12" t="s">
        <v>3202</v>
      </c>
      <c r="B1104" s="13" t="s">
        <v>14</v>
      </c>
      <c r="C1104" s="13" t="s">
        <v>3203</v>
      </c>
      <c r="D1104" s="13" t="s">
        <v>3204</v>
      </c>
      <c r="E1104" s="13" t="s">
        <v>29</v>
      </c>
      <c r="F1104" s="14"/>
      <c r="G1104" s="14"/>
      <c r="H1104" s="14"/>
      <c r="I1104" s="14"/>
      <c r="J1104" s="14">
        <f t="shared" si="51"/>
        <v>0</v>
      </c>
      <c r="K1104" s="14">
        <f t="shared" si="52"/>
        <v>0</v>
      </c>
      <c r="L1104" s="17">
        <f t="shared" si="53"/>
        <v>0</v>
      </c>
      <c r="M1104" s="14"/>
      <c r="N1104" s="16"/>
      <c r="O1104" s="16"/>
      <c r="P1104" s="16"/>
      <c r="Q1104" s="16"/>
      <c r="R1104" s="16"/>
      <c r="S1104" s="16"/>
      <c r="T1104" s="16"/>
      <c r="U1104" s="16"/>
      <c r="V1104" s="16"/>
      <c r="W1104" s="16"/>
      <c r="X1104" s="16"/>
      <c r="Y1104" s="16"/>
      <c r="Z1104" s="16"/>
      <c r="AA1104" s="16"/>
    </row>
    <row r="1105" spans="1:27" s="2" customFormat="1" ht="14">
      <c r="A1105" s="12" t="s">
        <v>3205</v>
      </c>
      <c r="B1105" s="13" t="s">
        <v>14</v>
      </c>
      <c r="C1105" s="13" t="s">
        <v>3206</v>
      </c>
      <c r="D1105" s="13" t="s">
        <v>3207</v>
      </c>
      <c r="E1105" s="13" t="s">
        <v>183</v>
      </c>
      <c r="F1105" s="14"/>
      <c r="G1105" s="14"/>
      <c r="H1105" s="14"/>
      <c r="I1105" s="14"/>
      <c r="J1105" s="14">
        <f t="shared" si="51"/>
        <v>0</v>
      </c>
      <c r="K1105" s="14">
        <f t="shared" si="52"/>
        <v>0</v>
      </c>
      <c r="L1105" s="17">
        <f t="shared" si="53"/>
        <v>0</v>
      </c>
      <c r="M1105" s="14"/>
      <c r="N1105" s="16"/>
      <c r="O1105" s="16"/>
      <c r="P1105" s="16"/>
      <c r="Q1105" s="16"/>
      <c r="R1105" s="16"/>
      <c r="S1105" s="16"/>
      <c r="T1105" s="16"/>
      <c r="U1105" s="16"/>
      <c r="V1105" s="16"/>
      <c r="W1105" s="16"/>
      <c r="X1105" s="16"/>
      <c r="Y1105" s="16"/>
      <c r="Z1105" s="16"/>
      <c r="AA1105" s="16"/>
    </row>
    <row r="1106" spans="1:27" s="2" customFormat="1" ht="14">
      <c r="A1106" s="12" t="s">
        <v>3208</v>
      </c>
      <c r="B1106" s="13" t="s">
        <v>14</v>
      </c>
      <c r="C1106" s="13" t="s">
        <v>3209</v>
      </c>
      <c r="D1106" s="13" t="s">
        <v>3210</v>
      </c>
      <c r="E1106" s="13" t="s">
        <v>32</v>
      </c>
      <c r="F1106" s="14"/>
      <c r="G1106" s="14"/>
      <c r="H1106" s="14"/>
      <c r="I1106" s="14"/>
      <c r="J1106" s="14">
        <f t="shared" si="51"/>
        <v>0</v>
      </c>
      <c r="K1106" s="14">
        <f t="shared" si="52"/>
        <v>0</v>
      </c>
      <c r="L1106" s="17">
        <f t="shared" si="53"/>
        <v>0</v>
      </c>
      <c r="M1106" s="14"/>
      <c r="N1106" s="16"/>
      <c r="O1106" s="16"/>
      <c r="P1106" s="16"/>
      <c r="Q1106" s="16"/>
      <c r="R1106" s="16"/>
      <c r="S1106" s="16"/>
      <c r="T1106" s="16"/>
      <c r="U1106" s="16"/>
      <c r="V1106" s="16"/>
      <c r="W1106" s="16"/>
      <c r="X1106" s="16"/>
      <c r="Y1106" s="16"/>
      <c r="Z1106" s="16"/>
      <c r="AA1106" s="16"/>
    </row>
    <row r="1107" spans="1:27" s="2" customFormat="1" ht="14">
      <c r="A1107" s="12" t="s">
        <v>3211</v>
      </c>
      <c r="B1107" s="13" t="s">
        <v>14</v>
      </c>
      <c r="C1107" s="13" t="s">
        <v>3212</v>
      </c>
      <c r="D1107" s="13" t="s">
        <v>3213</v>
      </c>
      <c r="E1107" s="13" t="s">
        <v>40</v>
      </c>
      <c r="F1107" s="14"/>
      <c r="G1107" s="14"/>
      <c r="H1107" s="14"/>
      <c r="I1107" s="14"/>
      <c r="J1107" s="14">
        <f t="shared" si="51"/>
        <v>0</v>
      </c>
      <c r="K1107" s="14">
        <f t="shared" si="52"/>
        <v>0</v>
      </c>
      <c r="L1107" s="17">
        <f t="shared" si="53"/>
        <v>0</v>
      </c>
      <c r="M1107" s="14"/>
      <c r="N1107" s="16"/>
      <c r="O1107" s="16"/>
      <c r="P1107" s="16"/>
      <c r="Q1107" s="16"/>
      <c r="R1107" s="16"/>
      <c r="S1107" s="16"/>
      <c r="T1107" s="16"/>
      <c r="U1107" s="16"/>
      <c r="V1107" s="16"/>
      <c r="W1107" s="16"/>
      <c r="X1107" s="16"/>
      <c r="Y1107" s="16"/>
      <c r="Z1107" s="16"/>
      <c r="AA1107" s="16"/>
    </row>
    <row r="1108" spans="1:27" s="2" customFormat="1" ht="14">
      <c r="A1108" s="12" t="s">
        <v>3214</v>
      </c>
      <c r="B1108" s="13" t="s">
        <v>14</v>
      </c>
      <c r="C1108" s="13" t="s">
        <v>3215</v>
      </c>
      <c r="D1108" s="13" t="s">
        <v>3216</v>
      </c>
      <c r="E1108" s="13" t="s">
        <v>97</v>
      </c>
      <c r="F1108" s="14"/>
      <c r="G1108" s="14"/>
      <c r="H1108" s="14"/>
      <c r="I1108" s="14"/>
      <c r="J1108" s="14">
        <f t="shared" si="51"/>
        <v>0</v>
      </c>
      <c r="K1108" s="14">
        <f t="shared" si="52"/>
        <v>0</v>
      </c>
      <c r="L1108" s="17">
        <f t="shared" si="53"/>
        <v>0</v>
      </c>
      <c r="M1108" s="14"/>
      <c r="N1108" s="16"/>
      <c r="O1108" s="16"/>
      <c r="P1108" s="16"/>
      <c r="Q1108" s="16"/>
      <c r="R1108" s="16"/>
      <c r="S1108" s="16"/>
      <c r="T1108" s="16"/>
      <c r="U1108" s="16"/>
      <c r="V1108" s="16"/>
      <c r="W1108" s="16"/>
      <c r="X1108" s="16"/>
      <c r="Y1108" s="16"/>
      <c r="Z1108" s="16"/>
      <c r="AA1108" s="16"/>
    </row>
    <row r="1109" spans="1:27" s="2" customFormat="1" ht="14">
      <c r="A1109" s="12" t="s">
        <v>3217</v>
      </c>
      <c r="B1109" s="13" t="s">
        <v>62</v>
      </c>
      <c r="C1109" s="13" t="s">
        <v>3218</v>
      </c>
      <c r="D1109" s="13" t="s">
        <v>3219</v>
      </c>
      <c r="E1109" s="13" t="s">
        <v>205</v>
      </c>
      <c r="F1109" s="14"/>
      <c r="G1109" s="14"/>
      <c r="H1109" s="14"/>
      <c r="I1109" s="14"/>
      <c r="J1109" s="14">
        <f t="shared" si="51"/>
        <v>0</v>
      </c>
      <c r="K1109" s="14">
        <f t="shared" si="52"/>
        <v>0</v>
      </c>
      <c r="L1109" s="17">
        <f t="shared" si="53"/>
        <v>0</v>
      </c>
      <c r="M1109" s="14"/>
      <c r="N1109" s="16"/>
      <c r="O1109" s="16"/>
      <c r="P1109" s="16"/>
      <c r="Q1109" s="16"/>
      <c r="R1109" s="16"/>
      <c r="S1109" s="16"/>
      <c r="T1109" s="16"/>
      <c r="U1109" s="16"/>
      <c r="V1109" s="16"/>
      <c r="W1109" s="16"/>
      <c r="X1109" s="16"/>
      <c r="Y1109" s="16"/>
      <c r="Z1109" s="16"/>
      <c r="AA1109" s="16"/>
    </row>
    <row r="1110" spans="1:27" s="2" customFormat="1" ht="14">
      <c r="A1110" s="12" t="s">
        <v>3220</v>
      </c>
      <c r="B1110" s="13" t="s">
        <v>14</v>
      </c>
      <c r="C1110" s="13" t="s">
        <v>3221</v>
      </c>
      <c r="D1110" s="13" t="s">
        <v>3222</v>
      </c>
      <c r="E1110" s="13" t="s">
        <v>354</v>
      </c>
      <c r="F1110" s="14"/>
      <c r="G1110" s="14"/>
      <c r="H1110" s="14"/>
      <c r="I1110" s="14"/>
      <c r="J1110" s="14">
        <f t="shared" si="51"/>
        <v>0</v>
      </c>
      <c r="K1110" s="14">
        <f t="shared" si="52"/>
        <v>0</v>
      </c>
      <c r="L1110" s="17">
        <f t="shared" si="53"/>
        <v>0</v>
      </c>
      <c r="M1110" s="14"/>
      <c r="N1110" s="16"/>
      <c r="O1110" s="16"/>
      <c r="P1110" s="16"/>
      <c r="Q1110" s="16"/>
      <c r="R1110" s="16"/>
      <c r="S1110" s="16"/>
      <c r="T1110" s="16"/>
      <c r="U1110" s="16"/>
      <c r="V1110" s="16"/>
      <c r="W1110" s="16"/>
      <c r="X1110" s="16"/>
      <c r="Y1110" s="16"/>
      <c r="Z1110" s="16"/>
      <c r="AA1110" s="16"/>
    </row>
    <row r="1111" spans="1:27" s="2" customFormat="1" ht="14">
      <c r="A1111" s="12" t="s">
        <v>3223</v>
      </c>
      <c r="B1111" s="13" t="s">
        <v>14</v>
      </c>
      <c r="C1111" s="13" t="s">
        <v>3224</v>
      </c>
      <c r="D1111" s="13" t="s">
        <v>3225</v>
      </c>
      <c r="E1111" s="13" t="s">
        <v>354</v>
      </c>
      <c r="F1111" s="14"/>
      <c r="G1111" s="14"/>
      <c r="H1111" s="14"/>
      <c r="I1111" s="14"/>
      <c r="J1111" s="14">
        <f t="shared" si="51"/>
        <v>0</v>
      </c>
      <c r="K1111" s="14">
        <f t="shared" si="52"/>
        <v>0</v>
      </c>
      <c r="L1111" s="17">
        <f t="shared" si="53"/>
        <v>0</v>
      </c>
      <c r="M1111" s="14"/>
      <c r="N1111" s="16"/>
      <c r="O1111" s="16"/>
      <c r="P1111" s="16"/>
      <c r="Q1111" s="16"/>
      <c r="R1111" s="16"/>
      <c r="S1111" s="16"/>
      <c r="T1111" s="16"/>
      <c r="U1111" s="16"/>
      <c r="V1111" s="16"/>
      <c r="W1111" s="16"/>
      <c r="X1111" s="16"/>
      <c r="Y1111" s="16"/>
      <c r="Z1111" s="16"/>
      <c r="AA1111" s="16"/>
    </row>
    <row r="1112" spans="1:27" s="2" customFormat="1" ht="14">
      <c r="A1112" s="12" t="s">
        <v>3226</v>
      </c>
      <c r="B1112" s="13" t="s">
        <v>62</v>
      </c>
      <c r="C1112" s="13" t="s">
        <v>3227</v>
      </c>
      <c r="D1112" s="13" t="s">
        <v>3228</v>
      </c>
      <c r="E1112" s="13" t="s">
        <v>136</v>
      </c>
      <c r="F1112" s="14"/>
      <c r="G1112" s="14"/>
      <c r="H1112" s="14"/>
      <c r="I1112" s="14"/>
      <c r="J1112" s="14">
        <f t="shared" si="51"/>
        <v>0</v>
      </c>
      <c r="K1112" s="14">
        <f t="shared" si="52"/>
        <v>0</v>
      </c>
      <c r="L1112" s="17">
        <f t="shared" si="53"/>
        <v>0</v>
      </c>
      <c r="M1112" s="14"/>
      <c r="N1112" s="16"/>
      <c r="O1112" s="16"/>
      <c r="P1112" s="16"/>
      <c r="Q1112" s="16"/>
      <c r="R1112" s="16"/>
      <c r="S1112" s="16"/>
      <c r="T1112" s="16"/>
      <c r="U1112" s="16"/>
      <c r="V1112" s="16"/>
      <c r="W1112" s="16"/>
      <c r="X1112" s="16"/>
      <c r="Y1112" s="16"/>
      <c r="Z1112" s="16"/>
      <c r="AA1112" s="16"/>
    </row>
    <row r="1113" spans="1:27" s="2" customFormat="1" ht="14">
      <c r="A1113" s="12" t="s">
        <v>3229</v>
      </c>
      <c r="B1113" s="13" t="s">
        <v>62</v>
      </c>
      <c r="C1113" s="13" t="s">
        <v>3230</v>
      </c>
      <c r="D1113" s="13" t="s">
        <v>3231</v>
      </c>
      <c r="E1113" s="13" t="s">
        <v>57</v>
      </c>
      <c r="F1113" s="14"/>
      <c r="G1113" s="14"/>
      <c r="H1113" s="14"/>
      <c r="I1113" s="14"/>
      <c r="J1113" s="14">
        <f t="shared" si="51"/>
        <v>0</v>
      </c>
      <c r="K1113" s="14">
        <f t="shared" si="52"/>
        <v>0</v>
      </c>
      <c r="L1113" s="17">
        <f t="shared" si="53"/>
        <v>0</v>
      </c>
      <c r="M1113" s="14"/>
      <c r="N1113" s="16"/>
      <c r="O1113" s="16"/>
      <c r="P1113" s="16"/>
      <c r="Q1113" s="16"/>
      <c r="R1113" s="16"/>
      <c r="S1113" s="16"/>
      <c r="T1113" s="16"/>
      <c r="U1113" s="16"/>
      <c r="V1113" s="16"/>
      <c r="W1113" s="16"/>
      <c r="X1113" s="16"/>
      <c r="Y1113" s="16"/>
      <c r="Z1113" s="16"/>
      <c r="AA1113" s="16"/>
    </row>
    <row r="1114" spans="1:27" s="2" customFormat="1" ht="14">
      <c r="A1114" s="12" t="s">
        <v>3232</v>
      </c>
      <c r="B1114" s="13" t="s">
        <v>14</v>
      </c>
      <c r="C1114" s="13" t="s">
        <v>3233</v>
      </c>
      <c r="D1114" s="13" t="s">
        <v>3234</v>
      </c>
      <c r="E1114" s="13" t="s">
        <v>50</v>
      </c>
      <c r="F1114" s="14"/>
      <c r="G1114" s="14"/>
      <c r="H1114" s="14"/>
      <c r="I1114" s="14"/>
      <c r="J1114" s="14">
        <f t="shared" si="51"/>
        <v>0</v>
      </c>
      <c r="K1114" s="14">
        <f t="shared" si="52"/>
        <v>0</v>
      </c>
      <c r="L1114" s="17">
        <f t="shared" si="53"/>
        <v>0</v>
      </c>
      <c r="M1114" s="14"/>
      <c r="N1114" s="16"/>
      <c r="O1114" s="16"/>
      <c r="P1114" s="16"/>
      <c r="Q1114" s="16"/>
      <c r="R1114" s="16"/>
      <c r="S1114" s="16"/>
      <c r="T1114" s="16"/>
      <c r="U1114" s="16"/>
      <c r="V1114" s="16"/>
      <c r="W1114" s="16"/>
      <c r="X1114" s="16"/>
      <c r="Y1114" s="16"/>
      <c r="Z1114" s="16"/>
      <c r="AA1114" s="16"/>
    </row>
    <row r="1115" spans="1:27" s="2" customFormat="1" ht="14">
      <c r="A1115" s="12" t="s">
        <v>3235</v>
      </c>
      <c r="B1115" s="13" t="s">
        <v>14</v>
      </c>
      <c r="C1115" s="13" t="s">
        <v>3236</v>
      </c>
      <c r="D1115" s="13" t="s">
        <v>3237</v>
      </c>
      <c r="E1115" s="13" t="s">
        <v>83</v>
      </c>
      <c r="F1115" s="14"/>
      <c r="G1115" s="14"/>
      <c r="H1115" s="14"/>
      <c r="I1115" s="14"/>
      <c r="J1115" s="14">
        <f t="shared" si="51"/>
        <v>0</v>
      </c>
      <c r="K1115" s="14">
        <f t="shared" si="52"/>
        <v>0</v>
      </c>
      <c r="L1115" s="17">
        <f t="shared" si="53"/>
        <v>0</v>
      </c>
      <c r="M1115" s="14"/>
      <c r="N1115" s="16"/>
      <c r="O1115" s="16"/>
      <c r="P1115" s="16"/>
      <c r="Q1115" s="16"/>
      <c r="R1115" s="16"/>
      <c r="S1115" s="16"/>
      <c r="T1115" s="16"/>
      <c r="U1115" s="16"/>
      <c r="V1115" s="16"/>
      <c r="W1115" s="16"/>
      <c r="X1115" s="16"/>
      <c r="Y1115" s="16"/>
      <c r="Z1115" s="16"/>
      <c r="AA1115" s="16"/>
    </row>
    <row r="1116" spans="1:27" s="2" customFormat="1" ht="14">
      <c r="A1116" s="12" t="s">
        <v>3238</v>
      </c>
      <c r="B1116" s="13" t="s">
        <v>62</v>
      </c>
      <c r="C1116" s="13" t="s">
        <v>3239</v>
      </c>
      <c r="D1116" s="13" t="s">
        <v>3240</v>
      </c>
      <c r="E1116" s="13" t="s">
        <v>150</v>
      </c>
      <c r="F1116" s="14"/>
      <c r="G1116" s="14"/>
      <c r="H1116" s="14"/>
      <c r="I1116" s="14"/>
      <c r="J1116" s="14">
        <f t="shared" si="51"/>
        <v>0</v>
      </c>
      <c r="K1116" s="14">
        <f t="shared" si="52"/>
        <v>0</v>
      </c>
      <c r="L1116" s="17">
        <f t="shared" si="53"/>
        <v>0</v>
      </c>
      <c r="M1116" s="14"/>
      <c r="N1116" s="16"/>
      <c r="O1116" s="16"/>
      <c r="P1116" s="16"/>
      <c r="Q1116" s="16"/>
      <c r="R1116" s="16"/>
      <c r="S1116" s="16"/>
      <c r="T1116" s="16"/>
      <c r="U1116" s="16"/>
      <c r="V1116" s="16"/>
      <c r="W1116" s="16"/>
      <c r="X1116" s="16"/>
      <c r="Y1116" s="16"/>
      <c r="Z1116" s="16"/>
      <c r="AA1116" s="16"/>
    </row>
    <row r="1117" spans="1:27" s="2" customFormat="1" ht="14">
      <c r="A1117" s="12" t="s">
        <v>3241</v>
      </c>
      <c r="B1117" s="13" t="s">
        <v>14</v>
      </c>
      <c r="C1117" s="13" t="s">
        <v>3242</v>
      </c>
      <c r="D1117" s="13" t="s">
        <v>3243</v>
      </c>
      <c r="E1117" s="13" t="s">
        <v>25</v>
      </c>
      <c r="F1117" s="14"/>
      <c r="G1117" s="14"/>
      <c r="H1117" s="14"/>
      <c r="I1117" s="14"/>
      <c r="J1117" s="14">
        <f t="shared" si="51"/>
        <v>0</v>
      </c>
      <c r="K1117" s="14">
        <f t="shared" si="52"/>
        <v>0</v>
      </c>
      <c r="L1117" s="17">
        <f t="shared" si="53"/>
        <v>0</v>
      </c>
      <c r="M1117" s="14"/>
      <c r="N1117" s="16"/>
      <c r="O1117" s="16"/>
      <c r="P1117" s="16"/>
      <c r="Q1117" s="16"/>
      <c r="R1117" s="16"/>
      <c r="S1117" s="16"/>
      <c r="T1117" s="16"/>
      <c r="U1117" s="16"/>
      <c r="V1117" s="16"/>
      <c r="W1117" s="16"/>
      <c r="X1117" s="16"/>
      <c r="Y1117" s="16"/>
      <c r="Z1117" s="16"/>
      <c r="AA1117" s="16"/>
    </row>
    <row r="1118" spans="1:27" s="2" customFormat="1" ht="14">
      <c r="A1118" s="12" t="s">
        <v>3244</v>
      </c>
      <c r="B1118" s="13" t="s">
        <v>62</v>
      </c>
      <c r="C1118" s="13" t="s">
        <v>3245</v>
      </c>
      <c r="D1118" s="13" t="s">
        <v>3246</v>
      </c>
      <c r="E1118" s="13" t="s">
        <v>1113</v>
      </c>
      <c r="F1118" s="14"/>
      <c r="G1118" s="14"/>
      <c r="H1118" s="14"/>
      <c r="I1118" s="14"/>
      <c r="J1118" s="14">
        <f t="shared" si="51"/>
        <v>0</v>
      </c>
      <c r="K1118" s="14">
        <f t="shared" si="52"/>
        <v>0</v>
      </c>
      <c r="L1118" s="17">
        <f t="shared" si="53"/>
        <v>0</v>
      </c>
      <c r="M1118" s="14"/>
      <c r="N1118" s="16"/>
      <c r="O1118" s="16"/>
      <c r="P1118" s="16"/>
      <c r="Q1118" s="16"/>
      <c r="R1118" s="16"/>
      <c r="S1118" s="16"/>
      <c r="T1118" s="16"/>
      <c r="U1118" s="16"/>
      <c r="V1118" s="16"/>
      <c r="W1118" s="16"/>
      <c r="X1118" s="16"/>
      <c r="Y1118" s="16"/>
      <c r="Z1118" s="16"/>
      <c r="AA1118" s="16"/>
    </row>
    <row r="1119" spans="1:27" s="2" customFormat="1" ht="14">
      <c r="A1119" s="12" t="s">
        <v>3247</v>
      </c>
      <c r="B1119" s="13" t="s">
        <v>14</v>
      </c>
      <c r="C1119" s="13" t="s">
        <v>3248</v>
      </c>
      <c r="D1119" s="13" t="s">
        <v>3249</v>
      </c>
      <c r="E1119" s="13" t="s">
        <v>17</v>
      </c>
      <c r="F1119" s="14"/>
      <c r="G1119" s="14"/>
      <c r="H1119" s="14"/>
      <c r="I1119" s="14"/>
      <c r="J1119" s="14">
        <f t="shared" si="51"/>
        <v>0</v>
      </c>
      <c r="K1119" s="14">
        <f t="shared" si="52"/>
        <v>0</v>
      </c>
      <c r="L1119" s="17">
        <f t="shared" si="53"/>
        <v>0</v>
      </c>
      <c r="M1119" s="14"/>
      <c r="N1119" s="16"/>
      <c r="O1119" s="16"/>
      <c r="P1119" s="16"/>
      <c r="Q1119" s="16"/>
      <c r="R1119" s="16"/>
      <c r="S1119" s="16"/>
      <c r="T1119" s="16"/>
      <c r="U1119" s="16"/>
      <c r="V1119" s="16"/>
      <c r="W1119" s="16"/>
      <c r="X1119" s="16"/>
      <c r="Y1119" s="16"/>
      <c r="Z1119" s="16"/>
      <c r="AA1119" s="16"/>
    </row>
    <row r="1120" spans="1:27" s="2" customFormat="1" ht="14">
      <c r="A1120" s="12" t="s">
        <v>3250</v>
      </c>
      <c r="B1120" s="13" t="s">
        <v>14</v>
      </c>
      <c r="C1120" s="13" t="s">
        <v>3251</v>
      </c>
      <c r="D1120" s="13" t="s">
        <v>3252</v>
      </c>
      <c r="E1120" s="13" t="s">
        <v>17</v>
      </c>
      <c r="F1120" s="14"/>
      <c r="G1120" s="14"/>
      <c r="H1120" s="14"/>
      <c r="I1120" s="14"/>
      <c r="J1120" s="14">
        <f t="shared" si="51"/>
        <v>0</v>
      </c>
      <c r="K1120" s="14">
        <f t="shared" si="52"/>
        <v>0</v>
      </c>
      <c r="L1120" s="17">
        <f t="shared" si="53"/>
        <v>0</v>
      </c>
      <c r="M1120" s="14"/>
      <c r="N1120" s="16"/>
      <c r="O1120" s="16"/>
      <c r="P1120" s="16"/>
      <c r="Q1120" s="16"/>
      <c r="R1120" s="16"/>
      <c r="S1120" s="16"/>
      <c r="T1120" s="16"/>
      <c r="U1120" s="16"/>
      <c r="V1120" s="16"/>
      <c r="W1120" s="16"/>
      <c r="X1120" s="16"/>
      <c r="Y1120" s="16"/>
      <c r="Z1120" s="16"/>
      <c r="AA1120" s="16"/>
    </row>
    <row r="1121" spans="1:27" s="2" customFormat="1" ht="14">
      <c r="A1121" s="12" t="s">
        <v>3253</v>
      </c>
      <c r="B1121" s="13" t="s">
        <v>14</v>
      </c>
      <c r="C1121" s="13" t="s">
        <v>3254</v>
      </c>
      <c r="D1121" s="13" t="s">
        <v>3255</v>
      </c>
      <c r="E1121" s="13" t="s">
        <v>21</v>
      </c>
      <c r="F1121" s="14"/>
      <c r="G1121" s="14"/>
      <c r="H1121" s="14"/>
      <c r="I1121" s="14"/>
      <c r="J1121" s="14">
        <f t="shared" si="51"/>
        <v>0</v>
      </c>
      <c r="K1121" s="14">
        <f t="shared" si="52"/>
        <v>0</v>
      </c>
      <c r="L1121" s="17">
        <f t="shared" si="53"/>
        <v>0</v>
      </c>
      <c r="M1121" s="14"/>
      <c r="N1121" s="16"/>
      <c r="O1121" s="16"/>
      <c r="P1121" s="16"/>
      <c r="Q1121" s="16"/>
      <c r="R1121" s="16"/>
      <c r="S1121" s="16"/>
      <c r="T1121" s="16"/>
      <c r="U1121" s="16"/>
      <c r="V1121" s="16"/>
      <c r="W1121" s="16"/>
      <c r="X1121" s="16"/>
      <c r="Y1121" s="16"/>
      <c r="Z1121" s="16"/>
      <c r="AA1121" s="16"/>
    </row>
    <row r="1122" spans="1:27" s="2" customFormat="1" ht="14">
      <c r="A1122" s="12" t="s">
        <v>3256</v>
      </c>
      <c r="B1122" s="13" t="s">
        <v>14</v>
      </c>
      <c r="C1122" s="13" t="s">
        <v>3257</v>
      </c>
      <c r="D1122" s="13" t="s">
        <v>3258</v>
      </c>
      <c r="E1122" s="13" t="s">
        <v>114</v>
      </c>
      <c r="F1122" s="14"/>
      <c r="G1122" s="14"/>
      <c r="H1122" s="14"/>
      <c r="I1122" s="14"/>
      <c r="J1122" s="14">
        <f t="shared" si="51"/>
        <v>0</v>
      </c>
      <c r="K1122" s="14">
        <f t="shared" si="52"/>
        <v>0</v>
      </c>
      <c r="L1122" s="17">
        <f t="shared" si="53"/>
        <v>0</v>
      </c>
      <c r="M1122" s="14"/>
      <c r="N1122" s="16"/>
      <c r="O1122" s="16"/>
      <c r="P1122" s="16"/>
      <c r="Q1122" s="16"/>
      <c r="R1122" s="16"/>
      <c r="S1122" s="16"/>
      <c r="T1122" s="16"/>
      <c r="U1122" s="16"/>
      <c r="V1122" s="16"/>
      <c r="W1122" s="16"/>
      <c r="X1122" s="16"/>
      <c r="Y1122" s="16"/>
      <c r="Z1122" s="16"/>
      <c r="AA1122" s="16"/>
    </row>
    <row r="1123" spans="1:27" s="2" customFormat="1" ht="14">
      <c r="A1123" s="12" t="s">
        <v>3259</v>
      </c>
      <c r="B1123" s="13" t="s">
        <v>14</v>
      </c>
      <c r="C1123" s="13" t="s">
        <v>3260</v>
      </c>
      <c r="D1123" s="13" t="s">
        <v>3261</v>
      </c>
      <c r="E1123" s="13" t="s">
        <v>57</v>
      </c>
      <c r="F1123" s="14"/>
      <c r="G1123" s="14"/>
      <c r="H1123" s="14"/>
      <c r="I1123" s="14"/>
      <c r="J1123" s="14">
        <f t="shared" si="51"/>
        <v>0</v>
      </c>
      <c r="K1123" s="14">
        <f t="shared" si="52"/>
        <v>0</v>
      </c>
      <c r="L1123" s="17">
        <f t="shared" si="53"/>
        <v>0</v>
      </c>
      <c r="M1123" s="14"/>
      <c r="N1123" s="16"/>
      <c r="O1123" s="16"/>
      <c r="P1123" s="16"/>
      <c r="Q1123" s="16"/>
      <c r="R1123" s="16"/>
      <c r="S1123" s="16"/>
      <c r="T1123" s="16"/>
      <c r="U1123" s="16"/>
      <c r="V1123" s="16"/>
      <c r="W1123" s="16"/>
      <c r="X1123" s="16"/>
      <c r="Y1123" s="16"/>
      <c r="Z1123" s="16"/>
      <c r="AA1123" s="16"/>
    </row>
    <row r="1124" spans="1:27" s="2" customFormat="1" ht="14">
      <c r="A1124" s="12" t="s">
        <v>3262</v>
      </c>
      <c r="B1124" s="13" t="s">
        <v>14</v>
      </c>
      <c r="C1124" s="13" t="s">
        <v>3263</v>
      </c>
      <c r="D1124" s="13" t="s">
        <v>3264</v>
      </c>
      <c r="E1124" s="13" t="s">
        <v>21</v>
      </c>
      <c r="F1124" s="14"/>
      <c r="G1124" s="14"/>
      <c r="H1124" s="14"/>
      <c r="I1124" s="14"/>
      <c r="J1124" s="14">
        <f t="shared" si="51"/>
        <v>0</v>
      </c>
      <c r="K1124" s="14">
        <f t="shared" si="52"/>
        <v>0</v>
      </c>
      <c r="L1124" s="17">
        <f t="shared" si="53"/>
        <v>0</v>
      </c>
      <c r="M1124" s="14"/>
      <c r="N1124" s="16"/>
      <c r="O1124" s="16"/>
      <c r="P1124" s="16"/>
      <c r="Q1124" s="16"/>
      <c r="R1124" s="16"/>
      <c r="S1124" s="16"/>
      <c r="T1124" s="16"/>
      <c r="U1124" s="16"/>
      <c r="V1124" s="16"/>
      <c r="W1124" s="16"/>
      <c r="X1124" s="16"/>
      <c r="Y1124" s="16"/>
      <c r="Z1124" s="16"/>
      <c r="AA1124" s="16"/>
    </row>
    <row r="1125" spans="1:27" s="2" customFormat="1" ht="14">
      <c r="A1125" s="12" t="s">
        <v>3265</v>
      </c>
      <c r="B1125" s="13" t="s">
        <v>14</v>
      </c>
      <c r="C1125" s="13" t="s">
        <v>3266</v>
      </c>
      <c r="D1125" s="13" t="s">
        <v>3267</v>
      </c>
      <c r="E1125" s="13" t="s">
        <v>215</v>
      </c>
      <c r="F1125" s="14"/>
      <c r="G1125" s="14"/>
      <c r="H1125" s="14"/>
      <c r="I1125" s="14"/>
      <c r="J1125" s="14">
        <f t="shared" si="51"/>
        <v>0</v>
      </c>
      <c r="K1125" s="14">
        <f t="shared" si="52"/>
        <v>0</v>
      </c>
      <c r="L1125" s="17">
        <f t="shared" si="53"/>
        <v>0</v>
      </c>
      <c r="M1125" s="14"/>
      <c r="N1125" s="16"/>
      <c r="O1125" s="16"/>
      <c r="P1125" s="16"/>
      <c r="Q1125" s="16"/>
      <c r="R1125" s="16"/>
      <c r="S1125" s="16"/>
      <c r="T1125" s="16"/>
      <c r="U1125" s="16"/>
      <c r="V1125" s="16"/>
      <c r="W1125" s="16"/>
      <c r="X1125" s="16"/>
      <c r="Y1125" s="16"/>
      <c r="Z1125" s="16"/>
      <c r="AA1125" s="16"/>
    </row>
    <row r="1126" spans="1:27" s="2" customFormat="1" ht="14">
      <c r="A1126" s="12" t="s">
        <v>3268</v>
      </c>
      <c r="B1126" s="13" t="s">
        <v>62</v>
      </c>
      <c r="C1126" s="13" t="s">
        <v>3269</v>
      </c>
      <c r="D1126" s="13" t="s">
        <v>3270</v>
      </c>
      <c r="E1126" s="13" t="s">
        <v>365</v>
      </c>
      <c r="F1126" s="14"/>
      <c r="G1126" s="14"/>
      <c r="H1126" s="14"/>
      <c r="I1126" s="14"/>
      <c r="J1126" s="14">
        <f t="shared" si="51"/>
        <v>0</v>
      </c>
      <c r="K1126" s="14">
        <f t="shared" si="52"/>
        <v>0</v>
      </c>
      <c r="L1126" s="17">
        <f t="shared" si="53"/>
        <v>0</v>
      </c>
      <c r="M1126" s="14"/>
      <c r="N1126" s="16"/>
      <c r="O1126" s="16"/>
      <c r="P1126" s="16"/>
      <c r="Q1126" s="16"/>
      <c r="R1126" s="16"/>
      <c r="S1126" s="16"/>
      <c r="T1126" s="16"/>
      <c r="U1126" s="16"/>
      <c r="V1126" s="16"/>
      <c r="W1126" s="16"/>
      <c r="X1126" s="16"/>
      <c r="Y1126" s="16"/>
      <c r="Z1126" s="16"/>
      <c r="AA1126" s="16"/>
    </row>
    <row r="1127" spans="1:27" s="2" customFormat="1" ht="14">
      <c r="A1127" s="12" t="s">
        <v>3271</v>
      </c>
      <c r="B1127" s="13" t="s">
        <v>14</v>
      </c>
      <c r="C1127" s="13" t="s">
        <v>3272</v>
      </c>
      <c r="D1127" s="13" t="s">
        <v>3273</v>
      </c>
      <c r="E1127" s="13" t="s">
        <v>29</v>
      </c>
      <c r="F1127" s="14"/>
      <c r="G1127" s="14"/>
      <c r="H1127" s="14"/>
      <c r="I1127" s="14"/>
      <c r="J1127" s="14">
        <f t="shared" si="51"/>
        <v>0</v>
      </c>
      <c r="K1127" s="14">
        <f t="shared" si="52"/>
        <v>0</v>
      </c>
      <c r="L1127" s="17">
        <f t="shared" si="53"/>
        <v>0</v>
      </c>
      <c r="M1127" s="14"/>
      <c r="N1127" s="16"/>
      <c r="O1127" s="16"/>
      <c r="P1127" s="16"/>
      <c r="Q1127" s="16"/>
      <c r="R1127" s="16"/>
      <c r="S1127" s="16"/>
      <c r="T1127" s="16"/>
      <c r="U1127" s="16"/>
      <c r="V1127" s="16"/>
      <c r="W1127" s="16"/>
      <c r="X1127" s="16"/>
      <c r="Y1127" s="16"/>
      <c r="Z1127" s="16"/>
      <c r="AA1127" s="16"/>
    </row>
    <row r="1128" spans="1:27" s="2" customFormat="1" ht="14">
      <c r="A1128" s="12" t="s">
        <v>3274</v>
      </c>
      <c r="B1128" s="13" t="s">
        <v>14</v>
      </c>
      <c r="C1128" s="13" t="s">
        <v>3275</v>
      </c>
      <c r="D1128" s="13" t="s">
        <v>3276</v>
      </c>
      <c r="E1128" s="13" t="s">
        <v>201</v>
      </c>
      <c r="F1128" s="14"/>
      <c r="G1128" s="14"/>
      <c r="H1128" s="14"/>
      <c r="I1128" s="14"/>
      <c r="J1128" s="14">
        <f t="shared" si="51"/>
        <v>0</v>
      </c>
      <c r="K1128" s="14">
        <f t="shared" si="52"/>
        <v>0</v>
      </c>
      <c r="L1128" s="17">
        <f t="shared" si="53"/>
        <v>0</v>
      </c>
      <c r="M1128" s="14"/>
      <c r="N1128" s="16"/>
      <c r="O1128" s="16"/>
      <c r="P1128" s="16"/>
      <c r="Q1128" s="16"/>
      <c r="R1128" s="16"/>
      <c r="S1128" s="16"/>
      <c r="T1128" s="16"/>
      <c r="U1128" s="16"/>
      <c r="V1128" s="16"/>
      <c r="W1128" s="16"/>
      <c r="X1128" s="16"/>
      <c r="Y1128" s="16"/>
      <c r="Z1128" s="16"/>
      <c r="AA1128" s="16"/>
    </row>
    <row r="1129" spans="1:27" s="2" customFormat="1" ht="14">
      <c r="A1129" s="12" t="s">
        <v>3277</v>
      </c>
      <c r="B1129" s="13" t="s">
        <v>14</v>
      </c>
      <c r="C1129" s="13" t="s">
        <v>3278</v>
      </c>
      <c r="D1129" s="13" t="s">
        <v>3279</v>
      </c>
      <c r="E1129" s="13" t="s">
        <v>267</v>
      </c>
      <c r="F1129" s="14"/>
      <c r="G1129" s="14"/>
      <c r="H1129" s="14"/>
      <c r="I1129" s="14"/>
      <c r="J1129" s="14">
        <f t="shared" si="51"/>
        <v>0</v>
      </c>
      <c r="K1129" s="14">
        <f t="shared" si="52"/>
        <v>0</v>
      </c>
      <c r="L1129" s="17">
        <f t="shared" si="53"/>
        <v>0</v>
      </c>
      <c r="M1129" s="14"/>
      <c r="N1129" s="16"/>
      <c r="O1129" s="16"/>
      <c r="P1129" s="16"/>
      <c r="Q1129" s="16"/>
      <c r="R1129" s="16"/>
      <c r="S1129" s="16"/>
      <c r="T1129" s="16"/>
      <c r="U1129" s="16"/>
      <c r="V1129" s="16"/>
      <c r="W1129" s="16"/>
      <c r="X1129" s="16"/>
      <c r="Y1129" s="16"/>
      <c r="Z1129" s="16"/>
      <c r="AA1129" s="16"/>
    </row>
    <row r="1130" spans="1:27" s="2" customFormat="1" ht="14">
      <c r="A1130" s="12" t="s">
        <v>3280</v>
      </c>
      <c r="B1130" s="13" t="s">
        <v>14</v>
      </c>
      <c r="C1130" s="13" t="s">
        <v>3281</v>
      </c>
      <c r="D1130" s="13" t="s">
        <v>3282</v>
      </c>
      <c r="E1130" s="13" t="s">
        <v>40</v>
      </c>
      <c r="F1130" s="14"/>
      <c r="G1130" s="14"/>
      <c r="H1130" s="14"/>
      <c r="I1130" s="14"/>
      <c r="J1130" s="14">
        <f t="shared" si="51"/>
        <v>0</v>
      </c>
      <c r="K1130" s="14">
        <f t="shared" si="52"/>
        <v>0</v>
      </c>
      <c r="L1130" s="17">
        <f t="shared" si="53"/>
        <v>0</v>
      </c>
      <c r="M1130" s="14"/>
      <c r="N1130" s="16"/>
      <c r="O1130" s="16"/>
      <c r="P1130" s="16"/>
      <c r="Q1130" s="16"/>
      <c r="R1130" s="16"/>
      <c r="S1130" s="16"/>
      <c r="T1130" s="16"/>
      <c r="U1130" s="16"/>
      <c r="V1130" s="16"/>
      <c r="W1130" s="16"/>
      <c r="X1130" s="16"/>
      <c r="Y1130" s="16"/>
      <c r="Z1130" s="16"/>
      <c r="AA1130" s="16"/>
    </row>
    <row r="1131" spans="1:27" s="2" customFormat="1" ht="14">
      <c r="A1131" s="12" t="s">
        <v>3283</v>
      </c>
      <c r="B1131" s="13" t="s">
        <v>14</v>
      </c>
      <c r="C1131" s="13" t="s">
        <v>3284</v>
      </c>
      <c r="D1131" s="13" t="s">
        <v>3285</v>
      </c>
      <c r="E1131" s="13" t="s">
        <v>215</v>
      </c>
      <c r="F1131" s="14"/>
      <c r="G1131" s="14"/>
      <c r="H1131" s="14"/>
      <c r="I1131" s="14"/>
      <c r="J1131" s="14">
        <f t="shared" si="51"/>
        <v>0</v>
      </c>
      <c r="K1131" s="14">
        <f t="shared" si="52"/>
        <v>0</v>
      </c>
      <c r="L1131" s="17">
        <f t="shared" si="53"/>
        <v>0</v>
      </c>
      <c r="M1131" s="14"/>
      <c r="N1131" s="16"/>
      <c r="O1131" s="16"/>
      <c r="P1131" s="16"/>
      <c r="Q1131" s="16"/>
      <c r="R1131" s="16"/>
      <c r="S1131" s="16"/>
      <c r="T1131" s="16"/>
      <c r="U1131" s="16"/>
      <c r="V1131" s="16"/>
      <c r="W1131" s="16"/>
      <c r="X1131" s="16"/>
      <c r="Y1131" s="16"/>
      <c r="Z1131" s="16"/>
      <c r="AA1131" s="16"/>
    </row>
    <row r="1132" spans="1:27" s="2" customFormat="1" ht="14">
      <c r="A1132" s="12" t="s">
        <v>3286</v>
      </c>
      <c r="B1132" s="13" t="s">
        <v>14</v>
      </c>
      <c r="C1132" s="13" t="s">
        <v>3287</v>
      </c>
      <c r="D1132" s="13" t="s">
        <v>3288</v>
      </c>
      <c r="E1132" s="13" t="s">
        <v>136</v>
      </c>
      <c r="F1132" s="14"/>
      <c r="G1132" s="14"/>
      <c r="H1132" s="14"/>
      <c r="I1132" s="14"/>
      <c r="J1132" s="14">
        <f t="shared" si="51"/>
        <v>0</v>
      </c>
      <c r="K1132" s="14">
        <f t="shared" si="52"/>
        <v>0</v>
      </c>
      <c r="L1132" s="17">
        <f t="shared" si="53"/>
        <v>0</v>
      </c>
      <c r="M1132" s="14"/>
      <c r="N1132" s="16"/>
      <c r="O1132" s="16"/>
      <c r="P1132" s="16"/>
      <c r="Q1132" s="16"/>
      <c r="R1132" s="16"/>
      <c r="S1132" s="16"/>
      <c r="T1132" s="16"/>
      <c r="U1132" s="16"/>
      <c r="V1132" s="16"/>
      <c r="W1132" s="16"/>
      <c r="X1132" s="16"/>
      <c r="Y1132" s="16"/>
      <c r="Z1132" s="16"/>
      <c r="AA1132" s="16"/>
    </row>
    <row r="1133" spans="1:27" s="2" customFormat="1" ht="14">
      <c r="A1133" s="12" t="s">
        <v>3289</v>
      </c>
      <c r="B1133" s="13" t="s">
        <v>14</v>
      </c>
      <c r="C1133" s="13" t="s">
        <v>3290</v>
      </c>
      <c r="D1133" s="13" t="s">
        <v>3291</v>
      </c>
      <c r="E1133" s="13" t="s">
        <v>97</v>
      </c>
      <c r="F1133" s="14"/>
      <c r="G1133" s="14"/>
      <c r="H1133" s="14"/>
      <c r="I1133" s="14"/>
      <c r="J1133" s="14">
        <f t="shared" si="51"/>
        <v>0</v>
      </c>
      <c r="K1133" s="14">
        <f t="shared" si="52"/>
        <v>0</v>
      </c>
      <c r="L1133" s="17">
        <f t="shared" si="53"/>
        <v>0</v>
      </c>
      <c r="M1133" s="14"/>
      <c r="N1133" s="16"/>
      <c r="O1133" s="16"/>
      <c r="P1133" s="16"/>
      <c r="Q1133" s="16"/>
      <c r="R1133" s="16"/>
      <c r="S1133" s="16"/>
      <c r="T1133" s="16"/>
      <c r="U1133" s="16"/>
      <c r="V1133" s="16"/>
      <c r="W1133" s="16"/>
      <c r="X1133" s="16"/>
      <c r="Y1133" s="16"/>
      <c r="Z1133" s="16"/>
      <c r="AA1133" s="16"/>
    </row>
    <row r="1134" spans="1:27" s="2" customFormat="1" ht="14">
      <c r="A1134" s="12" t="s">
        <v>3292</v>
      </c>
      <c r="B1134" s="13" t="s">
        <v>14</v>
      </c>
      <c r="C1134" s="13" t="s">
        <v>3293</v>
      </c>
      <c r="D1134" s="13" t="s">
        <v>3294</v>
      </c>
      <c r="E1134" s="13" t="s">
        <v>215</v>
      </c>
      <c r="F1134" s="14"/>
      <c r="G1134" s="14"/>
      <c r="H1134" s="14"/>
      <c r="I1134" s="14"/>
      <c r="J1134" s="14">
        <f t="shared" si="51"/>
        <v>0</v>
      </c>
      <c r="K1134" s="14">
        <f t="shared" si="52"/>
        <v>0</v>
      </c>
      <c r="L1134" s="17">
        <f t="shared" si="53"/>
        <v>0</v>
      </c>
      <c r="M1134" s="14"/>
      <c r="N1134" s="16"/>
      <c r="O1134" s="16"/>
      <c r="P1134" s="16"/>
      <c r="Q1134" s="16"/>
      <c r="R1134" s="16"/>
      <c r="S1134" s="16"/>
      <c r="T1134" s="16"/>
      <c r="U1134" s="16"/>
      <c r="V1134" s="16"/>
      <c r="W1134" s="16"/>
      <c r="X1134" s="16"/>
      <c r="Y1134" s="16"/>
      <c r="Z1134" s="16"/>
      <c r="AA1134" s="16"/>
    </row>
    <row r="1135" spans="1:27" s="2" customFormat="1" ht="14">
      <c r="A1135" s="12" t="s">
        <v>3295</v>
      </c>
      <c r="B1135" s="13" t="s">
        <v>14</v>
      </c>
      <c r="C1135" s="13" t="s">
        <v>3296</v>
      </c>
      <c r="D1135" s="13" t="s">
        <v>3297</v>
      </c>
      <c r="E1135" s="13" t="s">
        <v>57</v>
      </c>
      <c r="F1135" s="14"/>
      <c r="G1135" s="14"/>
      <c r="H1135" s="14"/>
      <c r="I1135" s="14"/>
      <c r="J1135" s="14">
        <f t="shared" si="51"/>
        <v>0</v>
      </c>
      <c r="K1135" s="14">
        <f t="shared" si="52"/>
        <v>0</v>
      </c>
      <c r="L1135" s="17">
        <f t="shared" si="53"/>
        <v>0</v>
      </c>
      <c r="M1135" s="14"/>
      <c r="N1135" s="16"/>
      <c r="O1135" s="16"/>
      <c r="P1135" s="16"/>
      <c r="Q1135" s="16"/>
      <c r="R1135" s="16"/>
      <c r="S1135" s="16"/>
      <c r="T1135" s="16"/>
      <c r="U1135" s="16"/>
      <c r="V1135" s="16"/>
      <c r="W1135" s="16"/>
      <c r="X1135" s="16"/>
      <c r="Y1135" s="16"/>
      <c r="Z1135" s="16"/>
      <c r="AA1135" s="16"/>
    </row>
    <row r="1136" spans="1:27" s="2" customFormat="1" ht="14">
      <c r="A1136" s="12" t="s">
        <v>3298</v>
      </c>
      <c r="B1136" s="13" t="s">
        <v>14</v>
      </c>
      <c r="C1136" s="13" t="s">
        <v>3299</v>
      </c>
      <c r="D1136" s="13" t="s">
        <v>3300</v>
      </c>
      <c r="E1136" s="13" t="s">
        <v>40</v>
      </c>
      <c r="F1136" s="14"/>
      <c r="G1136" s="14"/>
      <c r="H1136" s="14"/>
      <c r="I1136" s="14"/>
      <c r="J1136" s="14">
        <f t="shared" si="51"/>
        <v>0</v>
      </c>
      <c r="K1136" s="14">
        <f t="shared" si="52"/>
        <v>0</v>
      </c>
      <c r="L1136" s="17">
        <f t="shared" si="53"/>
        <v>0</v>
      </c>
      <c r="M1136" s="14"/>
      <c r="N1136" s="16"/>
      <c r="O1136" s="16"/>
      <c r="P1136" s="16"/>
      <c r="Q1136" s="16"/>
      <c r="R1136" s="16"/>
      <c r="S1136" s="16"/>
      <c r="T1136" s="16"/>
      <c r="U1136" s="16"/>
      <c r="V1136" s="16"/>
      <c r="W1136" s="16"/>
      <c r="X1136" s="16"/>
      <c r="Y1136" s="16"/>
      <c r="Z1136" s="16"/>
      <c r="AA1136" s="16"/>
    </row>
    <row r="1137" spans="1:27" s="2" customFormat="1" ht="14">
      <c r="A1137" s="12" t="s">
        <v>3301</v>
      </c>
      <c r="B1137" s="13" t="s">
        <v>14</v>
      </c>
      <c r="C1137" s="13" t="s">
        <v>3302</v>
      </c>
      <c r="D1137" s="13" t="s">
        <v>3303</v>
      </c>
      <c r="E1137" s="13" t="s">
        <v>17</v>
      </c>
      <c r="F1137" s="14"/>
      <c r="G1137" s="14"/>
      <c r="H1137" s="14"/>
      <c r="I1137" s="14"/>
      <c r="J1137" s="14">
        <f t="shared" si="51"/>
        <v>0</v>
      </c>
      <c r="K1137" s="14">
        <f t="shared" si="52"/>
        <v>0</v>
      </c>
      <c r="L1137" s="17">
        <f t="shared" si="53"/>
        <v>0</v>
      </c>
      <c r="M1137" s="14"/>
      <c r="N1137" s="16"/>
      <c r="O1137" s="16"/>
      <c r="P1137" s="16"/>
      <c r="Q1137" s="16"/>
      <c r="R1137" s="16"/>
      <c r="S1137" s="16"/>
      <c r="T1137" s="16"/>
      <c r="U1137" s="16"/>
      <c r="V1137" s="16"/>
      <c r="W1137" s="16"/>
      <c r="X1137" s="16"/>
      <c r="Y1137" s="16"/>
      <c r="Z1137" s="16"/>
      <c r="AA1137" s="16"/>
    </row>
    <row r="1138" spans="1:27" s="2" customFormat="1" ht="14">
      <c r="A1138" s="12" t="s">
        <v>3304</v>
      </c>
      <c r="B1138" s="13" t="s">
        <v>14</v>
      </c>
      <c r="C1138" s="13" t="s">
        <v>3305</v>
      </c>
      <c r="D1138" s="13" t="s">
        <v>3306</v>
      </c>
      <c r="E1138" s="13" t="s">
        <v>36</v>
      </c>
      <c r="F1138" s="14"/>
      <c r="G1138" s="14"/>
      <c r="H1138" s="14"/>
      <c r="I1138" s="14"/>
      <c r="J1138" s="14">
        <f t="shared" si="51"/>
        <v>0</v>
      </c>
      <c r="K1138" s="14">
        <f t="shared" si="52"/>
        <v>0</v>
      </c>
      <c r="L1138" s="17">
        <f t="shared" si="53"/>
        <v>0</v>
      </c>
      <c r="M1138" s="14"/>
      <c r="N1138" s="16"/>
      <c r="O1138" s="16"/>
      <c r="P1138" s="16"/>
      <c r="Q1138" s="16"/>
      <c r="R1138" s="16"/>
      <c r="S1138" s="16"/>
      <c r="T1138" s="16"/>
      <c r="U1138" s="16"/>
      <c r="V1138" s="16"/>
      <c r="W1138" s="16"/>
      <c r="X1138" s="16"/>
      <c r="Y1138" s="16"/>
      <c r="Z1138" s="16"/>
      <c r="AA1138" s="16"/>
    </row>
    <row r="1139" spans="1:27" s="2" customFormat="1" ht="14">
      <c r="A1139" s="12" t="s">
        <v>3307</v>
      </c>
      <c r="B1139" s="13" t="s">
        <v>62</v>
      </c>
      <c r="C1139" s="13" t="s">
        <v>3308</v>
      </c>
      <c r="D1139" s="13" t="s">
        <v>3309</v>
      </c>
      <c r="E1139" s="13" t="s">
        <v>319</v>
      </c>
      <c r="F1139" s="14"/>
      <c r="G1139" s="14"/>
      <c r="H1139" s="14"/>
      <c r="I1139" s="14"/>
      <c r="J1139" s="14">
        <f t="shared" si="51"/>
        <v>0</v>
      </c>
      <c r="K1139" s="14">
        <f t="shared" si="52"/>
        <v>0</v>
      </c>
      <c r="L1139" s="17">
        <f t="shared" si="53"/>
        <v>0</v>
      </c>
      <c r="M1139" s="14"/>
      <c r="N1139" s="16"/>
      <c r="O1139" s="16"/>
      <c r="P1139" s="16"/>
      <c r="Q1139" s="16"/>
      <c r="R1139" s="16"/>
      <c r="S1139" s="16"/>
      <c r="T1139" s="16"/>
      <c r="U1139" s="16"/>
      <c r="V1139" s="16"/>
      <c r="W1139" s="16"/>
      <c r="X1139" s="16"/>
      <c r="Y1139" s="16"/>
      <c r="Z1139" s="16"/>
      <c r="AA1139" s="16"/>
    </row>
    <row r="1140" spans="1:27" s="2" customFormat="1" ht="14">
      <c r="A1140" s="12" t="s">
        <v>3310</v>
      </c>
      <c r="B1140" s="13" t="s">
        <v>14</v>
      </c>
      <c r="C1140" s="13" t="s">
        <v>3311</v>
      </c>
      <c r="D1140" s="13" t="s">
        <v>3312</v>
      </c>
      <c r="E1140" s="13" t="s">
        <v>17</v>
      </c>
      <c r="F1140" s="14"/>
      <c r="G1140" s="14"/>
      <c r="H1140" s="14"/>
      <c r="I1140" s="14"/>
      <c r="J1140" s="14">
        <f t="shared" si="51"/>
        <v>0</v>
      </c>
      <c r="K1140" s="14">
        <f t="shared" si="52"/>
        <v>0</v>
      </c>
      <c r="L1140" s="17">
        <f t="shared" si="53"/>
        <v>0</v>
      </c>
      <c r="M1140" s="14"/>
      <c r="N1140" s="16"/>
      <c r="O1140" s="16"/>
      <c r="P1140" s="16"/>
      <c r="Q1140" s="16"/>
      <c r="R1140" s="16"/>
      <c r="S1140" s="16"/>
      <c r="T1140" s="16"/>
      <c r="U1140" s="16"/>
      <c r="V1140" s="16"/>
      <c r="W1140" s="16"/>
      <c r="X1140" s="16"/>
      <c r="Y1140" s="16"/>
      <c r="Z1140" s="16"/>
      <c r="AA1140" s="16"/>
    </row>
    <row r="1141" spans="1:27" s="2" customFormat="1" ht="14">
      <c r="A1141" s="12" t="s">
        <v>3313</v>
      </c>
      <c r="B1141" s="13" t="s">
        <v>14</v>
      </c>
      <c r="C1141" s="13" t="s">
        <v>3314</v>
      </c>
      <c r="D1141" s="13" t="s">
        <v>3315</v>
      </c>
      <c r="E1141" s="13" t="s">
        <v>29</v>
      </c>
      <c r="F1141" s="14"/>
      <c r="G1141" s="14"/>
      <c r="H1141" s="14"/>
      <c r="I1141" s="14"/>
      <c r="J1141" s="14">
        <f t="shared" si="51"/>
        <v>0</v>
      </c>
      <c r="K1141" s="14">
        <f t="shared" si="52"/>
        <v>0</v>
      </c>
      <c r="L1141" s="17">
        <f t="shared" si="53"/>
        <v>0</v>
      </c>
      <c r="M1141" s="14"/>
      <c r="N1141" s="16"/>
      <c r="O1141" s="16"/>
      <c r="P1141" s="16"/>
      <c r="Q1141" s="16"/>
      <c r="R1141" s="16"/>
      <c r="S1141" s="16"/>
      <c r="T1141" s="16"/>
      <c r="U1141" s="16"/>
      <c r="V1141" s="16"/>
      <c r="W1141" s="16"/>
      <c r="X1141" s="16"/>
      <c r="Y1141" s="16"/>
      <c r="Z1141" s="16"/>
      <c r="AA1141" s="16"/>
    </row>
    <row r="1142" spans="1:27" s="2" customFormat="1" ht="14">
      <c r="A1142" s="12" t="s">
        <v>3316</v>
      </c>
      <c r="B1142" s="13" t="s">
        <v>62</v>
      </c>
      <c r="C1142" s="13" t="s">
        <v>3317</v>
      </c>
      <c r="D1142" s="13" t="s">
        <v>3318</v>
      </c>
      <c r="E1142" s="13" t="s">
        <v>91</v>
      </c>
      <c r="F1142" s="14"/>
      <c r="G1142" s="14"/>
      <c r="H1142" s="14"/>
      <c r="I1142" s="14"/>
      <c r="J1142" s="14">
        <f t="shared" si="51"/>
        <v>0</v>
      </c>
      <c r="K1142" s="14">
        <f t="shared" si="52"/>
        <v>0</v>
      </c>
      <c r="L1142" s="17">
        <f t="shared" si="53"/>
        <v>0</v>
      </c>
      <c r="M1142" s="14"/>
      <c r="N1142" s="16"/>
      <c r="O1142" s="16"/>
      <c r="P1142" s="16"/>
      <c r="Q1142" s="16"/>
      <c r="R1142" s="16"/>
      <c r="S1142" s="16"/>
      <c r="T1142" s="16"/>
      <c r="U1142" s="16"/>
      <c r="V1142" s="16"/>
      <c r="W1142" s="16"/>
      <c r="X1142" s="16"/>
      <c r="Y1142" s="16"/>
      <c r="Z1142" s="16"/>
      <c r="AA1142" s="16"/>
    </row>
    <row r="1143" spans="1:27" s="2" customFormat="1" ht="14">
      <c r="A1143" s="12" t="s">
        <v>3319</v>
      </c>
      <c r="B1143" s="13" t="s">
        <v>62</v>
      </c>
      <c r="C1143" s="13" t="s">
        <v>3320</v>
      </c>
      <c r="D1143" s="13" t="s">
        <v>3321</v>
      </c>
      <c r="E1143" s="13" t="s">
        <v>402</v>
      </c>
      <c r="F1143" s="14"/>
      <c r="G1143" s="14"/>
      <c r="H1143" s="14"/>
      <c r="I1143" s="14"/>
      <c r="J1143" s="14">
        <f t="shared" si="51"/>
        <v>0</v>
      </c>
      <c r="K1143" s="14">
        <f t="shared" si="52"/>
        <v>0</v>
      </c>
      <c r="L1143" s="17">
        <f t="shared" si="53"/>
        <v>0</v>
      </c>
      <c r="M1143" s="14"/>
      <c r="N1143" s="16"/>
      <c r="O1143" s="16"/>
      <c r="P1143" s="16"/>
      <c r="Q1143" s="16"/>
      <c r="R1143" s="16"/>
      <c r="S1143" s="16"/>
      <c r="T1143" s="16"/>
      <c r="U1143" s="16"/>
      <c r="V1143" s="16"/>
      <c r="W1143" s="16"/>
      <c r="X1143" s="16"/>
      <c r="Y1143" s="16"/>
      <c r="Z1143" s="16"/>
      <c r="AA1143" s="16"/>
    </row>
    <row r="1144" spans="1:27" s="2" customFormat="1" ht="14">
      <c r="A1144" s="12">
        <v>1190644</v>
      </c>
      <c r="B1144" s="13" t="s">
        <v>14</v>
      </c>
      <c r="C1144" s="13" t="s">
        <v>3322</v>
      </c>
      <c r="D1144" s="13" t="s">
        <v>3323</v>
      </c>
      <c r="E1144" s="13" t="s">
        <v>3324</v>
      </c>
      <c r="F1144" s="14"/>
      <c r="G1144" s="14"/>
      <c r="H1144" s="14"/>
      <c r="I1144" s="14"/>
      <c r="J1144" s="14">
        <f t="shared" si="51"/>
        <v>0</v>
      </c>
      <c r="K1144" s="14">
        <f t="shared" si="52"/>
        <v>0</v>
      </c>
      <c r="L1144" s="17">
        <f t="shared" si="53"/>
        <v>0</v>
      </c>
      <c r="M1144" s="14"/>
      <c r="N1144" s="16"/>
      <c r="O1144" s="16"/>
      <c r="P1144" s="16"/>
      <c r="Q1144" s="16"/>
      <c r="R1144" s="16"/>
      <c r="S1144" s="16"/>
      <c r="T1144" s="16"/>
      <c r="U1144" s="16"/>
      <c r="V1144" s="16"/>
      <c r="W1144" s="16"/>
      <c r="X1144" s="16"/>
      <c r="Y1144" s="16"/>
      <c r="Z1144" s="16"/>
      <c r="AA1144" s="16"/>
    </row>
    <row r="1145" spans="1:27" s="2" customFormat="1" ht="14">
      <c r="A1145" s="12">
        <v>1202744</v>
      </c>
      <c r="B1145" s="13" t="s">
        <v>62</v>
      </c>
      <c r="C1145" s="13" t="s">
        <v>3325</v>
      </c>
      <c r="D1145" s="13" t="s">
        <v>3326</v>
      </c>
      <c r="E1145" s="13" t="s">
        <v>3327</v>
      </c>
      <c r="F1145" s="14"/>
      <c r="G1145" s="14"/>
      <c r="H1145" s="14"/>
      <c r="I1145" s="14"/>
      <c r="J1145" s="14">
        <f t="shared" si="51"/>
        <v>0</v>
      </c>
      <c r="K1145" s="14">
        <f t="shared" si="52"/>
        <v>0</v>
      </c>
      <c r="L1145" s="17">
        <f t="shared" si="53"/>
        <v>0</v>
      </c>
      <c r="M1145" s="14"/>
      <c r="N1145" s="16"/>
      <c r="O1145" s="16"/>
      <c r="P1145" s="16"/>
      <c r="Q1145" s="16"/>
      <c r="R1145" s="16"/>
      <c r="S1145" s="16"/>
      <c r="T1145" s="16"/>
      <c r="U1145" s="16"/>
      <c r="V1145" s="16"/>
      <c r="W1145" s="16"/>
      <c r="X1145" s="16"/>
      <c r="Y1145" s="16"/>
      <c r="Z1145" s="16"/>
      <c r="AA1145" s="16"/>
    </row>
    <row r="1146" spans="1:27" s="2" customFormat="1" ht="14">
      <c r="A1146" s="12" t="s">
        <v>3328</v>
      </c>
      <c r="B1146" s="13" t="s">
        <v>14</v>
      </c>
      <c r="C1146" s="13" t="s">
        <v>3329</v>
      </c>
      <c r="D1146" s="13" t="s">
        <v>3330</v>
      </c>
      <c r="E1146" s="13" t="s">
        <v>57</v>
      </c>
      <c r="F1146" s="14"/>
      <c r="G1146" s="14"/>
      <c r="H1146" s="14"/>
      <c r="I1146" s="14"/>
      <c r="J1146" s="14">
        <f t="shared" si="51"/>
        <v>0</v>
      </c>
      <c r="K1146" s="14">
        <f t="shared" si="52"/>
        <v>0</v>
      </c>
      <c r="L1146" s="17">
        <f t="shared" si="53"/>
        <v>0</v>
      </c>
      <c r="M1146" s="14"/>
      <c r="N1146" s="16"/>
      <c r="O1146" s="16"/>
      <c r="P1146" s="16"/>
      <c r="Q1146" s="16"/>
      <c r="R1146" s="16"/>
      <c r="S1146" s="16"/>
      <c r="T1146" s="16"/>
      <c r="U1146" s="16"/>
      <c r="V1146" s="16"/>
      <c r="W1146" s="16"/>
      <c r="X1146" s="16"/>
      <c r="Y1146" s="16"/>
      <c r="Z1146" s="16"/>
      <c r="AA1146" s="16"/>
    </row>
    <row r="1147" spans="1:27" s="2" customFormat="1" ht="14">
      <c r="A1147" s="12" t="s">
        <v>3331</v>
      </c>
      <c r="B1147" s="13" t="s">
        <v>62</v>
      </c>
      <c r="C1147" s="13" t="s">
        <v>3332</v>
      </c>
      <c r="D1147" s="13" t="s">
        <v>3333</v>
      </c>
      <c r="E1147" s="13" t="s">
        <v>1113</v>
      </c>
      <c r="F1147" s="14"/>
      <c r="G1147" s="14"/>
      <c r="H1147" s="14"/>
      <c r="I1147" s="14"/>
      <c r="J1147" s="14">
        <f t="shared" si="51"/>
        <v>0</v>
      </c>
      <c r="K1147" s="14">
        <f t="shared" si="52"/>
        <v>0</v>
      </c>
      <c r="L1147" s="17">
        <f t="shared" si="53"/>
        <v>0</v>
      </c>
      <c r="M1147" s="14"/>
      <c r="N1147" s="16"/>
      <c r="O1147" s="16"/>
      <c r="P1147" s="16"/>
      <c r="Q1147" s="16"/>
      <c r="R1147" s="16"/>
      <c r="S1147" s="16"/>
      <c r="T1147" s="16"/>
      <c r="U1147" s="16"/>
      <c r="V1147" s="16"/>
      <c r="W1147" s="16"/>
      <c r="X1147" s="16"/>
      <c r="Y1147" s="16"/>
      <c r="Z1147" s="16"/>
      <c r="AA1147" s="16"/>
    </row>
    <row r="1148" spans="1:27" s="2" customFormat="1" ht="14">
      <c r="A1148" s="12" t="s">
        <v>3334</v>
      </c>
      <c r="B1148" s="13" t="s">
        <v>14</v>
      </c>
      <c r="C1148" s="13" t="s">
        <v>3335</v>
      </c>
      <c r="D1148" s="13" t="s">
        <v>3336</v>
      </c>
      <c r="E1148" s="13" t="s">
        <v>136</v>
      </c>
      <c r="F1148" s="14"/>
      <c r="G1148" s="14"/>
      <c r="H1148" s="14"/>
      <c r="I1148" s="14"/>
      <c r="J1148" s="14">
        <f t="shared" si="51"/>
        <v>0</v>
      </c>
      <c r="K1148" s="14">
        <f t="shared" si="52"/>
        <v>0</v>
      </c>
      <c r="L1148" s="17">
        <f t="shared" si="53"/>
        <v>0</v>
      </c>
      <c r="M1148" s="14"/>
      <c r="N1148" s="16"/>
      <c r="O1148" s="16"/>
      <c r="P1148" s="16"/>
      <c r="Q1148" s="16"/>
      <c r="R1148" s="16"/>
      <c r="S1148" s="16"/>
      <c r="T1148" s="16"/>
      <c r="U1148" s="16"/>
      <c r="V1148" s="16"/>
      <c r="W1148" s="16"/>
      <c r="X1148" s="16"/>
      <c r="Y1148" s="16"/>
      <c r="Z1148" s="16"/>
      <c r="AA1148" s="16"/>
    </row>
    <row r="1149" spans="1:27" s="2" customFormat="1" ht="14">
      <c r="A1149" s="12" t="s">
        <v>3337</v>
      </c>
      <c r="B1149" s="13" t="s">
        <v>14</v>
      </c>
      <c r="C1149" s="13" t="s">
        <v>3338</v>
      </c>
      <c r="D1149" s="13" t="s">
        <v>3339</v>
      </c>
      <c r="E1149" s="13" t="s">
        <v>104</v>
      </c>
      <c r="F1149" s="14"/>
      <c r="G1149" s="14"/>
      <c r="H1149" s="14"/>
      <c r="I1149" s="14"/>
      <c r="J1149" s="14">
        <f t="shared" si="51"/>
        <v>0</v>
      </c>
      <c r="K1149" s="14">
        <f t="shared" si="52"/>
        <v>0</v>
      </c>
      <c r="L1149" s="17">
        <f t="shared" si="53"/>
        <v>0</v>
      </c>
      <c r="M1149" s="14"/>
      <c r="N1149" s="16"/>
      <c r="O1149" s="16"/>
      <c r="P1149" s="16"/>
      <c r="Q1149" s="16"/>
      <c r="R1149" s="16"/>
      <c r="S1149" s="16"/>
      <c r="T1149" s="16"/>
      <c r="U1149" s="16"/>
      <c r="V1149" s="16"/>
      <c r="W1149" s="16"/>
      <c r="X1149" s="16"/>
      <c r="Y1149" s="16"/>
      <c r="Z1149" s="16"/>
      <c r="AA1149" s="16"/>
    </row>
    <row r="1150" spans="1:27" s="2" customFormat="1" ht="14">
      <c r="A1150" s="12" t="s">
        <v>3340</v>
      </c>
      <c r="B1150" s="13" t="s">
        <v>14</v>
      </c>
      <c r="C1150" s="13" t="s">
        <v>3341</v>
      </c>
      <c r="D1150" s="13" t="s">
        <v>3342</v>
      </c>
      <c r="E1150" s="13" t="s">
        <v>156</v>
      </c>
      <c r="F1150" s="14"/>
      <c r="G1150" s="14"/>
      <c r="H1150" s="14"/>
      <c r="I1150" s="14"/>
      <c r="J1150" s="14">
        <f t="shared" si="51"/>
        <v>0</v>
      </c>
      <c r="K1150" s="14">
        <f t="shared" si="52"/>
        <v>0</v>
      </c>
      <c r="L1150" s="17">
        <f t="shared" si="53"/>
        <v>0</v>
      </c>
      <c r="M1150" s="14"/>
      <c r="N1150" s="16"/>
      <c r="O1150" s="16"/>
      <c r="P1150" s="16"/>
      <c r="Q1150" s="16"/>
      <c r="R1150" s="16"/>
      <c r="S1150" s="16"/>
      <c r="T1150" s="16"/>
      <c r="U1150" s="16"/>
      <c r="V1150" s="16"/>
      <c r="W1150" s="16"/>
      <c r="X1150" s="16"/>
      <c r="Y1150" s="16"/>
      <c r="Z1150" s="16"/>
      <c r="AA1150" s="16"/>
    </row>
    <row r="1151" spans="1:27" s="2" customFormat="1" ht="14">
      <c r="A1151" s="12" t="s">
        <v>3343</v>
      </c>
      <c r="B1151" s="13" t="s">
        <v>14</v>
      </c>
      <c r="C1151" s="13" t="s">
        <v>3344</v>
      </c>
      <c r="D1151" s="13" t="s">
        <v>3345</v>
      </c>
      <c r="E1151" s="13" t="s">
        <v>50</v>
      </c>
      <c r="F1151" s="14"/>
      <c r="G1151" s="14"/>
      <c r="H1151" s="14"/>
      <c r="I1151" s="14"/>
      <c r="J1151" s="14">
        <f t="shared" si="51"/>
        <v>0</v>
      </c>
      <c r="K1151" s="14">
        <f t="shared" si="52"/>
        <v>0</v>
      </c>
      <c r="L1151" s="17">
        <f t="shared" si="53"/>
        <v>0</v>
      </c>
      <c r="M1151" s="14"/>
      <c r="N1151" s="16"/>
      <c r="O1151" s="16"/>
      <c r="P1151" s="16"/>
      <c r="Q1151" s="16"/>
      <c r="R1151" s="16"/>
      <c r="S1151" s="16"/>
      <c r="T1151" s="16"/>
      <c r="U1151" s="16"/>
      <c r="V1151" s="16"/>
      <c r="W1151" s="16"/>
      <c r="X1151" s="16"/>
      <c r="Y1151" s="16"/>
      <c r="Z1151" s="16"/>
      <c r="AA1151" s="16"/>
    </row>
    <row r="1152" spans="1:27" s="2" customFormat="1" ht="14">
      <c r="A1152" s="12" t="s">
        <v>3346</v>
      </c>
      <c r="B1152" s="13" t="s">
        <v>14</v>
      </c>
      <c r="C1152" s="13" t="s">
        <v>3347</v>
      </c>
      <c r="D1152" s="13" t="s">
        <v>3348</v>
      </c>
      <c r="E1152" s="13" t="s">
        <v>215</v>
      </c>
      <c r="F1152" s="14"/>
      <c r="G1152" s="14"/>
      <c r="H1152" s="14"/>
      <c r="I1152" s="14"/>
      <c r="J1152" s="14">
        <f t="shared" si="51"/>
        <v>0</v>
      </c>
      <c r="K1152" s="14">
        <f t="shared" si="52"/>
        <v>0</v>
      </c>
      <c r="L1152" s="17">
        <f t="shared" si="53"/>
        <v>0</v>
      </c>
      <c r="M1152" s="14"/>
      <c r="N1152" s="16"/>
      <c r="O1152" s="16"/>
      <c r="P1152" s="16"/>
      <c r="Q1152" s="16"/>
      <c r="R1152" s="16"/>
      <c r="S1152" s="16"/>
      <c r="T1152" s="16"/>
      <c r="U1152" s="16"/>
      <c r="V1152" s="16"/>
      <c r="W1152" s="16"/>
      <c r="X1152" s="16"/>
      <c r="Y1152" s="16"/>
      <c r="Z1152" s="16"/>
      <c r="AA1152" s="16"/>
    </row>
    <row r="1153" spans="1:27" s="2" customFormat="1" ht="14">
      <c r="A1153" s="12" t="s">
        <v>3349</v>
      </c>
      <c r="B1153" s="13" t="s">
        <v>14</v>
      </c>
      <c r="C1153" s="13" t="s">
        <v>3350</v>
      </c>
      <c r="D1153" s="13" t="s">
        <v>3351</v>
      </c>
      <c r="E1153" s="13" t="s">
        <v>36</v>
      </c>
      <c r="F1153" s="14"/>
      <c r="G1153" s="14"/>
      <c r="H1153" s="14"/>
      <c r="I1153" s="14"/>
      <c r="J1153" s="14">
        <f t="shared" si="51"/>
        <v>0</v>
      </c>
      <c r="K1153" s="14">
        <f t="shared" si="52"/>
        <v>0</v>
      </c>
      <c r="L1153" s="17">
        <f t="shared" si="53"/>
        <v>0</v>
      </c>
      <c r="M1153" s="14"/>
      <c r="N1153" s="16"/>
      <c r="O1153" s="16"/>
      <c r="P1153" s="16"/>
      <c r="Q1153" s="16"/>
      <c r="R1153" s="16"/>
      <c r="S1153" s="16"/>
      <c r="T1153" s="16"/>
      <c r="U1153" s="16"/>
      <c r="V1153" s="16"/>
      <c r="W1153" s="16"/>
      <c r="X1153" s="16"/>
      <c r="Y1153" s="16"/>
      <c r="Z1153" s="16"/>
      <c r="AA1153" s="16"/>
    </row>
    <row r="1154" spans="1:27" s="2" customFormat="1" ht="14">
      <c r="A1154" s="12" t="s">
        <v>3352</v>
      </c>
      <c r="B1154" s="13" t="s">
        <v>62</v>
      </c>
      <c r="C1154" s="13" t="s">
        <v>3353</v>
      </c>
      <c r="D1154" s="13" t="s">
        <v>3354</v>
      </c>
      <c r="E1154" s="13" t="s">
        <v>114</v>
      </c>
      <c r="F1154" s="14"/>
      <c r="G1154" s="14"/>
      <c r="H1154" s="14"/>
      <c r="I1154" s="14"/>
      <c r="J1154" s="14">
        <f t="shared" ref="J1154:J1217" si="54">IF(G1154&gt;0,1,0)</f>
        <v>0</v>
      </c>
      <c r="K1154" s="14">
        <f t="shared" ref="K1154:K1217" si="55">IF(H1154&gt;0,1,0)</f>
        <v>0</v>
      </c>
      <c r="L1154" s="17">
        <f t="shared" ref="L1154:L1217" si="56">IF(G1154&gt;0,IF(H1154&gt;0,1,0),0)</f>
        <v>0</v>
      </c>
      <c r="M1154" s="14"/>
      <c r="N1154" s="16"/>
      <c r="O1154" s="16"/>
      <c r="P1154" s="16"/>
      <c r="Q1154" s="16"/>
      <c r="R1154" s="16"/>
      <c r="S1154" s="16"/>
      <c r="T1154" s="16"/>
      <c r="U1154" s="16"/>
      <c r="V1154" s="16"/>
      <c r="W1154" s="16"/>
      <c r="X1154" s="16"/>
      <c r="Y1154" s="16"/>
      <c r="Z1154" s="16"/>
      <c r="AA1154" s="16"/>
    </row>
    <row r="1155" spans="1:27" s="2" customFormat="1" ht="14">
      <c r="A1155" s="12" t="s">
        <v>3355</v>
      </c>
      <c r="B1155" s="13" t="s">
        <v>62</v>
      </c>
      <c r="C1155" s="13" t="s">
        <v>3356</v>
      </c>
      <c r="D1155" s="13" t="s">
        <v>3357</v>
      </c>
      <c r="E1155" s="13" t="s">
        <v>97</v>
      </c>
      <c r="F1155" s="14"/>
      <c r="G1155" s="14"/>
      <c r="H1155" s="14"/>
      <c r="I1155" s="14"/>
      <c r="J1155" s="14">
        <f t="shared" si="54"/>
        <v>0</v>
      </c>
      <c r="K1155" s="14">
        <f t="shared" si="55"/>
        <v>0</v>
      </c>
      <c r="L1155" s="17">
        <f t="shared" si="56"/>
        <v>0</v>
      </c>
      <c r="M1155" s="14"/>
      <c r="N1155" s="16"/>
      <c r="O1155" s="16"/>
      <c r="P1155" s="16"/>
      <c r="Q1155" s="16"/>
      <c r="R1155" s="16"/>
      <c r="S1155" s="16"/>
      <c r="T1155" s="16"/>
      <c r="U1155" s="16"/>
      <c r="V1155" s="16"/>
      <c r="W1155" s="16"/>
      <c r="X1155" s="16"/>
      <c r="Y1155" s="16"/>
      <c r="Z1155" s="16"/>
      <c r="AA1155" s="16"/>
    </row>
    <row r="1156" spans="1:27" s="2" customFormat="1" ht="14">
      <c r="A1156" s="12" t="s">
        <v>3358</v>
      </c>
      <c r="B1156" s="13" t="s">
        <v>62</v>
      </c>
      <c r="C1156" s="13" t="s">
        <v>3359</v>
      </c>
      <c r="D1156" s="13" t="s">
        <v>3360</v>
      </c>
      <c r="E1156" s="13" t="s">
        <v>971</v>
      </c>
      <c r="F1156" s="14"/>
      <c r="G1156" s="14"/>
      <c r="H1156" s="14"/>
      <c r="I1156" s="14"/>
      <c r="J1156" s="14">
        <f t="shared" si="54"/>
        <v>0</v>
      </c>
      <c r="K1156" s="14">
        <f t="shared" si="55"/>
        <v>0</v>
      </c>
      <c r="L1156" s="17">
        <f t="shared" si="56"/>
        <v>0</v>
      </c>
      <c r="M1156" s="14"/>
      <c r="N1156" s="16"/>
      <c r="O1156" s="16"/>
      <c r="P1156" s="16"/>
      <c r="Q1156" s="16"/>
      <c r="R1156" s="16"/>
      <c r="S1156" s="16"/>
      <c r="T1156" s="16"/>
      <c r="U1156" s="16"/>
      <c r="V1156" s="16"/>
      <c r="W1156" s="16"/>
      <c r="X1156" s="16"/>
      <c r="Y1156" s="16"/>
      <c r="Z1156" s="16"/>
      <c r="AA1156" s="16"/>
    </row>
    <row r="1157" spans="1:27" s="2" customFormat="1" ht="14">
      <c r="A1157" s="12" t="s">
        <v>3361</v>
      </c>
      <c r="B1157" s="13" t="s">
        <v>62</v>
      </c>
      <c r="C1157" s="13" t="s">
        <v>3362</v>
      </c>
      <c r="D1157" s="13" t="s">
        <v>3363</v>
      </c>
      <c r="E1157" s="13" t="s">
        <v>57</v>
      </c>
      <c r="F1157" s="14"/>
      <c r="G1157" s="14"/>
      <c r="H1157" s="14"/>
      <c r="I1157" s="14"/>
      <c r="J1157" s="14">
        <f t="shared" si="54"/>
        <v>0</v>
      </c>
      <c r="K1157" s="14">
        <f t="shared" si="55"/>
        <v>0</v>
      </c>
      <c r="L1157" s="17">
        <f t="shared" si="56"/>
        <v>0</v>
      </c>
      <c r="M1157" s="14"/>
      <c r="N1157" s="16"/>
      <c r="O1157" s="16"/>
      <c r="P1157" s="16"/>
      <c r="Q1157" s="16"/>
      <c r="R1157" s="16"/>
      <c r="S1157" s="16"/>
      <c r="T1157" s="16"/>
      <c r="U1157" s="16"/>
      <c r="V1157" s="16"/>
      <c r="W1157" s="16"/>
      <c r="X1157" s="16"/>
      <c r="Y1157" s="16"/>
      <c r="Z1157" s="16"/>
      <c r="AA1157" s="16"/>
    </row>
    <row r="1158" spans="1:27" s="2" customFormat="1" ht="14">
      <c r="A1158" s="12" t="s">
        <v>3364</v>
      </c>
      <c r="B1158" s="13" t="s">
        <v>62</v>
      </c>
      <c r="C1158" s="13" t="s">
        <v>3365</v>
      </c>
      <c r="D1158" s="13" t="s">
        <v>3366</v>
      </c>
      <c r="E1158" s="13" t="s">
        <v>238</v>
      </c>
      <c r="F1158" s="14"/>
      <c r="G1158" s="14"/>
      <c r="H1158" s="14"/>
      <c r="I1158" s="14"/>
      <c r="J1158" s="14">
        <f t="shared" si="54"/>
        <v>0</v>
      </c>
      <c r="K1158" s="14">
        <f t="shared" si="55"/>
        <v>0</v>
      </c>
      <c r="L1158" s="17">
        <f t="shared" si="56"/>
        <v>0</v>
      </c>
      <c r="M1158" s="14"/>
      <c r="N1158" s="16"/>
      <c r="O1158" s="16"/>
      <c r="P1158" s="16"/>
      <c r="Q1158" s="16"/>
      <c r="R1158" s="16"/>
      <c r="S1158" s="16"/>
      <c r="T1158" s="16"/>
      <c r="U1158" s="16"/>
      <c r="V1158" s="16"/>
      <c r="W1158" s="16"/>
      <c r="X1158" s="16"/>
      <c r="Y1158" s="16"/>
      <c r="Z1158" s="16"/>
      <c r="AA1158" s="16"/>
    </row>
    <row r="1159" spans="1:27" s="2" customFormat="1" ht="14">
      <c r="A1159" s="12" t="s">
        <v>3367</v>
      </c>
      <c r="B1159" s="13" t="s">
        <v>62</v>
      </c>
      <c r="C1159" s="13" t="s">
        <v>3368</v>
      </c>
      <c r="D1159" s="13" t="s">
        <v>3369</v>
      </c>
      <c r="E1159" s="13" t="s">
        <v>1113</v>
      </c>
      <c r="F1159" s="14"/>
      <c r="G1159" s="14"/>
      <c r="H1159" s="14"/>
      <c r="I1159" s="14"/>
      <c r="J1159" s="14">
        <f t="shared" si="54"/>
        <v>0</v>
      </c>
      <c r="K1159" s="14">
        <f t="shared" si="55"/>
        <v>0</v>
      </c>
      <c r="L1159" s="17">
        <f t="shared" si="56"/>
        <v>0</v>
      </c>
      <c r="M1159" s="14"/>
      <c r="N1159" s="16"/>
      <c r="O1159" s="16"/>
      <c r="P1159" s="16"/>
      <c r="Q1159" s="16"/>
      <c r="R1159" s="16"/>
      <c r="S1159" s="16"/>
      <c r="T1159" s="16"/>
      <c r="U1159" s="16"/>
      <c r="V1159" s="16"/>
      <c r="W1159" s="16"/>
      <c r="X1159" s="16"/>
      <c r="Y1159" s="16"/>
      <c r="Z1159" s="16"/>
      <c r="AA1159" s="16"/>
    </row>
    <row r="1160" spans="1:27" s="2" customFormat="1" ht="14">
      <c r="A1160" s="12" t="s">
        <v>3370</v>
      </c>
      <c r="B1160" s="13" t="s">
        <v>14</v>
      </c>
      <c r="C1160" s="13" t="s">
        <v>3371</v>
      </c>
      <c r="D1160" s="13" t="s">
        <v>3372</v>
      </c>
      <c r="E1160" s="13" t="s">
        <v>97</v>
      </c>
      <c r="F1160" s="14"/>
      <c r="G1160" s="14"/>
      <c r="H1160" s="14"/>
      <c r="I1160" s="14"/>
      <c r="J1160" s="14">
        <f t="shared" si="54"/>
        <v>0</v>
      </c>
      <c r="K1160" s="14">
        <f t="shared" si="55"/>
        <v>0</v>
      </c>
      <c r="L1160" s="17">
        <f t="shared" si="56"/>
        <v>0</v>
      </c>
      <c r="M1160" s="14"/>
      <c r="N1160" s="16"/>
      <c r="O1160" s="16"/>
      <c r="P1160" s="16"/>
      <c r="Q1160" s="16"/>
      <c r="R1160" s="16"/>
      <c r="S1160" s="16"/>
      <c r="T1160" s="16"/>
      <c r="U1160" s="16"/>
      <c r="V1160" s="16"/>
      <c r="W1160" s="16"/>
      <c r="X1160" s="16"/>
      <c r="Y1160" s="16"/>
      <c r="Z1160" s="16"/>
      <c r="AA1160" s="16"/>
    </row>
    <row r="1161" spans="1:27" s="2" customFormat="1" ht="14">
      <c r="A1161" s="12" t="s">
        <v>3373</v>
      </c>
      <c r="B1161" s="13" t="s">
        <v>62</v>
      </c>
      <c r="C1161" s="13" t="s">
        <v>3374</v>
      </c>
      <c r="D1161" s="13" t="s">
        <v>3375</v>
      </c>
      <c r="E1161" s="13" t="s">
        <v>267</v>
      </c>
      <c r="F1161" s="14"/>
      <c r="G1161" s="14"/>
      <c r="H1161" s="14"/>
      <c r="I1161" s="14"/>
      <c r="J1161" s="14">
        <f t="shared" si="54"/>
        <v>0</v>
      </c>
      <c r="K1161" s="14">
        <f t="shared" si="55"/>
        <v>0</v>
      </c>
      <c r="L1161" s="17">
        <f t="shared" si="56"/>
        <v>0</v>
      </c>
      <c r="M1161" s="14"/>
      <c r="N1161" s="16"/>
      <c r="O1161" s="16"/>
      <c r="P1161" s="16"/>
      <c r="Q1161" s="16"/>
      <c r="R1161" s="16"/>
      <c r="S1161" s="16"/>
      <c r="T1161" s="16"/>
      <c r="U1161" s="16"/>
      <c r="V1161" s="16"/>
      <c r="W1161" s="16"/>
      <c r="X1161" s="16"/>
      <c r="Y1161" s="16"/>
      <c r="Z1161" s="16"/>
      <c r="AA1161" s="16"/>
    </row>
    <row r="1162" spans="1:27" s="2" customFormat="1" ht="14">
      <c r="A1162" s="12" t="s">
        <v>3376</v>
      </c>
      <c r="B1162" s="13" t="s">
        <v>14</v>
      </c>
      <c r="C1162" s="13" t="s">
        <v>3377</v>
      </c>
      <c r="D1162" s="13" t="s">
        <v>3378</v>
      </c>
      <c r="E1162" s="13" t="s">
        <v>32</v>
      </c>
      <c r="F1162" s="14"/>
      <c r="G1162" s="14"/>
      <c r="H1162" s="14"/>
      <c r="I1162" s="14"/>
      <c r="J1162" s="14">
        <f t="shared" si="54"/>
        <v>0</v>
      </c>
      <c r="K1162" s="14">
        <f t="shared" si="55"/>
        <v>0</v>
      </c>
      <c r="L1162" s="17">
        <f t="shared" si="56"/>
        <v>0</v>
      </c>
      <c r="M1162" s="14"/>
      <c r="N1162" s="16"/>
      <c r="O1162" s="16"/>
      <c r="P1162" s="16"/>
      <c r="Q1162" s="16"/>
      <c r="R1162" s="16"/>
      <c r="S1162" s="16"/>
      <c r="T1162" s="16"/>
      <c r="U1162" s="16"/>
      <c r="V1162" s="16"/>
      <c r="W1162" s="16"/>
      <c r="X1162" s="16"/>
      <c r="Y1162" s="16"/>
      <c r="Z1162" s="16"/>
      <c r="AA1162" s="16"/>
    </row>
    <row r="1163" spans="1:27" s="2" customFormat="1" ht="14">
      <c r="A1163" s="12" t="s">
        <v>3379</v>
      </c>
      <c r="B1163" s="13" t="s">
        <v>14</v>
      </c>
      <c r="C1163" s="13" t="s">
        <v>3380</v>
      </c>
      <c r="D1163" s="13" t="s">
        <v>3381</v>
      </c>
      <c r="E1163" s="13" t="s">
        <v>46</v>
      </c>
      <c r="F1163" s="14"/>
      <c r="G1163" s="14"/>
      <c r="H1163" s="14"/>
      <c r="I1163" s="14"/>
      <c r="J1163" s="14">
        <f t="shared" si="54"/>
        <v>0</v>
      </c>
      <c r="K1163" s="14">
        <f t="shared" si="55"/>
        <v>0</v>
      </c>
      <c r="L1163" s="17">
        <f t="shared" si="56"/>
        <v>0</v>
      </c>
      <c r="M1163" s="14"/>
      <c r="N1163" s="16"/>
      <c r="O1163" s="16"/>
      <c r="P1163" s="16"/>
      <c r="Q1163" s="16"/>
      <c r="R1163" s="16"/>
      <c r="S1163" s="16"/>
      <c r="T1163" s="16"/>
      <c r="U1163" s="16"/>
      <c r="V1163" s="16"/>
      <c r="W1163" s="16"/>
      <c r="X1163" s="16"/>
      <c r="Y1163" s="16"/>
      <c r="Z1163" s="16"/>
      <c r="AA1163" s="16"/>
    </row>
    <row r="1164" spans="1:27" s="2" customFormat="1" ht="14">
      <c r="A1164" s="12" t="s">
        <v>3382</v>
      </c>
      <c r="B1164" s="13" t="s">
        <v>14</v>
      </c>
      <c r="C1164" s="13" t="s">
        <v>3383</v>
      </c>
      <c r="D1164" s="13" t="s">
        <v>3384</v>
      </c>
      <c r="E1164" s="13" t="s">
        <v>29</v>
      </c>
      <c r="F1164" s="14"/>
      <c r="G1164" s="14"/>
      <c r="H1164" s="14"/>
      <c r="I1164" s="14"/>
      <c r="J1164" s="14">
        <f t="shared" si="54"/>
        <v>0</v>
      </c>
      <c r="K1164" s="14">
        <f t="shared" si="55"/>
        <v>0</v>
      </c>
      <c r="L1164" s="17">
        <f t="shared" si="56"/>
        <v>0</v>
      </c>
      <c r="M1164" s="14"/>
      <c r="N1164" s="16"/>
      <c r="O1164" s="16"/>
      <c r="P1164" s="16"/>
      <c r="Q1164" s="16"/>
      <c r="R1164" s="16"/>
      <c r="S1164" s="16"/>
      <c r="T1164" s="16"/>
      <c r="U1164" s="16"/>
      <c r="V1164" s="16"/>
      <c r="W1164" s="16"/>
      <c r="X1164" s="16"/>
      <c r="Y1164" s="16"/>
      <c r="Z1164" s="16"/>
      <c r="AA1164" s="16"/>
    </row>
    <row r="1165" spans="1:27" s="2" customFormat="1" ht="14">
      <c r="A1165" s="12" t="s">
        <v>3385</v>
      </c>
      <c r="B1165" s="13" t="s">
        <v>14</v>
      </c>
      <c r="C1165" s="13" t="s">
        <v>3386</v>
      </c>
      <c r="D1165" s="13" t="s">
        <v>3387</v>
      </c>
      <c r="E1165" s="13" t="s">
        <v>215</v>
      </c>
      <c r="F1165" s="14"/>
      <c r="G1165" s="14"/>
      <c r="H1165" s="14"/>
      <c r="I1165" s="14"/>
      <c r="J1165" s="14">
        <f t="shared" si="54"/>
        <v>0</v>
      </c>
      <c r="K1165" s="14">
        <f t="shared" si="55"/>
        <v>0</v>
      </c>
      <c r="L1165" s="17">
        <f t="shared" si="56"/>
        <v>0</v>
      </c>
      <c r="M1165" s="14"/>
      <c r="N1165" s="16"/>
      <c r="O1165" s="16"/>
      <c r="P1165" s="16"/>
      <c r="Q1165" s="16"/>
      <c r="R1165" s="16"/>
      <c r="S1165" s="16"/>
      <c r="T1165" s="16"/>
      <c r="U1165" s="16"/>
      <c r="V1165" s="16"/>
      <c r="W1165" s="16"/>
      <c r="X1165" s="16"/>
      <c r="Y1165" s="16"/>
      <c r="Z1165" s="16"/>
      <c r="AA1165" s="16"/>
    </row>
    <row r="1166" spans="1:27" s="2" customFormat="1" ht="14">
      <c r="A1166" s="12" t="s">
        <v>3388</v>
      </c>
      <c r="B1166" s="13" t="s">
        <v>14</v>
      </c>
      <c r="C1166" s="13" t="s">
        <v>3389</v>
      </c>
      <c r="D1166" s="13" t="s">
        <v>3390</v>
      </c>
      <c r="E1166" s="13" t="s">
        <v>36</v>
      </c>
      <c r="F1166" s="14"/>
      <c r="G1166" s="14"/>
      <c r="H1166" s="14"/>
      <c r="I1166" s="14"/>
      <c r="J1166" s="14">
        <f t="shared" si="54"/>
        <v>0</v>
      </c>
      <c r="K1166" s="14">
        <f t="shared" si="55"/>
        <v>0</v>
      </c>
      <c r="L1166" s="17">
        <f t="shared" si="56"/>
        <v>0</v>
      </c>
      <c r="M1166" s="14"/>
      <c r="N1166" s="16"/>
      <c r="O1166" s="16"/>
      <c r="P1166" s="16"/>
      <c r="Q1166" s="16"/>
      <c r="R1166" s="16"/>
      <c r="S1166" s="16"/>
      <c r="T1166" s="16"/>
      <c r="U1166" s="16"/>
      <c r="V1166" s="16"/>
      <c r="W1166" s="16"/>
      <c r="X1166" s="16"/>
      <c r="Y1166" s="16"/>
      <c r="Z1166" s="16"/>
      <c r="AA1166" s="16"/>
    </row>
    <row r="1167" spans="1:27" s="2" customFormat="1" ht="14">
      <c r="A1167" s="12" t="s">
        <v>3391</v>
      </c>
      <c r="B1167" s="13" t="s">
        <v>62</v>
      </c>
      <c r="C1167" s="13" t="s">
        <v>3392</v>
      </c>
      <c r="D1167" s="13" t="s">
        <v>3393</v>
      </c>
      <c r="E1167" s="13" t="s">
        <v>443</v>
      </c>
      <c r="F1167" s="14"/>
      <c r="G1167" s="14"/>
      <c r="H1167" s="14"/>
      <c r="I1167" s="14"/>
      <c r="J1167" s="14">
        <f t="shared" si="54"/>
        <v>0</v>
      </c>
      <c r="K1167" s="14">
        <f t="shared" si="55"/>
        <v>0</v>
      </c>
      <c r="L1167" s="17">
        <f t="shared" si="56"/>
        <v>0</v>
      </c>
      <c r="M1167" s="14"/>
      <c r="N1167" s="16"/>
      <c r="O1167" s="16"/>
      <c r="P1167" s="16"/>
      <c r="Q1167" s="16"/>
      <c r="R1167" s="16"/>
      <c r="S1167" s="16"/>
      <c r="T1167" s="16"/>
      <c r="U1167" s="16"/>
      <c r="V1167" s="16"/>
      <c r="W1167" s="16"/>
      <c r="X1167" s="16"/>
      <c r="Y1167" s="16"/>
      <c r="Z1167" s="16"/>
      <c r="AA1167" s="16"/>
    </row>
    <row r="1168" spans="1:27" s="2" customFormat="1" ht="14">
      <c r="A1168" s="12" t="s">
        <v>3394</v>
      </c>
      <c r="B1168" s="13" t="s">
        <v>62</v>
      </c>
      <c r="C1168" s="13" t="s">
        <v>3395</v>
      </c>
      <c r="D1168" s="13" t="s">
        <v>3396</v>
      </c>
      <c r="E1168" s="13" t="s">
        <v>150</v>
      </c>
      <c r="F1168" s="14"/>
      <c r="G1168" s="14"/>
      <c r="H1168" s="14"/>
      <c r="I1168" s="14"/>
      <c r="J1168" s="14">
        <f t="shared" si="54"/>
        <v>0</v>
      </c>
      <c r="K1168" s="14">
        <f t="shared" si="55"/>
        <v>0</v>
      </c>
      <c r="L1168" s="17">
        <f t="shared" si="56"/>
        <v>0</v>
      </c>
      <c r="M1168" s="14"/>
      <c r="N1168" s="16"/>
      <c r="O1168" s="16"/>
      <c r="P1168" s="16"/>
      <c r="Q1168" s="16"/>
      <c r="R1168" s="16"/>
      <c r="S1168" s="16"/>
      <c r="T1168" s="16"/>
      <c r="U1168" s="16"/>
      <c r="V1168" s="16"/>
      <c r="W1168" s="16"/>
      <c r="X1168" s="16"/>
      <c r="Y1168" s="16"/>
      <c r="Z1168" s="16"/>
      <c r="AA1168" s="16"/>
    </row>
    <row r="1169" spans="1:27" s="2" customFormat="1" ht="14">
      <c r="A1169" s="12" t="s">
        <v>3397</v>
      </c>
      <c r="B1169" s="13" t="s">
        <v>14</v>
      </c>
      <c r="C1169" s="13" t="s">
        <v>3398</v>
      </c>
      <c r="D1169" s="13" t="s">
        <v>3399</v>
      </c>
      <c r="E1169" s="13" t="s">
        <v>17</v>
      </c>
      <c r="F1169" s="14"/>
      <c r="G1169" s="14"/>
      <c r="H1169" s="14"/>
      <c r="I1169" s="14"/>
      <c r="J1169" s="14">
        <f t="shared" si="54"/>
        <v>0</v>
      </c>
      <c r="K1169" s="14">
        <f t="shared" si="55"/>
        <v>0</v>
      </c>
      <c r="L1169" s="17">
        <f t="shared" si="56"/>
        <v>0</v>
      </c>
      <c r="M1169" s="14"/>
      <c r="N1169" s="16"/>
      <c r="O1169" s="16"/>
      <c r="P1169" s="16"/>
      <c r="Q1169" s="16"/>
      <c r="R1169" s="16"/>
      <c r="S1169" s="16"/>
      <c r="T1169" s="16"/>
      <c r="U1169" s="16"/>
      <c r="V1169" s="16"/>
      <c r="W1169" s="16"/>
      <c r="X1169" s="16"/>
      <c r="Y1169" s="16"/>
      <c r="Z1169" s="16"/>
      <c r="AA1169" s="16"/>
    </row>
    <row r="1170" spans="1:27" s="2" customFormat="1" ht="14">
      <c r="A1170" s="12">
        <v>1211292</v>
      </c>
      <c r="B1170" s="13" t="s">
        <v>14</v>
      </c>
      <c r="C1170" s="13" t="s">
        <v>3400</v>
      </c>
      <c r="D1170" s="13" t="s">
        <v>3401</v>
      </c>
      <c r="E1170" s="13" t="s">
        <v>3402</v>
      </c>
      <c r="F1170" s="14"/>
      <c r="G1170" s="14"/>
      <c r="H1170" s="14"/>
      <c r="I1170" s="14"/>
      <c r="J1170" s="14">
        <f t="shared" si="54"/>
        <v>0</v>
      </c>
      <c r="K1170" s="14">
        <f t="shared" si="55"/>
        <v>0</v>
      </c>
      <c r="L1170" s="17">
        <f t="shared" si="56"/>
        <v>0</v>
      </c>
      <c r="M1170" s="14"/>
      <c r="N1170" s="16"/>
      <c r="O1170" s="16"/>
      <c r="P1170" s="16"/>
      <c r="Q1170" s="16"/>
      <c r="R1170" s="16"/>
      <c r="S1170" s="16"/>
      <c r="T1170" s="16"/>
      <c r="U1170" s="16"/>
      <c r="V1170" s="16"/>
      <c r="W1170" s="16"/>
      <c r="X1170" s="16"/>
      <c r="Y1170" s="16"/>
      <c r="Z1170" s="16"/>
      <c r="AA1170" s="16"/>
    </row>
    <row r="1171" spans="1:27" s="2" customFormat="1" ht="14">
      <c r="A1171" s="12">
        <v>1178173</v>
      </c>
      <c r="B1171" s="13" t="s">
        <v>14</v>
      </c>
      <c r="C1171" s="13" t="s">
        <v>3403</v>
      </c>
      <c r="D1171" s="13" t="s">
        <v>3404</v>
      </c>
      <c r="E1171" s="13" t="s">
        <v>3189</v>
      </c>
      <c r="F1171" s="14"/>
      <c r="G1171" s="14"/>
      <c r="H1171" s="14"/>
      <c r="I1171" s="14"/>
      <c r="J1171" s="14">
        <f t="shared" si="54"/>
        <v>0</v>
      </c>
      <c r="K1171" s="14">
        <f t="shared" si="55"/>
        <v>0</v>
      </c>
      <c r="L1171" s="17">
        <f t="shared" si="56"/>
        <v>0</v>
      </c>
      <c r="M1171" s="14"/>
      <c r="N1171" s="16"/>
      <c r="O1171" s="16"/>
      <c r="P1171" s="16"/>
      <c r="Q1171" s="16"/>
      <c r="R1171" s="16"/>
      <c r="S1171" s="16"/>
      <c r="T1171" s="16"/>
      <c r="U1171" s="16"/>
      <c r="V1171" s="16"/>
      <c r="W1171" s="16"/>
      <c r="X1171" s="16"/>
      <c r="Y1171" s="16"/>
      <c r="Z1171" s="16"/>
      <c r="AA1171" s="16"/>
    </row>
    <row r="1172" spans="1:27" s="2" customFormat="1" ht="14">
      <c r="A1172" s="12" t="s">
        <v>3405</v>
      </c>
      <c r="B1172" s="13" t="s">
        <v>14</v>
      </c>
      <c r="C1172" s="13" t="s">
        <v>3406</v>
      </c>
      <c r="D1172" s="13" t="s">
        <v>3407</v>
      </c>
      <c r="E1172" s="13" t="s">
        <v>150</v>
      </c>
      <c r="F1172" s="14"/>
      <c r="G1172" s="14"/>
      <c r="H1172" s="14"/>
      <c r="I1172" s="14"/>
      <c r="J1172" s="14">
        <f t="shared" si="54"/>
        <v>0</v>
      </c>
      <c r="K1172" s="14">
        <f t="shared" si="55"/>
        <v>0</v>
      </c>
      <c r="L1172" s="17">
        <f t="shared" si="56"/>
        <v>0</v>
      </c>
      <c r="M1172" s="14"/>
      <c r="N1172" s="16"/>
      <c r="O1172" s="16"/>
      <c r="P1172" s="16"/>
      <c r="Q1172" s="16"/>
      <c r="R1172" s="16"/>
      <c r="S1172" s="16"/>
      <c r="T1172" s="16"/>
      <c r="U1172" s="16"/>
      <c r="V1172" s="16"/>
      <c r="W1172" s="16"/>
      <c r="X1172" s="16"/>
      <c r="Y1172" s="16"/>
      <c r="Z1172" s="16"/>
      <c r="AA1172" s="16"/>
    </row>
    <row r="1173" spans="1:27" s="2" customFormat="1" ht="14">
      <c r="A1173" s="12" t="s">
        <v>3408</v>
      </c>
      <c r="B1173" s="13" t="s">
        <v>14</v>
      </c>
      <c r="C1173" s="13" t="s">
        <v>3409</v>
      </c>
      <c r="D1173" s="13" t="s">
        <v>3410</v>
      </c>
      <c r="E1173" s="13" t="s">
        <v>36</v>
      </c>
      <c r="F1173" s="14"/>
      <c r="G1173" s="14"/>
      <c r="H1173" s="14"/>
      <c r="I1173" s="14"/>
      <c r="J1173" s="14">
        <f t="shared" si="54"/>
        <v>0</v>
      </c>
      <c r="K1173" s="14">
        <f t="shared" si="55"/>
        <v>0</v>
      </c>
      <c r="L1173" s="17">
        <f t="shared" si="56"/>
        <v>0</v>
      </c>
      <c r="M1173" s="14"/>
      <c r="N1173" s="16"/>
      <c r="O1173" s="16"/>
      <c r="P1173" s="16"/>
      <c r="Q1173" s="16"/>
      <c r="R1173" s="16"/>
      <c r="S1173" s="16"/>
      <c r="T1173" s="16"/>
      <c r="U1173" s="16"/>
      <c r="V1173" s="16"/>
      <c r="W1173" s="16"/>
      <c r="X1173" s="16"/>
      <c r="Y1173" s="16"/>
      <c r="Z1173" s="16"/>
      <c r="AA1173" s="16"/>
    </row>
    <row r="1174" spans="1:27" s="2" customFormat="1" ht="14">
      <c r="A1174" s="12" t="s">
        <v>3411</v>
      </c>
      <c r="B1174" s="13" t="s">
        <v>14</v>
      </c>
      <c r="C1174" s="13" t="s">
        <v>3412</v>
      </c>
      <c r="D1174" s="13" t="s">
        <v>3413</v>
      </c>
      <c r="E1174" s="13" t="s">
        <v>156</v>
      </c>
      <c r="F1174" s="14"/>
      <c r="G1174" s="14"/>
      <c r="H1174" s="14"/>
      <c r="I1174" s="14"/>
      <c r="J1174" s="14">
        <f t="shared" si="54"/>
        <v>0</v>
      </c>
      <c r="K1174" s="14">
        <f t="shared" si="55"/>
        <v>0</v>
      </c>
      <c r="L1174" s="17">
        <f t="shared" si="56"/>
        <v>0</v>
      </c>
      <c r="M1174" s="14"/>
      <c r="N1174" s="16"/>
      <c r="O1174" s="16"/>
      <c r="P1174" s="16"/>
      <c r="Q1174" s="16"/>
      <c r="R1174" s="16"/>
      <c r="S1174" s="16"/>
      <c r="T1174" s="16"/>
      <c r="U1174" s="16"/>
      <c r="V1174" s="16"/>
      <c r="W1174" s="16"/>
      <c r="X1174" s="16"/>
      <c r="Y1174" s="16"/>
      <c r="Z1174" s="16"/>
      <c r="AA1174" s="16"/>
    </row>
    <row r="1175" spans="1:27" s="2" customFormat="1" ht="14">
      <c r="A1175" s="12" t="s">
        <v>3414</v>
      </c>
      <c r="B1175" s="13" t="s">
        <v>14</v>
      </c>
      <c r="C1175" s="13" t="s">
        <v>3415</v>
      </c>
      <c r="D1175" s="13" t="s">
        <v>3416</v>
      </c>
      <c r="E1175" s="13" t="s">
        <v>29</v>
      </c>
      <c r="F1175" s="14"/>
      <c r="G1175" s="14"/>
      <c r="H1175" s="14"/>
      <c r="I1175" s="14"/>
      <c r="J1175" s="14">
        <f t="shared" si="54"/>
        <v>0</v>
      </c>
      <c r="K1175" s="14">
        <f t="shared" si="55"/>
        <v>0</v>
      </c>
      <c r="L1175" s="17">
        <f t="shared" si="56"/>
        <v>0</v>
      </c>
      <c r="M1175" s="14"/>
      <c r="N1175" s="16"/>
      <c r="O1175" s="16"/>
      <c r="P1175" s="16"/>
      <c r="Q1175" s="16"/>
      <c r="R1175" s="16"/>
      <c r="S1175" s="16"/>
      <c r="T1175" s="16"/>
      <c r="U1175" s="16"/>
      <c r="V1175" s="16"/>
      <c r="W1175" s="16"/>
      <c r="X1175" s="16"/>
      <c r="Y1175" s="16"/>
      <c r="Z1175" s="16"/>
      <c r="AA1175" s="16"/>
    </row>
    <row r="1176" spans="1:27" s="2" customFormat="1" ht="14">
      <c r="A1176" s="12" t="s">
        <v>3417</v>
      </c>
      <c r="B1176" s="13" t="s">
        <v>62</v>
      </c>
      <c r="C1176" s="13" t="s">
        <v>3418</v>
      </c>
      <c r="D1176" s="13" t="s">
        <v>3419</v>
      </c>
      <c r="E1176" s="13" t="s">
        <v>36</v>
      </c>
      <c r="F1176" s="14"/>
      <c r="G1176" s="14"/>
      <c r="H1176" s="14"/>
      <c r="I1176" s="14"/>
      <c r="J1176" s="14">
        <f t="shared" si="54"/>
        <v>0</v>
      </c>
      <c r="K1176" s="14">
        <f t="shared" si="55"/>
        <v>0</v>
      </c>
      <c r="L1176" s="17">
        <f t="shared" si="56"/>
        <v>0</v>
      </c>
      <c r="M1176" s="14"/>
      <c r="N1176" s="16"/>
      <c r="O1176" s="16"/>
      <c r="P1176" s="16"/>
      <c r="Q1176" s="16"/>
      <c r="R1176" s="16"/>
      <c r="S1176" s="16"/>
      <c r="T1176" s="16"/>
      <c r="U1176" s="16"/>
      <c r="V1176" s="16"/>
      <c r="W1176" s="16"/>
      <c r="X1176" s="16"/>
      <c r="Y1176" s="16"/>
      <c r="Z1176" s="16"/>
      <c r="AA1176" s="16"/>
    </row>
    <row r="1177" spans="1:27" s="2" customFormat="1" ht="14">
      <c r="A1177" s="12" t="s">
        <v>3420</v>
      </c>
      <c r="B1177" s="13" t="s">
        <v>14</v>
      </c>
      <c r="C1177" s="13" t="s">
        <v>3421</v>
      </c>
      <c r="D1177" s="13" t="s">
        <v>3422</v>
      </c>
      <c r="E1177" s="13" t="s">
        <v>156</v>
      </c>
      <c r="F1177" s="14"/>
      <c r="G1177" s="14"/>
      <c r="H1177" s="14"/>
      <c r="I1177" s="14"/>
      <c r="J1177" s="14">
        <f t="shared" si="54"/>
        <v>0</v>
      </c>
      <c r="K1177" s="14">
        <f t="shared" si="55"/>
        <v>0</v>
      </c>
      <c r="L1177" s="17">
        <f t="shared" si="56"/>
        <v>0</v>
      </c>
      <c r="M1177" s="14"/>
      <c r="N1177" s="16"/>
      <c r="O1177" s="16"/>
      <c r="P1177" s="16"/>
      <c r="Q1177" s="16"/>
      <c r="R1177" s="16"/>
      <c r="S1177" s="16"/>
      <c r="T1177" s="16"/>
      <c r="U1177" s="16"/>
      <c r="V1177" s="16"/>
      <c r="W1177" s="16"/>
      <c r="X1177" s="16"/>
      <c r="Y1177" s="16"/>
      <c r="Z1177" s="16"/>
      <c r="AA1177" s="16"/>
    </row>
    <row r="1178" spans="1:27" s="2" customFormat="1" ht="14">
      <c r="A1178" s="12" t="s">
        <v>3423</v>
      </c>
      <c r="B1178" s="13" t="s">
        <v>14</v>
      </c>
      <c r="C1178" s="13" t="s">
        <v>3424</v>
      </c>
      <c r="D1178" s="13" t="s">
        <v>3425</v>
      </c>
      <c r="E1178" s="13" t="s">
        <v>36</v>
      </c>
      <c r="F1178" s="14"/>
      <c r="G1178" s="14"/>
      <c r="H1178" s="14"/>
      <c r="I1178" s="14"/>
      <c r="J1178" s="14">
        <f t="shared" si="54"/>
        <v>0</v>
      </c>
      <c r="K1178" s="14">
        <f t="shared" si="55"/>
        <v>0</v>
      </c>
      <c r="L1178" s="17">
        <f t="shared" si="56"/>
        <v>0</v>
      </c>
      <c r="M1178" s="14"/>
      <c r="N1178" s="16"/>
      <c r="O1178" s="16"/>
      <c r="P1178" s="16"/>
      <c r="Q1178" s="16"/>
      <c r="R1178" s="16"/>
      <c r="S1178" s="16"/>
      <c r="T1178" s="16"/>
      <c r="U1178" s="16"/>
      <c r="V1178" s="16"/>
      <c r="W1178" s="16"/>
      <c r="X1178" s="16"/>
      <c r="Y1178" s="16"/>
      <c r="Z1178" s="16"/>
      <c r="AA1178" s="16"/>
    </row>
    <row r="1179" spans="1:27" s="2" customFormat="1" ht="14">
      <c r="A1179" s="12" t="s">
        <v>3426</v>
      </c>
      <c r="B1179" s="13" t="s">
        <v>14</v>
      </c>
      <c r="C1179" s="13" t="s">
        <v>3427</v>
      </c>
      <c r="D1179" s="13" t="s">
        <v>3428</v>
      </c>
      <c r="E1179" s="13" t="s">
        <v>25</v>
      </c>
      <c r="F1179" s="14"/>
      <c r="G1179" s="14"/>
      <c r="H1179" s="14"/>
      <c r="I1179" s="14"/>
      <c r="J1179" s="14">
        <f t="shared" si="54"/>
        <v>0</v>
      </c>
      <c r="K1179" s="14">
        <f t="shared" si="55"/>
        <v>0</v>
      </c>
      <c r="L1179" s="17">
        <f t="shared" si="56"/>
        <v>0</v>
      </c>
      <c r="M1179" s="14"/>
      <c r="N1179" s="16"/>
      <c r="O1179" s="16"/>
      <c r="P1179" s="16"/>
      <c r="Q1179" s="16"/>
      <c r="R1179" s="16"/>
      <c r="S1179" s="16"/>
      <c r="T1179" s="16"/>
      <c r="U1179" s="16"/>
      <c r="V1179" s="16"/>
      <c r="W1179" s="16"/>
      <c r="X1179" s="16"/>
      <c r="Y1179" s="16"/>
      <c r="Z1179" s="16"/>
      <c r="AA1179" s="16"/>
    </row>
    <row r="1180" spans="1:27" s="2" customFormat="1" ht="14">
      <c r="A1180" s="12">
        <v>1215279</v>
      </c>
      <c r="B1180" s="13" t="s">
        <v>14</v>
      </c>
      <c r="C1180" s="13" t="s">
        <v>3429</v>
      </c>
      <c r="D1180" s="13" t="s">
        <v>3430</v>
      </c>
      <c r="E1180" s="13" t="s">
        <v>3324</v>
      </c>
      <c r="F1180" s="14"/>
      <c r="G1180" s="14"/>
      <c r="H1180" s="14"/>
      <c r="I1180" s="14"/>
      <c r="J1180" s="14">
        <f t="shared" si="54"/>
        <v>0</v>
      </c>
      <c r="K1180" s="14">
        <f t="shared" si="55"/>
        <v>0</v>
      </c>
      <c r="L1180" s="17">
        <f t="shared" si="56"/>
        <v>0</v>
      </c>
      <c r="M1180" s="14"/>
      <c r="N1180" s="16"/>
      <c r="O1180" s="16"/>
      <c r="P1180" s="16"/>
      <c r="Q1180" s="16"/>
      <c r="R1180" s="16"/>
      <c r="S1180" s="16"/>
      <c r="T1180" s="16"/>
      <c r="U1180" s="16"/>
      <c r="V1180" s="16"/>
      <c r="W1180" s="16"/>
      <c r="X1180" s="16"/>
      <c r="Y1180" s="16"/>
      <c r="Z1180" s="16"/>
      <c r="AA1180" s="16"/>
    </row>
    <row r="1181" spans="1:27" s="2" customFormat="1" ht="14">
      <c r="A1181" s="12">
        <v>1178517</v>
      </c>
      <c r="B1181" s="13" t="s">
        <v>14</v>
      </c>
      <c r="C1181" s="13" t="s">
        <v>3431</v>
      </c>
      <c r="D1181" s="13" t="s">
        <v>3432</v>
      </c>
      <c r="E1181" s="13" t="s">
        <v>3433</v>
      </c>
      <c r="F1181" s="14"/>
      <c r="G1181" s="14"/>
      <c r="H1181" s="14"/>
      <c r="I1181" s="14"/>
      <c r="J1181" s="14">
        <f t="shared" si="54"/>
        <v>0</v>
      </c>
      <c r="K1181" s="14">
        <f t="shared" si="55"/>
        <v>0</v>
      </c>
      <c r="L1181" s="17">
        <f t="shared" si="56"/>
        <v>0</v>
      </c>
      <c r="M1181" s="14"/>
      <c r="N1181" s="16"/>
      <c r="O1181" s="16"/>
      <c r="P1181" s="16"/>
      <c r="Q1181" s="16"/>
      <c r="R1181" s="16"/>
      <c r="S1181" s="16"/>
      <c r="T1181" s="16"/>
      <c r="U1181" s="16"/>
      <c r="V1181" s="16"/>
      <c r="W1181" s="16"/>
      <c r="X1181" s="16"/>
      <c r="Y1181" s="16"/>
      <c r="Z1181" s="16"/>
      <c r="AA1181" s="16"/>
    </row>
    <row r="1182" spans="1:27" s="2" customFormat="1" ht="14">
      <c r="A1182" s="12" t="s">
        <v>3434</v>
      </c>
      <c r="B1182" s="13" t="s">
        <v>14</v>
      </c>
      <c r="C1182" s="13" t="s">
        <v>3435</v>
      </c>
      <c r="D1182" s="13" t="s">
        <v>3436</v>
      </c>
      <c r="E1182" s="13" t="s">
        <v>104</v>
      </c>
      <c r="F1182" s="14"/>
      <c r="G1182" s="14"/>
      <c r="H1182" s="14"/>
      <c r="I1182" s="14"/>
      <c r="J1182" s="14">
        <f t="shared" si="54"/>
        <v>0</v>
      </c>
      <c r="K1182" s="14">
        <f t="shared" si="55"/>
        <v>0</v>
      </c>
      <c r="L1182" s="17">
        <f t="shared" si="56"/>
        <v>0</v>
      </c>
      <c r="M1182" s="14"/>
      <c r="N1182" s="16"/>
      <c r="O1182" s="16"/>
      <c r="P1182" s="16"/>
      <c r="Q1182" s="16"/>
      <c r="R1182" s="16"/>
      <c r="S1182" s="16"/>
      <c r="T1182" s="16"/>
      <c r="U1182" s="16"/>
      <c r="V1182" s="16"/>
      <c r="W1182" s="16"/>
      <c r="X1182" s="16"/>
      <c r="Y1182" s="16"/>
      <c r="Z1182" s="16"/>
      <c r="AA1182" s="16"/>
    </row>
    <row r="1183" spans="1:27" s="2" customFormat="1" ht="14">
      <c r="A1183" s="12" t="s">
        <v>3437</v>
      </c>
      <c r="B1183" s="13" t="s">
        <v>14</v>
      </c>
      <c r="C1183" s="13" t="s">
        <v>3438</v>
      </c>
      <c r="D1183" s="13" t="s">
        <v>3439</v>
      </c>
      <c r="E1183" s="13" t="s">
        <v>72</v>
      </c>
      <c r="F1183" s="14"/>
      <c r="G1183" s="14"/>
      <c r="H1183" s="14"/>
      <c r="I1183" s="14"/>
      <c r="J1183" s="14">
        <f t="shared" si="54"/>
        <v>0</v>
      </c>
      <c r="K1183" s="14">
        <f t="shared" si="55"/>
        <v>0</v>
      </c>
      <c r="L1183" s="17">
        <f t="shared" si="56"/>
        <v>0</v>
      </c>
      <c r="M1183" s="14"/>
      <c r="N1183" s="16"/>
      <c r="O1183" s="16"/>
      <c r="P1183" s="16"/>
      <c r="Q1183" s="16"/>
      <c r="R1183" s="16"/>
      <c r="S1183" s="16"/>
      <c r="T1183" s="16"/>
      <c r="U1183" s="16"/>
      <c r="V1183" s="16"/>
      <c r="W1183" s="16"/>
      <c r="X1183" s="16"/>
      <c r="Y1183" s="16"/>
      <c r="Z1183" s="16"/>
      <c r="AA1183" s="16"/>
    </row>
    <row r="1184" spans="1:27" s="2" customFormat="1" ht="14">
      <c r="A1184" s="12" t="s">
        <v>3440</v>
      </c>
      <c r="B1184" s="13" t="s">
        <v>14</v>
      </c>
      <c r="C1184" s="13" t="s">
        <v>3441</v>
      </c>
      <c r="D1184" s="13" t="s">
        <v>3442</v>
      </c>
      <c r="E1184" s="13" t="s">
        <v>3402</v>
      </c>
      <c r="F1184" s="14"/>
      <c r="G1184" s="14"/>
      <c r="H1184" s="14"/>
      <c r="I1184" s="14"/>
      <c r="J1184" s="14">
        <f t="shared" si="54"/>
        <v>0</v>
      </c>
      <c r="K1184" s="14">
        <f t="shared" si="55"/>
        <v>0</v>
      </c>
      <c r="L1184" s="17">
        <f t="shared" si="56"/>
        <v>0</v>
      </c>
      <c r="M1184" s="14"/>
      <c r="N1184" s="16"/>
      <c r="O1184" s="16"/>
      <c r="P1184" s="16"/>
      <c r="Q1184" s="16"/>
      <c r="R1184" s="16"/>
      <c r="S1184" s="16"/>
      <c r="T1184" s="16"/>
      <c r="U1184" s="16"/>
      <c r="V1184" s="16"/>
      <c r="W1184" s="16"/>
      <c r="X1184" s="16"/>
      <c r="Y1184" s="16"/>
      <c r="Z1184" s="16"/>
      <c r="AA1184" s="16"/>
    </row>
    <row r="1185" spans="1:27" s="2" customFormat="1" ht="14">
      <c r="A1185" s="12" t="s">
        <v>3443</v>
      </c>
      <c r="B1185" s="13" t="s">
        <v>14</v>
      </c>
      <c r="C1185" s="13" t="s">
        <v>3444</v>
      </c>
      <c r="D1185" s="13" t="s">
        <v>3445</v>
      </c>
      <c r="E1185" s="13" t="s">
        <v>285</v>
      </c>
      <c r="F1185" s="14"/>
      <c r="G1185" s="14"/>
      <c r="H1185" s="14"/>
      <c r="I1185" s="14"/>
      <c r="J1185" s="14">
        <f t="shared" si="54"/>
        <v>0</v>
      </c>
      <c r="K1185" s="14">
        <f t="shared" si="55"/>
        <v>0</v>
      </c>
      <c r="L1185" s="17">
        <f t="shared" si="56"/>
        <v>0</v>
      </c>
      <c r="M1185" s="14"/>
      <c r="N1185" s="16"/>
      <c r="O1185" s="16"/>
      <c r="P1185" s="16"/>
      <c r="Q1185" s="16"/>
      <c r="R1185" s="16"/>
      <c r="S1185" s="16"/>
      <c r="T1185" s="16"/>
      <c r="U1185" s="16"/>
      <c r="V1185" s="16"/>
      <c r="W1185" s="16"/>
      <c r="X1185" s="16"/>
      <c r="Y1185" s="16"/>
      <c r="Z1185" s="16"/>
      <c r="AA1185" s="16"/>
    </row>
    <row r="1186" spans="1:27" s="2" customFormat="1" ht="14">
      <c r="A1186" s="12" t="s">
        <v>3446</v>
      </c>
      <c r="B1186" s="13" t="s">
        <v>14</v>
      </c>
      <c r="C1186" s="13" t="s">
        <v>3447</v>
      </c>
      <c r="D1186" s="13" t="s">
        <v>3448</v>
      </c>
      <c r="E1186" s="13" t="s">
        <v>57</v>
      </c>
      <c r="F1186" s="14"/>
      <c r="G1186" s="14"/>
      <c r="H1186" s="14"/>
      <c r="I1186" s="14"/>
      <c r="J1186" s="14">
        <f t="shared" si="54"/>
        <v>0</v>
      </c>
      <c r="K1186" s="14">
        <f t="shared" si="55"/>
        <v>0</v>
      </c>
      <c r="L1186" s="17">
        <f t="shared" si="56"/>
        <v>0</v>
      </c>
      <c r="M1186" s="14"/>
      <c r="N1186" s="16"/>
      <c r="O1186" s="16"/>
      <c r="P1186" s="16"/>
      <c r="Q1186" s="16"/>
      <c r="R1186" s="16"/>
      <c r="S1186" s="16"/>
      <c r="T1186" s="16"/>
      <c r="U1186" s="16"/>
      <c r="V1186" s="16"/>
      <c r="W1186" s="16"/>
      <c r="X1186" s="16"/>
      <c r="Y1186" s="16"/>
      <c r="Z1186" s="16"/>
      <c r="AA1186" s="16"/>
    </row>
    <row r="1187" spans="1:27" s="2" customFormat="1" ht="14">
      <c r="A1187" s="12" t="s">
        <v>3449</v>
      </c>
      <c r="B1187" s="13" t="s">
        <v>14</v>
      </c>
      <c r="C1187" s="13" t="s">
        <v>3450</v>
      </c>
      <c r="D1187" s="13" t="s">
        <v>3451</v>
      </c>
      <c r="E1187" s="13" t="s">
        <v>36</v>
      </c>
      <c r="F1187" s="14"/>
      <c r="G1187" s="14"/>
      <c r="H1187" s="14"/>
      <c r="I1187" s="14"/>
      <c r="J1187" s="14">
        <f t="shared" si="54"/>
        <v>0</v>
      </c>
      <c r="K1187" s="14">
        <f t="shared" si="55"/>
        <v>0</v>
      </c>
      <c r="L1187" s="17">
        <f t="shared" si="56"/>
        <v>0</v>
      </c>
      <c r="M1187" s="14"/>
      <c r="N1187" s="16"/>
      <c r="O1187" s="16"/>
      <c r="P1187" s="16"/>
      <c r="Q1187" s="16"/>
      <c r="R1187" s="16"/>
      <c r="S1187" s="16"/>
      <c r="T1187" s="16"/>
      <c r="U1187" s="16"/>
      <c r="V1187" s="16"/>
      <c r="W1187" s="16"/>
      <c r="X1187" s="16"/>
      <c r="Y1187" s="16"/>
      <c r="Z1187" s="16"/>
      <c r="AA1187" s="16"/>
    </row>
    <row r="1188" spans="1:27" s="2" customFormat="1" ht="14">
      <c r="A1188" s="12" t="s">
        <v>3452</v>
      </c>
      <c r="B1188" s="13" t="s">
        <v>14</v>
      </c>
      <c r="C1188" s="13" t="s">
        <v>3453</v>
      </c>
      <c r="D1188" s="13" t="s">
        <v>3454</v>
      </c>
      <c r="E1188" s="13" t="s">
        <v>183</v>
      </c>
      <c r="F1188" s="14"/>
      <c r="G1188" s="14"/>
      <c r="H1188" s="14"/>
      <c r="I1188" s="14"/>
      <c r="J1188" s="14">
        <f t="shared" si="54"/>
        <v>0</v>
      </c>
      <c r="K1188" s="14">
        <f t="shared" si="55"/>
        <v>0</v>
      </c>
      <c r="L1188" s="17">
        <f t="shared" si="56"/>
        <v>0</v>
      </c>
      <c r="M1188" s="14"/>
      <c r="N1188" s="16"/>
      <c r="O1188" s="16"/>
      <c r="P1188" s="16"/>
      <c r="Q1188" s="16"/>
      <c r="R1188" s="16"/>
      <c r="S1188" s="16"/>
      <c r="T1188" s="16"/>
      <c r="U1188" s="16"/>
      <c r="V1188" s="16"/>
      <c r="W1188" s="16"/>
      <c r="X1188" s="16"/>
      <c r="Y1188" s="16"/>
      <c r="Z1188" s="16"/>
      <c r="AA1188" s="16"/>
    </row>
    <row r="1189" spans="1:27" s="2" customFormat="1" ht="14">
      <c r="A1189" s="12" t="s">
        <v>3455</v>
      </c>
      <c r="B1189" s="13" t="s">
        <v>14</v>
      </c>
      <c r="C1189" s="13" t="s">
        <v>3456</v>
      </c>
      <c r="D1189" s="13" t="s">
        <v>3457</v>
      </c>
      <c r="E1189" s="13" t="s">
        <v>17</v>
      </c>
      <c r="F1189" s="14"/>
      <c r="G1189" s="14"/>
      <c r="H1189" s="14"/>
      <c r="I1189" s="14"/>
      <c r="J1189" s="14">
        <f t="shared" si="54"/>
        <v>0</v>
      </c>
      <c r="K1189" s="14">
        <f t="shared" si="55"/>
        <v>0</v>
      </c>
      <c r="L1189" s="17">
        <f t="shared" si="56"/>
        <v>0</v>
      </c>
      <c r="M1189" s="14"/>
      <c r="N1189" s="16"/>
      <c r="O1189" s="16"/>
      <c r="P1189" s="16"/>
      <c r="Q1189" s="16"/>
      <c r="R1189" s="16"/>
      <c r="S1189" s="16"/>
      <c r="T1189" s="16"/>
      <c r="U1189" s="16"/>
      <c r="V1189" s="16"/>
      <c r="W1189" s="16"/>
      <c r="X1189" s="16"/>
      <c r="Y1189" s="16"/>
      <c r="Z1189" s="16"/>
      <c r="AA1189" s="16"/>
    </row>
    <row r="1190" spans="1:27" s="2" customFormat="1" ht="14">
      <c r="A1190" s="12">
        <v>1233596</v>
      </c>
      <c r="B1190" s="13" t="s">
        <v>14</v>
      </c>
      <c r="C1190" s="13" t="s">
        <v>3458</v>
      </c>
      <c r="D1190" s="13" t="s">
        <v>3459</v>
      </c>
      <c r="E1190" s="13" t="s">
        <v>1579</v>
      </c>
      <c r="F1190" s="14"/>
      <c r="G1190" s="14"/>
      <c r="H1190" s="14"/>
      <c r="I1190" s="14"/>
      <c r="J1190" s="14">
        <f t="shared" si="54"/>
        <v>0</v>
      </c>
      <c r="K1190" s="14">
        <f t="shared" si="55"/>
        <v>0</v>
      </c>
      <c r="L1190" s="17">
        <f t="shared" si="56"/>
        <v>0</v>
      </c>
      <c r="M1190" s="14"/>
      <c r="N1190" s="16"/>
      <c r="O1190" s="16"/>
      <c r="P1190" s="16"/>
      <c r="Q1190" s="16"/>
      <c r="R1190" s="16"/>
      <c r="S1190" s="16"/>
      <c r="T1190" s="16"/>
      <c r="U1190" s="16"/>
      <c r="V1190" s="16"/>
      <c r="W1190" s="16"/>
      <c r="X1190" s="16"/>
      <c r="Y1190" s="16"/>
      <c r="Z1190" s="16"/>
      <c r="AA1190" s="16"/>
    </row>
    <row r="1191" spans="1:27" s="2" customFormat="1" ht="14">
      <c r="A1191" s="12" t="s">
        <v>3460</v>
      </c>
      <c r="B1191" s="13" t="s">
        <v>14</v>
      </c>
      <c r="C1191" s="13" t="s">
        <v>3461</v>
      </c>
      <c r="D1191" s="13" t="s">
        <v>3462</v>
      </c>
      <c r="E1191" s="13" t="s">
        <v>91</v>
      </c>
      <c r="F1191" s="14"/>
      <c r="G1191" s="14"/>
      <c r="H1191" s="14"/>
      <c r="I1191" s="14"/>
      <c r="J1191" s="14">
        <f t="shared" si="54"/>
        <v>0</v>
      </c>
      <c r="K1191" s="14">
        <f t="shared" si="55"/>
        <v>0</v>
      </c>
      <c r="L1191" s="17">
        <f t="shared" si="56"/>
        <v>0</v>
      </c>
      <c r="M1191" s="14"/>
      <c r="N1191" s="16"/>
      <c r="O1191" s="16"/>
      <c r="P1191" s="16"/>
      <c r="Q1191" s="16"/>
      <c r="R1191" s="16"/>
      <c r="S1191" s="16"/>
      <c r="T1191" s="16"/>
      <c r="U1191" s="16"/>
      <c r="V1191" s="16"/>
      <c r="W1191" s="16"/>
      <c r="X1191" s="16"/>
      <c r="Y1191" s="16"/>
      <c r="Z1191" s="16"/>
      <c r="AA1191" s="16"/>
    </row>
    <row r="1192" spans="1:27" s="2" customFormat="1" ht="14">
      <c r="A1192" s="12">
        <v>1216792</v>
      </c>
      <c r="B1192" s="13" t="s">
        <v>14</v>
      </c>
      <c r="C1192" s="13" t="s">
        <v>3463</v>
      </c>
      <c r="D1192" s="13" t="s">
        <v>3464</v>
      </c>
      <c r="E1192" s="13" t="s">
        <v>3465</v>
      </c>
      <c r="F1192" s="14"/>
      <c r="G1192" s="14"/>
      <c r="H1192" s="14"/>
      <c r="I1192" s="14"/>
      <c r="J1192" s="14">
        <f t="shared" si="54"/>
        <v>0</v>
      </c>
      <c r="K1192" s="14">
        <f t="shared" si="55"/>
        <v>0</v>
      </c>
      <c r="L1192" s="17">
        <f t="shared" si="56"/>
        <v>0</v>
      </c>
      <c r="M1192" s="14"/>
      <c r="N1192" s="16"/>
      <c r="O1192" s="16"/>
      <c r="P1192" s="16"/>
      <c r="Q1192" s="16"/>
      <c r="R1192" s="16"/>
      <c r="S1192" s="16"/>
      <c r="T1192" s="16"/>
      <c r="U1192" s="16"/>
      <c r="V1192" s="16"/>
      <c r="W1192" s="16"/>
      <c r="X1192" s="16"/>
      <c r="Y1192" s="16"/>
      <c r="Z1192" s="16"/>
      <c r="AA1192" s="16"/>
    </row>
    <row r="1193" spans="1:27" s="2" customFormat="1" ht="14">
      <c r="A1193" s="12" t="s">
        <v>3466</v>
      </c>
      <c r="B1193" s="13" t="s">
        <v>14</v>
      </c>
      <c r="C1193" s="13" t="s">
        <v>3467</v>
      </c>
      <c r="D1193" s="13" t="s">
        <v>3468</v>
      </c>
      <c r="E1193" s="13" t="s">
        <v>104</v>
      </c>
      <c r="F1193" s="14"/>
      <c r="G1193" s="14"/>
      <c r="H1193" s="14"/>
      <c r="I1193" s="14"/>
      <c r="J1193" s="14">
        <f t="shared" si="54"/>
        <v>0</v>
      </c>
      <c r="K1193" s="14">
        <f t="shared" si="55"/>
        <v>0</v>
      </c>
      <c r="L1193" s="17">
        <f t="shared" si="56"/>
        <v>0</v>
      </c>
      <c r="M1193" s="14"/>
      <c r="N1193" s="16"/>
      <c r="O1193" s="16"/>
      <c r="P1193" s="16"/>
      <c r="Q1193" s="16"/>
      <c r="R1193" s="16"/>
      <c r="S1193" s="16"/>
      <c r="T1193" s="16"/>
      <c r="U1193" s="16"/>
      <c r="V1193" s="16"/>
      <c r="W1193" s="16"/>
      <c r="X1193" s="16"/>
      <c r="Y1193" s="16"/>
      <c r="Z1193" s="16"/>
      <c r="AA1193" s="16"/>
    </row>
    <row r="1194" spans="1:27" s="2" customFormat="1" ht="14">
      <c r="A1194" s="12" t="s">
        <v>3469</v>
      </c>
      <c r="B1194" s="13" t="s">
        <v>14</v>
      </c>
      <c r="C1194" s="13" t="s">
        <v>3470</v>
      </c>
      <c r="D1194" s="13" t="s">
        <v>3471</v>
      </c>
      <c r="E1194" s="13" t="s">
        <v>446</v>
      </c>
      <c r="F1194" s="14"/>
      <c r="G1194" s="14"/>
      <c r="H1194" s="14"/>
      <c r="I1194" s="14"/>
      <c r="J1194" s="14">
        <f t="shared" si="54"/>
        <v>0</v>
      </c>
      <c r="K1194" s="14">
        <f t="shared" si="55"/>
        <v>0</v>
      </c>
      <c r="L1194" s="17">
        <f t="shared" si="56"/>
        <v>0</v>
      </c>
      <c r="M1194" s="14"/>
      <c r="N1194" s="16"/>
      <c r="O1194" s="16"/>
      <c r="P1194" s="16"/>
      <c r="Q1194" s="16"/>
      <c r="R1194" s="16"/>
      <c r="S1194" s="16"/>
      <c r="T1194" s="16"/>
      <c r="U1194" s="16"/>
      <c r="V1194" s="16"/>
      <c r="W1194" s="16"/>
      <c r="X1194" s="16"/>
      <c r="Y1194" s="16"/>
      <c r="Z1194" s="16"/>
      <c r="AA1194" s="16"/>
    </row>
    <row r="1195" spans="1:27" s="2" customFormat="1" ht="14">
      <c r="A1195" s="12" t="s">
        <v>3472</v>
      </c>
      <c r="B1195" s="13" t="s">
        <v>14</v>
      </c>
      <c r="C1195" s="13" t="s">
        <v>3473</v>
      </c>
      <c r="D1195" s="13" t="s">
        <v>3474</v>
      </c>
      <c r="E1195" s="13" t="s">
        <v>29</v>
      </c>
      <c r="F1195" s="14"/>
      <c r="G1195" s="14"/>
      <c r="H1195" s="14"/>
      <c r="I1195" s="14"/>
      <c r="J1195" s="14">
        <f t="shared" si="54"/>
        <v>0</v>
      </c>
      <c r="K1195" s="14">
        <f t="shared" si="55"/>
        <v>0</v>
      </c>
      <c r="L1195" s="17">
        <f t="shared" si="56"/>
        <v>0</v>
      </c>
      <c r="M1195" s="14"/>
      <c r="N1195" s="16"/>
      <c r="O1195" s="16"/>
      <c r="P1195" s="16"/>
      <c r="Q1195" s="16"/>
      <c r="R1195" s="16"/>
      <c r="S1195" s="16"/>
      <c r="T1195" s="16"/>
      <c r="U1195" s="16"/>
      <c r="V1195" s="16"/>
      <c r="W1195" s="16"/>
      <c r="X1195" s="16"/>
      <c r="Y1195" s="16"/>
      <c r="Z1195" s="16"/>
      <c r="AA1195" s="16"/>
    </row>
    <row r="1196" spans="1:27" s="2" customFormat="1" ht="14">
      <c r="A1196" s="12" t="s">
        <v>3475</v>
      </c>
      <c r="B1196" s="13" t="s">
        <v>62</v>
      </c>
      <c r="C1196" s="13" t="s">
        <v>3476</v>
      </c>
      <c r="D1196" s="13" t="s">
        <v>3477</v>
      </c>
      <c r="E1196" s="13" t="s">
        <v>120</v>
      </c>
      <c r="F1196" s="14"/>
      <c r="G1196" s="14"/>
      <c r="H1196" s="14"/>
      <c r="I1196" s="14"/>
      <c r="J1196" s="14">
        <f t="shared" si="54"/>
        <v>0</v>
      </c>
      <c r="K1196" s="14">
        <f t="shared" si="55"/>
        <v>0</v>
      </c>
      <c r="L1196" s="17">
        <f t="shared" si="56"/>
        <v>0</v>
      </c>
      <c r="M1196" s="14"/>
      <c r="N1196" s="16"/>
      <c r="O1196" s="16"/>
      <c r="P1196" s="16"/>
      <c r="Q1196" s="16"/>
      <c r="R1196" s="16"/>
      <c r="S1196" s="16"/>
      <c r="T1196" s="16"/>
      <c r="U1196" s="16"/>
      <c r="V1196" s="16"/>
      <c r="W1196" s="16"/>
      <c r="X1196" s="16"/>
      <c r="Y1196" s="16"/>
      <c r="Z1196" s="16"/>
      <c r="AA1196" s="16"/>
    </row>
    <row r="1197" spans="1:27" s="2" customFormat="1" ht="14">
      <c r="A1197" s="12" t="s">
        <v>3478</v>
      </c>
      <c r="B1197" s="13" t="s">
        <v>14</v>
      </c>
      <c r="C1197" s="13" t="s">
        <v>3479</v>
      </c>
      <c r="D1197" s="13" t="s">
        <v>3480</v>
      </c>
      <c r="E1197" s="13" t="s">
        <v>21</v>
      </c>
      <c r="F1197" s="14"/>
      <c r="G1197" s="14"/>
      <c r="H1197" s="14"/>
      <c r="I1197" s="14"/>
      <c r="J1197" s="14">
        <f t="shared" si="54"/>
        <v>0</v>
      </c>
      <c r="K1197" s="14">
        <f t="shared" si="55"/>
        <v>0</v>
      </c>
      <c r="L1197" s="17">
        <f t="shared" si="56"/>
        <v>0</v>
      </c>
      <c r="M1197" s="14"/>
      <c r="N1197" s="16"/>
      <c r="O1197" s="16"/>
      <c r="P1197" s="16"/>
      <c r="Q1197" s="16"/>
      <c r="R1197" s="16"/>
      <c r="S1197" s="16"/>
      <c r="T1197" s="16"/>
      <c r="U1197" s="16"/>
      <c r="V1197" s="16"/>
      <c r="W1197" s="16"/>
      <c r="X1197" s="16"/>
      <c r="Y1197" s="16"/>
      <c r="Z1197" s="16"/>
      <c r="AA1197" s="16"/>
    </row>
    <row r="1198" spans="1:27" s="2" customFormat="1" ht="14">
      <c r="A1198" s="12" t="s">
        <v>3481</v>
      </c>
      <c r="B1198" s="13" t="s">
        <v>62</v>
      </c>
      <c r="C1198" s="13" t="s">
        <v>3482</v>
      </c>
      <c r="D1198" s="13" t="s">
        <v>3483</v>
      </c>
      <c r="E1198" s="13" t="s">
        <v>126</v>
      </c>
      <c r="F1198" s="14"/>
      <c r="G1198" s="14"/>
      <c r="H1198" s="14"/>
      <c r="I1198" s="14"/>
      <c r="J1198" s="14">
        <f t="shared" si="54"/>
        <v>0</v>
      </c>
      <c r="K1198" s="14">
        <f t="shared" si="55"/>
        <v>0</v>
      </c>
      <c r="L1198" s="17">
        <f t="shared" si="56"/>
        <v>0</v>
      </c>
      <c r="M1198" s="14"/>
      <c r="N1198" s="16"/>
      <c r="O1198" s="16"/>
      <c r="P1198" s="16"/>
      <c r="Q1198" s="16"/>
      <c r="R1198" s="16"/>
      <c r="S1198" s="16"/>
      <c r="T1198" s="16"/>
      <c r="U1198" s="16"/>
      <c r="V1198" s="16"/>
      <c r="W1198" s="16"/>
      <c r="X1198" s="16"/>
      <c r="Y1198" s="16"/>
      <c r="Z1198" s="16"/>
      <c r="AA1198" s="16"/>
    </row>
    <row r="1199" spans="1:27" s="2" customFormat="1" ht="14">
      <c r="A1199" s="12" t="s">
        <v>3484</v>
      </c>
      <c r="B1199" s="13" t="s">
        <v>14</v>
      </c>
      <c r="C1199" s="13" t="s">
        <v>3485</v>
      </c>
      <c r="D1199" s="13" t="s">
        <v>3486</v>
      </c>
      <c r="E1199" s="13" t="s">
        <v>25</v>
      </c>
      <c r="F1199" s="14"/>
      <c r="G1199" s="14"/>
      <c r="H1199" s="14"/>
      <c r="I1199" s="14"/>
      <c r="J1199" s="14">
        <f t="shared" si="54"/>
        <v>0</v>
      </c>
      <c r="K1199" s="14">
        <f t="shared" si="55"/>
        <v>0</v>
      </c>
      <c r="L1199" s="17">
        <f t="shared" si="56"/>
        <v>0</v>
      </c>
      <c r="M1199" s="14"/>
      <c r="N1199" s="16"/>
      <c r="O1199" s="16"/>
      <c r="P1199" s="16"/>
      <c r="Q1199" s="16"/>
      <c r="R1199" s="16"/>
      <c r="S1199" s="16"/>
      <c r="T1199" s="16"/>
      <c r="U1199" s="16"/>
      <c r="V1199" s="16"/>
      <c r="W1199" s="16"/>
      <c r="X1199" s="16"/>
      <c r="Y1199" s="16"/>
      <c r="Z1199" s="16"/>
      <c r="AA1199" s="16"/>
    </row>
    <row r="1200" spans="1:27" s="2" customFormat="1" ht="14">
      <c r="A1200" s="12">
        <v>1235764</v>
      </c>
      <c r="B1200" s="13" t="s">
        <v>14</v>
      </c>
      <c r="C1200" s="13" t="s">
        <v>3487</v>
      </c>
      <c r="D1200" s="13" t="s">
        <v>3488</v>
      </c>
      <c r="E1200" s="13" t="s">
        <v>3402</v>
      </c>
      <c r="F1200" s="14"/>
      <c r="G1200" s="14"/>
      <c r="H1200" s="14"/>
      <c r="I1200" s="14"/>
      <c r="J1200" s="14">
        <f t="shared" si="54"/>
        <v>0</v>
      </c>
      <c r="K1200" s="14">
        <f t="shared" si="55"/>
        <v>0</v>
      </c>
      <c r="L1200" s="17">
        <f t="shared" si="56"/>
        <v>0</v>
      </c>
      <c r="M1200" s="14"/>
      <c r="N1200" s="16"/>
      <c r="O1200" s="16"/>
      <c r="P1200" s="16"/>
      <c r="Q1200" s="16"/>
      <c r="R1200" s="16"/>
      <c r="S1200" s="16"/>
      <c r="T1200" s="16"/>
      <c r="U1200" s="16"/>
      <c r="V1200" s="16"/>
      <c r="W1200" s="16"/>
      <c r="X1200" s="16"/>
      <c r="Y1200" s="16"/>
      <c r="Z1200" s="16"/>
      <c r="AA1200" s="16"/>
    </row>
    <row r="1201" spans="1:27" s="2" customFormat="1" ht="14">
      <c r="A1201" s="12" t="s">
        <v>3489</v>
      </c>
      <c r="B1201" s="13" t="s">
        <v>14</v>
      </c>
      <c r="C1201" s="13" t="s">
        <v>3490</v>
      </c>
      <c r="D1201" s="13" t="s">
        <v>3491</v>
      </c>
      <c r="E1201" s="13" t="s">
        <v>36</v>
      </c>
      <c r="F1201" s="14"/>
      <c r="G1201" s="14"/>
      <c r="H1201" s="14"/>
      <c r="I1201" s="14"/>
      <c r="J1201" s="14">
        <f t="shared" si="54"/>
        <v>0</v>
      </c>
      <c r="K1201" s="14">
        <f t="shared" si="55"/>
        <v>0</v>
      </c>
      <c r="L1201" s="17">
        <f t="shared" si="56"/>
        <v>0</v>
      </c>
      <c r="M1201" s="14"/>
      <c r="N1201" s="16"/>
      <c r="O1201" s="16"/>
      <c r="P1201" s="16"/>
      <c r="Q1201" s="16"/>
      <c r="R1201" s="16"/>
      <c r="S1201" s="16"/>
      <c r="T1201" s="16"/>
      <c r="U1201" s="16"/>
      <c r="V1201" s="16"/>
      <c r="W1201" s="16"/>
      <c r="X1201" s="16"/>
      <c r="Y1201" s="16"/>
      <c r="Z1201" s="16"/>
      <c r="AA1201" s="16"/>
    </row>
    <row r="1202" spans="1:27" s="2" customFormat="1" ht="14">
      <c r="A1202" s="12" t="s">
        <v>3492</v>
      </c>
      <c r="B1202" s="13" t="s">
        <v>62</v>
      </c>
      <c r="C1202" s="13" t="s">
        <v>3493</v>
      </c>
      <c r="D1202" s="13" t="s">
        <v>3494</v>
      </c>
      <c r="E1202" s="13" t="s">
        <v>354</v>
      </c>
      <c r="F1202" s="14"/>
      <c r="G1202" s="14"/>
      <c r="H1202" s="14"/>
      <c r="I1202" s="14"/>
      <c r="J1202" s="14">
        <f t="shared" si="54"/>
        <v>0</v>
      </c>
      <c r="K1202" s="14">
        <f t="shared" si="55"/>
        <v>0</v>
      </c>
      <c r="L1202" s="17">
        <f t="shared" si="56"/>
        <v>0</v>
      </c>
      <c r="M1202" s="14"/>
      <c r="N1202" s="16"/>
      <c r="O1202" s="16"/>
      <c r="P1202" s="16"/>
      <c r="Q1202" s="16"/>
      <c r="R1202" s="16"/>
      <c r="S1202" s="16"/>
      <c r="T1202" s="16"/>
      <c r="U1202" s="16"/>
      <c r="V1202" s="16"/>
      <c r="W1202" s="16"/>
      <c r="X1202" s="16"/>
      <c r="Y1202" s="16"/>
      <c r="Z1202" s="16"/>
      <c r="AA1202" s="16"/>
    </row>
    <row r="1203" spans="1:27" s="2" customFormat="1" ht="14">
      <c r="A1203" s="12" t="s">
        <v>3495</v>
      </c>
      <c r="B1203" s="13" t="s">
        <v>62</v>
      </c>
      <c r="C1203" s="13" t="s">
        <v>3496</v>
      </c>
      <c r="D1203" s="13" t="s">
        <v>3497</v>
      </c>
      <c r="E1203" s="13" t="s">
        <v>183</v>
      </c>
      <c r="F1203" s="14"/>
      <c r="G1203" s="14"/>
      <c r="H1203" s="14"/>
      <c r="I1203" s="14"/>
      <c r="J1203" s="14">
        <f t="shared" si="54"/>
        <v>0</v>
      </c>
      <c r="K1203" s="14">
        <f t="shared" si="55"/>
        <v>0</v>
      </c>
      <c r="L1203" s="17">
        <f t="shared" si="56"/>
        <v>0</v>
      </c>
      <c r="M1203" s="14"/>
      <c r="N1203" s="16"/>
      <c r="O1203" s="16"/>
      <c r="P1203" s="16"/>
      <c r="Q1203" s="16"/>
      <c r="R1203" s="16"/>
      <c r="S1203" s="16"/>
      <c r="T1203" s="16"/>
      <c r="U1203" s="16"/>
      <c r="V1203" s="16"/>
      <c r="W1203" s="16"/>
      <c r="X1203" s="16"/>
      <c r="Y1203" s="16"/>
      <c r="Z1203" s="16"/>
      <c r="AA1203" s="16"/>
    </row>
    <row r="1204" spans="1:27" s="2" customFormat="1" ht="14">
      <c r="A1204" s="12" t="s">
        <v>3498</v>
      </c>
      <c r="B1204" s="13" t="s">
        <v>14</v>
      </c>
      <c r="C1204" s="13" t="s">
        <v>3499</v>
      </c>
      <c r="D1204" s="13" t="s">
        <v>3500</v>
      </c>
      <c r="E1204" s="13" t="s">
        <v>205</v>
      </c>
      <c r="F1204" s="14"/>
      <c r="G1204" s="14"/>
      <c r="H1204" s="14"/>
      <c r="I1204" s="14"/>
      <c r="J1204" s="14">
        <f t="shared" si="54"/>
        <v>0</v>
      </c>
      <c r="K1204" s="14">
        <f t="shared" si="55"/>
        <v>0</v>
      </c>
      <c r="L1204" s="17">
        <f t="shared" si="56"/>
        <v>0</v>
      </c>
      <c r="M1204" s="14"/>
      <c r="N1204" s="16"/>
      <c r="O1204" s="16"/>
      <c r="P1204" s="16"/>
      <c r="Q1204" s="16"/>
      <c r="R1204" s="16"/>
      <c r="S1204" s="16"/>
      <c r="T1204" s="16"/>
      <c r="U1204" s="16"/>
      <c r="V1204" s="16"/>
      <c r="W1204" s="16"/>
      <c r="X1204" s="16"/>
      <c r="Y1204" s="16"/>
      <c r="Z1204" s="16"/>
      <c r="AA1204" s="16"/>
    </row>
    <row r="1205" spans="1:27" s="2" customFormat="1" ht="14">
      <c r="A1205" s="12" t="s">
        <v>3501</v>
      </c>
      <c r="B1205" s="13" t="s">
        <v>62</v>
      </c>
      <c r="C1205" s="13" t="s">
        <v>3502</v>
      </c>
      <c r="D1205" s="13" t="s">
        <v>3503</v>
      </c>
      <c r="E1205" s="13" t="s">
        <v>46</v>
      </c>
      <c r="F1205" s="14"/>
      <c r="G1205" s="14"/>
      <c r="H1205" s="14"/>
      <c r="I1205" s="14"/>
      <c r="J1205" s="14">
        <f t="shared" si="54"/>
        <v>0</v>
      </c>
      <c r="K1205" s="14">
        <f t="shared" si="55"/>
        <v>0</v>
      </c>
      <c r="L1205" s="17">
        <f t="shared" si="56"/>
        <v>0</v>
      </c>
      <c r="M1205" s="14"/>
      <c r="N1205" s="16"/>
      <c r="O1205" s="16"/>
      <c r="P1205" s="16"/>
      <c r="Q1205" s="16"/>
      <c r="R1205" s="16"/>
      <c r="S1205" s="16"/>
      <c r="T1205" s="16"/>
      <c r="U1205" s="16"/>
      <c r="V1205" s="16"/>
      <c r="W1205" s="16"/>
      <c r="X1205" s="16"/>
      <c r="Y1205" s="16"/>
      <c r="Z1205" s="16"/>
      <c r="AA1205" s="16"/>
    </row>
    <row r="1206" spans="1:27" s="2" customFormat="1" ht="14">
      <c r="A1206" s="12">
        <v>1237505</v>
      </c>
      <c r="B1206" s="13" t="s">
        <v>14</v>
      </c>
      <c r="C1206" s="13" t="s">
        <v>3504</v>
      </c>
      <c r="D1206" s="13" t="s">
        <v>3505</v>
      </c>
      <c r="E1206" s="13" t="s">
        <v>3506</v>
      </c>
      <c r="F1206" s="14"/>
      <c r="G1206" s="14"/>
      <c r="H1206" s="14"/>
      <c r="I1206" s="14"/>
      <c r="J1206" s="14">
        <f t="shared" si="54"/>
        <v>0</v>
      </c>
      <c r="K1206" s="14">
        <f t="shared" si="55"/>
        <v>0</v>
      </c>
      <c r="L1206" s="17">
        <f t="shared" si="56"/>
        <v>0</v>
      </c>
      <c r="M1206" s="14"/>
      <c r="N1206" s="16"/>
      <c r="O1206" s="16"/>
      <c r="P1206" s="16"/>
      <c r="Q1206" s="16"/>
      <c r="R1206" s="16"/>
      <c r="S1206" s="16"/>
      <c r="T1206" s="16"/>
      <c r="U1206" s="16"/>
      <c r="V1206" s="16"/>
      <c r="W1206" s="16"/>
      <c r="X1206" s="16"/>
      <c r="Y1206" s="16"/>
      <c r="Z1206" s="16"/>
      <c r="AA1206" s="16"/>
    </row>
    <row r="1207" spans="1:27" s="2" customFormat="1" ht="14">
      <c r="A1207" s="12">
        <v>1238003</v>
      </c>
      <c r="B1207" s="13" t="s">
        <v>14</v>
      </c>
      <c r="C1207" s="13" t="s">
        <v>3507</v>
      </c>
      <c r="D1207" s="13" t="s">
        <v>3508</v>
      </c>
      <c r="E1207" s="13" t="s">
        <v>3509</v>
      </c>
      <c r="F1207" s="14"/>
      <c r="G1207" s="14"/>
      <c r="H1207" s="14"/>
      <c r="I1207" s="14"/>
      <c r="J1207" s="14">
        <f t="shared" si="54"/>
        <v>0</v>
      </c>
      <c r="K1207" s="14">
        <f t="shared" si="55"/>
        <v>0</v>
      </c>
      <c r="L1207" s="17">
        <f t="shared" si="56"/>
        <v>0</v>
      </c>
      <c r="M1207" s="14"/>
      <c r="N1207" s="16"/>
      <c r="O1207" s="16"/>
      <c r="P1207" s="16"/>
      <c r="Q1207" s="16"/>
      <c r="R1207" s="16"/>
      <c r="S1207" s="16"/>
      <c r="T1207" s="16"/>
      <c r="U1207" s="16"/>
      <c r="V1207" s="16"/>
      <c r="W1207" s="16"/>
      <c r="X1207" s="16"/>
      <c r="Y1207" s="16"/>
      <c r="Z1207" s="16"/>
      <c r="AA1207" s="16"/>
    </row>
    <row r="1208" spans="1:27" s="2" customFormat="1" ht="14">
      <c r="A1208" s="12">
        <v>1237642</v>
      </c>
      <c r="B1208" s="13" t="s">
        <v>14</v>
      </c>
      <c r="C1208" s="13" t="s">
        <v>3510</v>
      </c>
      <c r="D1208" s="13" t="s">
        <v>3511</v>
      </c>
      <c r="E1208" s="13" t="s">
        <v>3512</v>
      </c>
      <c r="F1208" s="14"/>
      <c r="G1208" s="14"/>
      <c r="H1208" s="14"/>
      <c r="I1208" s="14"/>
      <c r="J1208" s="14">
        <f t="shared" si="54"/>
        <v>0</v>
      </c>
      <c r="K1208" s="14">
        <f t="shared" si="55"/>
        <v>0</v>
      </c>
      <c r="L1208" s="17">
        <f t="shared" si="56"/>
        <v>0</v>
      </c>
      <c r="M1208" s="14"/>
      <c r="N1208" s="16"/>
      <c r="O1208" s="16"/>
      <c r="P1208" s="16"/>
      <c r="Q1208" s="16"/>
      <c r="R1208" s="16"/>
      <c r="S1208" s="16"/>
      <c r="T1208" s="16"/>
      <c r="U1208" s="16"/>
      <c r="V1208" s="16"/>
      <c r="W1208" s="16"/>
      <c r="X1208" s="16"/>
      <c r="Y1208" s="16"/>
      <c r="Z1208" s="16"/>
      <c r="AA1208" s="16"/>
    </row>
    <row r="1209" spans="1:27" s="2" customFormat="1" ht="14">
      <c r="A1209" s="12" t="s">
        <v>3513</v>
      </c>
      <c r="B1209" s="13" t="s">
        <v>62</v>
      </c>
      <c r="C1209" s="13" t="s">
        <v>3514</v>
      </c>
      <c r="D1209" s="13" t="s">
        <v>3515</v>
      </c>
      <c r="E1209" s="13" t="s">
        <v>91</v>
      </c>
      <c r="F1209" s="14"/>
      <c r="G1209" s="14"/>
      <c r="H1209" s="14"/>
      <c r="I1209" s="14"/>
      <c r="J1209" s="14">
        <f t="shared" si="54"/>
        <v>0</v>
      </c>
      <c r="K1209" s="14">
        <f t="shared" si="55"/>
        <v>0</v>
      </c>
      <c r="L1209" s="17">
        <f t="shared" si="56"/>
        <v>0</v>
      </c>
      <c r="M1209" s="14"/>
      <c r="N1209" s="16"/>
      <c r="O1209" s="16"/>
      <c r="P1209" s="16"/>
      <c r="Q1209" s="16"/>
      <c r="R1209" s="16"/>
      <c r="S1209" s="16"/>
      <c r="T1209" s="16"/>
      <c r="U1209" s="16"/>
      <c r="V1209" s="16"/>
      <c r="W1209" s="16"/>
      <c r="X1209" s="16"/>
      <c r="Y1209" s="16"/>
      <c r="Z1209" s="16"/>
      <c r="AA1209" s="16"/>
    </row>
    <row r="1210" spans="1:27" s="2" customFormat="1" ht="14">
      <c r="A1210" s="12" t="s">
        <v>3516</v>
      </c>
      <c r="B1210" s="13" t="s">
        <v>14</v>
      </c>
      <c r="C1210" s="13" t="s">
        <v>3517</v>
      </c>
      <c r="D1210" s="13" t="s">
        <v>3518</v>
      </c>
      <c r="E1210" s="13" t="s">
        <v>46</v>
      </c>
      <c r="F1210" s="14"/>
      <c r="G1210" s="14"/>
      <c r="H1210" s="14"/>
      <c r="I1210" s="14"/>
      <c r="J1210" s="14">
        <f t="shared" si="54"/>
        <v>0</v>
      </c>
      <c r="K1210" s="14">
        <f t="shared" si="55"/>
        <v>0</v>
      </c>
      <c r="L1210" s="17">
        <f t="shared" si="56"/>
        <v>0</v>
      </c>
      <c r="M1210" s="14"/>
      <c r="N1210" s="16"/>
      <c r="O1210" s="16"/>
      <c r="P1210" s="16"/>
      <c r="Q1210" s="16"/>
      <c r="R1210" s="16"/>
      <c r="S1210" s="16"/>
      <c r="T1210" s="16"/>
      <c r="U1210" s="16"/>
      <c r="V1210" s="16"/>
      <c r="W1210" s="16"/>
      <c r="X1210" s="16"/>
      <c r="Y1210" s="16"/>
      <c r="Z1210" s="16"/>
      <c r="AA1210" s="16"/>
    </row>
    <row r="1211" spans="1:27" s="2" customFormat="1" ht="14">
      <c r="A1211" s="12" t="s">
        <v>3519</v>
      </c>
      <c r="B1211" s="13" t="s">
        <v>14</v>
      </c>
      <c r="C1211" s="13" t="s">
        <v>3520</v>
      </c>
      <c r="D1211" s="13" t="s">
        <v>3521</v>
      </c>
      <c r="E1211" s="13" t="s">
        <v>215</v>
      </c>
      <c r="F1211" s="14"/>
      <c r="G1211" s="14"/>
      <c r="H1211" s="14"/>
      <c r="I1211" s="14"/>
      <c r="J1211" s="14">
        <f t="shared" si="54"/>
        <v>0</v>
      </c>
      <c r="K1211" s="14">
        <f t="shared" si="55"/>
        <v>0</v>
      </c>
      <c r="L1211" s="17">
        <f t="shared" si="56"/>
        <v>0</v>
      </c>
      <c r="M1211" s="14"/>
      <c r="N1211" s="16"/>
      <c r="O1211" s="16"/>
      <c r="P1211" s="16"/>
      <c r="Q1211" s="16"/>
      <c r="R1211" s="16"/>
      <c r="S1211" s="16"/>
      <c r="T1211" s="16"/>
      <c r="U1211" s="16"/>
      <c r="V1211" s="16"/>
      <c r="W1211" s="16"/>
      <c r="X1211" s="16"/>
      <c r="Y1211" s="16"/>
      <c r="Z1211" s="16"/>
      <c r="AA1211" s="16"/>
    </row>
    <row r="1212" spans="1:27" s="2" customFormat="1" ht="14">
      <c r="A1212" s="12" t="s">
        <v>3522</v>
      </c>
      <c r="B1212" s="13" t="s">
        <v>62</v>
      </c>
      <c r="C1212" s="13" t="s">
        <v>3523</v>
      </c>
      <c r="D1212" s="13" t="s">
        <v>3524</v>
      </c>
      <c r="E1212" s="13" t="s">
        <v>25</v>
      </c>
      <c r="F1212" s="14"/>
      <c r="G1212" s="14"/>
      <c r="H1212" s="14"/>
      <c r="I1212" s="14"/>
      <c r="J1212" s="14">
        <f t="shared" si="54"/>
        <v>0</v>
      </c>
      <c r="K1212" s="14">
        <f t="shared" si="55"/>
        <v>0</v>
      </c>
      <c r="L1212" s="17">
        <f t="shared" si="56"/>
        <v>0</v>
      </c>
      <c r="M1212" s="14"/>
      <c r="N1212" s="16"/>
      <c r="O1212" s="16"/>
      <c r="P1212" s="16"/>
      <c r="Q1212" s="16"/>
      <c r="R1212" s="16"/>
      <c r="S1212" s="16"/>
      <c r="T1212" s="16"/>
      <c r="U1212" s="16"/>
      <c r="V1212" s="16"/>
      <c r="W1212" s="16"/>
      <c r="X1212" s="16"/>
      <c r="Y1212" s="16"/>
      <c r="Z1212" s="16"/>
      <c r="AA1212" s="16"/>
    </row>
    <row r="1213" spans="1:27" s="2" customFormat="1" ht="14">
      <c r="A1213" s="12" t="s">
        <v>3525</v>
      </c>
      <c r="B1213" s="13" t="s">
        <v>14</v>
      </c>
      <c r="C1213" s="13" t="s">
        <v>3526</v>
      </c>
      <c r="D1213" s="13" t="s">
        <v>3527</v>
      </c>
      <c r="E1213" s="13" t="s">
        <v>488</v>
      </c>
      <c r="F1213" s="14"/>
      <c r="G1213" s="14"/>
      <c r="H1213" s="14"/>
      <c r="I1213" s="14"/>
      <c r="J1213" s="14">
        <f t="shared" si="54"/>
        <v>0</v>
      </c>
      <c r="K1213" s="14">
        <f t="shared" si="55"/>
        <v>0</v>
      </c>
      <c r="L1213" s="17">
        <f t="shared" si="56"/>
        <v>0</v>
      </c>
      <c r="M1213" s="14"/>
      <c r="N1213" s="16"/>
      <c r="O1213" s="16"/>
      <c r="P1213" s="16"/>
      <c r="Q1213" s="16"/>
      <c r="R1213" s="16"/>
      <c r="S1213" s="16"/>
      <c r="T1213" s="16"/>
      <c r="U1213" s="16"/>
      <c r="V1213" s="16"/>
      <c r="W1213" s="16"/>
      <c r="X1213" s="16"/>
      <c r="Y1213" s="16"/>
      <c r="Z1213" s="16"/>
      <c r="AA1213" s="16"/>
    </row>
    <row r="1214" spans="1:27" s="2" customFormat="1" ht="14">
      <c r="A1214" s="12">
        <v>1240881</v>
      </c>
      <c r="B1214" s="13" t="s">
        <v>14</v>
      </c>
      <c r="C1214" s="13" t="s">
        <v>3528</v>
      </c>
      <c r="D1214" s="13" t="s">
        <v>3529</v>
      </c>
      <c r="E1214" s="13" t="s">
        <v>3530</v>
      </c>
      <c r="F1214" s="14"/>
      <c r="G1214" s="14"/>
      <c r="H1214" s="14"/>
      <c r="I1214" s="14"/>
      <c r="J1214" s="14">
        <f t="shared" si="54"/>
        <v>0</v>
      </c>
      <c r="K1214" s="14">
        <f t="shared" si="55"/>
        <v>0</v>
      </c>
      <c r="L1214" s="17">
        <f t="shared" si="56"/>
        <v>0</v>
      </c>
      <c r="M1214" s="14"/>
      <c r="N1214" s="16"/>
      <c r="O1214" s="16"/>
      <c r="P1214" s="16"/>
      <c r="Q1214" s="16"/>
      <c r="R1214" s="16"/>
      <c r="S1214" s="16"/>
      <c r="T1214" s="16"/>
      <c r="U1214" s="16"/>
      <c r="V1214" s="16"/>
      <c r="W1214" s="16"/>
      <c r="X1214" s="16"/>
      <c r="Y1214" s="16"/>
      <c r="Z1214" s="16"/>
      <c r="AA1214" s="16"/>
    </row>
    <row r="1215" spans="1:27" s="2" customFormat="1" ht="14">
      <c r="A1215" s="12">
        <v>1179307</v>
      </c>
      <c r="B1215" s="13" t="s">
        <v>14</v>
      </c>
      <c r="C1215" s="13" t="s">
        <v>3531</v>
      </c>
      <c r="D1215" s="13" t="s">
        <v>3532</v>
      </c>
      <c r="E1215" s="13" t="s">
        <v>3533</v>
      </c>
      <c r="F1215" s="14"/>
      <c r="G1215" s="14"/>
      <c r="H1215" s="14"/>
      <c r="I1215" s="14"/>
      <c r="J1215" s="14">
        <f t="shared" si="54"/>
        <v>0</v>
      </c>
      <c r="K1215" s="14">
        <f t="shared" si="55"/>
        <v>0</v>
      </c>
      <c r="L1215" s="17">
        <f t="shared" si="56"/>
        <v>0</v>
      </c>
      <c r="M1215" s="14"/>
      <c r="N1215" s="16"/>
      <c r="O1215" s="16"/>
      <c r="P1215" s="16"/>
      <c r="Q1215" s="16"/>
      <c r="R1215" s="16"/>
      <c r="S1215" s="16"/>
      <c r="T1215" s="16"/>
      <c r="U1215" s="16"/>
      <c r="V1215" s="16"/>
      <c r="W1215" s="16"/>
      <c r="X1215" s="16"/>
      <c r="Y1215" s="16"/>
      <c r="Z1215" s="16"/>
      <c r="AA1215" s="16"/>
    </row>
    <row r="1216" spans="1:27" s="2" customFormat="1" ht="14">
      <c r="A1216" s="12" t="s">
        <v>3534</v>
      </c>
      <c r="B1216" s="13" t="s">
        <v>14</v>
      </c>
      <c r="C1216" s="13" t="s">
        <v>3535</v>
      </c>
      <c r="D1216" s="13" t="s">
        <v>3536</v>
      </c>
      <c r="E1216" s="13" t="s">
        <v>104</v>
      </c>
      <c r="F1216" s="14"/>
      <c r="G1216" s="14"/>
      <c r="H1216" s="14"/>
      <c r="I1216" s="14"/>
      <c r="J1216" s="14">
        <f t="shared" si="54"/>
        <v>0</v>
      </c>
      <c r="K1216" s="14">
        <f t="shared" si="55"/>
        <v>0</v>
      </c>
      <c r="L1216" s="17">
        <f t="shared" si="56"/>
        <v>0</v>
      </c>
      <c r="M1216" s="14"/>
      <c r="N1216" s="16"/>
      <c r="O1216" s="16"/>
      <c r="P1216" s="16"/>
      <c r="Q1216" s="16"/>
      <c r="R1216" s="16"/>
      <c r="S1216" s="16"/>
      <c r="T1216" s="16"/>
      <c r="U1216" s="16"/>
      <c r="V1216" s="16"/>
      <c r="W1216" s="16"/>
      <c r="X1216" s="16"/>
      <c r="Y1216" s="16"/>
      <c r="Z1216" s="16"/>
      <c r="AA1216" s="16"/>
    </row>
    <row r="1217" spans="1:27" s="2" customFormat="1" ht="14">
      <c r="A1217" s="12">
        <v>1179378</v>
      </c>
      <c r="B1217" s="13" t="s">
        <v>14</v>
      </c>
      <c r="C1217" s="13" t="s">
        <v>3537</v>
      </c>
      <c r="D1217" s="13" t="s">
        <v>3538</v>
      </c>
      <c r="E1217" s="13" t="s">
        <v>1998</v>
      </c>
      <c r="F1217" s="14"/>
      <c r="G1217" s="14"/>
      <c r="H1217" s="14"/>
      <c r="I1217" s="14"/>
      <c r="J1217" s="14">
        <f t="shared" si="54"/>
        <v>0</v>
      </c>
      <c r="K1217" s="14">
        <f t="shared" si="55"/>
        <v>0</v>
      </c>
      <c r="L1217" s="17">
        <f t="shared" si="56"/>
        <v>0</v>
      </c>
      <c r="M1217" s="14"/>
      <c r="N1217" s="16"/>
      <c r="O1217" s="16"/>
      <c r="P1217" s="16"/>
      <c r="Q1217" s="16"/>
      <c r="R1217" s="16"/>
      <c r="S1217" s="16"/>
      <c r="T1217" s="16"/>
      <c r="U1217" s="16"/>
      <c r="V1217" s="16"/>
      <c r="W1217" s="16"/>
      <c r="X1217" s="16"/>
      <c r="Y1217" s="16"/>
      <c r="Z1217" s="16"/>
      <c r="AA1217" s="16"/>
    </row>
    <row r="1218" spans="1:27" s="2" customFormat="1" ht="14">
      <c r="A1218" s="12">
        <v>1179379</v>
      </c>
      <c r="B1218" s="13" t="s">
        <v>14</v>
      </c>
      <c r="C1218" s="13" t="s">
        <v>3539</v>
      </c>
      <c r="D1218" s="13" t="s">
        <v>3540</v>
      </c>
      <c r="E1218" s="13" t="s">
        <v>1579</v>
      </c>
      <c r="F1218" s="14"/>
      <c r="G1218" s="14"/>
      <c r="H1218" s="14"/>
      <c r="I1218" s="14"/>
      <c r="J1218" s="14">
        <f t="shared" ref="J1218:J1281" si="57">IF(G1218&gt;0,1,0)</f>
        <v>0</v>
      </c>
      <c r="K1218" s="14">
        <f t="shared" ref="K1218:K1281" si="58">IF(H1218&gt;0,1,0)</f>
        <v>0</v>
      </c>
      <c r="L1218" s="17">
        <f t="shared" ref="L1218:L1281" si="59">IF(G1218&gt;0,IF(H1218&gt;0,1,0),0)</f>
        <v>0</v>
      </c>
      <c r="M1218" s="14"/>
      <c r="N1218" s="16"/>
      <c r="O1218" s="16"/>
      <c r="P1218" s="16"/>
      <c r="Q1218" s="16"/>
      <c r="R1218" s="16"/>
      <c r="S1218" s="16"/>
      <c r="T1218" s="16"/>
      <c r="U1218" s="16"/>
      <c r="V1218" s="16"/>
      <c r="W1218" s="16"/>
      <c r="X1218" s="16"/>
      <c r="Y1218" s="16"/>
      <c r="Z1218" s="16"/>
      <c r="AA1218" s="16"/>
    </row>
    <row r="1219" spans="1:27" s="2" customFormat="1" ht="14">
      <c r="A1219" s="12" t="s">
        <v>3541</v>
      </c>
      <c r="B1219" s="13" t="s">
        <v>14</v>
      </c>
      <c r="C1219" s="13" t="s">
        <v>3542</v>
      </c>
      <c r="D1219" s="13" t="s">
        <v>3543</v>
      </c>
      <c r="E1219" s="13" t="s">
        <v>32</v>
      </c>
      <c r="F1219" s="14"/>
      <c r="G1219" s="14"/>
      <c r="H1219" s="14"/>
      <c r="I1219" s="14"/>
      <c r="J1219" s="14">
        <f t="shared" si="57"/>
        <v>0</v>
      </c>
      <c r="K1219" s="14">
        <f t="shared" si="58"/>
        <v>0</v>
      </c>
      <c r="L1219" s="17">
        <f t="shared" si="59"/>
        <v>0</v>
      </c>
      <c r="M1219" s="14"/>
      <c r="N1219" s="16"/>
      <c r="O1219" s="16"/>
      <c r="P1219" s="16"/>
      <c r="Q1219" s="16"/>
      <c r="R1219" s="16"/>
      <c r="S1219" s="16"/>
      <c r="T1219" s="16"/>
      <c r="U1219" s="16"/>
      <c r="V1219" s="16"/>
      <c r="W1219" s="16"/>
      <c r="X1219" s="16"/>
      <c r="Y1219" s="16"/>
      <c r="Z1219" s="16"/>
      <c r="AA1219" s="16"/>
    </row>
    <row r="1220" spans="1:27" s="2" customFormat="1" ht="14">
      <c r="A1220" s="12" t="s">
        <v>3544</v>
      </c>
      <c r="B1220" s="13" t="s">
        <v>14</v>
      </c>
      <c r="C1220" s="13" t="s">
        <v>3545</v>
      </c>
      <c r="D1220" s="13" t="s">
        <v>3546</v>
      </c>
      <c r="E1220" s="13" t="s">
        <v>91</v>
      </c>
      <c r="F1220" s="14"/>
      <c r="G1220" s="14"/>
      <c r="H1220" s="14"/>
      <c r="I1220" s="14"/>
      <c r="J1220" s="14">
        <f t="shared" si="57"/>
        <v>0</v>
      </c>
      <c r="K1220" s="14">
        <f t="shared" si="58"/>
        <v>0</v>
      </c>
      <c r="L1220" s="17">
        <f t="shared" si="59"/>
        <v>0</v>
      </c>
      <c r="M1220" s="14"/>
      <c r="N1220" s="16"/>
      <c r="O1220" s="16"/>
      <c r="P1220" s="16"/>
      <c r="Q1220" s="16"/>
      <c r="R1220" s="16"/>
      <c r="S1220" s="16"/>
      <c r="T1220" s="16"/>
      <c r="U1220" s="16"/>
      <c r="V1220" s="16"/>
      <c r="W1220" s="16"/>
      <c r="X1220" s="16"/>
      <c r="Y1220" s="16"/>
      <c r="Z1220" s="16"/>
      <c r="AA1220" s="16"/>
    </row>
    <row r="1221" spans="1:27" s="2" customFormat="1" ht="14">
      <c r="A1221" s="12">
        <v>1239672</v>
      </c>
      <c r="B1221" s="13" t="s">
        <v>14</v>
      </c>
      <c r="C1221" s="13" t="s">
        <v>3547</v>
      </c>
      <c r="D1221" s="13" t="s">
        <v>3548</v>
      </c>
      <c r="E1221" s="13" t="s">
        <v>3189</v>
      </c>
      <c r="F1221" s="14"/>
      <c r="G1221" s="14"/>
      <c r="H1221" s="14"/>
      <c r="I1221" s="14"/>
      <c r="J1221" s="14">
        <f t="shared" si="57"/>
        <v>0</v>
      </c>
      <c r="K1221" s="14">
        <f t="shared" si="58"/>
        <v>0</v>
      </c>
      <c r="L1221" s="17">
        <f t="shared" si="59"/>
        <v>0</v>
      </c>
      <c r="M1221" s="14"/>
      <c r="N1221" s="16"/>
      <c r="O1221" s="16"/>
      <c r="P1221" s="16"/>
      <c r="Q1221" s="16"/>
      <c r="R1221" s="16"/>
      <c r="S1221" s="16"/>
      <c r="T1221" s="16"/>
      <c r="U1221" s="16"/>
      <c r="V1221" s="16"/>
      <c r="W1221" s="16"/>
      <c r="X1221" s="16"/>
      <c r="Y1221" s="16"/>
      <c r="Z1221" s="16"/>
      <c r="AA1221" s="16"/>
    </row>
    <row r="1222" spans="1:27" s="2" customFormat="1" ht="14">
      <c r="A1222" s="12">
        <v>1239477</v>
      </c>
      <c r="B1222" s="13" t="s">
        <v>14</v>
      </c>
      <c r="C1222" s="13" t="s">
        <v>3549</v>
      </c>
      <c r="D1222" s="13" t="s">
        <v>3550</v>
      </c>
      <c r="E1222" s="13" t="s">
        <v>1573</v>
      </c>
      <c r="F1222" s="14"/>
      <c r="G1222" s="14"/>
      <c r="H1222" s="14"/>
      <c r="I1222" s="14"/>
      <c r="J1222" s="14">
        <f t="shared" si="57"/>
        <v>0</v>
      </c>
      <c r="K1222" s="14">
        <f t="shared" si="58"/>
        <v>0</v>
      </c>
      <c r="L1222" s="17">
        <f t="shared" si="59"/>
        <v>0</v>
      </c>
      <c r="M1222" s="14"/>
      <c r="N1222" s="16"/>
      <c r="O1222" s="16"/>
      <c r="P1222" s="16"/>
      <c r="Q1222" s="16"/>
      <c r="R1222" s="16"/>
      <c r="S1222" s="16"/>
      <c r="T1222" s="16"/>
      <c r="U1222" s="16"/>
      <c r="V1222" s="16"/>
      <c r="W1222" s="16"/>
      <c r="X1222" s="16"/>
      <c r="Y1222" s="16"/>
      <c r="Z1222" s="16"/>
      <c r="AA1222" s="16"/>
    </row>
    <row r="1223" spans="1:27" s="2" customFormat="1" ht="14">
      <c r="A1223" s="12" t="s">
        <v>3551</v>
      </c>
      <c r="B1223" s="13" t="s">
        <v>62</v>
      </c>
      <c r="C1223" s="13" t="s">
        <v>3552</v>
      </c>
      <c r="D1223" s="13" t="s">
        <v>3553</v>
      </c>
      <c r="E1223" s="13" t="s">
        <v>443</v>
      </c>
      <c r="F1223" s="14"/>
      <c r="G1223" s="14"/>
      <c r="H1223" s="14"/>
      <c r="I1223" s="14"/>
      <c r="J1223" s="14">
        <f t="shared" si="57"/>
        <v>0</v>
      </c>
      <c r="K1223" s="14">
        <f t="shared" si="58"/>
        <v>0</v>
      </c>
      <c r="L1223" s="17">
        <f t="shared" si="59"/>
        <v>0</v>
      </c>
      <c r="M1223" s="14"/>
      <c r="N1223" s="16"/>
      <c r="O1223" s="16"/>
      <c r="P1223" s="16"/>
      <c r="Q1223" s="16"/>
      <c r="R1223" s="16"/>
      <c r="S1223" s="16"/>
      <c r="T1223" s="16"/>
      <c r="U1223" s="16"/>
      <c r="V1223" s="16"/>
      <c r="W1223" s="16"/>
      <c r="X1223" s="16"/>
      <c r="Y1223" s="16"/>
      <c r="Z1223" s="16"/>
      <c r="AA1223" s="16"/>
    </row>
    <row r="1224" spans="1:27" s="2" customFormat="1" ht="14">
      <c r="A1224" s="12" t="s">
        <v>3554</v>
      </c>
      <c r="B1224" s="13" t="s">
        <v>14</v>
      </c>
      <c r="C1224" s="13" t="s">
        <v>3555</v>
      </c>
      <c r="D1224" s="13" t="s">
        <v>3556</v>
      </c>
      <c r="E1224" s="13" t="s">
        <v>446</v>
      </c>
      <c r="F1224" s="14"/>
      <c r="G1224" s="14"/>
      <c r="H1224" s="14"/>
      <c r="I1224" s="14"/>
      <c r="J1224" s="14">
        <f t="shared" si="57"/>
        <v>0</v>
      </c>
      <c r="K1224" s="14">
        <f t="shared" si="58"/>
        <v>0</v>
      </c>
      <c r="L1224" s="17">
        <f t="shared" si="59"/>
        <v>0</v>
      </c>
      <c r="M1224" s="14"/>
      <c r="N1224" s="16"/>
      <c r="O1224" s="16"/>
      <c r="P1224" s="16"/>
      <c r="Q1224" s="16"/>
      <c r="R1224" s="16"/>
      <c r="S1224" s="16"/>
      <c r="T1224" s="16"/>
      <c r="U1224" s="16"/>
      <c r="V1224" s="16"/>
      <c r="W1224" s="16"/>
      <c r="X1224" s="16"/>
      <c r="Y1224" s="16"/>
      <c r="Z1224" s="16"/>
      <c r="AA1224" s="16"/>
    </row>
    <row r="1225" spans="1:27" s="2" customFormat="1" ht="14">
      <c r="A1225" s="12" t="s">
        <v>3557</v>
      </c>
      <c r="B1225" s="13" t="s">
        <v>14</v>
      </c>
      <c r="C1225" s="13" t="s">
        <v>3558</v>
      </c>
      <c r="D1225" s="13" t="s">
        <v>3559</v>
      </c>
      <c r="E1225" s="13" t="s">
        <v>83</v>
      </c>
      <c r="F1225" s="14"/>
      <c r="G1225" s="14"/>
      <c r="H1225" s="14"/>
      <c r="I1225" s="14"/>
      <c r="J1225" s="14">
        <f t="shared" si="57"/>
        <v>0</v>
      </c>
      <c r="K1225" s="14">
        <f t="shared" si="58"/>
        <v>0</v>
      </c>
      <c r="L1225" s="17">
        <f t="shared" si="59"/>
        <v>0</v>
      </c>
      <c r="M1225" s="14"/>
      <c r="N1225" s="16"/>
      <c r="O1225" s="16"/>
      <c r="P1225" s="16"/>
      <c r="Q1225" s="16"/>
      <c r="R1225" s="16"/>
      <c r="S1225" s="16"/>
      <c r="T1225" s="16"/>
      <c r="U1225" s="16"/>
      <c r="V1225" s="16"/>
      <c r="W1225" s="16"/>
      <c r="X1225" s="16"/>
      <c r="Y1225" s="16"/>
      <c r="Z1225" s="16"/>
      <c r="AA1225" s="16"/>
    </row>
    <row r="1226" spans="1:27" s="2" customFormat="1" ht="14">
      <c r="A1226" s="12" t="s">
        <v>3560</v>
      </c>
      <c r="B1226" s="13" t="s">
        <v>14</v>
      </c>
      <c r="C1226" s="13" t="s">
        <v>3561</v>
      </c>
      <c r="D1226" s="13" t="s">
        <v>3562</v>
      </c>
      <c r="E1226" s="13" t="s">
        <v>46</v>
      </c>
      <c r="F1226" s="14"/>
      <c r="G1226" s="14"/>
      <c r="H1226" s="14"/>
      <c r="I1226" s="14"/>
      <c r="J1226" s="14">
        <f t="shared" si="57"/>
        <v>0</v>
      </c>
      <c r="K1226" s="14">
        <f t="shared" si="58"/>
        <v>0</v>
      </c>
      <c r="L1226" s="17">
        <f t="shared" si="59"/>
        <v>0</v>
      </c>
      <c r="M1226" s="14"/>
      <c r="N1226" s="16"/>
      <c r="O1226" s="16"/>
      <c r="P1226" s="16"/>
      <c r="Q1226" s="16"/>
      <c r="R1226" s="16"/>
      <c r="S1226" s="16"/>
      <c r="T1226" s="16"/>
      <c r="U1226" s="16"/>
      <c r="V1226" s="16"/>
      <c r="W1226" s="16"/>
      <c r="X1226" s="16"/>
      <c r="Y1226" s="16"/>
      <c r="Z1226" s="16"/>
      <c r="AA1226" s="16"/>
    </row>
    <row r="1227" spans="1:27" s="2" customFormat="1" ht="14">
      <c r="A1227" s="12" t="s">
        <v>3563</v>
      </c>
      <c r="B1227" s="13" t="s">
        <v>14</v>
      </c>
      <c r="C1227" s="13" t="s">
        <v>3564</v>
      </c>
      <c r="D1227" s="13" t="s">
        <v>3565</v>
      </c>
      <c r="E1227" s="13" t="s">
        <v>220</v>
      </c>
      <c r="F1227" s="14"/>
      <c r="G1227" s="14"/>
      <c r="H1227" s="14"/>
      <c r="I1227" s="14"/>
      <c r="J1227" s="14">
        <f t="shared" si="57"/>
        <v>0</v>
      </c>
      <c r="K1227" s="14">
        <f t="shared" si="58"/>
        <v>0</v>
      </c>
      <c r="L1227" s="17">
        <f t="shared" si="59"/>
        <v>0</v>
      </c>
      <c r="M1227" s="14"/>
      <c r="N1227" s="16"/>
      <c r="O1227" s="16"/>
      <c r="P1227" s="16"/>
      <c r="Q1227" s="16"/>
      <c r="R1227" s="16"/>
      <c r="S1227" s="16"/>
      <c r="T1227" s="16"/>
      <c r="U1227" s="16"/>
      <c r="V1227" s="16"/>
      <c r="W1227" s="16"/>
      <c r="X1227" s="16"/>
      <c r="Y1227" s="16"/>
      <c r="Z1227" s="16"/>
      <c r="AA1227" s="16"/>
    </row>
    <row r="1228" spans="1:27" s="2" customFormat="1" ht="14">
      <c r="A1228" s="12" t="s">
        <v>3566</v>
      </c>
      <c r="B1228" s="13" t="s">
        <v>14</v>
      </c>
      <c r="C1228" s="13" t="s">
        <v>3567</v>
      </c>
      <c r="D1228" s="13" t="s">
        <v>3568</v>
      </c>
      <c r="E1228" s="13" t="s">
        <v>25</v>
      </c>
      <c r="F1228" s="14"/>
      <c r="G1228" s="14"/>
      <c r="H1228" s="14"/>
      <c r="I1228" s="14"/>
      <c r="J1228" s="14">
        <f t="shared" si="57"/>
        <v>0</v>
      </c>
      <c r="K1228" s="14">
        <f t="shared" si="58"/>
        <v>0</v>
      </c>
      <c r="L1228" s="17">
        <f t="shared" si="59"/>
        <v>0</v>
      </c>
      <c r="M1228" s="14"/>
      <c r="N1228" s="16"/>
      <c r="O1228" s="16"/>
      <c r="P1228" s="16"/>
      <c r="Q1228" s="16"/>
      <c r="R1228" s="16"/>
      <c r="S1228" s="16"/>
      <c r="T1228" s="16"/>
      <c r="U1228" s="16"/>
      <c r="V1228" s="16"/>
      <c r="W1228" s="16"/>
      <c r="X1228" s="16"/>
      <c r="Y1228" s="16"/>
      <c r="Z1228" s="16"/>
      <c r="AA1228" s="16"/>
    </row>
    <row r="1229" spans="1:27" s="2" customFormat="1" ht="14">
      <c r="A1229" s="12" t="s">
        <v>3569</v>
      </c>
      <c r="B1229" s="13" t="s">
        <v>62</v>
      </c>
      <c r="C1229" s="13" t="s">
        <v>3570</v>
      </c>
      <c r="D1229" s="13" t="s">
        <v>3571</v>
      </c>
      <c r="E1229" s="13" t="s">
        <v>446</v>
      </c>
      <c r="F1229" s="14"/>
      <c r="G1229" s="14"/>
      <c r="H1229" s="14"/>
      <c r="I1229" s="14"/>
      <c r="J1229" s="14">
        <f t="shared" si="57"/>
        <v>0</v>
      </c>
      <c r="K1229" s="14">
        <f t="shared" si="58"/>
        <v>0</v>
      </c>
      <c r="L1229" s="17">
        <f t="shared" si="59"/>
        <v>0</v>
      </c>
      <c r="M1229" s="14"/>
      <c r="N1229" s="16"/>
      <c r="O1229" s="16"/>
      <c r="P1229" s="16"/>
      <c r="Q1229" s="16"/>
      <c r="R1229" s="16"/>
      <c r="S1229" s="16"/>
      <c r="T1229" s="16"/>
      <c r="U1229" s="16"/>
      <c r="V1229" s="16"/>
      <c r="W1229" s="16"/>
      <c r="X1229" s="16"/>
      <c r="Y1229" s="16"/>
      <c r="Z1229" s="16"/>
      <c r="AA1229" s="16"/>
    </row>
    <row r="1230" spans="1:27" s="2" customFormat="1" ht="14">
      <c r="A1230" s="12">
        <v>1221930</v>
      </c>
      <c r="B1230" s="13" t="s">
        <v>14</v>
      </c>
      <c r="C1230" s="13" t="s">
        <v>3572</v>
      </c>
      <c r="D1230" s="13" t="s">
        <v>3573</v>
      </c>
      <c r="E1230" s="13" t="s">
        <v>1579</v>
      </c>
      <c r="F1230" s="14"/>
      <c r="G1230" s="14"/>
      <c r="H1230" s="14"/>
      <c r="I1230" s="14"/>
      <c r="J1230" s="14">
        <f t="shared" si="57"/>
        <v>0</v>
      </c>
      <c r="K1230" s="14">
        <f t="shared" si="58"/>
        <v>0</v>
      </c>
      <c r="L1230" s="17">
        <f t="shared" si="59"/>
        <v>0</v>
      </c>
      <c r="M1230" s="14"/>
      <c r="N1230" s="16"/>
      <c r="O1230" s="16"/>
      <c r="P1230" s="16"/>
      <c r="Q1230" s="16"/>
      <c r="R1230" s="16"/>
      <c r="S1230" s="16"/>
      <c r="T1230" s="16"/>
      <c r="U1230" s="16"/>
      <c r="V1230" s="16"/>
      <c r="W1230" s="16"/>
      <c r="X1230" s="16"/>
      <c r="Y1230" s="16"/>
      <c r="Z1230" s="16"/>
      <c r="AA1230" s="16"/>
    </row>
    <row r="1231" spans="1:27" s="2" customFormat="1" ht="14">
      <c r="A1231" s="12">
        <v>1222046</v>
      </c>
      <c r="B1231" s="13" t="s">
        <v>62</v>
      </c>
      <c r="C1231" s="13" t="s">
        <v>3574</v>
      </c>
      <c r="D1231" s="13" t="s">
        <v>3575</v>
      </c>
      <c r="E1231" s="13" t="s">
        <v>3576</v>
      </c>
      <c r="F1231" s="14"/>
      <c r="G1231" s="14"/>
      <c r="H1231" s="14"/>
      <c r="I1231" s="14"/>
      <c r="J1231" s="14">
        <f t="shared" si="57"/>
        <v>0</v>
      </c>
      <c r="K1231" s="14">
        <f t="shared" si="58"/>
        <v>0</v>
      </c>
      <c r="L1231" s="17">
        <f t="shared" si="59"/>
        <v>0</v>
      </c>
      <c r="M1231" s="14"/>
      <c r="N1231" s="16"/>
      <c r="O1231" s="16"/>
      <c r="P1231" s="16"/>
      <c r="Q1231" s="16"/>
      <c r="R1231" s="16"/>
      <c r="S1231" s="16"/>
      <c r="T1231" s="16"/>
      <c r="U1231" s="16"/>
      <c r="V1231" s="16"/>
      <c r="W1231" s="16"/>
      <c r="X1231" s="16"/>
      <c r="Y1231" s="16"/>
      <c r="Z1231" s="16"/>
      <c r="AA1231" s="16"/>
    </row>
    <row r="1232" spans="1:27" s="2" customFormat="1" ht="14">
      <c r="A1232" s="12" t="s">
        <v>3577</v>
      </c>
      <c r="B1232" s="13" t="s">
        <v>62</v>
      </c>
      <c r="C1232" s="13" t="s">
        <v>3578</v>
      </c>
      <c r="D1232" s="13" t="s">
        <v>3579</v>
      </c>
      <c r="E1232" s="13" t="s">
        <v>183</v>
      </c>
      <c r="F1232" s="14"/>
      <c r="G1232" s="14"/>
      <c r="H1232" s="14"/>
      <c r="I1232" s="14"/>
      <c r="J1232" s="14">
        <f t="shared" si="57"/>
        <v>0</v>
      </c>
      <c r="K1232" s="14">
        <f t="shared" si="58"/>
        <v>0</v>
      </c>
      <c r="L1232" s="17">
        <f t="shared" si="59"/>
        <v>0</v>
      </c>
      <c r="M1232" s="14"/>
      <c r="N1232" s="16"/>
      <c r="O1232" s="16"/>
      <c r="P1232" s="16"/>
      <c r="Q1232" s="16"/>
      <c r="R1232" s="16"/>
      <c r="S1232" s="16"/>
      <c r="T1232" s="16"/>
      <c r="U1232" s="16"/>
      <c r="V1232" s="16"/>
      <c r="W1232" s="16"/>
      <c r="X1232" s="16"/>
      <c r="Y1232" s="16"/>
      <c r="Z1232" s="16"/>
      <c r="AA1232" s="16"/>
    </row>
    <row r="1233" spans="1:27" s="2" customFormat="1" ht="14">
      <c r="A1233" s="12" t="s">
        <v>3580</v>
      </c>
      <c r="B1233" s="13" t="s">
        <v>14</v>
      </c>
      <c r="C1233" s="13" t="s">
        <v>3581</v>
      </c>
      <c r="D1233" s="13" t="s">
        <v>3582</v>
      </c>
      <c r="E1233" s="13" t="s">
        <v>36</v>
      </c>
      <c r="F1233" s="14"/>
      <c r="G1233" s="14"/>
      <c r="H1233" s="14"/>
      <c r="I1233" s="14"/>
      <c r="J1233" s="14">
        <f t="shared" si="57"/>
        <v>0</v>
      </c>
      <c r="K1233" s="14">
        <f t="shared" si="58"/>
        <v>0</v>
      </c>
      <c r="L1233" s="17">
        <f t="shared" si="59"/>
        <v>0</v>
      </c>
      <c r="M1233" s="14"/>
      <c r="N1233" s="16"/>
      <c r="O1233" s="16"/>
      <c r="P1233" s="16"/>
      <c r="Q1233" s="16"/>
      <c r="R1233" s="16"/>
      <c r="S1233" s="16"/>
      <c r="T1233" s="16"/>
      <c r="U1233" s="16"/>
      <c r="V1233" s="16"/>
      <c r="W1233" s="16"/>
      <c r="X1233" s="16"/>
      <c r="Y1233" s="16"/>
      <c r="Z1233" s="16"/>
      <c r="AA1233" s="16"/>
    </row>
    <row r="1234" spans="1:27" s="2" customFormat="1" ht="14">
      <c r="A1234" s="12" t="s">
        <v>3583</v>
      </c>
      <c r="B1234" s="13" t="s">
        <v>62</v>
      </c>
      <c r="C1234" s="13" t="s">
        <v>3584</v>
      </c>
      <c r="D1234" s="13" t="s">
        <v>3585</v>
      </c>
      <c r="E1234" s="13" t="s">
        <v>215</v>
      </c>
      <c r="F1234" s="14"/>
      <c r="G1234" s="14"/>
      <c r="H1234" s="14"/>
      <c r="I1234" s="14"/>
      <c r="J1234" s="14">
        <f t="shared" si="57"/>
        <v>0</v>
      </c>
      <c r="K1234" s="14">
        <f t="shared" si="58"/>
        <v>0</v>
      </c>
      <c r="L1234" s="17">
        <f t="shared" si="59"/>
        <v>0</v>
      </c>
      <c r="M1234" s="14"/>
      <c r="N1234" s="16"/>
      <c r="O1234" s="16"/>
      <c r="P1234" s="16"/>
      <c r="Q1234" s="16"/>
      <c r="R1234" s="16"/>
      <c r="S1234" s="16"/>
      <c r="T1234" s="16"/>
      <c r="U1234" s="16"/>
      <c r="V1234" s="16"/>
      <c r="W1234" s="16"/>
      <c r="X1234" s="16"/>
      <c r="Y1234" s="16"/>
      <c r="Z1234" s="16"/>
      <c r="AA1234" s="16"/>
    </row>
    <row r="1235" spans="1:27" s="2" customFormat="1" ht="14">
      <c r="A1235" s="12" t="s">
        <v>3586</v>
      </c>
      <c r="B1235" s="13" t="s">
        <v>62</v>
      </c>
      <c r="C1235" s="13" t="s">
        <v>3587</v>
      </c>
      <c r="D1235" s="13" t="s">
        <v>3588</v>
      </c>
      <c r="E1235" s="13" t="s">
        <v>354</v>
      </c>
      <c r="F1235" s="14"/>
      <c r="G1235" s="14"/>
      <c r="H1235" s="14"/>
      <c r="I1235" s="14"/>
      <c r="J1235" s="14">
        <f t="shared" si="57"/>
        <v>0</v>
      </c>
      <c r="K1235" s="14">
        <f t="shared" si="58"/>
        <v>0</v>
      </c>
      <c r="L1235" s="17">
        <f t="shared" si="59"/>
        <v>0</v>
      </c>
      <c r="M1235" s="14"/>
      <c r="N1235" s="16"/>
      <c r="O1235" s="16"/>
      <c r="P1235" s="16"/>
      <c r="Q1235" s="16"/>
      <c r="R1235" s="16"/>
      <c r="S1235" s="16"/>
      <c r="T1235" s="16"/>
      <c r="U1235" s="16"/>
      <c r="V1235" s="16"/>
      <c r="W1235" s="16"/>
      <c r="X1235" s="16"/>
      <c r="Y1235" s="16"/>
      <c r="Z1235" s="16"/>
      <c r="AA1235" s="16"/>
    </row>
    <row r="1236" spans="1:27" s="2" customFormat="1" ht="14">
      <c r="A1236" s="12" t="s">
        <v>3589</v>
      </c>
      <c r="B1236" s="13" t="s">
        <v>14</v>
      </c>
      <c r="C1236" s="13" t="s">
        <v>3590</v>
      </c>
      <c r="D1236" s="13" t="s">
        <v>3591</v>
      </c>
      <c r="E1236" s="13" t="s">
        <v>29</v>
      </c>
      <c r="F1236" s="14"/>
      <c r="G1236" s="14"/>
      <c r="H1236" s="14"/>
      <c r="I1236" s="14"/>
      <c r="J1236" s="14">
        <f t="shared" si="57"/>
        <v>0</v>
      </c>
      <c r="K1236" s="14">
        <f t="shared" si="58"/>
        <v>0</v>
      </c>
      <c r="L1236" s="17">
        <f t="shared" si="59"/>
        <v>0</v>
      </c>
      <c r="M1236" s="14"/>
      <c r="N1236" s="16"/>
      <c r="O1236" s="16"/>
      <c r="P1236" s="16"/>
      <c r="Q1236" s="16"/>
      <c r="R1236" s="16"/>
      <c r="S1236" s="16"/>
      <c r="T1236" s="16"/>
      <c r="U1236" s="16"/>
      <c r="V1236" s="16"/>
      <c r="W1236" s="16"/>
      <c r="X1236" s="16"/>
      <c r="Y1236" s="16"/>
      <c r="Z1236" s="16"/>
      <c r="AA1236" s="16"/>
    </row>
    <row r="1237" spans="1:27" s="2" customFormat="1" ht="14">
      <c r="A1237" s="12" t="s">
        <v>3592</v>
      </c>
      <c r="B1237" s="13" t="s">
        <v>14</v>
      </c>
      <c r="C1237" s="13" t="s">
        <v>3593</v>
      </c>
      <c r="D1237" s="13" t="s">
        <v>3594</v>
      </c>
      <c r="E1237" s="13" t="s">
        <v>25</v>
      </c>
      <c r="F1237" s="14"/>
      <c r="G1237" s="14"/>
      <c r="H1237" s="14"/>
      <c r="I1237" s="14"/>
      <c r="J1237" s="14">
        <f t="shared" si="57"/>
        <v>0</v>
      </c>
      <c r="K1237" s="14">
        <f t="shared" si="58"/>
        <v>0</v>
      </c>
      <c r="L1237" s="17">
        <f t="shared" si="59"/>
        <v>0</v>
      </c>
      <c r="M1237" s="14"/>
      <c r="N1237" s="16"/>
      <c r="O1237" s="16"/>
      <c r="P1237" s="16"/>
      <c r="Q1237" s="16"/>
      <c r="R1237" s="16"/>
      <c r="S1237" s="16"/>
      <c r="T1237" s="16"/>
      <c r="U1237" s="16"/>
      <c r="V1237" s="16"/>
      <c r="W1237" s="16"/>
      <c r="X1237" s="16"/>
      <c r="Y1237" s="16"/>
      <c r="Z1237" s="16"/>
      <c r="AA1237" s="16"/>
    </row>
    <row r="1238" spans="1:27" s="2" customFormat="1" ht="14">
      <c r="A1238" s="12">
        <v>1179570</v>
      </c>
      <c r="B1238" s="13" t="s">
        <v>62</v>
      </c>
      <c r="C1238" s="13" t="s">
        <v>3595</v>
      </c>
      <c r="D1238" s="13" t="s">
        <v>3596</v>
      </c>
      <c r="E1238" s="13" t="s">
        <v>3506</v>
      </c>
      <c r="F1238" s="14"/>
      <c r="G1238" s="14"/>
      <c r="H1238" s="14"/>
      <c r="I1238" s="14"/>
      <c r="J1238" s="14">
        <f t="shared" si="57"/>
        <v>0</v>
      </c>
      <c r="K1238" s="14">
        <f t="shared" si="58"/>
        <v>0</v>
      </c>
      <c r="L1238" s="17">
        <f t="shared" si="59"/>
        <v>0</v>
      </c>
      <c r="M1238" s="14"/>
      <c r="N1238" s="16"/>
      <c r="O1238" s="16"/>
      <c r="P1238" s="16"/>
      <c r="Q1238" s="16"/>
      <c r="R1238" s="16"/>
      <c r="S1238" s="16"/>
      <c r="T1238" s="16"/>
      <c r="U1238" s="16"/>
      <c r="V1238" s="16"/>
      <c r="W1238" s="16"/>
      <c r="X1238" s="16"/>
      <c r="Y1238" s="16"/>
      <c r="Z1238" s="16"/>
      <c r="AA1238" s="16"/>
    </row>
    <row r="1239" spans="1:27" s="2" customFormat="1" ht="14">
      <c r="A1239" s="12">
        <v>1218517</v>
      </c>
      <c r="B1239" s="13" t="s">
        <v>62</v>
      </c>
      <c r="C1239" s="13" t="s">
        <v>3597</v>
      </c>
      <c r="D1239" s="13" t="s">
        <v>3598</v>
      </c>
      <c r="E1239" s="13" t="s">
        <v>1998</v>
      </c>
      <c r="F1239" s="14"/>
      <c r="G1239" s="14"/>
      <c r="H1239" s="14"/>
      <c r="I1239" s="14"/>
      <c r="J1239" s="14">
        <f t="shared" si="57"/>
        <v>0</v>
      </c>
      <c r="K1239" s="14">
        <f t="shared" si="58"/>
        <v>0</v>
      </c>
      <c r="L1239" s="17">
        <f t="shared" si="59"/>
        <v>0</v>
      </c>
      <c r="M1239" s="14"/>
      <c r="N1239" s="16"/>
      <c r="O1239" s="16"/>
      <c r="P1239" s="16"/>
      <c r="Q1239" s="16"/>
      <c r="R1239" s="16"/>
      <c r="S1239" s="16"/>
      <c r="T1239" s="16"/>
      <c r="U1239" s="16"/>
      <c r="V1239" s="16"/>
      <c r="W1239" s="16"/>
      <c r="X1239" s="16"/>
      <c r="Y1239" s="16"/>
      <c r="Z1239" s="16"/>
      <c r="AA1239" s="16"/>
    </row>
    <row r="1240" spans="1:27" s="2" customFormat="1" ht="14">
      <c r="A1240" s="12">
        <v>1224213</v>
      </c>
      <c r="B1240" s="13" t="s">
        <v>14</v>
      </c>
      <c r="C1240" s="13" t="s">
        <v>3599</v>
      </c>
      <c r="D1240" s="13" t="s">
        <v>3600</v>
      </c>
      <c r="E1240" s="13" t="s">
        <v>1573</v>
      </c>
      <c r="F1240" s="14"/>
      <c r="G1240" s="14"/>
      <c r="H1240" s="14"/>
      <c r="I1240" s="14"/>
      <c r="J1240" s="14">
        <f t="shared" si="57"/>
        <v>0</v>
      </c>
      <c r="K1240" s="14">
        <f t="shared" si="58"/>
        <v>0</v>
      </c>
      <c r="L1240" s="17">
        <f t="shared" si="59"/>
        <v>0</v>
      </c>
      <c r="M1240" s="14"/>
      <c r="N1240" s="16"/>
      <c r="O1240" s="16"/>
      <c r="P1240" s="16"/>
      <c r="Q1240" s="16"/>
      <c r="R1240" s="16"/>
      <c r="S1240" s="16"/>
      <c r="T1240" s="16"/>
      <c r="U1240" s="16"/>
      <c r="V1240" s="16"/>
      <c r="W1240" s="16"/>
      <c r="X1240" s="16"/>
      <c r="Y1240" s="16"/>
      <c r="Z1240" s="16"/>
      <c r="AA1240" s="16"/>
    </row>
    <row r="1241" spans="1:27" s="2" customFormat="1" ht="14">
      <c r="A1241" s="12" t="s">
        <v>3601</v>
      </c>
      <c r="B1241" s="13" t="s">
        <v>14</v>
      </c>
      <c r="C1241" s="13" t="s">
        <v>3602</v>
      </c>
      <c r="D1241" s="13" t="s">
        <v>3603</v>
      </c>
      <c r="E1241" s="13" t="s">
        <v>183</v>
      </c>
      <c r="F1241" s="14"/>
      <c r="G1241" s="14"/>
      <c r="H1241" s="14"/>
      <c r="I1241" s="14"/>
      <c r="J1241" s="14">
        <f t="shared" si="57"/>
        <v>0</v>
      </c>
      <c r="K1241" s="14">
        <f t="shared" si="58"/>
        <v>0</v>
      </c>
      <c r="L1241" s="17">
        <f t="shared" si="59"/>
        <v>0</v>
      </c>
      <c r="M1241" s="14"/>
      <c r="N1241" s="16"/>
      <c r="O1241" s="16"/>
      <c r="P1241" s="16"/>
      <c r="Q1241" s="16"/>
      <c r="R1241" s="16"/>
      <c r="S1241" s="16"/>
      <c r="T1241" s="16"/>
      <c r="U1241" s="16"/>
      <c r="V1241" s="16"/>
      <c r="W1241" s="16"/>
      <c r="X1241" s="16"/>
      <c r="Y1241" s="16"/>
      <c r="Z1241" s="16"/>
      <c r="AA1241" s="16"/>
    </row>
    <row r="1242" spans="1:27" s="2" customFormat="1" ht="14">
      <c r="A1242" s="12">
        <v>1179678</v>
      </c>
      <c r="B1242" s="13" t="s">
        <v>62</v>
      </c>
      <c r="C1242" s="13" t="s">
        <v>3604</v>
      </c>
      <c r="D1242" s="13" t="s">
        <v>3605</v>
      </c>
      <c r="E1242" s="13" t="s">
        <v>3606</v>
      </c>
      <c r="F1242" s="14"/>
      <c r="G1242" s="14"/>
      <c r="H1242" s="14"/>
      <c r="I1242" s="14"/>
      <c r="J1242" s="14">
        <f t="shared" si="57"/>
        <v>0</v>
      </c>
      <c r="K1242" s="14">
        <f t="shared" si="58"/>
        <v>0</v>
      </c>
      <c r="L1242" s="17">
        <f t="shared" si="59"/>
        <v>0</v>
      </c>
      <c r="M1242" s="14"/>
      <c r="N1242" s="16"/>
      <c r="O1242" s="16"/>
      <c r="P1242" s="16"/>
      <c r="Q1242" s="16"/>
      <c r="R1242" s="16"/>
      <c r="S1242" s="16"/>
      <c r="T1242" s="16"/>
      <c r="U1242" s="16"/>
      <c r="V1242" s="16"/>
      <c r="W1242" s="16"/>
      <c r="X1242" s="16"/>
      <c r="Y1242" s="16"/>
      <c r="Z1242" s="16"/>
      <c r="AA1242" s="16"/>
    </row>
    <row r="1243" spans="1:27" s="2" customFormat="1" ht="14">
      <c r="A1243" s="12" t="s">
        <v>3607</v>
      </c>
      <c r="B1243" s="13" t="s">
        <v>14</v>
      </c>
      <c r="C1243" s="13" t="s">
        <v>3608</v>
      </c>
      <c r="D1243" s="13" t="s">
        <v>3609</v>
      </c>
      <c r="E1243" s="13" t="s">
        <v>104</v>
      </c>
      <c r="F1243" s="14"/>
      <c r="G1243" s="14"/>
      <c r="H1243" s="14"/>
      <c r="I1243" s="14"/>
      <c r="J1243" s="14">
        <f t="shared" si="57"/>
        <v>0</v>
      </c>
      <c r="K1243" s="14">
        <f t="shared" si="58"/>
        <v>0</v>
      </c>
      <c r="L1243" s="17">
        <f t="shared" si="59"/>
        <v>0</v>
      </c>
      <c r="M1243" s="14"/>
      <c r="N1243" s="16"/>
      <c r="O1243" s="16"/>
      <c r="P1243" s="16"/>
      <c r="Q1243" s="16"/>
      <c r="R1243" s="16"/>
      <c r="S1243" s="16"/>
      <c r="T1243" s="16"/>
      <c r="U1243" s="16"/>
      <c r="V1243" s="16"/>
      <c r="W1243" s="16"/>
      <c r="X1243" s="16"/>
      <c r="Y1243" s="16"/>
      <c r="Z1243" s="16"/>
      <c r="AA1243" s="16"/>
    </row>
    <row r="1244" spans="1:27" s="2" customFormat="1" ht="14">
      <c r="A1244" s="12" t="s">
        <v>3610</v>
      </c>
      <c r="B1244" s="13" t="s">
        <v>14</v>
      </c>
      <c r="C1244" s="13" t="s">
        <v>3611</v>
      </c>
      <c r="D1244" s="13" t="s">
        <v>3612</v>
      </c>
      <c r="E1244" s="13" t="s">
        <v>97</v>
      </c>
      <c r="F1244" s="14"/>
      <c r="G1244" s="14"/>
      <c r="H1244" s="14"/>
      <c r="I1244" s="14"/>
      <c r="J1244" s="14">
        <f t="shared" si="57"/>
        <v>0</v>
      </c>
      <c r="K1244" s="14">
        <f t="shared" si="58"/>
        <v>0</v>
      </c>
      <c r="L1244" s="17">
        <f t="shared" si="59"/>
        <v>0</v>
      </c>
      <c r="M1244" s="14"/>
      <c r="N1244" s="16"/>
      <c r="O1244" s="16"/>
      <c r="P1244" s="16"/>
      <c r="Q1244" s="16"/>
      <c r="R1244" s="16"/>
      <c r="S1244" s="16"/>
      <c r="T1244" s="16"/>
      <c r="U1244" s="16"/>
      <c r="V1244" s="16"/>
      <c r="W1244" s="16"/>
      <c r="X1244" s="16"/>
      <c r="Y1244" s="16"/>
      <c r="Z1244" s="16"/>
      <c r="AA1244" s="16"/>
    </row>
    <row r="1245" spans="1:27" s="2" customFormat="1" ht="14">
      <c r="A1245" s="12" t="s">
        <v>3613</v>
      </c>
      <c r="B1245" s="13" t="s">
        <v>14</v>
      </c>
      <c r="C1245" s="13" t="s">
        <v>3614</v>
      </c>
      <c r="D1245" s="13" t="s">
        <v>3615</v>
      </c>
      <c r="E1245" s="13" t="s">
        <v>29</v>
      </c>
      <c r="F1245" s="14"/>
      <c r="G1245" s="14"/>
      <c r="H1245" s="14"/>
      <c r="I1245" s="14"/>
      <c r="J1245" s="14">
        <f t="shared" si="57"/>
        <v>0</v>
      </c>
      <c r="K1245" s="14">
        <f t="shared" si="58"/>
        <v>0</v>
      </c>
      <c r="L1245" s="17">
        <f t="shared" si="59"/>
        <v>0</v>
      </c>
      <c r="M1245" s="14"/>
      <c r="N1245" s="16"/>
      <c r="O1245" s="16"/>
      <c r="P1245" s="16"/>
      <c r="Q1245" s="16"/>
      <c r="R1245" s="16"/>
      <c r="S1245" s="16"/>
      <c r="T1245" s="16"/>
      <c r="U1245" s="16"/>
      <c r="V1245" s="16"/>
      <c r="W1245" s="16"/>
      <c r="X1245" s="16"/>
      <c r="Y1245" s="16"/>
      <c r="Z1245" s="16"/>
      <c r="AA1245" s="16"/>
    </row>
    <row r="1246" spans="1:27" s="2" customFormat="1" ht="14">
      <c r="A1246" s="12" t="s">
        <v>3616</v>
      </c>
      <c r="B1246" s="13" t="s">
        <v>14</v>
      </c>
      <c r="C1246" s="13" t="s">
        <v>3617</v>
      </c>
      <c r="D1246" s="13" t="s">
        <v>3618</v>
      </c>
      <c r="E1246" s="13" t="s">
        <v>29</v>
      </c>
      <c r="F1246" s="14"/>
      <c r="G1246" s="14"/>
      <c r="H1246" s="14"/>
      <c r="I1246" s="14"/>
      <c r="J1246" s="14">
        <f t="shared" si="57"/>
        <v>0</v>
      </c>
      <c r="K1246" s="14">
        <f t="shared" si="58"/>
        <v>0</v>
      </c>
      <c r="L1246" s="17">
        <f t="shared" si="59"/>
        <v>0</v>
      </c>
      <c r="M1246" s="14"/>
      <c r="N1246" s="16"/>
      <c r="O1246" s="16"/>
      <c r="P1246" s="16"/>
      <c r="Q1246" s="16"/>
      <c r="R1246" s="16"/>
      <c r="S1246" s="16"/>
      <c r="T1246" s="16"/>
      <c r="U1246" s="16"/>
      <c r="V1246" s="16"/>
      <c r="W1246" s="16"/>
      <c r="X1246" s="16"/>
      <c r="Y1246" s="16"/>
      <c r="Z1246" s="16"/>
      <c r="AA1246" s="16"/>
    </row>
    <row r="1247" spans="1:27" s="2" customFormat="1" ht="14">
      <c r="A1247" s="12" t="s">
        <v>3619</v>
      </c>
      <c r="B1247" s="13" t="s">
        <v>14</v>
      </c>
      <c r="C1247" s="13" t="s">
        <v>3620</v>
      </c>
      <c r="D1247" s="13" t="s">
        <v>3621</v>
      </c>
      <c r="E1247" s="13" t="s">
        <v>25</v>
      </c>
      <c r="F1247" s="14"/>
      <c r="G1247" s="14"/>
      <c r="H1247" s="14"/>
      <c r="I1247" s="14"/>
      <c r="J1247" s="14">
        <f t="shared" si="57"/>
        <v>0</v>
      </c>
      <c r="K1247" s="14">
        <f t="shared" si="58"/>
        <v>0</v>
      </c>
      <c r="L1247" s="17">
        <f t="shared" si="59"/>
        <v>0</v>
      </c>
      <c r="M1247" s="14"/>
      <c r="N1247" s="16"/>
      <c r="O1247" s="16"/>
      <c r="P1247" s="16"/>
      <c r="Q1247" s="16"/>
      <c r="R1247" s="16"/>
      <c r="S1247" s="16"/>
      <c r="T1247" s="16"/>
      <c r="U1247" s="16"/>
      <c r="V1247" s="16"/>
      <c r="W1247" s="16"/>
      <c r="X1247" s="16"/>
      <c r="Y1247" s="16"/>
      <c r="Z1247" s="16"/>
      <c r="AA1247" s="16"/>
    </row>
    <row r="1248" spans="1:27" s="2" customFormat="1" ht="14">
      <c r="A1248" s="12">
        <v>1229153</v>
      </c>
      <c r="B1248" s="13" t="s">
        <v>14</v>
      </c>
      <c r="C1248" s="13" t="s">
        <v>3622</v>
      </c>
      <c r="D1248" s="13" t="s">
        <v>3623</v>
      </c>
      <c r="E1248" s="13" t="s">
        <v>3533</v>
      </c>
      <c r="F1248" s="14"/>
      <c r="G1248" s="14"/>
      <c r="H1248" s="14"/>
      <c r="I1248" s="14"/>
      <c r="J1248" s="14">
        <f t="shared" si="57"/>
        <v>0</v>
      </c>
      <c r="K1248" s="14">
        <f t="shared" si="58"/>
        <v>0</v>
      </c>
      <c r="L1248" s="17">
        <f t="shared" si="59"/>
        <v>0</v>
      </c>
      <c r="M1248" s="14"/>
      <c r="N1248" s="16"/>
      <c r="O1248" s="16"/>
      <c r="P1248" s="16"/>
      <c r="Q1248" s="16"/>
      <c r="R1248" s="16"/>
      <c r="S1248" s="16"/>
      <c r="T1248" s="16"/>
      <c r="U1248" s="16"/>
      <c r="V1248" s="16"/>
      <c r="W1248" s="16"/>
      <c r="X1248" s="16"/>
      <c r="Y1248" s="16"/>
      <c r="Z1248" s="16"/>
      <c r="AA1248" s="16"/>
    </row>
    <row r="1249" spans="1:27" s="2" customFormat="1" ht="14">
      <c r="A1249" s="12" t="s">
        <v>3624</v>
      </c>
      <c r="B1249" s="13" t="s">
        <v>14</v>
      </c>
      <c r="C1249" s="13" t="s">
        <v>3625</v>
      </c>
      <c r="D1249" s="13" t="s">
        <v>3626</v>
      </c>
      <c r="E1249" s="13" t="s">
        <v>215</v>
      </c>
      <c r="F1249" s="14"/>
      <c r="G1249" s="14"/>
      <c r="H1249" s="14"/>
      <c r="I1249" s="14"/>
      <c r="J1249" s="14">
        <f t="shared" si="57"/>
        <v>0</v>
      </c>
      <c r="K1249" s="14">
        <f t="shared" si="58"/>
        <v>0</v>
      </c>
      <c r="L1249" s="17">
        <f t="shared" si="59"/>
        <v>0</v>
      </c>
      <c r="M1249" s="14"/>
      <c r="N1249" s="16"/>
      <c r="O1249" s="16"/>
      <c r="P1249" s="16"/>
      <c r="Q1249" s="16"/>
      <c r="R1249" s="16"/>
      <c r="S1249" s="16"/>
      <c r="T1249" s="16"/>
      <c r="U1249" s="16"/>
      <c r="V1249" s="16"/>
      <c r="W1249" s="16"/>
      <c r="X1249" s="16"/>
      <c r="Y1249" s="16"/>
      <c r="Z1249" s="16"/>
      <c r="AA1249" s="16"/>
    </row>
    <row r="1250" spans="1:27" s="2" customFormat="1" ht="14">
      <c r="A1250" s="12" t="s">
        <v>3627</v>
      </c>
      <c r="B1250" s="13" t="s">
        <v>14</v>
      </c>
      <c r="C1250" s="13" t="s">
        <v>3628</v>
      </c>
      <c r="D1250" s="13" t="s">
        <v>3629</v>
      </c>
      <c r="E1250" s="13" t="s">
        <v>72</v>
      </c>
      <c r="F1250" s="14"/>
      <c r="G1250" s="14"/>
      <c r="H1250" s="14"/>
      <c r="I1250" s="14"/>
      <c r="J1250" s="14">
        <f t="shared" si="57"/>
        <v>0</v>
      </c>
      <c r="K1250" s="14">
        <f t="shared" si="58"/>
        <v>0</v>
      </c>
      <c r="L1250" s="17">
        <f t="shared" si="59"/>
        <v>0</v>
      </c>
      <c r="M1250" s="14"/>
      <c r="N1250" s="16"/>
      <c r="O1250" s="16"/>
      <c r="P1250" s="16"/>
      <c r="Q1250" s="16"/>
      <c r="R1250" s="16"/>
      <c r="S1250" s="16"/>
      <c r="T1250" s="16"/>
      <c r="U1250" s="16"/>
      <c r="V1250" s="16"/>
      <c r="W1250" s="16"/>
      <c r="X1250" s="16"/>
      <c r="Y1250" s="16"/>
      <c r="Z1250" s="16"/>
      <c r="AA1250" s="16"/>
    </row>
    <row r="1251" spans="1:27" s="2" customFormat="1" ht="14">
      <c r="A1251" s="12">
        <v>1179730</v>
      </c>
      <c r="B1251" s="13" t="s">
        <v>62</v>
      </c>
      <c r="C1251" s="13" t="s">
        <v>3630</v>
      </c>
      <c r="D1251" s="13" t="s">
        <v>3631</v>
      </c>
      <c r="E1251" s="13" t="s">
        <v>3632</v>
      </c>
      <c r="F1251" s="14"/>
      <c r="G1251" s="14"/>
      <c r="H1251" s="14"/>
      <c r="I1251" s="14"/>
      <c r="J1251" s="14">
        <f t="shared" si="57"/>
        <v>0</v>
      </c>
      <c r="K1251" s="14">
        <f t="shared" si="58"/>
        <v>0</v>
      </c>
      <c r="L1251" s="17">
        <f t="shared" si="59"/>
        <v>0</v>
      </c>
      <c r="M1251" s="14"/>
      <c r="N1251" s="16"/>
      <c r="O1251" s="16"/>
      <c r="P1251" s="16"/>
      <c r="Q1251" s="16"/>
      <c r="R1251" s="16"/>
      <c r="S1251" s="16"/>
      <c r="T1251" s="16"/>
      <c r="U1251" s="16"/>
      <c r="V1251" s="16"/>
      <c r="W1251" s="16"/>
      <c r="X1251" s="16"/>
      <c r="Y1251" s="16"/>
      <c r="Z1251" s="16"/>
      <c r="AA1251" s="16"/>
    </row>
    <row r="1252" spans="1:27" s="2" customFormat="1" ht="14">
      <c r="A1252" s="12">
        <v>1219107</v>
      </c>
      <c r="B1252" s="13" t="s">
        <v>14</v>
      </c>
      <c r="C1252" s="13" t="s">
        <v>3633</v>
      </c>
      <c r="D1252" s="13" t="s">
        <v>3634</v>
      </c>
      <c r="E1252" s="13" t="s">
        <v>3635</v>
      </c>
      <c r="F1252" s="14"/>
      <c r="G1252" s="14"/>
      <c r="H1252" s="14"/>
      <c r="I1252" s="14"/>
      <c r="J1252" s="14">
        <f t="shared" si="57"/>
        <v>0</v>
      </c>
      <c r="K1252" s="14">
        <f t="shared" si="58"/>
        <v>0</v>
      </c>
      <c r="L1252" s="17">
        <f t="shared" si="59"/>
        <v>0</v>
      </c>
      <c r="M1252" s="14"/>
      <c r="N1252" s="16"/>
      <c r="O1252" s="16"/>
      <c r="P1252" s="16"/>
      <c r="Q1252" s="16"/>
      <c r="R1252" s="16"/>
      <c r="S1252" s="16"/>
      <c r="T1252" s="16"/>
      <c r="U1252" s="16"/>
      <c r="V1252" s="16"/>
      <c r="W1252" s="16"/>
      <c r="X1252" s="16"/>
      <c r="Y1252" s="16"/>
      <c r="Z1252" s="16"/>
      <c r="AA1252" s="16"/>
    </row>
    <row r="1253" spans="1:27" s="2" customFormat="1" ht="14">
      <c r="A1253" s="12" t="s">
        <v>3636</v>
      </c>
      <c r="B1253" s="13" t="s">
        <v>62</v>
      </c>
      <c r="C1253" s="13" t="s">
        <v>3637</v>
      </c>
      <c r="D1253" s="13" t="s">
        <v>3638</v>
      </c>
      <c r="E1253" s="13" t="s">
        <v>32</v>
      </c>
      <c r="F1253" s="14"/>
      <c r="G1253" s="14"/>
      <c r="H1253" s="14"/>
      <c r="I1253" s="14"/>
      <c r="J1253" s="14">
        <f t="shared" si="57"/>
        <v>0</v>
      </c>
      <c r="K1253" s="14">
        <f t="shared" si="58"/>
        <v>0</v>
      </c>
      <c r="L1253" s="17">
        <f t="shared" si="59"/>
        <v>0</v>
      </c>
      <c r="M1253" s="14"/>
      <c r="N1253" s="16"/>
      <c r="O1253" s="16"/>
      <c r="P1253" s="16"/>
      <c r="Q1253" s="16"/>
      <c r="R1253" s="16"/>
      <c r="S1253" s="16"/>
      <c r="T1253" s="16"/>
      <c r="U1253" s="16"/>
      <c r="V1253" s="16"/>
      <c r="W1253" s="16"/>
      <c r="X1253" s="16"/>
      <c r="Y1253" s="16"/>
      <c r="Z1253" s="16"/>
      <c r="AA1253" s="16"/>
    </row>
    <row r="1254" spans="1:27" s="2" customFormat="1" ht="14">
      <c r="A1254" s="12" t="s">
        <v>3639</v>
      </c>
      <c r="B1254" s="13" t="s">
        <v>14</v>
      </c>
      <c r="C1254" s="13" t="s">
        <v>3640</v>
      </c>
      <c r="D1254" s="13" t="s">
        <v>3641</v>
      </c>
      <c r="E1254" s="13" t="s">
        <v>21</v>
      </c>
      <c r="F1254" s="14"/>
      <c r="G1254" s="14"/>
      <c r="H1254" s="14"/>
      <c r="I1254" s="14"/>
      <c r="J1254" s="14">
        <f t="shared" si="57"/>
        <v>0</v>
      </c>
      <c r="K1254" s="14">
        <f t="shared" si="58"/>
        <v>0</v>
      </c>
      <c r="L1254" s="17">
        <f t="shared" si="59"/>
        <v>0</v>
      </c>
      <c r="M1254" s="14"/>
      <c r="N1254" s="16"/>
      <c r="O1254" s="16"/>
      <c r="P1254" s="16"/>
      <c r="Q1254" s="16"/>
      <c r="R1254" s="16"/>
      <c r="S1254" s="16"/>
      <c r="T1254" s="16"/>
      <c r="U1254" s="16"/>
      <c r="V1254" s="16"/>
      <c r="W1254" s="16"/>
      <c r="X1254" s="16"/>
      <c r="Y1254" s="16"/>
      <c r="Z1254" s="16"/>
      <c r="AA1254" s="16"/>
    </row>
    <row r="1255" spans="1:27" s="2" customFormat="1" ht="14">
      <c r="A1255" s="12">
        <v>1231356</v>
      </c>
      <c r="B1255" s="13" t="s">
        <v>14</v>
      </c>
      <c r="C1255" s="13" t="s">
        <v>3642</v>
      </c>
      <c r="D1255" s="13" t="s">
        <v>3643</v>
      </c>
      <c r="E1255" s="13" t="s">
        <v>3402</v>
      </c>
      <c r="F1255" s="14"/>
      <c r="G1255" s="14"/>
      <c r="H1255" s="14"/>
      <c r="I1255" s="14"/>
      <c r="J1255" s="14">
        <f t="shared" si="57"/>
        <v>0</v>
      </c>
      <c r="K1255" s="14">
        <f t="shared" si="58"/>
        <v>0</v>
      </c>
      <c r="L1255" s="17">
        <f t="shared" si="59"/>
        <v>0</v>
      </c>
      <c r="M1255" s="14"/>
      <c r="N1255" s="16"/>
      <c r="O1255" s="16"/>
      <c r="P1255" s="16"/>
      <c r="Q1255" s="16"/>
      <c r="R1255" s="16"/>
      <c r="S1255" s="16"/>
      <c r="T1255" s="16"/>
      <c r="U1255" s="16"/>
      <c r="V1255" s="16"/>
      <c r="W1255" s="16"/>
      <c r="X1255" s="16"/>
      <c r="Y1255" s="16"/>
      <c r="Z1255" s="16"/>
      <c r="AA1255" s="16"/>
    </row>
    <row r="1256" spans="1:27" s="2" customFormat="1" ht="14">
      <c r="A1256" s="12" t="s">
        <v>3644</v>
      </c>
      <c r="B1256" s="13" t="s">
        <v>62</v>
      </c>
      <c r="C1256" s="13" t="s">
        <v>3645</v>
      </c>
      <c r="D1256" s="13" t="s">
        <v>3646</v>
      </c>
      <c r="E1256" s="13" t="s">
        <v>114</v>
      </c>
      <c r="F1256" s="14"/>
      <c r="G1256" s="14"/>
      <c r="H1256" s="14"/>
      <c r="I1256" s="14"/>
      <c r="J1256" s="14">
        <f t="shared" si="57"/>
        <v>0</v>
      </c>
      <c r="K1256" s="14">
        <f t="shared" si="58"/>
        <v>0</v>
      </c>
      <c r="L1256" s="17">
        <f t="shared" si="59"/>
        <v>0</v>
      </c>
      <c r="M1256" s="14"/>
      <c r="N1256" s="16"/>
      <c r="O1256" s="16"/>
      <c r="P1256" s="16"/>
      <c r="Q1256" s="16"/>
      <c r="R1256" s="16"/>
      <c r="S1256" s="16"/>
      <c r="T1256" s="16"/>
      <c r="U1256" s="16"/>
      <c r="V1256" s="16"/>
      <c r="W1256" s="16"/>
      <c r="X1256" s="16"/>
      <c r="Y1256" s="16"/>
      <c r="Z1256" s="16"/>
      <c r="AA1256" s="16"/>
    </row>
    <row r="1257" spans="1:27" s="2" customFormat="1" ht="14">
      <c r="A1257" s="12">
        <v>1232005</v>
      </c>
      <c r="B1257" s="13" t="s">
        <v>14</v>
      </c>
      <c r="C1257" s="13" t="s">
        <v>3647</v>
      </c>
      <c r="D1257" s="13" t="s">
        <v>3648</v>
      </c>
      <c r="E1257" s="13" t="s">
        <v>3649</v>
      </c>
      <c r="F1257" s="14"/>
      <c r="G1257" s="14"/>
      <c r="H1257" s="14"/>
      <c r="I1257" s="14"/>
      <c r="J1257" s="14">
        <f t="shared" si="57"/>
        <v>0</v>
      </c>
      <c r="K1257" s="14">
        <f t="shared" si="58"/>
        <v>0</v>
      </c>
      <c r="L1257" s="17">
        <f t="shared" si="59"/>
        <v>0</v>
      </c>
      <c r="M1257" s="14"/>
      <c r="N1257" s="16"/>
      <c r="O1257" s="16"/>
      <c r="P1257" s="16"/>
      <c r="Q1257" s="16"/>
      <c r="R1257" s="16"/>
      <c r="S1257" s="16"/>
      <c r="T1257" s="16"/>
      <c r="U1257" s="16"/>
      <c r="V1257" s="16"/>
      <c r="W1257" s="16"/>
      <c r="X1257" s="16"/>
      <c r="Y1257" s="16"/>
      <c r="Z1257" s="16"/>
      <c r="AA1257" s="16"/>
    </row>
    <row r="1258" spans="1:27" s="2" customFormat="1" ht="14">
      <c r="A1258" s="12" t="s">
        <v>3650</v>
      </c>
      <c r="B1258" s="13" t="s">
        <v>62</v>
      </c>
      <c r="C1258" s="13" t="s">
        <v>3651</v>
      </c>
      <c r="D1258" s="13" t="s">
        <v>3652</v>
      </c>
      <c r="E1258" s="13" t="s">
        <v>150</v>
      </c>
      <c r="F1258" s="14"/>
      <c r="G1258" s="14"/>
      <c r="H1258" s="14"/>
      <c r="I1258" s="14"/>
      <c r="J1258" s="14">
        <f t="shared" si="57"/>
        <v>0</v>
      </c>
      <c r="K1258" s="14">
        <f t="shared" si="58"/>
        <v>0</v>
      </c>
      <c r="L1258" s="17">
        <f t="shared" si="59"/>
        <v>0</v>
      </c>
      <c r="M1258" s="14"/>
      <c r="N1258" s="16"/>
      <c r="O1258" s="16"/>
      <c r="P1258" s="16"/>
      <c r="Q1258" s="16"/>
      <c r="R1258" s="16"/>
      <c r="S1258" s="16"/>
      <c r="T1258" s="16"/>
      <c r="U1258" s="16"/>
      <c r="V1258" s="16"/>
      <c r="W1258" s="16"/>
      <c r="X1258" s="16"/>
      <c r="Y1258" s="16"/>
      <c r="Z1258" s="16"/>
      <c r="AA1258" s="16"/>
    </row>
    <row r="1259" spans="1:27" s="2" customFormat="1" ht="14">
      <c r="A1259" s="12" t="s">
        <v>3653</v>
      </c>
      <c r="B1259" s="13" t="s">
        <v>14</v>
      </c>
      <c r="C1259" s="13" t="s">
        <v>3654</v>
      </c>
      <c r="D1259" s="13" t="s">
        <v>3655</v>
      </c>
      <c r="E1259" s="13" t="s">
        <v>156</v>
      </c>
      <c r="F1259" s="14"/>
      <c r="G1259" s="14"/>
      <c r="H1259" s="14"/>
      <c r="I1259" s="14"/>
      <c r="J1259" s="14">
        <f t="shared" si="57"/>
        <v>0</v>
      </c>
      <c r="K1259" s="14">
        <f t="shared" si="58"/>
        <v>0</v>
      </c>
      <c r="L1259" s="17">
        <f t="shared" si="59"/>
        <v>0</v>
      </c>
      <c r="M1259" s="14"/>
      <c r="N1259" s="16"/>
      <c r="O1259" s="16"/>
      <c r="P1259" s="16"/>
      <c r="Q1259" s="16"/>
      <c r="R1259" s="16"/>
      <c r="S1259" s="16"/>
      <c r="T1259" s="16"/>
      <c r="U1259" s="16"/>
      <c r="V1259" s="16"/>
      <c r="W1259" s="16"/>
      <c r="X1259" s="16"/>
      <c r="Y1259" s="16"/>
      <c r="Z1259" s="16"/>
      <c r="AA1259" s="16"/>
    </row>
    <row r="1260" spans="1:27" s="2" customFormat="1" ht="14">
      <c r="A1260" s="12" t="s">
        <v>3656</v>
      </c>
      <c r="B1260" s="13" t="s">
        <v>14</v>
      </c>
      <c r="C1260" s="13" t="s">
        <v>3657</v>
      </c>
      <c r="D1260" s="13" t="s">
        <v>3658</v>
      </c>
      <c r="E1260" s="13" t="s">
        <v>72</v>
      </c>
      <c r="F1260" s="14"/>
      <c r="G1260" s="14"/>
      <c r="H1260" s="14"/>
      <c r="I1260" s="14"/>
      <c r="J1260" s="14">
        <f t="shared" si="57"/>
        <v>0</v>
      </c>
      <c r="K1260" s="14">
        <f t="shared" si="58"/>
        <v>0</v>
      </c>
      <c r="L1260" s="17">
        <f t="shared" si="59"/>
        <v>0</v>
      </c>
      <c r="M1260" s="14"/>
      <c r="N1260" s="16"/>
      <c r="O1260" s="16"/>
      <c r="P1260" s="16"/>
      <c r="Q1260" s="16"/>
      <c r="R1260" s="16"/>
      <c r="S1260" s="16"/>
      <c r="T1260" s="16"/>
      <c r="U1260" s="16"/>
      <c r="V1260" s="16"/>
      <c r="W1260" s="16"/>
      <c r="X1260" s="16"/>
      <c r="Y1260" s="16"/>
      <c r="Z1260" s="16"/>
      <c r="AA1260" s="16"/>
    </row>
    <row r="1261" spans="1:27" s="2" customFormat="1" ht="14">
      <c r="A1261" s="12" t="s">
        <v>3659</v>
      </c>
      <c r="B1261" s="13" t="s">
        <v>14</v>
      </c>
      <c r="C1261" s="13" t="s">
        <v>3660</v>
      </c>
      <c r="D1261" s="13" t="s">
        <v>3661</v>
      </c>
      <c r="E1261" s="13" t="s">
        <v>136</v>
      </c>
      <c r="F1261" s="14"/>
      <c r="G1261" s="14"/>
      <c r="H1261" s="14"/>
      <c r="I1261" s="14"/>
      <c r="J1261" s="14">
        <f t="shared" si="57"/>
        <v>0</v>
      </c>
      <c r="K1261" s="14">
        <f t="shared" si="58"/>
        <v>0</v>
      </c>
      <c r="L1261" s="17">
        <f t="shared" si="59"/>
        <v>0</v>
      </c>
      <c r="M1261" s="14"/>
      <c r="N1261" s="16"/>
      <c r="O1261" s="16"/>
      <c r="P1261" s="16"/>
      <c r="Q1261" s="16"/>
      <c r="R1261" s="16"/>
      <c r="S1261" s="16"/>
      <c r="T1261" s="16"/>
      <c r="U1261" s="16"/>
      <c r="V1261" s="16"/>
      <c r="W1261" s="16"/>
      <c r="X1261" s="16"/>
      <c r="Y1261" s="16"/>
      <c r="Z1261" s="16"/>
      <c r="AA1261" s="16"/>
    </row>
    <row r="1262" spans="1:27" s="2" customFormat="1" ht="14">
      <c r="A1262" s="12" t="s">
        <v>3662</v>
      </c>
      <c r="B1262" s="13" t="s">
        <v>14</v>
      </c>
      <c r="C1262" s="13" t="s">
        <v>3663</v>
      </c>
      <c r="D1262" s="13" t="s">
        <v>3664</v>
      </c>
      <c r="E1262" s="13" t="s">
        <v>29</v>
      </c>
      <c r="F1262" s="14"/>
      <c r="G1262" s="14"/>
      <c r="H1262" s="14"/>
      <c r="I1262" s="14"/>
      <c r="J1262" s="14">
        <f t="shared" si="57"/>
        <v>0</v>
      </c>
      <c r="K1262" s="14">
        <f t="shared" si="58"/>
        <v>0</v>
      </c>
      <c r="L1262" s="17">
        <f t="shared" si="59"/>
        <v>0</v>
      </c>
      <c r="M1262" s="14"/>
      <c r="N1262" s="16"/>
      <c r="O1262" s="16"/>
      <c r="P1262" s="16"/>
      <c r="Q1262" s="16"/>
      <c r="R1262" s="16"/>
      <c r="S1262" s="16"/>
      <c r="T1262" s="16"/>
      <c r="U1262" s="16"/>
      <c r="V1262" s="16"/>
      <c r="W1262" s="16"/>
      <c r="X1262" s="16"/>
      <c r="Y1262" s="16"/>
      <c r="Z1262" s="16"/>
      <c r="AA1262" s="16"/>
    </row>
    <row r="1263" spans="1:27" s="2" customFormat="1" ht="14">
      <c r="A1263" s="12" t="s">
        <v>3665</v>
      </c>
      <c r="B1263" s="13" t="s">
        <v>14</v>
      </c>
      <c r="C1263" s="13" t="s">
        <v>3666</v>
      </c>
      <c r="D1263" s="13" t="s">
        <v>3667</v>
      </c>
      <c r="E1263" s="13" t="s">
        <v>17</v>
      </c>
      <c r="F1263" s="14"/>
      <c r="G1263" s="14"/>
      <c r="H1263" s="14"/>
      <c r="I1263" s="14"/>
      <c r="J1263" s="14">
        <f t="shared" si="57"/>
        <v>0</v>
      </c>
      <c r="K1263" s="14">
        <f t="shared" si="58"/>
        <v>0</v>
      </c>
      <c r="L1263" s="17">
        <f t="shared" si="59"/>
        <v>0</v>
      </c>
      <c r="M1263" s="14"/>
      <c r="N1263" s="16"/>
      <c r="O1263" s="16"/>
      <c r="P1263" s="16"/>
      <c r="Q1263" s="16"/>
      <c r="R1263" s="16"/>
      <c r="S1263" s="16"/>
      <c r="T1263" s="16"/>
      <c r="U1263" s="16"/>
      <c r="V1263" s="16"/>
      <c r="W1263" s="16"/>
      <c r="X1263" s="16"/>
      <c r="Y1263" s="16"/>
      <c r="Z1263" s="16"/>
      <c r="AA1263" s="16"/>
    </row>
    <row r="1264" spans="1:27" s="2" customFormat="1" ht="14">
      <c r="A1264" s="12">
        <v>1232417</v>
      </c>
      <c r="B1264" s="13" t="s">
        <v>14</v>
      </c>
      <c r="C1264" s="13" t="s">
        <v>3668</v>
      </c>
      <c r="D1264" s="13" t="s">
        <v>3669</v>
      </c>
      <c r="E1264" s="13" t="s">
        <v>3465</v>
      </c>
      <c r="F1264" s="14"/>
      <c r="G1264" s="14"/>
      <c r="H1264" s="14"/>
      <c r="I1264" s="14"/>
      <c r="J1264" s="14">
        <f t="shared" si="57"/>
        <v>0</v>
      </c>
      <c r="K1264" s="14">
        <f t="shared" si="58"/>
        <v>0</v>
      </c>
      <c r="L1264" s="17">
        <f t="shared" si="59"/>
        <v>0</v>
      </c>
      <c r="M1264" s="14"/>
      <c r="N1264" s="16"/>
      <c r="O1264" s="16"/>
      <c r="P1264" s="16"/>
      <c r="Q1264" s="16"/>
      <c r="R1264" s="16"/>
      <c r="S1264" s="16"/>
      <c r="T1264" s="16"/>
      <c r="U1264" s="16"/>
      <c r="V1264" s="16"/>
      <c r="W1264" s="16"/>
      <c r="X1264" s="16"/>
      <c r="Y1264" s="16"/>
      <c r="Z1264" s="16"/>
      <c r="AA1264" s="16"/>
    </row>
    <row r="1265" spans="1:27" s="2" customFormat="1" ht="14">
      <c r="A1265" s="12" t="s">
        <v>3670</v>
      </c>
      <c r="B1265" s="13" t="s">
        <v>62</v>
      </c>
      <c r="C1265" s="13" t="s">
        <v>3671</v>
      </c>
      <c r="D1265" s="13" t="s">
        <v>3672</v>
      </c>
      <c r="E1265" s="13" t="s">
        <v>267</v>
      </c>
      <c r="F1265" s="14"/>
      <c r="G1265" s="14"/>
      <c r="H1265" s="14"/>
      <c r="I1265" s="14"/>
      <c r="J1265" s="14">
        <f t="shared" si="57"/>
        <v>0</v>
      </c>
      <c r="K1265" s="14">
        <f t="shared" si="58"/>
        <v>0</v>
      </c>
      <c r="L1265" s="17">
        <f t="shared" si="59"/>
        <v>0</v>
      </c>
      <c r="M1265" s="14"/>
      <c r="N1265" s="16"/>
      <c r="O1265" s="16"/>
      <c r="P1265" s="16"/>
      <c r="Q1265" s="16"/>
      <c r="R1265" s="16"/>
      <c r="S1265" s="16"/>
      <c r="T1265" s="16"/>
      <c r="U1265" s="16"/>
      <c r="V1265" s="16"/>
      <c r="W1265" s="16"/>
      <c r="X1265" s="16"/>
      <c r="Y1265" s="16"/>
      <c r="Z1265" s="16"/>
      <c r="AA1265" s="16"/>
    </row>
    <row r="1266" spans="1:27" s="2" customFormat="1" ht="14">
      <c r="A1266" s="12">
        <v>1219450</v>
      </c>
      <c r="B1266" s="13" t="s">
        <v>14</v>
      </c>
      <c r="C1266" s="13" t="s">
        <v>3673</v>
      </c>
      <c r="D1266" s="13" t="s">
        <v>3674</v>
      </c>
      <c r="E1266" s="13" t="s">
        <v>1579</v>
      </c>
      <c r="F1266" s="14"/>
      <c r="G1266" s="14"/>
      <c r="H1266" s="14"/>
      <c r="I1266" s="14"/>
      <c r="J1266" s="14">
        <f t="shared" si="57"/>
        <v>0</v>
      </c>
      <c r="K1266" s="14">
        <f t="shared" si="58"/>
        <v>0</v>
      </c>
      <c r="L1266" s="17">
        <f t="shared" si="59"/>
        <v>0</v>
      </c>
      <c r="M1266" s="14"/>
      <c r="N1266" s="16"/>
      <c r="O1266" s="16"/>
      <c r="P1266" s="16"/>
      <c r="Q1266" s="16"/>
      <c r="R1266" s="16"/>
      <c r="S1266" s="16"/>
      <c r="T1266" s="16"/>
      <c r="U1266" s="16"/>
      <c r="V1266" s="16"/>
      <c r="W1266" s="16"/>
      <c r="X1266" s="16"/>
      <c r="Y1266" s="16"/>
      <c r="Z1266" s="16"/>
      <c r="AA1266" s="16"/>
    </row>
    <row r="1267" spans="1:27" s="2" customFormat="1" ht="14">
      <c r="A1267" s="12">
        <v>1241036</v>
      </c>
      <c r="B1267" s="13" t="s">
        <v>14</v>
      </c>
      <c r="C1267" s="13" t="s">
        <v>3675</v>
      </c>
      <c r="D1267" s="13" t="s">
        <v>3676</v>
      </c>
      <c r="E1267" s="13" t="s">
        <v>3402</v>
      </c>
      <c r="F1267" s="14"/>
      <c r="G1267" s="14"/>
      <c r="H1267" s="14"/>
      <c r="I1267" s="14"/>
      <c r="J1267" s="14">
        <f t="shared" si="57"/>
        <v>0</v>
      </c>
      <c r="K1267" s="14">
        <f t="shared" si="58"/>
        <v>0</v>
      </c>
      <c r="L1267" s="17">
        <f t="shared" si="59"/>
        <v>0</v>
      </c>
      <c r="M1267" s="14"/>
      <c r="N1267" s="16"/>
      <c r="O1267" s="16"/>
      <c r="P1267" s="16"/>
      <c r="Q1267" s="16"/>
      <c r="R1267" s="16"/>
      <c r="S1267" s="16"/>
      <c r="T1267" s="16"/>
      <c r="U1267" s="16"/>
      <c r="V1267" s="16"/>
      <c r="W1267" s="16"/>
      <c r="X1267" s="16"/>
      <c r="Y1267" s="16"/>
      <c r="Z1267" s="16"/>
      <c r="AA1267" s="16"/>
    </row>
    <row r="1268" spans="1:27" s="2" customFormat="1" ht="14">
      <c r="A1268" s="12" t="s">
        <v>3677</v>
      </c>
      <c r="B1268" s="13" t="s">
        <v>14</v>
      </c>
      <c r="C1268" s="13" t="s">
        <v>3678</v>
      </c>
      <c r="D1268" s="13" t="s">
        <v>3679</v>
      </c>
      <c r="E1268" s="13" t="s">
        <v>57</v>
      </c>
      <c r="F1268" s="14"/>
      <c r="G1268" s="14"/>
      <c r="H1268" s="14"/>
      <c r="I1268" s="14"/>
      <c r="J1268" s="14">
        <f t="shared" si="57"/>
        <v>0</v>
      </c>
      <c r="K1268" s="14">
        <f t="shared" si="58"/>
        <v>0</v>
      </c>
      <c r="L1268" s="17">
        <f t="shared" si="59"/>
        <v>0</v>
      </c>
      <c r="M1268" s="14"/>
      <c r="N1268" s="16"/>
      <c r="O1268" s="16"/>
      <c r="P1268" s="16"/>
      <c r="Q1268" s="16"/>
      <c r="R1268" s="16"/>
      <c r="S1268" s="16"/>
      <c r="T1268" s="16"/>
      <c r="U1268" s="16"/>
      <c r="V1268" s="16"/>
      <c r="W1268" s="16"/>
      <c r="X1268" s="16"/>
      <c r="Y1268" s="16"/>
      <c r="Z1268" s="16"/>
      <c r="AA1268" s="16"/>
    </row>
    <row r="1269" spans="1:27" s="2" customFormat="1" ht="14">
      <c r="A1269" s="12">
        <v>1180008</v>
      </c>
      <c r="B1269" s="13" t="s">
        <v>62</v>
      </c>
      <c r="C1269" s="13" t="s">
        <v>3680</v>
      </c>
      <c r="D1269" s="13" t="s">
        <v>3681</v>
      </c>
      <c r="E1269" s="13" t="s">
        <v>3682</v>
      </c>
      <c r="F1269" s="14"/>
      <c r="G1269" s="14"/>
      <c r="H1269" s="14"/>
      <c r="I1269" s="14"/>
      <c r="J1269" s="14">
        <f t="shared" si="57"/>
        <v>0</v>
      </c>
      <c r="K1269" s="14">
        <f t="shared" si="58"/>
        <v>0</v>
      </c>
      <c r="L1269" s="17">
        <f t="shared" si="59"/>
        <v>0</v>
      </c>
      <c r="M1269" s="14"/>
      <c r="N1269" s="16"/>
      <c r="O1269" s="16"/>
      <c r="P1269" s="16"/>
      <c r="Q1269" s="16"/>
      <c r="R1269" s="16"/>
      <c r="S1269" s="16"/>
      <c r="T1269" s="16"/>
      <c r="U1269" s="16"/>
      <c r="V1269" s="16"/>
      <c r="W1269" s="16"/>
      <c r="X1269" s="16"/>
      <c r="Y1269" s="16"/>
      <c r="Z1269" s="16"/>
      <c r="AA1269" s="16"/>
    </row>
    <row r="1270" spans="1:27" s="2" customFormat="1" ht="14">
      <c r="A1270" s="12" t="s">
        <v>3683</v>
      </c>
      <c r="B1270" s="13" t="s">
        <v>14</v>
      </c>
      <c r="C1270" s="13" t="s">
        <v>3684</v>
      </c>
      <c r="D1270" s="13" t="s">
        <v>3685</v>
      </c>
      <c r="E1270" s="13" t="s">
        <v>220</v>
      </c>
      <c r="F1270" s="14"/>
      <c r="G1270" s="14"/>
      <c r="H1270" s="14"/>
      <c r="I1270" s="14"/>
      <c r="J1270" s="14">
        <f t="shared" si="57"/>
        <v>0</v>
      </c>
      <c r="K1270" s="14">
        <f t="shared" si="58"/>
        <v>0</v>
      </c>
      <c r="L1270" s="17">
        <f t="shared" si="59"/>
        <v>0</v>
      </c>
      <c r="M1270" s="14"/>
      <c r="N1270" s="16"/>
      <c r="O1270" s="16"/>
      <c r="P1270" s="16"/>
      <c r="Q1270" s="16"/>
      <c r="R1270" s="16"/>
      <c r="S1270" s="16"/>
      <c r="T1270" s="16"/>
      <c r="U1270" s="16"/>
      <c r="V1270" s="16"/>
      <c r="W1270" s="16"/>
      <c r="X1270" s="16"/>
      <c r="Y1270" s="16"/>
      <c r="Z1270" s="16"/>
      <c r="AA1270" s="16"/>
    </row>
    <row r="1271" spans="1:27" s="2" customFormat="1" ht="14">
      <c r="A1271" s="12" t="s">
        <v>3686</v>
      </c>
      <c r="B1271" s="13" t="s">
        <v>62</v>
      </c>
      <c r="C1271" s="13" t="s">
        <v>3687</v>
      </c>
      <c r="D1271" s="13" t="s">
        <v>3688</v>
      </c>
      <c r="E1271" s="13" t="s">
        <v>114</v>
      </c>
      <c r="F1271" s="14"/>
      <c r="G1271" s="14"/>
      <c r="H1271" s="14"/>
      <c r="I1271" s="14"/>
      <c r="J1271" s="14">
        <f t="shared" si="57"/>
        <v>0</v>
      </c>
      <c r="K1271" s="14">
        <f t="shared" si="58"/>
        <v>0</v>
      </c>
      <c r="L1271" s="17">
        <f t="shared" si="59"/>
        <v>0</v>
      </c>
      <c r="M1271" s="14"/>
      <c r="N1271" s="16"/>
      <c r="O1271" s="16"/>
      <c r="P1271" s="16"/>
      <c r="Q1271" s="16"/>
      <c r="R1271" s="16"/>
      <c r="S1271" s="16"/>
      <c r="T1271" s="16"/>
      <c r="U1271" s="16"/>
      <c r="V1271" s="16"/>
      <c r="W1271" s="16"/>
      <c r="X1271" s="16"/>
      <c r="Y1271" s="16"/>
      <c r="Z1271" s="16"/>
      <c r="AA1271" s="16"/>
    </row>
    <row r="1272" spans="1:27" s="2" customFormat="1" ht="14">
      <c r="A1272" s="12" t="s">
        <v>3689</v>
      </c>
      <c r="B1272" s="13" t="s">
        <v>62</v>
      </c>
      <c r="C1272" s="13" t="s">
        <v>3690</v>
      </c>
      <c r="D1272" s="13" t="s">
        <v>3691</v>
      </c>
      <c r="E1272" s="13" t="s">
        <v>150</v>
      </c>
      <c r="F1272" s="14"/>
      <c r="G1272" s="14"/>
      <c r="H1272" s="14"/>
      <c r="I1272" s="14"/>
      <c r="J1272" s="14">
        <f t="shared" si="57"/>
        <v>0</v>
      </c>
      <c r="K1272" s="14">
        <f t="shared" si="58"/>
        <v>0</v>
      </c>
      <c r="L1272" s="17">
        <f t="shared" si="59"/>
        <v>0</v>
      </c>
      <c r="M1272" s="14"/>
      <c r="N1272" s="16"/>
      <c r="O1272" s="16"/>
      <c r="P1272" s="16"/>
      <c r="Q1272" s="16"/>
      <c r="R1272" s="16"/>
      <c r="S1272" s="16"/>
      <c r="T1272" s="16"/>
      <c r="U1272" s="16"/>
      <c r="V1272" s="16"/>
      <c r="W1272" s="16"/>
      <c r="X1272" s="16"/>
      <c r="Y1272" s="16"/>
      <c r="Z1272" s="16"/>
      <c r="AA1272" s="16"/>
    </row>
    <row r="1273" spans="1:27" s="2" customFormat="1" ht="14">
      <c r="A1273" s="12" t="s">
        <v>3692</v>
      </c>
      <c r="B1273" s="13" t="s">
        <v>62</v>
      </c>
      <c r="C1273" s="13" t="s">
        <v>3693</v>
      </c>
      <c r="D1273" s="13" t="s">
        <v>3694</v>
      </c>
      <c r="E1273" s="13" t="s">
        <v>365</v>
      </c>
      <c r="F1273" s="14"/>
      <c r="G1273" s="14"/>
      <c r="H1273" s="14"/>
      <c r="I1273" s="14"/>
      <c r="J1273" s="14">
        <f t="shared" si="57"/>
        <v>0</v>
      </c>
      <c r="K1273" s="14">
        <f t="shared" si="58"/>
        <v>0</v>
      </c>
      <c r="L1273" s="17">
        <f t="shared" si="59"/>
        <v>0</v>
      </c>
      <c r="M1273" s="14"/>
      <c r="N1273" s="16"/>
      <c r="O1273" s="16"/>
      <c r="P1273" s="16"/>
      <c r="Q1273" s="16"/>
      <c r="R1273" s="16"/>
      <c r="S1273" s="16"/>
      <c r="T1273" s="16"/>
      <c r="U1273" s="16"/>
      <c r="V1273" s="16"/>
      <c r="W1273" s="16"/>
      <c r="X1273" s="16"/>
      <c r="Y1273" s="16"/>
      <c r="Z1273" s="16"/>
      <c r="AA1273" s="16"/>
    </row>
    <row r="1274" spans="1:27" s="2" customFormat="1" ht="14">
      <c r="A1274" s="12" t="s">
        <v>3695</v>
      </c>
      <c r="B1274" s="13" t="s">
        <v>62</v>
      </c>
      <c r="C1274" s="13" t="s">
        <v>3696</v>
      </c>
      <c r="D1274" s="13" t="s">
        <v>3697</v>
      </c>
      <c r="E1274" s="13" t="s">
        <v>72</v>
      </c>
      <c r="F1274" s="14"/>
      <c r="G1274" s="14"/>
      <c r="H1274" s="14"/>
      <c r="I1274" s="14"/>
      <c r="J1274" s="14">
        <f t="shared" si="57"/>
        <v>0</v>
      </c>
      <c r="K1274" s="14">
        <f t="shared" si="58"/>
        <v>0</v>
      </c>
      <c r="L1274" s="17">
        <f t="shared" si="59"/>
        <v>0</v>
      </c>
      <c r="M1274" s="14"/>
      <c r="N1274" s="16"/>
      <c r="O1274" s="16"/>
      <c r="P1274" s="16"/>
      <c r="Q1274" s="16"/>
      <c r="R1274" s="16"/>
      <c r="S1274" s="16"/>
      <c r="T1274" s="16"/>
      <c r="U1274" s="16"/>
      <c r="V1274" s="16"/>
      <c r="W1274" s="16"/>
      <c r="X1274" s="16"/>
      <c r="Y1274" s="16"/>
      <c r="Z1274" s="16"/>
      <c r="AA1274" s="16"/>
    </row>
    <row r="1275" spans="1:27" s="2" customFormat="1" ht="14">
      <c r="A1275" s="12">
        <v>1242805</v>
      </c>
      <c r="B1275" s="13" t="s">
        <v>62</v>
      </c>
      <c r="C1275" s="13" t="s">
        <v>3698</v>
      </c>
      <c r="D1275" s="13" t="s">
        <v>3699</v>
      </c>
      <c r="E1275" s="13" t="s">
        <v>3700</v>
      </c>
      <c r="F1275" s="14"/>
      <c r="G1275" s="14"/>
      <c r="H1275" s="14"/>
      <c r="I1275" s="14"/>
      <c r="J1275" s="14">
        <f t="shared" si="57"/>
        <v>0</v>
      </c>
      <c r="K1275" s="14">
        <f t="shared" si="58"/>
        <v>0</v>
      </c>
      <c r="L1275" s="17">
        <f t="shared" si="59"/>
        <v>0</v>
      </c>
      <c r="M1275" s="14"/>
      <c r="N1275" s="16"/>
      <c r="O1275" s="16"/>
      <c r="P1275" s="16"/>
      <c r="Q1275" s="16"/>
      <c r="R1275" s="16"/>
      <c r="S1275" s="16"/>
      <c r="T1275" s="16"/>
      <c r="U1275" s="16"/>
      <c r="V1275" s="16"/>
      <c r="W1275" s="16"/>
      <c r="X1275" s="16"/>
      <c r="Y1275" s="16"/>
      <c r="Z1275" s="16"/>
      <c r="AA1275" s="16"/>
    </row>
    <row r="1276" spans="1:27" s="2" customFormat="1" ht="14">
      <c r="A1276" s="12">
        <v>1180126</v>
      </c>
      <c r="B1276" s="13" t="s">
        <v>62</v>
      </c>
      <c r="C1276" s="13" t="s">
        <v>3701</v>
      </c>
      <c r="D1276" s="13" t="s">
        <v>3702</v>
      </c>
      <c r="E1276" s="13" t="s">
        <v>3703</v>
      </c>
      <c r="F1276" s="14"/>
      <c r="G1276" s="14"/>
      <c r="H1276" s="14"/>
      <c r="I1276" s="14"/>
      <c r="J1276" s="14">
        <f t="shared" si="57"/>
        <v>0</v>
      </c>
      <c r="K1276" s="14">
        <f t="shared" si="58"/>
        <v>0</v>
      </c>
      <c r="L1276" s="17">
        <f t="shared" si="59"/>
        <v>0</v>
      </c>
      <c r="M1276" s="14"/>
      <c r="N1276" s="16"/>
      <c r="O1276" s="16"/>
      <c r="P1276" s="16"/>
      <c r="Q1276" s="16"/>
      <c r="R1276" s="16"/>
      <c r="S1276" s="16"/>
      <c r="T1276" s="16"/>
      <c r="U1276" s="16"/>
      <c r="V1276" s="16"/>
      <c r="W1276" s="16"/>
      <c r="X1276" s="16"/>
      <c r="Y1276" s="16"/>
      <c r="Z1276" s="16"/>
      <c r="AA1276" s="16"/>
    </row>
    <row r="1277" spans="1:27" s="2" customFormat="1" ht="14">
      <c r="A1277" s="12">
        <v>1180128</v>
      </c>
      <c r="B1277" s="13" t="s">
        <v>14</v>
      </c>
      <c r="C1277" s="13" t="s">
        <v>3704</v>
      </c>
      <c r="D1277" s="13" t="s">
        <v>3705</v>
      </c>
      <c r="E1277" s="13" t="s">
        <v>3706</v>
      </c>
      <c r="F1277" s="14"/>
      <c r="G1277" s="14"/>
      <c r="H1277" s="14"/>
      <c r="I1277" s="14"/>
      <c r="J1277" s="14">
        <f t="shared" si="57"/>
        <v>0</v>
      </c>
      <c r="K1277" s="14">
        <f t="shared" si="58"/>
        <v>0</v>
      </c>
      <c r="L1277" s="17">
        <f t="shared" si="59"/>
        <v>0</v>
      </c>
      <c r="M1277" s="14"/>
      <c r="N1277" s="16"/>
      <c r="O1277" s="16"/>
      <c r="P1277" s="16"/>
      <c r="Q1277" s="16"/>
      <c r="R1277" s="16"/>
      <c r="S1277" s="16"/>
      <c r="T1277" s="16"/>
      <c r="U1277" s="16"/>
      <c r="V1277" s="16"/>
      <c r="W1277" s="16"/>
      <c r="X1277" s="16"/>
      <c r="Y1277" s="16"/>
      <c r="Z1277" s="16"/>
      <c r="AA1277" s="16"/>
    </row>
    <row r="1278" spans="1:27" s="2" customFormat="1" ht="14">
      <c r="A1278" s="12" t="s">
        <v>3707</v>
      </c>
      <c r="B1278" s="13" t="s">
        <v>62</v>
      </c>
      <c r="C1278" s="13" t="s">
        <v>3708</v>
      </c>
      <c r="D1278" s="13" t="s">
        <v>3709</v>
      </c>
      <c r="E1278" s="13" t="s">
        <v>104</v>
      </c>
      <c r="F1278" s="14"/>
      <c r="G1278" s="14"/>
      <c r="H1278" s="14"/>
      <c r="I1278" s="14"/>
      <c r="J1278" s="14">
        <f t="shared" si="57"/>
        <v>0</v>
      </c>
      <c r="K1278" s="14">
        <f t="shared" si="58"/>
        <v>0</v>
      </c>
      <c r="L1278" s="17">
        <f t="shared" si="59"/>
        <v>0</v>
      </c>
      <c r="M1278" s="14"/>
      <c r="N1278" s="16"/>
      <c r="O1278" s="16"/>
      <c r="P1278" s="16"/>
      <c r="Q1278" s="16"/>
      <c r="R1278" s="16"/>
      <c r="S1278" s="16"/>
      <c r="T1278" s="16"/>
      <c r="U1278" s="16"/>
      <c r="V1278" s="16"/>
      <c r="W1278" s="16"/>
      <c r="X1278" s="16"/>
      <c r="Y1278" s="16"/>
      <c r="Z1278" s="16"/>
      <c r="AA1278" s="16"/>
    </row>
    <row r="1279" spans="1:27" s="2" customFormat="1" ht="14">
      <c r="A1279" s="12">
        <v>1180131</v>
      </c>
      <c r="B1279" s="13" t="s">
        <v>14</v>
      </c>
      <c r="C1279" s="13" t="s">
        <v>3710</v>
      </c>
      <c r="D1279" s="13" t="s">
        <v>3711</v>
      </c>
      <c r="E1279" s="13" t="s">
        <v>3506</v>
      </c>
      <c r="F1279" s="14"/>
      <c r="G1279" s="14"/>
      <c r="H1279" s="14"/>
      <c r="I1279" s="14"/>
      <c r="J1279" s="14">
        <f t="shared" si="57"/>
        <v>0</v>
      </c>
      <c r="K1279" s="14">
        <f t="shared" si="58"/>
        <v>0</v>
      </c>
      <c r="L1279" s="17">
        <f t="shared" si="59"/>
        <v>0</v>
      </c>
      <c r="M1279" s="14"/>
      <c r="N1279" s="16"/>
      <c r="O1279" s="16"/>
      <c r="P1279" s="16"/>
      <c r="Q1279" s="16"/>
      <c r="R1279" s="16"/>
      <c r="S1279" s="16"/>
      <c r="T1279" s="16"/>
      <c r="U1279" s="16"/>
      <c r="V1279" s="16"/>
      <c r="W1279" s="16"/>
      <c r="X1279" s="16"/>
      <c r="Y1279" s="16"/>
      <c r="Z1279" s="16"/>
      <c r="AA1279" s="16"/>
    </row>
    <row r="1280" spans="1:27" s="2" customFormat="1" ht="14">
      <c r="A1280" s="12" t="s">
        <v>3712</v>
      </c>
      <c r="B1280" s="13" t="s">
        <v>14</v>
      </c>
      <c r="C1280" s="13" t="s">
        <v>3713</v>
      </c>
      <c r="D1280" s="13" t="s">
        <v>3714</v>
      </c>
      <c r="E1280" s="13" t="s">
        <v>267</v>
      </c>
      <c r="F1280" s="14"/>
      <c r="G1280" s="14"/>
      <c r="H1280" s="14"/>
      <c r="I1280" s="14"/>
      <c r="J1280" s="14">
        <f t="shared" si="57"/>
        <v>0</v>
      </c>
      <c r="K1280" s="14">
        <f t="shared" si="58"/>
        <v>0</v>
      </c>
      <c r="L1280" s="17">
        <f t="shared" si="59"/>
        <v>0</v>
      </c>
      <c r="M1280" s="14"/>
      <c r="N1280" s="16"/>
      <c r="O1280" s="16"/>
      <c r="P1280" s="16"/>
      <c r="Q1280" s="16"/>
      <c r="R1280" s="16"/>
      <c r="S1280" s="16"/>
      <c r="T1280" s="16"/>
      <c r="U1280" s="16"/>
      <c r="V1280" s="16"/>
      <c r="W1280" s="16"/>
      <c r="X1280" s="16"/>
      <c r="Y1280" s="16"/>
      <c r="Z1280" s="16"/>
      <c r="AA1280" s="16"/>
    </row>
    <row r="1281" spans="1:27" s="2" customFormat="1" ht="14">
      <c r="A1281" s="12">
        <v>1180139</v>
      </c>
      <c r="B1281" s="13" t="s">
        <v>14</v>
      </c>
      <c r="C1281" s="13" t="s">
        <v>3715</v>
      </c>
      <c r="D1281" s="13" t="s">
        <v>3716</v>
      </c>
      <c r="E1281" s="13" t="s">
        <v>3402</v>
      </c>
      <c r="F1281" s="14"/>
      <c r="G1281" s="14"/>
      <c r="H1281" s="14"/>
      <c r="I1281" s="14"/>
      <c r="J1281" s="14">
        <f t="shared" si="57"/>
        <v>0</v>
      </c>
      <c r="K1281" s="14">
        <f t="shared" si="58"/>
        <v>0</v>
      </c>
      <c r="L1281" s="17">
        <f t="shared" si="59"/>
        <v>0</v>
      </c>
      <c r="M1281" s="14"/>
      <c r="N1281" s="16"/>
      <c r="O1281" s="16"/>
      <c r="P1281" s="16"/>
      <c r="Q1281" s="16"/>
      <c r="R1281" s="16"/>
      <c r="S1281" s="16"/>
      <c r="T1281" s="16"/>
      <c r="U1281" s="16"/>
      <c r="V1281" s="16"/>
      <c r="W1281" s="16"/>
      <c r="X1281" s="16"/>
      <c r="Y1281" s="16"/>
      <c r="Z1281" s="16"/>
      <c r="AA1281" s="16"/>
    </row>
    <row r="1282" spans="1:27" s="2" customFormat="1" ht="14">
      <c r="A1282" s="12" t="s">
        <v>3717</v>
      </c>
      <c r="B1282" s="13" t="s">
        <v>14</v>
      </c>
      <c r="C1282" s="13" t="s">
        <v>3718</v>
      </c>
      <c r="D1282" s="13" t="s">
        <v>3719</v>
      </c>
      <c r="E1282" s="13" t="s">
        <v>29</v>
      </c>
      <c r="F1282" s="14"/>
      <c r="G1282" s="14"/>
      <c r="H1282" s="14"/>
      <c r="I1282" s="14"/>
      <c r="J1282" s="14">
        <f t="shared" ref="J1282:J1345" si="60">IF(G1282&gt;0,1,0)</f>
        <v>0</v>
      </c>
      <c r="K1282" s="14">
        <f t="shared" ref="K1282:K1345" si="61">IF(H1282&gt;0,1,0)</f>
        <v>0</v>
      </c>
      <c r="L1282" s="17">
        <f t="shared" ref="L1282:L1345" si="62">IF(G1282&gt;0,IF(H1282&gt;0,1,0),0)</f>
        <v>0</v>
      </c>
      <c r="M1282" s="14"/>
      <c r="N1282" s="16"/>
      <c r="O1282" s="16"/>
      <c r="P1282" s="16"/>
      <c r="Q1282" s="16"/>
      <c r="R1282" s="16"/>
      <c r="S1282" s="16"/>
      <c r="T1282" s="16"/>
      <c r="U1282" s="16"/>
      <c r="V1282" s="16"/>
      <c r="W1282" s="16"/>
      <c r="X1282" s="16"/>
      <c r="Y1282" s="16"/>
      <c r="Z1282" s="16"/>
      <c r="AA1282" s="16"/>
    </row>
    <row r="1283" spans="1:27" s="2" customFormat="1" ht="14">
      <c r="A1283" s="12" t="s">
        <v>3720</v>
      </c>
      <c r="B1283" s="13" t="s">
        <v>62</v>
      </c>
      <c r="C1283" s="13" t="s">
        <v>3721</v>
      </c>
      <c r="D1283" s="13" t="s">
        <v>3722</v>
      </c>
      <c r="E1283" s="13" t="s">
        <v>488</v>
      </c>
      <c r="F1283" s="14"/>
      <c r="G1283" s="14"/>
      <c r="H1283" s="14"/>
      <c r="I1283" s="14"/>
      <c r="J1283" s="14">
        <f t="shared" si="60"/>
        <v>0</v>
      </c>
      <c r="K1283" s="14">
        <f t="shared" si="61"/>
        <v>0</v>
      </c>
      <c r="L1283" s="17">
        <f t="shared" si="62"/>
        <v>0</v>
      </c>
      <c r="M1283" s="14"/>
      <c r="N1283" s="16"/>
      <c r="O1283" s="16"/>
      <c r="P1283" s="16"/>
      <c r="Q1283" s="16"/>
      <c r="R1283" s="16"/>
      <c r="S1283" s="16"/>
      <c r="T1283" s="16"/>
      <c r="U1283" s="16"/>
      <c r="V1283" s="16"/>
      <c r="W1283" s="16"/>
      <c r="X1283" s="16"/>
      <c r="Y1283" s="16"/>
      <c r="Z1283" s="16"/>
      <c r="AA1283" s="16"/>
    </row>
    <row r="1284" spans="1:27" s="2" customFormat="1" ht="14">
      <c r="A1284" s="12" t="s">
        <v>3723</v>
      </c>
      <c r="B1284" s="13" t="s">
        <v>14</v>
      </c>
      <c r="C1284" s="13" t="s">
        <v>3724</v>
      </c>
      <c r="D1284" s="13" t="s">
        <v>3725</v>
      </c>
      <c r="E1284" s="13" t="s">
        <v>36</v>
      </c>
      <c r="F1284" s="14"/>
      <c r="G1284" s="14"/>
      <c r="H1284" s="14"/>
      <c r="I1284" s="14"/>
      <c r="J1284" s="14">
        <f t="shared" si="60"/>
        <v>0</v>
      </c>
      <c r="K1284" s="14">
        <f t="shared" si="61"/>
        <v>0</v>
      </c>
      <c r="L1284" s="17">
        <f t="shared" si="62"/>
        <v>0</v>
      </c>
      <c r="M1284" s="14"/>
      <c r="N1284" s="16"/>
      <c r="O1284" s="16"/>
      <c r="P1284" s="16"/>
      <c r="Q1284" s="16"/>
      <c r="R1284" s="16"/>
      <c r="S1284" s="16"/>
      <c r="T1284" s="16"/>
      <c r="U1284" s="16"/>
      <c r="V1284" s="16"/>
      <c r="W1284" s="16"/>
      <c r="X1284" s="16"/>
      <c r="Y1284" s="16"/>
      <c r="Z1284" s="16"/>
      <c r="AA1284" s="16"/>
    </row>
    <row r="1285" spans="1:27" s="2" customFormat="1" ht="14">
      <c r="A1285" s="12">
        <v>1248309</v>
      </c>
      <c r="B1285" s="13" t="s">
        <v>14</v>
      </c>
      <c r="C1285" s="13" t="s">
        <v>3726</v>
      </c>
      <c r="D1285" s="13" t="s">
        <v>3727</v>
      </c>
      <c r="E1285" s="13" t="s">
        <v>3682</v>
      </c>
      <c r="F1285" s="14"/>
      <c r="G1285" s="14"/>
      <c r="H1285" s="14"/>
      <c r="I1285" s="14"/>
      <c r="J1285" s="14">
        <f t="shared" si="60"/>
        <v>0</v>
      </c>
      <c r="K1285" s="14">
        <f t="shared" si="61"/>
        <v>0</v>
      </c>
      <c r="L1285" s="17">
        <f t="shared" si="62"/>
        <v>0</v>
      </c>
      <c r="M1285" s="14"/>
      <c r="N1285" s="16"/>
      <c r="O1285" s="16"/>
      <c r="P1285" s="16"/>
      <c r="Q1285" s="16"/>
      <c r="R1285" s="16"/>
      <c r="S1285" s="16"/>
      <c r="T1285" s="16"/>
      <c r="U1285" s="16"/>
      <c r="V1285" s="16"/>
      <c r="W1285" s="16"/>
      <c r="X1285" s="16"/>
      <c r="Y1285" s="16"/>
      <c r="Z1285" s="16"/>
      <c r="AA1285" s="16"/>
    </row>
    <row r="1286" spans="1:27" s="2" customFormat="1" ht="14">
      <c r="A1286" s="12">
        <v>1248268</v>
      </c>
      <c r="B1286" s="13" t="s">
        <v>62</v>
      </c>
      <c r="C1286" s="13" t="s">
        <v>3728</v>
      </c>
      <c r="D1286" s="13" t="s">
        <v>3729</v>
      </c>
      <c r="E1286" s="13" t="s">
        <v>3730</v>
      </c>
      <c r="F1286" s="14"/>
      <c r="G1286" s="14"/>
      <c r="H1286" s="14"/>
      <c r="I1286" s="14"/>
      <c r="J1286" s="14">
        <f t="shared" si="60"/>
        <v>0</v>
      </c>
      <c r="K1286" s="14">
        <f t="shared" si="61"/>
        <v>0</v>
      </c>
      <c r="L1286" s="17">
        <f t="shared" si="62"/>
        <v>0</v>
      </c>
      <c r="M1286" s="14"/>
      <c r="N1286" s="16"/>
      <c r="O1286" s="16"/>
      <c r="P1286" s="16"/>
      <c r="Q1286" s="16"/>
      <c r="R1286" s="16"/>
      <c r="S1286" s="16"/>
      <c r="T1286" s="16"/>
      <c r="U1286" s="16"/>
      <c r="V1286" s="16"/>
      <c r="W1286" s="16"/>
      <c r="X1286" s="16"/>
      <c r="Y1286" s="16"/>
      <c r="Z1286" s="16"/>
      <c r="AA1286" s="16"/>
    </row>
    <row r="1287" spans="1:27" s="2" customFormat="1" ht="14">
      <c r="A1287" s="12">
        <v>1248562</v>
      </c>
      <c r="B1287" s="13" t="s">
        <v>14</v>
      </c>
      <c r="C1287" s="13" t="s">
        <v>3731</v>
      </c>
      <c r="D1287" s="13" t="s">
        <v>3732</v>
      </c>
      <c r="E1287" s="13" t="s">
        <v>3512</v>
      </c>
      <c r="F1287" s="14"/>
      <c r="G1287" s="14"/>
      <c r="H1287" s="14"/>
      <c r="I1287" s="14"/>
      <c r="J1287" s="14">
        <f t="shared" si="60"/>
        <v>0</v>
      </c>
      <c r="K1287" s="14">
        <f t="shared" si="61"/>
        <v>0</v>
      </c>
      <c r="L1287" s="17">
        <f t="shared" si="62"/>
        <v>0</v>
      </c>
      <c r="M1287" s="14"/>
      <c r="N1287" s="16"/>
      <c r="O1287" s="16"/>
      <c r="P1287" s="16"/>
      <c r="Q1287" s="16"/>
      <c r="R1287" s="16"/>
      <c r="S1287" s="16"/>
      <c r="T1287" s="16"/>
      <c r="U1287" s="16"/>
      <c r="V1287" s="16"/>
      <c r="W1287" s="16"/>
      <c r="X1287" s="16"/>
      <c r="Y1287" s="16"/>
      <c r="Z1287" s="16"/>
      <c r="AA1287" s="16"/>
    </row>
    <row r="1288" spans="1:27" s="2" customFormat="1" ht="14">
      <c r="A1288" s="12" t="s">
        <v>3733</v>
      </c>
      <c r="B1288" s="13" t="s">
        <v>14</v>
      </c>
      <c r="C1288" s="13" t="s">
        <v>3734</v>
      </c>
      <c r="D1288" s="13" t="s">
        <v>3735</v>
      </c>
      <c r="E1288" s="13" t="s">
        <v>201</v>
      </c>
      <c r="F1288" s="14"/>
      <c r="G1288" s="14"/>
      <c r="H1288" s="14"/>
      <c r="I1288" s="14"/>
      <c r="J1288" s="14">
        <f t="shared" si="60"/>
        <v>0</v>
      </c>
      <c r="K1288" s="14">
        <f t="shared" si="61"/>
        <v>0</v>
      </c>
      <c r="L1288" s="17">
        <f t="shared" si="62"/>
        <v>0</v>
      </c>
      <c r="M1288" s="14"/>
      <c r="N1288" s="16"/>
      <c r="O1288" s="16"/>
      <c r="P1288" s="16"/>
      <c r="Q1288" s="16"/>
      <c r="R1288" s="16"/>
      <c r="S1288" s="16"/>
      <c r="T1288" s="16"/>
      <c r="U1288" s="16"/>
      <c r="V1288" s="16"/>
      <c r="W1288" s="16"/>
      <c r="X1288" s="16"/>
      <c r="Y1288" s="16"/>
      <c r="Z1288" s="16"/>
      <c r="AA1288" s="16"/>
    </row>
    <row r="1289" spans="1:27" s="2" customFormat="1" ht="14">
      <c r="A1289" s="12" t="s">
        <v>3736</v>
      </c>
      <c r="B1289" s="13" t="s">
        <v>62</v>
      </c>
      <c r="C1289" s="13" t="s">
        <v>3737</v>
      </c>
      <c r="D1289" s="13" t="s">
        <v>3738</v>
      </c>
      <c r="E1289" s="13" t="s">
        <v>156</v>
      </c>
      <c r="F1289" s="14"/>
      <c r="G1289" s="14"/>
      <c r="H1289" s="14"/>
      <c r="I1289" s="14"/>
      <c r="J1289" s="14">
        <f t="shared" si="60"/>
        <v>0</v>
      </c>
      <c r="K1289" s="14">
        <f t="shared" si="61"/>
        <v>0</v>
      </c>
      <c r="L1289" s="17">
        <f t="shared" si="62"/>
        <v>0</v>
      </c>
      <c r="M1289" s="14"/>
      <c r="N1289" s="16"/>
      <c r="O1289" s="16"/>
      <c r="P1289" s="16"/>
      <c r="Q1289" s="16"/>
      <c r="R1289" s="16"/>
      <c r="S1289" s="16"/>
      <c r="T1289" s="16"/>
      <c r="U1289" s="16"/>
      <c r="V1289" s="16"/>
      <c r="W1289" s="16"/>
      <c r="X1289" s="16"/>
      <c r="Y1289" s="16"/>
      <c r="Z1289" s="16"/>
      <c r="AA1289" s="16"/>
    </row>
    <row r="1290" spans="1:27" s="2" customFormat="1" ht="14">
      <c r="A1290" s="12">
        <v>1249068</v>
      </c>
      <c r="B1290" s="13" t="s">
        <v>14</v>
      </c>
      <c r="C1290" s="13" t="s">
        <v>3739</v>
      </c>
      <c r="D1290" s="13" t="s">
        <v>3740</v>
      </c>
      <c r="E1290" s="13" t="s">
        <v>3465</v>
      </c>
      <c r="F1290" s="14"/>
      <c r="G1290" s="14"/>
      <c r="H1290" s="14"/>
      <c r="I1290" s="14"/>
      <c r="J1290" s="14">
        <f t="shared" si="60"/>
        <v>0</v>
      </c>
      <c r="K1290" s="14">
        <f t="shared" si="61"/>
        <v>0</v>
      </c>
      <c r="L1290" s="17">
        <f t="shared" si="62"/>
        <v>0</v>
      </c>
      <c r="M1290" s="14"/>
      <c r="N1290" s="16"/>
      <c r="O1290" s="16"/>
      <c r="P1290" s="16"/>
      <c r="Q1290" s="16"/>
      <c r="R1290" s="16"/>
      <c r="S1290" s="16"/>
      <c r="T1290" s="16"/>
      <c r="U1290" s="16"/>
      <c r="V1290" s="16"/>
      <c r="W1290" s="16"/>
      <c r="X1290" s="16"/>
      <c r="Y1290" s="16"/>
      <c r="Z1290" s="16"/>
      <c r="AA1290" s="16"/>
    </row>
    <row r="1291" spans="1:27" s="2" customFormat="1" ht="14">
      <c r="A1291" s="12">
        <v>1248856</v>
      </c>
      <c r="B1291" s="13" t="s">
        <v>62</v>
      </c>
      <c r="C1291" s="13" t="s">
        <v>3741</v>
      </c>
      <c r="D1291" s="13" t="s">
        <v>3742</v>
      </c>
      <c r="E1291" s="13" t="s">
        <v>3402</v>
      </c>
      <c r="F1291" s="14"/>
      <c r="G1291" s="14"/>
      <c r="H1291" s="14"/>
      <c r="I1291" s="14"/>
      <c r="J1291" s="14">
        <f t="shared" si="60"/>
        <v>0</v>
      </c>
      <c r="K1291" s="14">
        <f t="shared" si="61"/>
        <v>0</v>
      </c>
      <c r="L1291" s="17">
        <f t="shared" si="62"/>
        <v>0</v>
      </c>
      <c r="M1291" s="14"/>
      <c r="N1291" s="16"/>
      <c r="O1291" s="16"/>
      <c r="P1291" s="16"/>
      <c r="Q1291" s="16"/>
      <c r="R1291" s="16"/>
      <c r="S1291" s="16"/>
      <c r="T1291" s="16"/>
      <c r="U1291" s="16"/>
      <c r="V1291" s="16"/>
      <c r="W1291" s="16"/>
      <c r="X1291" s="16"/>
      <c r="Y1291" s="16"/>
      <c r="Z1291" s="16"/>
      <c r="AA1291" s="16"/>
    </row>
    <row r="1292" spans="1:27" s="2" customFormat="1" ht="14">
      <c r="A1292" s="12">
        <v>1249136</v>
      </c>
      <c r="B1292" s="13" t="s">
        <v>14</v>
      </c>
      <c r="C1292" s="13" t="s">
        <v>3743</v>
      </c>
      <c r="D1292" s="13" t="s">
        <v>3744</v>
      </c>
      <c r="E1292" s="13" t="s">
        <v>1579</v>
      </c>
      <c r="F1292" s="14"/>
      <c r="G1292" s="14"/>
      <c r="H1292" s="14"/>
      <c r="I1292" s="14"/>
      <c r="J1292" s="14">
        <f t="shared" si="60"/>
        <v>0</v>
      </c>
      <c r="K1292" s="14">
        <f t="shared" si="61"/>
        <v>0</v>
      </c>
      <c r="L1292" s="17">
        <f t="shared" si="62"/>
        <v>0</v>
      </c>
      <c r="M1292" s="14"/>
      <c r="N1292" s="16"/>
      <c r="O1292" s="16"/>
      <c r="P1292" s="16"/>
      <c r="Q1292" s="16"/>
      <c r="R1292" s="16"/>
      <c r="S1292" s="16"/>
      <c r="T1292" s="16"/>
      <c r="U1292" s="16"/>
      <c r="V1292" s="16"/>
      <c r="W1292" s="16"/>
      <c r="X1292" s="16"/>
      <c r="Y1292" s="16"/>
      <c r="Z1292" s="16"/>
      <c r="AA1292" s="16"/>
    </row>
    <row r="1293" spans="1:27" s="2" customFormat="1" ht="14">
      <c r="A1293" s="12" t="s">
        <v>3745</v>
      </c>
      <c r="B1293" s="13" t="s">
        <v>14</v>
      </c>
      <c r="C1293" s="13" t="s">
        <v>3746</v>
      </c>
      <c r="D1293" s="13" t="s">
        <v>3747</v>
      </c>
      <c r="E1293" s="13" t="s">
        <v>104</v>
      </c>
      <c r="F1293" s="14"/>
      <c r="G1293" s="14"/>
      <c r="H1293" s="14"/>
      <c r="I1293" s="14"/>
      <c r="J1293" s="14">
        <f t="shared" si="60"/>
        <v>0</v>
      </c>
      <c r="K1293" s="14">
        <f t="shared" si="61"/>
        <v>0</v>
      </c>
      <c r="L1293" s="17">
        <f t="shared" si="62"/>
        <v>0</v>
      </c>
      <c r="M1293" s="14"/>
      <c r="N1293" s="16"/>
      <c r="O1293" s="16"/>
      <c r="P1293" s="16"/>
      <c r="Q1293" s="16"/>
      <c r="R1293" s="16"/>
      <c r="S1293" s="16"/>
      <c r="T1293" s="16"/>
      <c r="U1293" s="16"/>
      <c r="V1293" s="16"/>
      <c r="W1293" s="16"/>
      <c r="X1293" s="16"/>
      <c r="Y1293" s="16"/>
      <c r="Z1293" s="16"/>
      <c r="AA1293" s="16"/>
    </row>
    <row r="1294" spans="1:27" s="2" customFormat="1" ht="14">
      <c r="A1294" s="12">
        <v>1249245</v>
      </c>
      <c r="B1294" s="13" t="s">
        <v>14</v>
      </c>
      <c r="C1294" s="13" t="s">
        <v>3748</v>
      </c>
      <c r="D1294" s="13" t="s">
        <v>3749</v>
      </c>
      <c r="E1294" s="13" t="s">
        <v>3750</v>
      </c>
      <c r="F1294" s="14"/>
      <c r="G1294" s="14"/>
      <c r="H1294" s="14"/>
      <c r="I1294" s="14"/>
      <c r="J1294" s="14">
        <f t="shared" si="60"/>
        <v>0</v>
      </c>
      <c r="K1294" s="14">
        <f t="shared" si="61"/>
        <v>0</v>
      </c>
      <c r="L1294" s="17">
        <f t="shared" si="62"/>
        <v>0</v>
      </c>
      <c r="M1294" s="14"/>
      <c r="N1294" s="16"/>
      <c r="O1294" s="16"/>
      <c r="P1294" s="16"/>
      <c r="Q1294" s="16"/>
      <c r="R1294" s="16"/>
      <c r="S1294" s="16"/>
      <c r="T1294" s="16"/>
      <c r="U1294" s="16"/>
      <c r="V1294" s="16"/>
      <c r="W1294" s="16"/>
      <c r="X1294" s="16"/>
      <c r="Y1294" s="16"/>
      <c r="Z1294" s="16"/>
      <c r="AA1294" s="16"/>
    </row>
    <row r="1295" spans="1:27" s="2" customFormat="1" ht="14">
      <c r="A1295" s="12">
        <v>1249247</v>
      </c>
      <c r="B1295" s="13" t="s">
        <v>14</v>
      </c>
      <c r="C1295" s="13" t="s">
        <v>3751</v>
      </c>
      <c r="D1295" s="13" t="s">
        <v>3752</v>
      </c>
      <c r="E1295" s="13" t="s">
        <v>1839</v>
      </c>
      <c r="F1295" s="14"/>
      <c r="G1295" s="14"/>
      <c r="H1295" s="14"/>
      <c r="I1295" s="14"/>
      <c r="J1295" s="14">
        <f t="shared" si="60"/>
        <v>0</v>
      </c>
      <c r="K1295" s="14">
        <f t="shared" si="61"/>
        <v>0</v>
      </c>
      <c r="L1295" s="17">
        <f t="shared" si="62"/>
        <v>0</v>
      </c>
      <c r="M1295" s="14"/>
      <c r="N1295" s="16"/>
      <c r="O1295" s="16"/>
      <c r="P1295" s="16"/>
      <c r="Q1295" s="16"/>
      <c r="R1295" s="16"/>
      <c r="S1295" s="16"/>
      <c r="T1295" s="16"/>
      <c r="U1295" s="16"/>
      <c r="V1295" s="16"/>
      <c r="W1295" s="16"/>
      <c r="X1295" s="16"/>
      <c r="Y1295" s="16"/>
      <c r="Z1295" s="16"/>
      <c r="AA1295" s="16"/>
    </row>
    <row r="1296" spans="1:27" s="2" customFormat="1" ht="14">
      <c r="A1296" s="12">
        <v>1249254</v>
      </c>
      <c r="B1296" s="13" t="s">
        <v>14</v>
      </c>
      <c r="C1296" s="13" t="s">
        <v>3753</v>
      </c>
      <c r="D1296" s="13" t="s">
        <v>3754</v>
      </c>
      <c r="E1296" s="13" t="s">
        <v>3512</v>
      </c>
      <c r="F1296" s="14"/>
      <c r="G1296" s="14"/>
      <c r="H1296" s="14"/>
      <c r="I1296" s="14"/>
      <c r="J1296" s="14">
        <f t="shared" si="60"/>
        <v>0</v>
      </c>
      <c r="K1296" s="14">
        <f t="shared" si="61"/>
        <v>0</v>
      </c>
      <c r="L1296" s="17">
        <f t="shared" si="62"/>
        <v>0</v>
      </c>
      <c r="M1296" s="14"/>
      <c r="N1296" s="16"/>
      <c r="O1296" s="16"/>
      <c r="P1296" s="16"/>
      <c r="Q1296" s="16"/>
      <c r="R1296" s="16"/>
      <c r="S1296" s="16"/>
      <c r="T1296" s="16"/>
      <c r="U1296" s="16"/>
      <c r="V1296" s="16"/>
      <c r="W1296" s="16"/>
      <c r="X1296" s="16"/>
      <c r="Y1296" s="16"/>
      <c r="Z1296" s="16"/>
      <c r="AA1296" s="16"/>
    </row>
    <row r="1297" spans="1:27" s="2" customFormat="1" ht="14">
      <c r="A1297" s="12">
        <v>1220261</v>
      </c>
      <c r="B1297" s="13" t="s">
        <v>14</v>
      </c>
      <c r="C1297" s="13" t="s">
        <v>3755</v>
      </c>
      <c r="D1297" s="13" t="s">
        <v>3756</v>
      </c>
      <c r="E1297" s="13" t="s">
        <v>3576</v>
      </c>
      <c r="F1297" s="14"/>
      <c r="G1297" s="14"/>
      <c r="H1297" s="14"/>
      <c r="I1297" s="14"/>
      <c r="J1297" s="14">
        <f t="shared" si="60"/>
        <v>0</v>
      </c>
      <c r="K1297" s="14">
        <f t="shared" si="61"/>
        <v>0</v>
      </c>
      <c r="L1297" s="17">
        <f t="shared" si="62"/>
        <v>0</v>
      </c>
      <c r="M1297" s="14"/>
      <c r="N1297" s="16"/>
      <c r="O1297" s="16"/>
      <c r="P1297" s="16"/>
      <c r="Q1297" s="16"/>
      <c r="R1297" s="16"/>
      <c r="S1297" s="16"/>
      <c r="T1297" s="16"/>
      <c r="U1297" s="16"/>
      <c r="V1297" s="16"/>
      <c r="W1297" s="16"/>
      <c r="X1297" s="16"/>
      <c r="Y1297" s="16"/>
      <c r="Z1297" s="16"/>
      <c r="AA1297" s="16"/>
    </row>
    <row r="1298" spans="1:27" s="2" customFormat="1" ht="14">
      <c r="A1298" s="12" t="s">
        <v>3757</v>
      </c>
      <c r="B1298" s="13" t="s">
        <v>62</v>
      </c>
      <c r="C1298" s="13" t="s">
        <v>3758</v>
      </c>
      <c r="D1298" s="13" t="s">
        <v>3759</v>
      </c>
      <c r="E1298" s="13" t="s">
        <v>40</v>
      </c>
      <c r="F1298" s="14"/>
      <c r="G1298" s="14"/>
      <c r="H1298" s="14"/>
      <c r="I1298" s="14"/>
      <c r="J1298" s="14">
        <f t="shared" si="60"/>
        <v>0</v>
      </c>
      <c r="K1298" s="14">
        <f t="shared" si="61"/>
        <v>0</v>
      </c>
      <c r="L1298" s="17">
        <f t="shared" si="62"/>
        <v>0</v>
      </c>
      <c r="M1298" s="14"/>
      <c r="N1298" s="16"/>
      <c r="O1298" s="16"/>
      <c r="P1298" s="16"/>
      <c r="Q1298" s="16"/>
      <c r="R1298" s="16"/>
      <c r="S1298" s="16"/>
      <c r="T1298" s="16"/>
      <c r="U1298" s="16"/>
      <c r="V1298" s="16"/>
      <c r="W1298" s="16"/>
      <c r="X1298" s="16"/>
      <c r="Y1298" s="16"/>
      <c r="Z1298" s="16"/>
      <c r="AA1298" s="16"/>
    </row>
    <row r="1299" spans="1:27" s="2" customFormat="1" ht="14">
      <c r="A1299" s="12">
        <v>1250014</v>
      </c>
      <c r="B1299" s="13" t="s">
        <v>14</v>
      </c>
      <c r="C1299" s="13" t="s">
        <v>3760</v>
      </c>
      <c r="D1299" s="13" t="s">
        <v>3761</v>
      </c>
      <c r="E1299" s="13" t="s">
        <v>3506</v>
      </c>
      <c r="F1299" s="14"/>
      <c r="G1299" s="14"/>
      <c r="H1299" s="14"/>
      <c r="I1299" s="14"/>
      <c r="J1299" s="14">
        <f t="shared" si="60"/>
        <v>0</v>
      </c>
      <c r="K1299" s="14">
        <f t="shared" si="61"/>
        <v>0</v>
      </c>
      <c r="L1299" s="17">
        <f t="shared" si="62"/>
        <v>0</v>
      </c>
      <c r="M1299" s="14"/>
      <c r="N1299" s="16"/>
      <c r="O1299" s="16"/>
      <c r="P1299" s="16"/>
      <c r="Q1299" s="16"/>
      <c r="R1299" s="16"/>
      <c r="S1299" s="16"/>
      <c r="T1299" s="16"/>
      <c r="U1299" s="16"/>
      <c r="V1299" s="16"/>
      <c r="W1299" s="16"/>
      <c r="X1299" s="16"/>
      <c r="Y1299" s="16"/>
      <c r="Z1299" s="16"/>
      <c r="AA1299" s="16"/>
    </row>
    <row r="1300" spans="1:27" s="2" customFormat="1" ht="14">
      <c r="A1300" s="12" t="s">
        <v>3762</v>
      </c>
      <c r="B1300" s="13" t="s">
        <v>14</v>
      </c>
      <c r="C1300" s="13" t="s">
        <v>3763</v>
      </c>
      <c r="D1300" s="13" t="s">
        <v>3764</v>
      </c>
      <c r="E1300" s="13" t="s">
        <v>446</v>
      </c>
      <c r="F1300" s="14"/>
      <c r="G1300" s="14"/>
      <c r="H1300" s="14"/>
      <c r="I1300" s="14"/>
      <c r="J1300" s="14">
        <f t="shared" si="60"/>
        <v>0</v>
      </c>
      <c r="K1300" s="14">
        <f t="shared" si="61"/>
        <v>0</v>
      </c>
      <c r="L1300" s="17">
        <f t="shared" si="62"/>
        <v>0</v>
      </c>
      <c r="M1300" s="14"/>
      <c r="N1300" s="16"/>
      <c r="O1300" s="16"/>
      <c r="P1300" s="16"/>
      <c r="Q1300" s="16"/>
      <c r="R1300" s="16"/>
      <c r="S1300" s="16"/>
      <c r="T1300" s="16"/>
      <c r="U1300" s="16"/>
      <c r="V1300" s="16"/>
      <c r="W1300" s="16"/>
      <c r="X1300" s="16"/>
      <c r="Y1300" s="16"/>
      <c r="Z1300" s="16"/>
      <c r="AA1300" s="16"/>
    </row>
    <row r="1301" spans="1:27" s="2" customFormat="1" ht="14">
      <c r="A1301" s="12" t="s">
        <v>3765</v>
      </c>
      <c r="B1301" s="13" t="s">
        <v>14</v>
      </c>
      <c r="C1301" s="13" t="s">
        <v>3766</v>
      </c>
      <c r="D1301" s="13" t="s">
        <v>3767</v>
      </c>
      <c r="E1301" s="13" t="s">
        <v>220</v>
      </c>
      <c r="F1301" s="14"/>
      <c r="G1301" s="14"/>
      <c r="H1301" s="14"/>
      <c r="I1301" s="14"/>
      <c r="J1301" s="14">
        <f t="shared" si="60"/>
        <v>0</v>
      </c>
      <c r="K1301" s="14">
        <f t="shared" si="61"/>
        <v>0</v>
      </c>
      <c r="L1301" s="17">
        <f t="shared" si="62"/>
        <v>0</v>
      </c>
      <c r="M1301" s="14"/>
      <c r="N1301" s="16"/>
      <c r="O1301" s="16"/>
      <c r="P1301" s="16"/>
      <c r="Q1301" s="16"/>
      <c r="R1301" s="16"/>
      <c r="S1301" s="16"/>
      <c r="T1301" s="16"/>
      <c r="U1301" s="16"/>
      <c r="V1301" s="16"/>
      <c r="W1301" s="16"/>
      <c r="X1301" s="16"/>
      <c r="Y1301" s="16"/>
      <c r="Z1301" s="16"/>
      <c r="AA1301" s="16"/>
    </row>
    <row r="1302" spans="1:27" s="2" customFormat="1" ht="14">
      <c r="A1302" s="12">
        <v>1180704</v>
      </c>
      <c r="B1302" s="13" t="s">
        <v>14</v>
      </c>
      <c r="C1302" s="13" t="s">
        <v>3768</v>
      </c>
      <c r="D1302" s="13" t="s">
        <v>3769</v>
      </c>
      <c r="E1302" s="13" t="s">
        <v>3606</v>
      </c>
      <c r="F1302" s="14"/>
      <c r="G1302" s="14"/>
      <c r="H1302" s="14"/>
      <c r="I1302" s="14"/>
      <c r="J1302" s="14">
        <f t="shared" si="60"/>
        <v>0</v>
      </c>
      <c r="K1302" s="14">
        <f t="shared" si="61"/>
        <v>0</v>
      </c>
      <c r="L1302" s="17">
        <f t="shared" si="62"/>
        <v>0</v>
      </c>
      <c r="M1302" s="14"/>
      <c r="N1302" s="16"/>
      <c r="O1302" s="16"/>
      <c r="P1302" s="16"/>
      <c r="Q1302" s="16"/>
      <c r="R1302" s="16"/>
      <c r="S1302" s="16"/>
      <c r="T1302" s="16"/>
      <c r="U1302" s="16"/>
      <c r="V1302" s="16"/>
      <c r="W1302" s="16"/>
      <c r="X1302" s="16"/>
      <c r="Y1302" s="16"/>
      <c r="Z1302" s="16"/>
      <c r="AA1302" s="16"/>
    </row>
    <row r="1303" spans="1:27" s="2" customFormat="1" ht="14">
      <c r="A1303" s="12" t="s">
        <v>3770</v>
      </c>
      <c r="B1303" s="13" t="s">
        <v>14</v>
      </c>
      <c r="C1303" s="13" t="s">
        <v>3771</v>
      </c>
      <c r="D1303" s="13" t="s">
        <v>3772</v>
      </c>
      <c r="E1303" s="13" t="s">
        <v>36</v>
      </c>
      <c r="F1303" s="14"/>
      <c r="G1303" s="14"/>
      <c r="H1303" s="14"/>
      <c r="I1303" s="14"/>
      <c r="J1303" s="14">
        <f t="shared" si="60"/>
        <v>0</v>
      </c>
      <c r="K1303" s="14">
        <f t="shared" si="61"/>
        <v>0</v>
      </c>
      <c r="L1303" s="17">
        <f t="shared" si="62"/>
        <v>0</v>
      </c>
      <c r="M1303" s="14"/>
      <c r="N1303" s="16"/>
      <c r="O1303" s="16"/>
      <c r="P1303" s="16"/>
      <c r="Q1303" s="16"/>
      <c r="R1303" s="16"/>
      <c r="S1303" s="16"/>
      <c r="T1303" s="16"/>
      <c r="U1303" s="16"/>
      <c r="V1303" s="16"/>
      <c r="W1303" s="16"/>
      <c r="X1303" s="16"/>
      <c r="Y1303" s="16"/>
      <c r="Z1303" s="16"/>
      <c r="AA1303" s="16"/>
    </row>
    <row r="1304" spans="1:27" s="2" customFormat="1" ht="14">
      <c r="A1304" s="12">
        <v>1180758</v>
      </c>
      <c r="B1304" s="13" t="s">
        <v>14</v>
      </c>
      <c r="C1304" s="13" t="s">
        <v>3773</v>
      </c>
      <c r="D1304" s="13" t="s">
        <v>3774</v>
      </c>
      <c r="E1304" s="13" t="s">
        <v>3635</v>
      </c>
      <c r="F1304" s="14"/>
      <c r="G1304" s="14"/>
      <c r="H1304" s="14"/>
      <c r="I1304" s="14"/>
      <c r="J1304" s="14">
        <f t="shared" si="60"/>
        <v>0</v>
      </c>
      <c r="K1304" s="14">
        <f t="shared" si="61"/>
        <v>0</v>
      </c>
      <c r="L1304" s="17">
        <f t="shared" si="62"/>
        <v>0</v>
      </c>
      <c r="M1304" s="14"/>
      <c r="N1304" s="16"/>
      <c r="O1304" s="16"/>
      <c r="P1304" s="16"/>
      <c r="Q1304" s="16"/>
      <c r="R1304" s="16"/>
      <c r="S1304" s="16"/>
      <c r="T1304" s="16"/>
      <c r="U1304" s="16"/>
      <c r="V1304" s="16"/>
      <c r="W1304" s="16"/>
      <c r="X1304" s="16"/>
      <c r="Y1304" s="16"/>
      <c r="Z1304" s="16"/>
      <c r="AA1304" s="16"/>
    </row>
    <row r="1305" spans="1:27" s="2" customFormat="1" ht="14">
      <c r="A1305" s="12">
        <v>1180762</v>
      </c>
      <c r="B1305" s="13" t="s">
        <v>14</v>
      </c>
      <c r="C1305" s="13" t="s">
        <v>3775</v>
      </c>
      <c r="D1305" s="13" t="s">
        <v>3776</v>
      </c>
      <c r="E1305" s="13" t="s">
        <v>3703</v>
      </c>
      <c r="F1305" s="14"/>
      <c r="G1305" s="14"/>
      <c r="H1305" s="14"/>
      <c r="I1305" s="14"/>
      <c r="J1305" s="14">
        <f t="shared" si="60"/>
        <v>0</v>
      </c>
      <c r="K1305" s="14">
        <f t="shared" si="61"/>
        <v>0</v>
      </c>
      <c r="L1305" s="17">
        <f t="shared" si="62"/>
        <v>0</v>
      </c>
      <c r="M1305" s="14"/>
      <c r="N1305" s="16"/>
      <c r="O1305" s="16"/>
      <c r="P1305" s="16"/>
      <c r="Q1305" s="16"/>
      <c r="R1305" s="16"/>
      <c r="S1305" s="16"/>
      <c r="T1305" s="16"/>
      <c r="U1305" s="16"/>
      <c r="V1305" s="16"/>
      <c r="W1305" s="16"/>
      <c r="X1305" s="16"/>
      <c r="Y1305" s="16"/>
      <c r="Z1305" s="16"/>
      <c r="AA1305" s="16"/>
    </row>
    <row r="1306" spans="1:27" s="2" customFormat="1" ht="14">
      <c r="A1306" s="12" t="s">
        <v>3777</v>
      </c>
      <c r="B1306" s="13" t="s">
        <v>62</v>
      </c>
      <c r="C1306" s="13" t="s">
        <v>3778</v>
      </c>
      <c r="D1306" s="13" t="s">
        <v>3779</v>
      </c>
      <c r="E1306" s="13" t="s">
        <v>21</v>
      </c>
      <c r="F1306" s="14"/>
      <c r="G1306" s="14"/>
      <c r="H1306" s="14"/>
      <c r="I1306" s="14"/>
      <c r="J1306" s="14">
        <f t="shared" si="60"/>
        <v>0</v>
      </c>
      <c r="K1306" s="14">
        <f t="shared" si="61"/>
        <v>0</v>
      </c>
      <c r="L1306" s="17">
        <f t="shared" si="62"/>
        <v>0</v>
      </c>
      <c r="M1306" s="14"/>
      <c r="N1306" s="16"/>
      <c r="O1306" s="16"/>
      <c r="P1306" s="16"/>
      <c r="Q1306" s="16"/>
      <c r="R1306" s="16"/>
      <c r="S1306" s="16"/>
      <c r="T1306" s="16"/>
      <c r="U1306" s="16"/>
      <c r="V1306" s="16"/>
      <c r="W1306" s="16"/>
      <c r="X1306" s="16"/>
      <c r="Y1306" s="16"/>
      <c r="Z1306" s="16"/>
      <c r="AA1306" s="16"/>
    </row>
    <row r="1307" spans="1:27" s="2" customFormat="1" ht="14">
      <c r="A1307" s="12">
        <v>1251371</v>
      </c>
      <c r="B1307" s="13" t="s">
        <v>14</v>
      </c>
      <c r="C1307" s="13" t="s">
        <v>3780</v>
      </c>
      <c r="D1307" s="13" t="s">
        <v>3781</v>
      </c>
      <c r="E1307" s="13" t="s">
        <v>3576</v>
      </c>
      <c r="F1307" s="14"/>
      <c r="G1307" s="14"/>
      <c r="H1307" s="14"/>
      <c r="I1307" s="14"/>
      <c r="J1307" s="14">
        <f t="shared" si="60"/>
        <v>0</v>
      </c>
      <c r="K1307" s="14">
        <f t="shared" si="61"/>
        <v>0</v>
      </c>
      <c r="L1307" s="17">
        <f t="shared" si="62"/>
        <v>0</v>
      </c>
      <c r="M1307" s="14"/>
      <c r="N1307" s="16"/>
      <c r="O1307" s="16"/>
      <c r="P1307" s="16"/>
      <c r="Q1307" s="16"/>
      <c r="R1307" s="16"/>
      <c r="S1307" s="16"/>
      <c r="T1307" s="16"/>
      <c r="U1307" s="16"/>
      <c r="V1307" s="16"/>
      <c r="W1307" s="16"/>
      <c r="X1307" s="16"/>
      <c r="Y1307" s="16"/>
      <c r="Z1307" s="16"/>
      <c r="AA1307" s="16"/>
    </row>
    <row r="1308" spans="1:27" s="2" customFormat="1" ht="14">
      <c r="A1308" s="12" t="s">
        <v>3782</v>
      </c>
      <c r="B1308" s="13" t="s">
        <v>14</v>
      </c>
      <c r="C1308" s="13" t="s">
        <v>3783</v>
      </c>
      <c r="D1308" s="13" t="s">
        <v>3784</v>
      </c>
      <c r="E1308" s="13" t="s">
        <v>40</v>
      </c>
      <c r="F1308" s="14"/>
      <c r="G1308" s="14"/>
      <c r="H1308" s="14"/>
      <c r="I1308" s="14"/>
      <c r="J1308" s="14">
        <f t="shared" si="60"/>
        <v>0</v>
      </c>
      <c r="K1308" s="14">
        <f t="shared" si="61"/>
        <v>0</v>
      </c>
      <c r="L1308" s="17">
        <f t="shared" si="62"/>
        <v>0</v>
      </c>
      <c r="M1308" s="14"/>
      <c r="N1308" s="16"/>
      <c r="O1308" s="16"/>
      <c r="P1308" s="16"/>
      <c r="Q1308" s="16"/>
      <c r="R1308" s="16"/>
      <c r="S1308" s="16"/>
      <c r="T1308" s="16"/>
      <c r="U1308" s="16"/>
      <c r="V1308" s="16"/>
      <c r="W1308" s="16"/>
      <c r="X1308" s="16"/>
      <c r="Y1308" s="16"/>
      <c r="Z1308" s="16"/>
      <c r="AA1308" s="16"/>
    </row>
    <row r="1309" spans="1:27" s="2" customFormat="1" ht="14">
      <c r="A1309" s="12" t="s">
        <v>3785</v>
      </c>
      <c r="B1309" s="13" t="s">
        <v>62</v>
      </c>
      <c r="C1309" s="13" t="s">
        <v>3786</v>
      </c>
      <c r="D1309" s="13" t="s">
        <v>3787</v>
      </c>
      <c r="E1309" s="13" t="s">
        <v>205</v>
      </c>
      <c r="F1309" s="14"/>
      <c r="G1309" s="14"/>
      <c r="H1309" s="14"/>
      <c r="I1309" s="14"/>
      <c r="J1309" s="14">
        <f t="shared" si="60"/>
        <v>0</v>
      </c>
      <c r="K1309" s="14">
        <f t="shared" si="61"/>
        <v>0</v>
      </c>
      <c r="L1309" s="17">
        <f t="shared" si="62"/>
        <v>0</v>
      </c>
      <c r="M1309" s="14"/>
      <c r="N1309" s="16"/>
      <c r="O1309" s="16"/>
      <c r="P1309" s="16"/>
      <c r="Q1309" s="16"/>
      <c r="R1309" s="16"/>
      <c r="S1309" s="16"/>
      <c r="T1309" s="16"/>
      <c r="U1309" s="16"/>
      <c r="V1309" s="16"/>
      <c r="W1309" s="16"/>
      <c r="X1309" s="16"/>
      <c r="Y1309" s="16"/>
      <c r="Z1309" s="16"/>
      <c r="AA1309" s="16"/>
    </row>
    <row r="1310" spans="1:27" s="2" customFormat="1" ht="14">
      <c r="A1310" s="12">
        <v>1180830</v>
      </c>
      <c r="B1310" s="13" t="s">
        <v>14</v>
      </c>
      <c r="C1310" s="13" t="s">
        <v>3788</v>
      </c>
      <c r="D1310" s="13" t="s">
        <v>3789</v>
      </c>
      <c r="E1310" s="13" t="s">
        <v>3533</v>
      </c>
      <c r="F1310" s="14"/>
      <c r="G1310" s="14"/>
      <c r="H1310" s="14"/>
      <c r="I1310" s="14"/>
      <c r="J1310" s="14">
        <f t="shared" si="60"/>
        <v>0</v>
      </c>
      <c r="K1310" s="14">
        <f t="shared" si="61"/>
        <v>0</v>
      </c>
      <c r="L1310" s="17">
        <f t="shared" si="62"/>
        <v>0</v>
      </c>
      <c r="M1310" s="14"/>
      <c r="N1310" s="16"/>
      <c r="O1310" s="16"/>
      <c r="P1310" s="16"/>
      <c r="Q1310" s="16"/>
      <c r="R1310" s="16"/>
      <c r="S1310" s="16"/>
      <c r="T1310" s="16"/>
      <c r="U1310" s="16"/>
      <c r="V1310" s="16"/>
      <c r="W1310" s="16"/>
      <c r="X1310" s="16"/>
      <c r="Y1310" s="16"/>
      <c r="Z1310" s="16"/>
      <c r="AA1310" s="16"/>
    </row>
    <row r="1311" spans="1:27" s="2" customFormat="1" ht="14">
      <c r="A1311" s="12">
        <v>1180843</v>
      </c>
      <c r="B1311" s="13" t="s">
        <v>14</v>
      </c>
      <c r="C1311" s="13" t="s">
        <v>3790</v>
      </c>
      <c r="D1311" s="13" t="s">
        <v>3791</v>
      </c>
      <c r="E1311" s="13" t="s">
        <v>1573</v>
      </c>
      <c r="F1311" s="14"/>
      <c r="G1311" s="14"/>
      <c r="H1311" s="14"/>
      <c r="I1311" s="14"/>
      <c r="J1311" s="14">
        <f t="shared" si="60"/>
        <v>0</v>
      </c>
      <c r="K1311" s="14">
        <f t="shared" si="61"/>
        <v>0</v>
      </c>
      <c r="L1311" s="17">
        <f t="shared" si="62"/>
        <v>0</v>
      </c>
      <c r="M1311" s="14"/>
      <c r="N1311" s="16"/>
      <c r="O1311" s="16"/>
      <c r="P1311" s="16"/>
      <c r="Q1311" s="16"/>
      <c r="R1311" s="16"/>
      <c r="S1311" s="16"/>
      <c r="T1311" s="16"/>
      <c r="U1311" s="16"/>
      <c r="V1311" s="16"/>
      <c r="W1311" s="16"/>
      <c r="X1311" s="16"/>
      <c r="Y1311" s="16"/>
      <c r="Z1311" s="16"/>
      <c r="AA1311" s="16"/>
    </row>
    <row r="1312" spans="1:27" s="2" customFormat="1" ht="14">
      <c r="A1312" s="12">
        <v>1253170</v>
      </c>
      <c r="B1312" s="13" t="s">
        <v>14</v>
      </c>
      <c r="C1312" s="13" t="s">
        <v>3792</v>
      </c>
      <c r="D1312" s="13" t="s">
        <v>3793</v>
      </c>
      <c r="E1312" s="13" t="s">
        <v>1573</v>
      </c>
      <c r="F1312" s="14"/>
      <c r="G1312" s="14"/>
      <c r="H1312" s="14"/>
      <c r="I1312" s="14"/>
      <c r="J1312" s="14">
        <f t="shared" si="60"/>
        <v>0</v>
      </c>
      <c r="K1312" s="14">
        <f t="shared" si="61"/>
        <v>0</v>
      </c>
      <c r="L1312" s="17">
        <f t="shared" si="62"/>
        <v>0</v>
      </c>
      <c r="M1312" s="14"/>
      <c r="N1312" s="16"/>
      <c r="O1312" s="16"/>
      <c r="P1312" s="16"/>
      <c r="Q1312" s="16"/>
      <c r="R1312" s="16"/>
      <c r="S1312" s="16"/>
      <c r="T1312" s="16"/>
      <c r="U1312" s="16"/>
      <c r="V1312" s="16"/>
      <c r="W1312" s="16"/>
      <c r="X1312" s="16"/>
      <c r="Y1312" s="16"/>
      <c r="Z1312" s="16"/>
      <c r="AA1312" s="16"/>
    </row>
    <row r="1313" spans="1:27" s="2" customFormat="1" ht="14">
      <c r="A1313" s="12">
        <v>1253872</v>
      </c>
      <c r="B1313" s="13" t="s">
        <v>62</v>
      </c>
      <c r="C1313" s="13" t="s">
        <v>3794</v>
      </c>
      <c r="D1313" s="13" t="s">
        <v>3795</v>
      </c>
      <c r="E1313" s="13" t="s">
        <v>3796</v>
      </c>
      <c r="F1313" s="14"/>
      <c r="G1313" s="14"/>
      <c r="H1313" s="14"/>
      <c r="I1313" s="14"/>
      <c r="J1313" s="14">
        <f t="shared" si="60"/>
        <v>0</v>
      </c>
      <c r="K1313" s="14">
        <f t="shared" si="61"/>
        <v>0</v>
      </c>
      <c r="L1313" s="17">
        <f t="shared" si="62"/>
        <v>0</v>
      </c>
      <c r="M1313" s="14"/>
      <c r="N1313" s="16"/>
      <c r="O1313" s="16"/>
      <c r="P1313" s="16"/>
      <c r="Q1313" s="16"/>
      <c r="R1313" s="16"/>
      <c r="S1313" s="16"/>
      <c r="T1313" s="16"/>
      <c r="U1313" s="16"/>
      <c r="V1313" s="16"/>
      <c r="W1313" s="16"/>
      <c r="X1313" s="16"/>
      <c r="Y1313" s="16"/>
      <c r="Z1313" s="16"/>
      <c r="AA1313" s="16"/>
    </row>
    <row r="1314" spans="1:27" s="2" customFormat="1" ht="14">
      <c r="A1314" s="12">
        <v>1253572</v>
      </c>
      <c r="B1314" s="13" t="s">
        <v>62</v>
      </c>
      <c r="C1314" s="13" t="s">
        <v>3797</v>
      </c>
      <c r="D1314" s="13" t="s">
        <v>3798</v>
      </c>
      <c r="E1314" s="13" t="s">
        <v>3327</v>
      </c>
      <c r="F1314" s="14"/>
      <c r="G1314" s="14"/>
      <c r="H1314" s="14"/>
      <c r="I1314" s="14"/>
      <c r="J1314" s="14">
        <f t="shared" si="60"/>
        <v>0</v>
      </c>
      <c r="K1314" s="14">
        <f t="shared" si="61"/>
        <v>0</v>
      </c>
      <c r="L1314" s="17">
        <f t="shared" si="62"/>
        <v>0</v>
      </c>
      <c r="M1314" s="14"/>
      <c r="N1314" s="16"/>
      <c r="O1314" s="16"/>
      <c r="P1314" s="16"/>
      <c r="Q1314" s="16"/>
      <c r="R1314" s="16"/>
      <c r="S1314" s="16"/>
      <c r="T1314" s="16"/>
      <c r="U1314" s="16"/>
      <c r="V1314" s="16"/>
      <c r="W1314" s="16"/>
      <c r="X1314" s="16"/>
      <c r="Y1314" s="16"/>
      <c r="Z1314" s="16"/>
      <c r="AA1314" s="16"/>
    </row>
    <row r="1315" spans="1:27" s="2" customFormat="1" ht="14">
      <c r="A1315" s="12">
        <v>1253540</v>
      </c>
      <c r="B1315" s="13" t="s">
        <v>14</v>
      </c>
      <c r="C1315" s="13" t="s">
        <v>3799</v>
      </c>
      <c r="D1315" s="13" t="s">
        <v>3800</v>
      </c>
      <c r="E1315" s="13" t="s">
        <v>3327</v>
      </c>
      <c r="F1315" s="14"/>
      <c r="G1315" s="14"/>
      <c r="H1315" s="14"/>
      <c r="I1315" s="14"/>
      <c r="J1315" s="14">
        <f t="shared" si="60"/>
        <v>0</v>
      </c>
      <c r="K1315" s="14">
        <f t="shared" si="61"/>
        <v>0</v>
      </c>
      <c r="L1315" s="17">
        <f t="shared" si="62"/>
        <v>0</v>
      </c>
      <c r="M1315" s="14"/>
      <c r="N1315" s="16"/>
      <c r="O1315" s="16"/>
      <c r="P1315" s="16"/>
      <c r="Q1315" s="16"/>
      <c r="R1315" s="16"/>
      <c r="S1315" s="16"/>
      <c r="T1315" s="16"/>
      <c r="U1315" s="16"/>
      <c r="V1315" s="16"/>
      <c r="W1315" s="16"/>
      <c r="X1315" s="16"/>
      <c r="Y1315" s="16"/>
      <c r="Z1315" s="16"/>
      <c r="AA1315" s="16"/>
    </row>
    <row r="1316" spans="1:27" s="2" customFormat="1" ht="14">
      <c r="A1316" s="12">
        <v>1254129</v>
      </c>
      <c r="B1316" s="13" t="s">
        <v>62</v>
      </c>
      <c r="C1316" s="13" t="s">
        <v>3801</v>
      </c>
      <c r="D1316" s="13" t="s">
        <v>3802</v>
      </c>
      <c r="E1316" s="13" t="s">
        <v>3803</v>
      </c>
      <c r="F1316" s="14"/>
      <c r="G1316" s="14"/>
      <c r="H1316" s="14"/>
      <c r="I1316" s="14"/>
      <c r="J1316" s="14">
        <f t="shared" si="60"/>
        <v>0</v>
      </c>
      <c r="K1316" s="14">
        <f t="shared" si="61"/>
        <v>0</v>
      </c>
      <c r="L1316" s="17">
        <f t="shared" si="62"/>
        <v>0</v>
      </c>
      <c r="M1316" s="14"/>
      <c r="N1316" s="16"/>
      <c r="O1316" s="16"/>
      <c r="P1316" s="16"/>
      <c r="Q1316" s="16"/>
      <c r="R1316" s="16"/>
      <c r="S1316" s="16"/>
      <c r="T1316" s="16"/>
      <c r="U1316" s="16"/>
      <c r="V1316" s="16"/>
      <c r="W1316" s="16"/>
      <c r="X1316" s="16"/>
      <c r="Y1316" s="16"/>
      <c r="Z1316" s="16"/>
      <c r="AA1316" s="16"/>
    </row>
    <row r="1317" spans="1:27" s="2" customFormat="1" ht="14">
      <c r="A1317" s="12">
        <v>1254432</v>
      </c>
      <c r="B1317" s="13" t="s">
        <v>14</v>
      </c>
      <c r="C1317" s="13" t="s">
        <v>3804</v>
      </c>
      <c r="D1317" s="13" t="s">
        <v>3805</v>
      </c>
      <c r="E1317" s="13" t="s">
        <v>1573</v>
      </c>
      <c r="F1317" s="14"/>
      <c r="G1317" s="14"/>
      <c r="H1317" s="14"/>
      <c r="I1317" s="14"/>
      <c r="J1317" s="14">
        <f t="shared" si="60"/>
        <v>0</v>
      </c>
      <c r="K1317" s="14">
        <f t="shared" si="61"/>
        <v>0</v>
      </c>
      <c r="L1317" s="17">
        <f t="shared" si="62"/>
        <v>0</v>
      </c>
      <c r="M1317" s="14"/>
      <c r="N1317" s="16"/>
      <c r="O1317" s="16"/>
      <c r="P1317" s="16"/>
      <c r="Q1317" s="16"/>
      <c r="R1317" s="16"/>
      <c r="S1317" s="16"/>
      <c r="T1317" s="16"/>
      <c r="U1317" s="16"/>
      <c r="V1317" s="16"/>
      <c r="W1317" s="16"/>
      <c r="X1317" s="16"/>
      <c r="Y1317" s="16"/>
      <c r="Z1317" s="16"/>
      <c r="AA1317" s="16"/>
    </row>
    <row r="1318" spans="1:27" s="2" customFormat="1" ht="14">
      <c r="A1318" s="12" t="s">
        <v>3806</v>
      </c>
      <c r="B1318" s="13" t="s">
        <v>62</v>
      </c>
      <c r="C1318" s="13" t="s">
        <v>3807</v>
      </c>
      <c r="D1318" s="13" t="s">
        <v>3808</v>
      </c>
      <c r="E1318" s="13" t="s">
        <v>443</v>
      </c>
      <c r="F1318" s="14"/>
      <c r="G1318" s="14"/>
      <c r="H1318" s="14"/>
      <c r="I1318" s="14"/>
      <c r="J1318" s="14">
        <f t="shared" si="60"/>
        <v>0</v>
      </c>
      <c r="K1318" s="14">
        <f t="shared" si="61"/>
        <v>0</v>
      </c>
      <c r="L1318" s="17">
        <f t="shared" si="62"/>
        <v>0</v>
      </c>
      <c r="M1318" s="14"/>
      <c r="N1318" s="16"/>
      <c r="O1318" s="16"/>
      <c r="P1318" s="16"/>
      <c r="Q1318" s="16"/>
      <c r="R1318" s="16"/>
      <c r="S1318" s="16"/>
      <c r="T1318" s="16"/>
      <c r="U1318" s="16"/>
      <c r="V1318" s="16"/>
      <c r="W1318" s="16"/>
      <c r="X1318" s="16"/>
      <c r="Y1318" s="16"/>
      <c r="Z1318" s="16"/>
      <c r="AA1318" s="16"/>
    </row>
    <row r="1319" spans="1:27" s="2" customFormat="1" ht="14">
      <c r="A1319" s="12" t="s">
        <v>3809</v>
      </c>
      <c r="B1319" s="13" t="s">
        <v>14</v>
      </c>
      <c r="C1319" s="13" t="s">
        <v>3810</v>
      </c>
      <c r="D1319" s="13" t="s">
        <v>3811</v>
      </c>
      <c r="E1319" s="13" t="s">
        <v>32</v>
      </c>
      <c r="F1319" s="14"/>
      <c r="G1319" s="14"/>
      <c r="H1319" s="14"/>
      <c r="I1319" s="14"/>
      <c r="J1319" s="14">
        <f t="shared" si="60"/>
        <v>0</v>
      </c>
      <c r="K1319" s="14">
        <f t="shared" si="61"/>
        <v>0</v>
      </c>
      <c r="L1319" s="17">
        <f t="shared" si="62"/>
        <v>0</v>
      </c>
      <c r="M1319" s="14"/>
      <c r="N1319" s="16"/>
      <c r="O1319" s="16"/>
      <c r="P1319" s="16"/>
      <c r="Q1319" s="16"/>
      <c r="R1319" s="16"/>
      <c r="S1319" s="16"/>
      <c r="T1319" s="16"/>
      <c r="U1319" s="16"/>
      <c r="V1319" s="16"/>
      <c r="W1319" s="16"/>
      <c r="X1319" s="16"/>
      <c r="Y1319" s="16"/>
      <c r="Z1319" s="16"/>
      <c r="AA1319" s="16"/>
    </row>
    <row r="1320" spans="1:27" s="2" customFormat="1" ht="14">
      <c r="A1320" s="12">
        <v>1180943</v>
      </c>
      <c r="B1320" s="13" t="s">
        <v>62</v>
      </c>
      <c r="C1320" s="13" t="s">
        <v>3812</v>
      </c>
      <c r="D1320" s="13" t="s">
        <v>3813</v>
      </c>
      <c r="E1320" s="13" t="s">
        <v>3506</v>
      </c>
      <c r="F1320" s="14"/>
      <c r="G1320" s="14"/>
      <c r="H1320" s="14"/>
      <c r="I1320" s="14"/>
      <c r="J1320" s="14">
        <f t="shared" si="60"/>
        <v>0</v>
      </c>
      <c r="K1320" s="14">
        <f t="shared" si="61"/>
        <v>0</v>
      </c>
      <c r="L1320" s="17">
        <f t="shared" si="62"/>
        <v>0</v>
      </c>
      <c r="M1320" s="14"/>
      <c r="N1320" s="16"/>
      <c r="O1320" s="16"/>
      <c r="P1320" s="16"/>
      <c r="Q1320" s="16"/>
      <c r="R1320" s="16"/>
      <c r="S1320" s="16"/>
      <c r="T1320" s="16"/>
      <c r="U1320" s="16"/>
      <c r="V1320" s="16"/>
      <c r="W1320" s="16"/>
      <c r="X1320" s="16"/>
      <c r="Y1320" s="16"/>
      <c r="Z1320" s="16"/>
      <c r="AA1320" s="16"/>
    </row>
    <row r="1321" spans="1:27" s="2" customFormat="1" ht="14">
      <c r="A1321" s="12">
        <v>1180944</v>
      </c>
      <c r="B1321" s="13" t="s">
        <v>14</v>
      </c>
      <c r="C1321" s="13" t="s">
        <v>3814</v>
      </c>
      <c r="D1321" s="13" t="s">
        <v>3815</v>
      </c>
      <c r="E1321" s="13" t="s">
        <v>3816</v>
      </c>
      <c r="F1321" s="14"/>
      <c r="G1321" s="14"/>
      <c r="H1321" s="14"/>
      <c r="I1321" s="14"/>
      <c r="J1321" s="14">
        <f t="shared" si="60"/>
        <v>0</v>
      </c>
      <c r="K1321" s="14">
        <f t="shared" si="61"/>
        <v>0</v>
      </c>
      <c r="L1321" s="17">
        <f t="shared" si="62"/>
        <v>0</v>
      </c>
      <c r="M1321" s="14"/>
      <c r="N1321" s="16"/>
      <c r="O1321" s="16"/>
      <c r="P1321" s="16"/>
      <c r="Q1321" s="16"/>
      <c r="R1321" s="16"/>
      <c r="S1321" s="16"/>
      <c r="T1321" s="16"/>
      <c r="U1321" s="16"/>
      <c r="V1321" s="16"/>
      <c r="W1321" s="16"/>
      <c r="X1321" s="16"/>
      <c r="Y1321" s="16"/>
      <c r="Z1321" s="16"/>
      <c r="AA1321" s="16"/>
    </row>
    <row r="1322" spans="1:27" s="2" customFormat="1" ht="14">
      <c r="A1322" s="12" t="s">
        <v>3817</v>
      </c>
      <c r="B1322" s="13" t="s">
        <v>14</v>
      </c>
      <c r="C1322" s="13" t="s">
        <v>3818</v>
      </c>
      <c r="D1322" s="13" t="s">
        <v>3819</v>
      </c>
      <c r="E1322" s="13" t="s">
        <v>215</v>
      </c>
      <c r="F1322" s="14"/>
      <c r="G1322" s="14"/>
      <c r="H1322" s="14"/>
      <c r="I1322" s="14"/>
      <c r="J1322" s="14">
        <f t="shared" si="60"/>
        <v>0</v>
      </c>
      <c r="K1322" s="14">
        <f t="shared" si="61"/>
        <v>0</v>
      </c>
      <c r="L1322" s="17">
        <f t="shared" si="62"/>
        <v>0</v>
      </c>
      <c r="M1322" s="14"/>
      <c r="N1322" s="16"/>
      <c r="O1322" s="16"/>
      <c r="P1322" s="16"/>
      <c r="Q1322" s="16"/>
      <c r="R1322" s="16"/>
      <c r="S1322" s="16"/>
      <c r="T1322" s="16"/>
      <c r="U1322" s="16"/>
      <c r="V1322" s="16"/>
      <c r="W1322" s="16"/>
      <c r="X1322" s="16"/>
      <c r="Y1322" s="16"/>
      <c r="Z1322" s="16"/>
      <c r="AA1322" s="16"/>
    </row>
    <row r="1323" spans="1:27" s="2" customFormat="1" ht="14">
      <c r="A1323" s="12" t="s">
        <v>3820</v>
      </c>
      <c r="B1323" s="13" t="s">
        <v>14</v>
      </c>
      <c r="C1323" s="13" t="s">
        <v>3821</v>
      </c>
      <c r="D1323" s="13" t="s">
        <v>3822</v>
      </c>
      <c r="E1323" s="13" t="s">
        <v>136</v>
      </c>
      <c r="F1323" s="14"/>
      <c r="G1323" s="14"/>
      <c r="H1323" s="14"/>
      <c r="I1323" s="14"/>
      <c r="J1323" s="14">
        <f t="shared" si="60"/>
        <v>0</v>
      </c>
      <c r="K1323" s="14">
        <f t="shared" si="61"/>
        <v>0</v>
      </c>
      <c r="L1323" s="17">
        <f t="shared" si="62"/>
        <v>0</v>
      </c>
      <c r="M1323" s="14"/>
      <c r="N1323" s="16"/>
      <c r="O1323" s="16"/>
      <c r="P1323" s="16"/>
      <c r="Q1323" s="16"/>
      <c r="R1323" s="16"/>
      <c r="S1323" s="16"/>
      <c r="T1323" s="16"/>
      <c r="U1323" s="16"/>
      <c r="V1323" s="16"/>
      <c r="W1323" s="16"/>
      <c r="X1323" s="16"/>
      <c r="Y1323" s="16"/>
      <c r="Z1323" s="16"/>
      <c r="AA1323" s="16"/>
    </row>
    <row r="1324" spans="1:27" s="2" customFormat="1" ht="14">
      <c r="A1324" s="12" t="s">
        <v>3823</v>
      </c>
      <c r="B1324" s="13" t="s">
        <v>14</v>
      </c>
      <c r="C1324" s="13" t="s">
        <v>3824</v>
      </c>
      <c r="D1324" s="13" t="s">
        <v>3825</v>
      </c>
      <c r="E1324" s="13" t="s">
        <v>215</v>
      </c>
      <c r="F1324" s="14"/>
      <c r="G1324" s="14"/>
      <c r="H1324" s="14"/>
      <c r="I1324" s="14"/>
      <c r="J1324" s="14">
        <f t="shared" si="60"/>
        <v>0</v>
      </c>
      <c r="K1324" s="14">
        <f t="shared" si="61"/>
        <v>0</v>
      </c>
      <c r="L1324" s="17">
        <f t="shared" si="62"/>
        <v>0</v>
      </c>
      <c r="M1324" s="14"/>
      <c r="N1324" s="16"/>
      <c r="O1324" s="16"/>
      <c r="P1324" s="16"/>
      <c r="Q1324" s="16"/>
      <c r="R1324" s="16"/>
      <c r="S1324" s="16"/>
      <c r="T1324" s="16"/>
      <c r="U1324" s="16"/>
      <c r="V1324" s="16"/>
      <c r="W1324" s="16"/>
      <c r="X1324" s="16"/>
      <c r="Y1324" s="16"/>
      <c r="Z1324" s="16"/>
      <c r="AA1324" s="16"/>
    </row>
    <row r="1325" spans="1:27" s="2" customFormat="1" ht="14">
      <c r="A1325" s="12" t="s">
        <v>3826</v>
      </c>
      <c r="B1325" s="13" t="s">
        <v>14</v>
      </c>
      <c r="C1325" s="13" t="s">
        <v>3827</v>
      </c>
      <c r="D1325" s="13" t="s">
        <v>3828</v>
      </c>
      <c r="E1325" s="13" t="s">
        <v>150</v>
      </c>
      <c r="F1325" s="14"/>
      <c r="G1325" s="14"/>
      <c r="H1325" s="14"/>
      <c r="I1325" s="14"/>
      <c r="J1325" s="14">
        <f t="shared" si="60"/>
        <v>0</v>
      </c>
      <c r="K1325" s="14">
        <f t="shared" si="61"/>
        <v>0</v>
      </c>
      <c r="L1325" s="17">
        <f t="shared" si="62"/>
        <v>0</v>
      </c>
      <c r="M1325" s="14"/>
      <c r="N1325" s="16"/>
      <c r="O1325" s="16"/>
      <c r="P1325" s="16"/>
      <c r="Q1325" s="16"/>
      <c r="R1325" s="16"/>
      <c r="S1325" s="16"/>
      <c r="T1325" s="16"/>
      <c r="U1325" s="16"/>
      <c r="V1325" s="16"/>
      <c r="W1325" s="16"/>
      <c r="X1325" s="16"/>
      <c r="Y1325" s="16"/>
      <c r="Z1325" s="16"/>
      <c r="AA1325" s="16"/>
    </row>
    <row r="1326" spans="1:27" s="2" customFormat="1" ht="14">
      <c r="A1326" s="12">
        <v>1255230</v>
      </c>
      <c r="B1326" s="13" t="s">
        <v>62</v>
      </c>
      <c r="C1326" s="13" t="s">
        <v>3829</v>
      </c>
      <c r="D1326" s="13" t="s">
        <v>3830</v>
      </c>
      <c r="E1326" s="13" t="s">
        <v>3533</v>
      </c>
      <c r="F1326" s="14"/>
      <c r="G1326" s="14"/>
      <c r="H1326" s="14"/>
      <c r="I1326" s="14"/>
      <c r="J1326" s="14">
        <f t="shared" si="60"/>
        <v>0</v>
      </c>
      <c r="K1326" s="14">
        <f t="shared" si="61"/>
        <v>0</v>
      </c>
      <c r="L1326" s="17">
        <f t="shared" si="62"/>
        <v>0</v>
      </c>
      <c r="M1326" s="14"/>
      <c r="N1326" s="16"/>
      <c r="O1326" s="16"/>
      <c r="P1326" s="16"/>
      <c r="Q1326" s="16"/>
      <c r="R1326" s="16"/>
      <c r="S1326" s="16"/>
      <c r="T1326" s="16"/>
      <c r="U1326" s="16"/>
      <c r="V1326" s="16"/>
      <c r="W1326" s="16"/>
      <c r="X1326" s="16"/>
      <c r="Y1326" s="16"/>
      <c r="Z1326" s="16"/>
      <c r="AA1326" s="16"/>
    </row>
    <row r="1327" spans="1:27" s="2" customFormat="1" ht="14">
      <c r="A1327" s="12">
        <v>1255353</v>
      </c>
      <c r="B1327" s="13" t="s">
        <v>62</v>
      </c>
      <c r="C1327" s="13" t="s">
        <v>3831</v>
      </c>
      <c r="D1327" s="13" t="s">
        <v>3832</v>
      </c>
      <c r="E1327" s="13" t="s">
        <v>1998</v>
      </c>
      <c r="F1327" s="14"/>
      <c r="G1327" s="14"/>
      <c r="H1327" s="14"/>
      <c r="I1327" s="14"/>
      <c r="J1327" s="14">
        <f t="shared" si="60"/>
        <v>0</v>
      </c>
      <c r="K1327" s="14">
        <f t="shared" si="61"/>
        <v>0</v>
      </c>
      <c r="L1327" s="17">
        <f t="shared" si="62"/>
        <v>0</v>
      </c>
      <c r="M1327" s="14"/>
      <c r="N1327" s="16"/>
      <c r="O1327" s="16"/>
      <c r="P1327" s="16"/>
      <c r="Q1327" s="16"/>
      <c r="R1327" s="16"/>
      <c r="S1327" s="16"/>
      <c r="T1327" s="16"/>
      <c r="U1327" s="16"/>
      <c r="V1327" s="16"/>
      <c r="W1327" s="16"/>
      <c r="X1327" s="16"/>
      <c r="Y1327" s="16"/>
      <c r="Z1327" s="16"/>
      <c r="AA1327" s="16"/>
    </row>
    <row r="1328" spans="1:27" s="2" customFormat="1" ht="14">
      <c r="A1328" s="12">
        <v>1258064</v>
      </c>
      <c r="B1328" s="13" t="s">
        <v>14</v>
      </c>
      <c r="C1328" s="13" t="s">
        <v>3833</v>
      </c>
      <c r="D1328" s="13" t="s">
        <v>3834</v>
      </c>
      <c r="E1328" s="13" t="s">
        <v>3509</v>
      </c>
      <c r="F1328" s="14"/>
      <c r="G1328" s="14"/>
      <c r="H1328" s="14"/>
      <c r="I1328" s="14"/>
      <c r="J1328" s="14">
        <f t="shared" si="60"/>
        <v>0</v>
      </c>
      <c r="K1328" s="14">
        <f t="shared" si="61"/>
        <v>0</v>
      </c>
      <c r="L1328" s="17">
        <f t="shared" si="62"/>
        <v>0</v>
      </c>
      <c r="M1328" s="14"/>
      <c r="N1328" s="16"/>
      <c r="O1328" s="16"/>
      <c r="P1328" s="16"/>
      <c r="Q1328" s="16"/>
      <c r="R1328" s="16"/>
      <c r="S1328" s="16"/>
      <c r="T1328" s="16"/>
      <c r="U1328" s="16"/>
      <c r="V1328" s="16"/>
      <c r="W1328" s="16"/>
      <c r="X1328" s="16"/>
      <c r="Y1328" s="16"/>
      <c r="Z1328" s="16"/>
      <c r="AA1328" s="16"/>
    </row>
    <row r="1329" spans="1:27" s="2" customFormat="1" ht="14">
      <c r="A1329" s="12">
        <v>1258034</v>
      </c>
      <c r="B1329" s="13" t="s">
        <v>14</v>
      </c>
      <c r="C1329" s="13" t="s">
        <v>3835</v>
      </c>
      <c r="D1329" s="13" t="s">
        <v>3836</v>
      </c>
      <c r="E1329" s="13" t="s">
        <v>3189</v>
      </c>
      <c r="F1329" s="14"/>
      <c r="G1329" s="14"/>
      <c r="H1329" s="14"/>
      <c r="I1329" s="14"/>
      <c r="J1329" s="14">
        <f t="shared" si="60"/>
        <v>0</v>
      </c>
      <c r="K1329" s="14">
        <f t="shared" si="61"/>
        <v>0</v>
      </c>
      <c r="L1329" s="17">
        <f t="shared" si="62"/>
        <v>0</v>
      </c>
      <c r="M1329" s="14"/>
      <c r="N1329" s="16"/>
      <c r="O1329" s="16"/>
      <c r="P1329" s="16"/>
      <c r="Q1329" s="16"/>
      <c r="R1329" s="16"/>
      <c r="S1329" s="16"/>
      <c r="T1329" s="16"/>
      <c r="U1329" s="16"/>
      <c r="V1329" s="16"/>
      <c r="W1329" s="16"/>
      <c r="X1329" s="16"/>
      <c r="Y1329" s="16"/>
      <c r="Z1329" s="16"/>
      <c r="AA1329" s="16"/>
    </row>
    <row r="1330" spans="1:27" s="2" customFormat="1" ht="14">
      <c r="A1330" s="12">
        <v>1258077</v>
      </c>
      <c r="B1330" s="13" t="s">
        <v>14</v>
      </c>
      <c r="C1330" s="13" t="s">
        <v>3837</v>
      </c>
      <c r="D1330" s="13" t="s">
        <v>3838</v>
      </c>
      <c r="E1330" s="13" t="s">
        <v>3506</v>
      </c>
      <c r="F1330" s="14"/>
      <c r="G1330" s="14"/>
      <c r="H1330" s="14"/>
      <c r="I1330" s="14"/>
      <c r="J1330" s="14">
        <f t="shared" si="60"/>
        <v>0</v>
      </c>
      <c r="K1330" s="14">
        <f t="shared" si="61"/>
        <v>0</v>
      </c>
      <c r="L1330" s="17">
        <f t="shared" si="62"/>
        <v>0</v>
      </c>
      <c r="M1330" s="14"/>
      <c r="N1330" s="16"/>
      <c r="O1330" s="16"/>
      <c r="P1330" s="16"/>
      <c r="Q1330" s="16"/>
      <c r="R1330" s="16"/>
      <c r="S1330" s="16"/>
      <c r="T1330" s="16"/>
      <c r="U1330" s="16"/>
      <c r="V1330" s="16"/>
      <c r="W1330" s="16"/>
      <c r="X1330" s="16"/>
      <c r="Y1330" s="16"/>
      <c r="Z1330" s="16"/>
      <c r="AA1330" s="16"/>
    </row>
    <row r="1331" spans="1:27" s="2" customFormat="1" ht="14">
      <c r="A1331" s="12">
        <v>1258093</v>
      </c>
      <c r="B1331" s="13" t="s">
        <v>62</v>
      </c>
      <c r="C1331" s="13" t="s">
        <v>3839</v>
      </c>
      <c r="D1331" s="13" t="s">
        <v>3840</v>
      </c>
      <c r="E1331" s="13" t="s">
        <v>3703</v>
      </c>
      <c r="F1331" s="14"/>
      <c r="G1331" s="14"/>
      <c r="H1331" s="14"/>
      <c r="I1331" s="14"/>
      <c r="J1331" s="14">
        <f t="shared" si="60"/>
        <v>0</v>
      </c>
      <c r="K1331" s="14">
        <f t="shared" si="61"/>
        <v>0</v>
      </c>
      <c r="L1331" s="17">
        <f t="shared" si="62"/>
        <v>0</v>
      </c>
      <c r="M1331" s="14"/>
      <c r="N1331" s="16"/>
      <c r="O1331" s="16"/>
      <c r="P1331" s="16"/>
      <c r="Q1331" s="16"/>
      <c r="R1331" s="16"/>
      <c r="S1331" s="16"/>
      <c r="T1331" s="16"/>
      <c r="U1331" s="16"/>
      <c r="V1331" s="16"/>
      <c r="W1331" s="16"/>
      <c r="X1331" s="16"/>
      <c r="Y1331" s="16"/>
      <c r="Z1331" s="16"/>
      <c r="AA1331" s="16"/>
    </row>
    <row r="1332" spans="1:27" s="2" customFormat="1" ht="14">
      <c r="A1332" s="12">
        <v>1258079</v>
      </c>
      <c r="B1332" s="13" t="s">
        <v>62</v>
      </c>
      <c r="C1332" s="13" t="s">
        <v>3841</v>
      </c>
      <c r="D1332" s="13" t="s">
        <v>3842</v>
      </c>
      <c r="E1332" s="13" t="s">
        <v>3843</v>
      </c>
      <c r="F1332" s="14"/>
      <c r="G1332" s="14"/>
      <c r="H1332" s="14"/>
      <c r="I1332" s="14"/>
      <c r="J1332" s="14">
        <f t="shared" si="60"/>
        <v>0</v>
      </c>
      <c r="K1332" s="14">
        <f t="shared" si="61"/>
        <v>0</v>
      </c>
      <c r="L1332" s="17">
        <f t="shared" si="62"/>
        <v>0</v>
      </c>
      <c r="M1332" s="14"/>
      <c r="N1332" s="16"/>
      <c r="O1332" s="16"/>
      <c r="P1332" s="16"/>
      <c r="Q1332" s="16"/>
      <c r="R1332" s="16"/>
      <c r="S1332" s="16"/>
      <c r="T1332" s="16"/>
      <c r="U1332" s="16"/>
      <c r="V1332" s="16"/>
      <c r="W1332" s="16"/>
      <c r="X1332" s="16"/>
      <c r="Y1332" s="16"/>
      <c r="Z1332" s="16"/>
      <c r="AA1332" s="16"/>
    </row>
    <row r="1333" spans="1:27" s="2" customFormat="1" ht="14">
      <c r="A1333" s="12">
        <v>1258083</v>
      </c>
      <c r="B1333" s="13" t="s">
        <v>62</v>
      </c>
      <c r="C1333" s="13" t="s">
        <v>3844</v>
      </c>
      <c r="D1333" s="13" t="s">
        <v>3845</v>
      </c>
      <c r="E1333" s="13" t="s">
        <v>3682</v>
      </c>
      <c r="F1333" s="14"/>
      <c r="G1333" s="14"/>
      <c r="H1333" s="14"/>
      <c r="I1333" s="14"/>
      <c r="J1333" s="14">
        <f t="shared" si="60"/>
        <v>0</v>
      </c>
      <c r="K1333" s="14">
        <f t="shared" si="61"/>
        <v>0</v>
      </c>
      <c r="L1333" s="17">
        <f t="shared" si="62"/>
        <v>0</v>
      </c>
      <c r="M1333" s="14"/>
      <c r="N1333" s="16"/>
      <c r="O1333" s="16"/>
      <c r="P1333" s="16"/>
      <c r="Q1333" s="16"/>
      <c r="R1333" s="16"/>
      <c r="S1333" s="16"/>
      <c r="T1333" s="16"/>
      <c r="U1333" s="16"/>
      <c r="V1333" s="16"/>
      <c r="W1333" s="16"/>
      <c r="X1333" s="16"/>
      <c r="Y1333" s="16"/>
      <c r="Z1333" s="16"/>
      <c r="AA1333" s="16"/>
    </row>
    <row r="1334" spans="1:27" s="2" customFormat="1" ht="14">
      <c r="A1334" s="12">
        <v>1258085</v>
      </c>
      <c r="B1334" s="13" t="s">
        <v>62</v>
      </c>
      <c r="C1334" s="13" t="s">
        <v>3846</v>
      </c>
      <c r="D1334" s="13" t="s">
        <v>3847</v>
      </c>
      <c r="E1334" s="13" t="s">
        <v>3848</v>
      </c>
      <c r="F1334" s="14"/>
      <c r="G1334" s="14"/>
      <c r="H1334" s="14"/>
      <c r="I1334" s="14"/>
      <c r="J1334" s="14">
        <f t="shared" si="60"/>
        <v>0</v>
      </c>
      <c r="K1334" s="14">
        <f t="shared" si="61"/>
        <v>0</v>
      </c>
      <c r="L1334" s="17">
        <f t="shared" si="62"/>
        <v>0</v>
      </c>
      <c r="M1334" s="14"/>
      <c r="N1334" s="16"/>
      <c r="O1334" s="16"/>
      <c r="P1334" s="16"/>
      <c r="Q1334" s="16"/>
      <c r="R1334" s="16"/>
      <c r="S1334" s="16"/>
      <c r="T1334" s="16"/>
      <c r="U1334" s="16"/>
      <c r="V1334" s="16"/>
      <c r="W1334" s="16"/>
      <c r="X1334" s="16"/>
      <c r="Y1334" s="16"/>
      <c r="Z1334" s="16"/>
      <c r="AA1334" s="16"/>
    </row>
    <row r="1335" spans="1:27" s="2" customFormat="1" ht="14">
      <c r="A1335" s="12">
        <v>1243488</v>
      </c>
      <c r="B1335" s="13" t="s">
        <v>62</v>
      </c>
      <c r="C1335" s="13" t="s">
        <v>3849</v>
      </c>
      <c r="D1335" s="13" t="s">
        <v>3850</v>
      </c>
      <c r="E1335" s="13" t="s">
        <v>3054</v>
      </c>
      <c r="F1335" s="14"/>
      <c r="G1335" s="14"/>
      <c r="H1335" s="14"/>
      <c r="I1335" s="14"/>
      <c r="J1335" s="14">
        <f t="shared" si="60"/>
        <v>0</v>
      </c>
      <c r="K1335" s="14">
        <f t="shared" si="61"/>
        <v>0</v>
      </c>
      <c r="L1335" s="17">
        <f t="shared" si="62"/>
        <v>0</v>
      </c>
      <c r="M1335" s="14"/>
      <c r="N1335" s="16"/>
      <c r="O1335" s="16"/>
      <c r="P1335" s="16"/>
      <c r="Q1335" s="16"/>
      <c r="R1335" s="16"/>
      <c r="S1335" s="16"/>
      <c r="T1335" s="16"/>
      <c r="U1335" s="16"/>
      <c r="V1335" s="16"/>
      <c r="W1335" s="16"/>
      <c r="X1335" s="16"/>
      <c r="Y1335" s="16"/>
      <c r="Z1335" s="16"/>
      <c r="AA1335" s="16"/>
    </row>
    <row r="1336" spans="1:27" s="2" customFormat="1" ht="14">
      <c r="A1336" s="12">
        <v>1243554</v>
      </c>
      <c r="B1336" s="13" t="s">
        <v>62</v>
      </c>
      <c r="C1336" s="13" t="s">
        <v>3851</v>
      </c>
      <c r="D1336" s="13" t="s">
        <v>3852</v>
      </c>
      <c r="E1336" s="13" t="s">
        <v>3465</v>
      </c>
      <c r="F1336" s="14"/>
      <c r="G1336" s="14"/>
      <c r="H1336" s="14"/>
      <c r="I1336" s="14"/>
      <c r="J1336" s="14">
        <f t="shared" si="60"/>
        <v>0</v>
      </c>
      <c r="K1336" s="14">
        <f t="shared" si="61"/>
        <v>0</v>
      </c>
      <c r="L1336" s="17">
        <f t="shared" si="62"/>
        <v>0</v>
      </c>
      <c r="M1336" s="14"/>
      <c r="N1336" s="16"/>
      <c r="O1336" s="16"/>
      <c r="P1336" s="16"/>
      <c r="Q1336" s="16"/>
      <c r="R1336" s="16"/>
      <c r="S1336" s="16"/>
      <c r="T1336" s="16"/>
      <c r="U1336" s="16"/>
      <c r="V1336" s="16"/>
      <c r="W1336" s="16"/>
      <c r="X1336" s="16"/>
      <c r="Y1336" s="16"/>
      <c r="Z1336" s="16"/>
      <c r="AA1336" s="16"/>
    </row>
    <row r="1337" spans="1:27" s="2" customFormat="1" ht="14">
      <c r="A1337" s="12">
        <v>1243542</v>
      </c>
      <c r="B1337" s="13" t="s">
        <v>14</v>
      </c>
      <c r="C1337" s="13" t="s">
        <v>3853</v>
      </c>
      <c r="D1337" s="13" t="s">
        <v>3854</v>
      </c>
      <c r="E1337" s="13" t="s">
        <v>3327</v>
      </c>
      <c r="F1337" s="14"/>
      <c r="G1337" s="14"/>
      <c r="H1337" s="14"/>
      <c r="I1337" s="14"/>
      <c r="J1337" s="14">
        <f t="shared" si="60"/>
        <v>0</v>
      </c>
      <c r="K1337" s="14">
        <f t="shared" si="61"/>
        <v>0</v>
      </c>
      <c r="L1337" s="17">
        <f t="shared" si="62"/>
        <v>0</v>
      </c>
      <c r="M1337" s="14"/>
      <c r="N1337" s="16"/>
      <c r="O1337" s="16"/>
      <c r="P1337" s="16"/>
      <c r="Q1337" s="16"/>
      <c r="R1337" s="16"/>
      <c r="S1337" s="16"/>
      <c r="T1337" s="16"/>
      <c r="U1337" s="16"/>
      <c r="V1337" s="16"/>
      <c r="W1337" s="16"/>
      <c r="X1337" s="16"/>
      <c r="Y1337" s="16"/>
      <c r="Z1337" s="16"/>
      <c r="AA1337" s="16"/>
    </row>
    <row r="1338" spans="1:27" s="2" customFormat="1" ht="14">
      <c r="A1338" s="12" t="s">
        <v>3855</v>
      </c>
      <c r="B1338" s="13" t="s">
        <v>14</v>
      </c>
      <c r="C1338" s="13" t="s">
        <v>3856</v>
      </c>
      <c r="D1338" s="13" t="s">
        <v>3857</v>
      </c>
      <c r="E1338" s="13" t="s">
        <v>220</v>
      </c>
      <c r="F1338" s="14"/>
      <c r="G1338" s="14"/>
      <c r="H1338" s="14"/>
      <c r="I1338" s="14"/>
      <c r="J1338" s="14">
        <f t="shared" si="60"/>
        <v>0</v>
      </c>
      <c r="K1338" s="14">
        <f t="shared" si="61"/>
        <v>0</v>
      </c>
      <c r="L1338" s="17">
        <f t="shared" si="62"/>
        <v>0</v>
      </c>
      <c r="M1338" s="14"/>
      <c r="N1338" s="16"/>
      <c r="O1338" s="16"/>
      <c r="P1338" s="16"/>
      <c r="Q1338" s="16"/>
      <c r="R1338" s="16"/>
      <c r="S1338" s="16"/>
      <c r="T1338" s="16"/>
      <c r="U1338" s="16"/>
      <c r="V1338" s="16"/>
      <c r="W1338" s="16"/>
      <c r="X1338" s="16"/>
      <c r="Y1338" s="16"/>
      <c r="Z1338" s="16"/>
      <c r="AA1338" s="16"/>
    </row>
    <row r="1339" spans="1:27" s="2" customFormat="1" ht="14">
      <c r="A1339" s="12">
        <v>1256726</v>
      </c>
      <c r="B1339" s="13" t="s">
        <v>62</v>
      </c>
      <c r="C1339" s="13" t="s">
        <v>3858</v>
      </c>
      <c r="D1339" s="13" t="s">
        <v>3859</v>
      </c>
      <c r="E1339" s="13" t="s">
        <v>2585</v>
      </c>
      <c r="F1339" s="14"/>
      <c r="G1339" s="14"/>
      <c r="H1339" s="14"/>
      <c r="I1339" s="14"/>
      <c r="J1339" s="14">
        <f t="shared" si="60"/>
        <v>0</v>
      </c>
      <c r="K1339" s="14">
        <f t="shared" si="61"/>
        <v>0</v>
      </c>
      <c r="L1339" s="17">
        <f t="shared" si="62"/>
        <v>0</v>
      </c>
      <c r="M1339" s="14"/>
      <c r="N1339" s="16"/>
      <c r="O1339" s="16"/>
      <c r="P1339" s="16"/>
      <c r="Q1339" s="16"/>
      <c r="R1339" s="16"/>
      <c r="S1339" s="16"/>
      <c r="T1339" s="16"/>
      <c r="U1339" s="16"/>
      <c r="V1339" s="16"/>
      <c r="W1339" s="16"/>
      <c r="X1339" s="16"/>
      <c r="Y1339" s="16"/>
      <c r="Z1339" s="16"/>
      <c r="AA1339" s="16"/>
    </row>
    <row r="1340" spans="1:27" s="2" customFormat="1" ht="14">
      <c r="A1340" s="12">
        <v>1258141</v>
      </c>
      <c r="B1340" s="13" t="s">
        <v>14</v>
      </c>
      <c r="C1340" s="13" t="s">
        <v>3860</v>
      </c>
      <c r="D1340" s="13" t="s">
        <v>3861</v>
      </c>
      <c r="E1340" s="13" t="s">
        <v>3862</v>
      </c>
      <c r="F1340" s="14"/>
      <c r="G1340" s="14"/>
      <c r="H1340" s="14"/>
      <c r="I1340" s="14"/>
      <c r="J1340" s="14">
        <f t="shared" si="60"/>
        <v>0</v>
      </c>
      <c r="K1340" s="14">
        <f t="shared" si="61"/>
        <v>0</v>
      </c>
      <c r="L1340" s="17">
        <f t="shared" si="62"/>
        <v>0</v>
      </c>
      <c r="M1340" s="14"/>
      <c r="N1340" s="16"/>
      <c r="O1340" s="16"/>
      <c r="P1340" s="16"/>
      <c r="Q1340" s="16"/>
      <c r="R1340" s="16"/>
      <c r="S1340" s="16"/>
      <c r="T1340" s="16"/>
      <c r="U1340" s="16"/>
      <c r="V1340" s="16"/>
      <c r="W1340" s="16"/>
      <c r="X1340" s="16"/>
      <c r="Y1340" s="16"/>
      <c r="Z1340" s="16"/>
      <c r="AA1340" s="16"/>
    </row>
    <row r="1341" spans="1:27" s="2" customFormat="1" ht="14">
      <c r="A1341" s="12">
        <v>1258187</v>
      </c>
      <c r="B1341" s="13" t="s">
        <v>62</v>
      </c>
      <c r="C1341" s="13" t="s">
        <v>3863</v>
      </c>
      <c r="D1341" s="13" t="s">
        <v>3864</v>
      </c>
      <c r="E1341" s="13" t="s">
        <v>3324</v>
      </c>
      <c r="F1341" s="14"/>
      <c r="G1341" s="14"/>
      <c r="H1341" s="14"/>
      <c r="I1341" s="14"/>
      <c r="J1341" s="14">
        <f t="shared" si="60"/>
        <v>0</v>
      </c>
      <c r="K1341" s="14">
        <f t="shared" si="61"/>
        <v>0</v>
      </c>
      <c r="L1341" s="17">
        <f t="shared" si="62"/>
        <v>0</v>
      </c>
      <c r="M1341" s="14"/>
      <c r="N1341" s="16"/>
      <c r="O1341" s="16"/>
      <c r="P1341" s="16"/>
      <c r="Q1341" s="16"/>
      <c r="R1341" s="16"/>
      <c r="S1341" s="16"/>
      <c r="T1341" s="16"/>
      <c r="U1341" s="16"/>
      <c r="V1341" s="16"/>
      <c r="W1341" s="16"/>
      <c r="X1341" s="16"/>
      <c r="Y1341" s="16"/>
      <c r="Z1341" s="16"/>
      <c r="AA1341" s="16"/>
    </row>
    <row r="1342" spans="1:27" s="2" customFormat="1" ht="14">
      <c r="A1342" s="12">
        <v>1258203</v>
      </c>
      <c r="B1342" s="13" t="s">
        <v>14</v>
      </c>
      <c r="C1342" s="13" t="s">
        <v>3865</v>
      </c>
      <c r="D1342" s="13" t="s">
        <v>3866</v>
      </c>
      <c r="E1342" s="13" t="s">
        <v>1579</v>
      </c>
      <c r="F1342" s="14"/>
      <c r="G1342" s="14"/>
      <c r="H1342" s="14"/>
      <c r="I1342" s="14"/>
      <c r="J1342" s="14">
        <f t="shared" si="60"/>
        <v>0</v>
      </c>
      <c r="K1342" s="14">
        <f t="shared" si="61"/>
        <v>0</v>
      </c>
      <c r="L1342" s="17">
        <f t="shared" si="62"/>
        <v>0</v>
      </c>
      <c r="M1342" s="14"/>
      <c r="N1342" s="16"/>
      <c r="O1342" s="16"/>
      <c r="P1342" s="16"/>
      <c r="Q1342" s="16"/>
      <c r="R1342" s="16"/>
      <c r="S1342" s="16"/>
      <c r="T1342" s="16"/>
      <c r="U1342" s="16"/>
      <c r="V1342" s="16"/>
      <c r="W1342" s="16"/>
      <c r="X1342" s="16"/>
      <c r="Y1342" s="16"/>
      <c r="Z1342" s="16"/>
      <c r="AA1342" s="16"/>
    </row>
    <row r="1343" spans="1:27" s="2" customFormat="1" ht="14">
      <c r="A1343" s="12" t="s">
        <v>3867</v>
      </c>
      <c r="B1343" s="13" t="s">
        <v>62</v>
      </c>
      <c r="C1343" s="13" t="s">
        <v>3868</v>
      </c>
      <c r="D1343" s="13" t="s">
        <v>3869</v>
      </c>
      <c r="E1343" s="13" t="s">
        <v>488</v>
      </c>
      <c r="F1343" s="14"/>
      <c r="G1343" s="14"/>
      <c r="H1343" s="14"/>
      <c r="I1343" s="14"/>
      <c r="J1343" s="14">
        <f t="shared" si="60"/>
        <v>0</v>
      </c>
      <c r="K1343" s="14">
        <f t="shared" si="61"/>
        <v>0</v>
      </c>
      <c r="L1343" s="17">
        <f t="shared" si="62"/>
        <v>0</v>
      </c>
      <c r="M1343" s="14"/>
      <c r="N1343" s="16"/>
      <c r="O1343" s="16"/>
      <c r="P1343" s="16"/>
      <c r="Q1343" s="16"/>
      <c r="R1343" s="16"/>
      <c r="S1343" s="16"/>
      <c r="T1343" s="16"/>
      <c r="U1343" s="16"/>
      <c r="V1343" s="16"/>
      <c r="W1343" s="16"/>
      <c r="X1343" s="16"/>
      <c r="Y1343" s="16"/>
      <c r="Z1343" s="16"/>
      <c r="AA1343" s="16"/>
    </row>
    <row r="1344" spans="1:27" s="2" customFormat="1" ht="14">
      <c r="A1344" s="12">
        <v>1260773</v>
      </c>
      <c r="B1344" s="13" t="s">
        <v>14</v>
      </c>
      <c r="C1344" s="13" t="s">
        <v>3870</v>
      </c>
      <c r="D1344" s="13" t="s">
        <v>3871</v>
      </c>
      <c r="E1344" s="13" t="s">
        <v>3872</v>
      </c>
      <c r="F1344" s="14"/>
      <c r="G1344" s="14"/>
      <c r="H1344" s="14"/>
      <c r="I1344" s="14"/>
      <c r="J1344" s="14">
        <f t="shared" si="60"/>
        <v>0</v>
      </c>
      <c r="K1344" s="14">
        <f t="shared" si="61"/>
        <v>0</v>
      </c>
      <c r="L1344" s="17">
        <f t="shared" si="62"/>
        <v>0</v>
      </c>
      <c r="M1344" s="14"/>
      <c r="N1344" s="16"/>
      <c r="O1344" s="16"/>
      <c r="P1344" s="16"/>
      <c r="Q1344" s="16"/>
      <c r="R1344" s="16"/>
      <c r="S1344" s="16"/>
      <c r="T1344" s="16"/>
      <c r="U1344" s="16"/>
      <c r="V1344" s="16"/>
      <c r="W1344" s="16"/>
      <c r="X1344" s="16"/>
      <c r="Y1344" s="16"/>
      <c r="Z1344" s="16"/>
      <c r="AA1344" s="16"/>
    </row>
    <row r="1345" spans="1:27" s="2" customFormat="1" ht="14">
      <c r="A1345" s="12" t="s">
        <v>3873</v>
      </c>
      <c r="B1345" s="13" t="s">
        <v>62</v>
      </c>
      <c r="C1345" s="13" t="s">
        <v>3874</v>
      </c>
      <c r="D1345" s="13" t="s">
        <v>3875</v>
      </c>
      <c r="E1345" s="13" t="s">
        <v>40</v>
      </c>
      <c r="F1345" s="14"/>
      <c r="G1345" s="14"/>
      <c r="H1345" s="14"/>
      <c r="I1345" s="14"/>
      <c r="J1345" s="14">
        <f t="shared" si="60"/>
        <v>0</v>
      </c>
      <c r="K1345" s="14">
        <f t="shared" si="61"/>
        <v>0</v>
      </c>
      <c r="L1345" s="17">
        <f t="shared" si="62"/>
        <v>0</v>
      </c>
      <c r="M1345" s="14"/>
      <c r="N1345" s="16"/>
      <c r="O1345" s="16"/>
      <c r="P1345" s="16"/>
      <c r="Q1345" s="16"/>
      <c r="R1345" s="16"/>
      <c r="S1345" s="16"/>
      <c r="T1345" s="16"/>
      <c r="U1345" s="16"/>
      <c r="V1345" s="16"/>
      <c r="W1345" s="16"/>
      <c r="X1345" s="16"/>
      <c r="Y1345" s="16"/>
      <c r="Z1345" s="16"/>
      <c r="AA1345" s="16"/>
    </row>
    <row r="1346" spans="1:27" s="2" customFormat="1" ht="14">
      <c r="A1346" s="12">
        <v>1257494</v>
      </c>
      <c r="B1346" s="13" t="s">
        <v>14</v>
      </c>
      <c r="C1346" s="13" t="s">
        <v>3876</v>
      </c>
      <c r="D1346" s="13" t="s">
        <v>3877</v>
      </c>
      <c r="E1346" s="13" t="s">
        <v>3509</v>
      </c>
      <c r="F1346" s="14"/>
      <c r="G1346" s="14"/>
      <c r="H1346" s="14"/>
      <c r="I1346" s="14"/>
      <c r="J1346" s="14">
        <f t="shared" ref="J1346:J1409" si="63">IF(G1346&gt;0,1,0)</f>
        <v>0</v>
      </c>
      <c r="K1346" s="14">
        <f t="shared" ref="K1346:K1409" si="64">IF(H1346&gt;0,1,0)</f>
        <v>0</v>
      </c>
      <c r="L1346" s="17">
        <f t="shared" ref="L1346:L1409" si="65">IF(G1346&gt;0,IF(H1346&gt;0,1,0),0)</f>
        <v>0</v>
      </c>
      <c r="M1346" s="14"/>
      <c r="N1346" s="16"/>
      <c r="O1346" s="16"/>
      <c r="P1346" s="16"/>
      <c r="Q1346" s="16"/>
      <c r="R1346" s="16"/>
      <c r="S1346" s="16"/>
      <c r="T1346" s="16"/>
      <c r="U1346" s="16"/>
      <c r="V1346" s="16"/>
      <c r="W1346" s="16"/>
      <c r="X1346" s="16"/>
      <c r="Y1346" s="16"/>
      <c r="Z1346" s="16"/>
      <c r="AA1346" s="16"/>
    </row>
    <row r="1347" spans="1:27" s="2" customFormat="1" ht="14">
      <c r="A1347" s="12" t="s">
        <v>3878</v>
      </c>
      <c r="B1347" s="13" t="s">
        <v>14</v>
      </c>
      <c r="C1347" s="13" t="s">
        <v>3879</v>
      </c>
      <c r="D1347" s="13" t="s">
        <v>3880</v>
      </c>
      <c r="E1347" s="13" t="s">
        <v>17</v>
      </c>
      <c r="F1347" s="14"/>
      <c r="G1347" s="14"/>
      <c r="H1347" s="14"/>
      <c r="I1347" s="14"/>
      <c r="J1347" s="14">
        <f t="shared" si="63"/>
        <v>0</v>
      </c>
      <c r="K1347" s="14">
        <f t="shared" si="64"/>
        <v>0</v>
      </c>
      <c r="L1347" s="17">
        <f t="shared" si="65"/>
        <v>0</v>
      </c>
      <c r="M1347" s="14"/>
      <c r="N1347" s="16"/>
      <c r="O1347" s="16"/>
      <c r="P1347" s="16"/>
      <c r="Q1347" s="16"/>
      <c r="R1347" s="16"/>
      <c r="S1347" s="16"/>
      <c r="T1347" s="16"/>
      <c r="U1347" s="16"/>
      <c r="V1347" s="16"/>
      <c r="W1347" s="16"/>
      <c r="X1347" s="16"/>
      <c r="Y1347" s="16"/>
      <c r="Z1347" s="16"/>
      <c r="AA1347" s="16"/>
    </row>
    <row r="1348" spans="1:27" s="2" customFormat="1" ht="14">
      <c r="A1348" s="12" t="s">
        <v>3881</v>
      </c>
      <c r="B1348" s="13" t="s">
        <v>62</v>
      </c>
      <c r="C1348" s="13" t="s">
        <v>3882</v>
      </c>
      <c r="D1348" s="13" t="s">
        <v>3883</v>
      </c>
      <c r="E1348" s="13" t="s">
        <v>17</v>
      </c>
      <c r="F1348" s="14"/>
      <c r="G1348" s="14"/>
      <c r="H1348" s="14"/>
      <c r="I1348" s="14"/>
      <c r="J1348" s="14">
        <f t="shared" si="63"/>
        <v>0</v>
      </c>
      <c r="K1348" s="14">
        <f t="shared" si="64"/>
        <v>0</v>
      </c>
      <c r="L1348" s="17">
        <f t="shared" si="65"/>
        <v>0</v>
      </c>
      <c r="M1348" s="14"/>
      <c r="N1348" s="16"/>
      <c r="O1348" s="16"/>
      <c r="P1348" s="16"/>
      <c r="Q1348" s="16"/>
      <c r="R1348" s="16"/>
      <c r="S1348" s="16"/>
      <c r="T1348" s="16"/>
      <c r="U1348" s="16"/>
      <c r="V1348" s="16"/>
      <c r="W1348" s="16"/>
      <c r="X1348" s="16"/>
      <c r="Y1348" s="16"/>
      <c r="Z1348" s="16"/>
      <c r="AA1348" s="16"/>
    </row>
    <row r="1349" spans="1:27" s="2" customFormat="1" ht="14">
      <c r="A1349" s="12" t="s">
        <v>3884</v>
      </c>
      <c r="B1349" s="13" t="s">
        <v>14</v>
      </c>
      <c r="C1349" s="13" t="s">
        <v>3885</v>
      </c>
      <c r="D1349" s="13" t="s">
        <v>3886</v>
      </c>
      <c r="E1349" s="13" t="s">
        <v>57</v>
      </c>
      <c r="F1349" s="14"/>
      <c r="G1349" s="14"/>
      <c r="H1349" s="14"/>
      <c r="I1349" s="14"/>
      <c r="J1349" s="14">
        <f t="shared" si="63"/>
        <v>0</v>
      </c>
      <c r="K1349" s="14">
        <f t="shared" si="64"/>
        <v>0</v>
      </c>
      <c r="L1349" s="17">
        <f t="shared" si="65"/>
        <v>0</v>
      </c>
      <c r="M1349" s="14"/>
      <c r="N1349" s="16"/>
      <c r="O1349" s="16"/>
      <c r="P1349" s="16"/>
      <c r="Q1349" s="16"/>
      <c r="R1349" s="16"/>
      <c r="S1349" s="16"/>
      <c r="T1349" s="16"/>
      <c r="U1349" s="16"/>
      <c r="V1349" s="16"/>
      <c r="W1349" s="16"/>
      <c r="X1349" s="16"/>
      <c r="Y1349" s="16"/>
      <c r="Z1349" s="16"/>
      <c r="AA1349" s="16"/>
    </row>
    <row r="1350" spans="1:27" s="2" customFormat="1" ht="14">
      <c r="A1350" s="12">
        <v>1257917</v>
      </c>
      <c r="B1350" s="13" t="s">
        <v>14</v>
      </c>
      <c r="C1350" s="13" t="s">
        <v>3887</v>
      </c>
      <c r="D1350" s="13" t="s">
        <v>3888</v>
      </c>
      <c r="E1350" s="13" t="s">
        <v>3703</v>
      </c>
      <c r="F1350" s="14"/>
      <c r="G1350" s="14"/>
      <c r="H1350" s="14"/>
      <c r="I1350" s="14"/>
      <c r="J1350" s="14">
        <f t="shared" si="63"/>
        <v>0</v>
      </c>
      <c r="K1350" s="14">
        <f t="shared" si="64"/>
        <v>0</v>
      </c>
      <c r="L1350" s="17">
        <f t="shared" si="65"/>
        <v>0</v>
      </c>
      <c r="M1350" s="14"/>
      <c r="N1350" s="16"/>
      <c r="O1350" s="16"/>
      <c r="P1350" s="16"/>
      <c r="Q1350" s="16"/>
      <c r="R1350" s="16"/>
      <c r="S1350" s="16"/>
      <c r="T1350" s="16"/>
      <c r="U1350" s="16"/>
      <c r="V1350" s="16"/>
      <c r="W1350" s="16"/>
      <c r="X1350" s="16"/>
      <c r="Y1350" s="16"/>
      <c r="Z1350" s="16"/>
      <c r="AA1350" s="16"/>
    </row>
    <row r="1351" spans="1:27" s="2" customFormat="1" ht="14">
      <c r="A1351" s="12">
        <v>1261084</v>
      </c>
      <c r="B1351" s="13" t="s">
        <v>14</v>
      </c>
      <c r="C1351" s="13" t="s">
        <v>3889</v>
      </c>
      <c r="D1351" s="13" t="s">
        <v>3890</v>
      </c>
      <c r="E1351" s="13" t="s">
        <v>3750</v>
      </c>
      <c r="F1351" s="14"/>
      <c r="G1351" s="14"/>
      <c r="H1351" s="14"/>
      <c r="I1351" s="14"/>
      <c r="J1351" s="14">
        <f t="shared" si="63"/>
        <v>0</v>
      </c>
      <c r="K1351" s="14">
        <f t="shared" si="64"/>
        <v>0</v>
      </c>
      <c r="L1351" s="17">
        <f t="shared" si="65"/>
        <v>0</v>
      </c>
      <c r="M1351" s="14"/>
      <c r="N1351" s="16"/>
      <c r="O1351" s="16"/>
      <c r="P1351" s="16"/>
      <c r="Q1351" s="16"/>
      <c r="R1351" s="16"/>
      <c r="S1351" s="16"/>
      <c r="T1351" s="16"/>
      <c r="U1351" s="16"/>
      <c r="V1351" s="16"/>
      <c r="W1351" s="16"/>
      <c r="X1351" s="16"/>
      <c r="Y1351" s="16"/>
      <c r="Z1351" s="16"/>
      <c r="AA1351" s="16"/>
    </row>
    <row r="1352" spans="1:27" s="2" customFormat="1" ht="14">
      <c r="A1352" s="12">
        <v>1243895</v>
      </c>
      <c r="B1352" s="13" t="s">
        <v>14</v>
      </c>
      <c r="C1352" s="13" t="s">
        <v>3891</v>
      </c>
      <c r="D1352" s="13" t="s">
        <v>3892</v>
      </c>
      <c r="E1352" s="13" t="s">
        <v>3509</v>
      </c>
      <c r="F1352" s="14"/>
      <c r="G1352" s="14"/>
      <c r="H1352" s="14"/>
      <c r="I1352" s="14"/>
      <c r="J1352" s="14">
        <f t="shared" si="63"/>
        <v>0</v>
      </c>
      <c r="K1352" s="14">
        <f t="shared" si="64"/>
        <v>0</v>
      </c>
      <c r="L1352" s="17">
        <f t="shared" si="65"/>
        <v>0</v>
      </c>
      <c r="M1352" s="14"/>
      <c r="N1352" s="16"/>
      <c r="O1352" s="16"/>
      <c r="P1352" s="16"/>
      <c r="Q1352" s="16"/>
      <c r="R1352" s="16"/>
      <c r="S1352" s="16"/>
      <c r="T1352" s="16"/>
      <c r="U1352" s="16"/>
      <c r="V1352" s="16"/>
      <c r="W1352" s="16"/>
      <c r="X1352" s="16"/>
      <c r="Y1352" s="16"/>
      <c r="Z1352" s="16"/>
      <c r="AA1352" s="16"/>
    </row>
    <row r="1353" spans="1:27" s="2" customFormat="1" ht="14">
      <c r="A1353" s="12">
        <v>1258371</v>
      </c>
      <c r="B1353" s="13" t="s">
        <v>14</v>
      </c>
      <c r="C1353" s="13" t="s">
        <v>3893</v>
      </c>
      <c r="D1353" s="13" t="s">
        <v>3894</v>
      </c>
      <c r="E1353" s="13" t="s">
        <v>3509</v>
      </c>
      <c r="F1353" s="14"/>
      <c r="G1353" s="14"/>
      <c r="H1353" s="14"/>
      <c r="I1353" s="14"/>
      <c r="J1353" s="14">
        <f t="shared" si="63"/>
        <v>0</v>
      </c>
      <c r="K1353" s="14">
        <f t="shared" si="64"/>
        <v>0</v>
      </c>
      <c r="L1353" s="17">
        <f t="shared" si="65"/>
        <v>0</v>
      </c>
      <c r="M1353" s="14"/>
      <c r="N1353" s="16"/>
      <c r="O1353" s="16"/>
      <c r="P1353" s="16"/>
      <c r="Q1353" s="16"/>
      <c r="R1353" s="16"/>
      <c r="S1353" s="16"/>
      <c r="T1353" s="16"/>
      <c r="U1353" s="16"/>
      <c r="V1353" s="16"/>
      <c r="W1353" s="16"/>
      <c r="X1353" s="16"/>
      <c r="Y1353" s="16"/>
      <c r="Z1353" s="16"/>
      <c r="AA1353" s="16"/>
    </row>
    <row r="1354" spans="1:27" s="2" customFormat="1" ht="14">
      <c r="A1354" s="12" t="s">
        <v>3895</v>
      </c>
      <c r="B1354" s="13" t="s">
        <v>62</v>
      </c>
      <c r="C1354" s="13" t="s">
        <v>3896</v>
      </c>
      <c r="D1354" s="13" t="s">
        <v>3897</v>
      </c>
      <c r="E1354" s="13" t="s">
        <v>201</v>
      </c>
      <c r="F1354" s="14"/>
      <c r="G1354" s="14"/>
      <c r="H1354" s="14"/>
      <c r="I1354" s="14"/>
      <c r="J1354" s="14">
        <f t="shared" si="63"/>
        <v>0</v>
      </c>
      <c r="K1354" s="14">
        <f t="shared" si="64"/>
        <v>0</v>
      </c>
      <c r="L1354" s="17">
        <f t="shared" si="65"/>
        <v>0</v>
      </c>
      <c r="M1354" s="14"/>
      <c r="N1354" s="16"/>
      <c r="O1354" s="16"/>
      <c r="P1354" s="16"/>
      <c r="Q1354" s="16"/>
      <c r="R1354" s="16"/>
      <c r="S1354" s="16"/>
      <c r="T1354" s="16"/>
      <c r="U1354" s="16"/>
      <c r="V1354" s="16"/>
      <c r="W1354" s="16"/>
      <c r="X1354" s="16"/>
      <c r="Y1354" s="16"/>
      <c r="Z1354" s="16"/>
      <c r="AA1354" s="16"/>
    </row>
    <row r="1355" spans="1:27" s="2" customFormat="1" ht="14">
      <c r="A1355" s="12" t="s">
        <v>3898</v>
      </c>
      <c r="B1355" s="13" t="s">
        <v>14</v>
      </c>
      <c r="C1355" s="13" t="s">
        <v>3899</v>
      </c>
      <c r="D1355" s="13" t="s">
        <v>3900</v>
      </c>
      <c r="E1355" s="13" t="s">
        <v>36</v>
      </c>
      <c r="F1355" s="14"/>
      <c r="G1355" s="14"/>
      <c r="H1355" s="14"/>
      <c r="I1355" s="14"/>
      <c r="J1355" s="14">
        <f t="shared" si="63"/>
        <v>0</v>
      </c>
      <c r="K1355" s="14">
        <f t="shared" si="64"/>
        <v>0</v>
      </c>
      <c r="L1355" s="17">
        <f t="shared" si="65"/>
        <v>0</v>
      </c>
      <c r="M1355" s="14"/>
      <c r="N1355" s="16"/>
      <c r="O1355" s="16"/>
      <c r="P1355" s="16"/>
      <c r="Q1355" s="16"/>
      <c r="R1355" s="16"/>
      <c r="S1355" s="16"/>
      <c r="T1355" s="16"/>
      <c r="U1355" s="16"/>
      <c r="V1355" s="16"/>
      <c r="W1355" s="16"/>
      <c r="X1355" s="16"/>
      <c r="Y1355" s="16"/>
      <c r="Z1355" s="16"/>
      <c r="AA1355" s="16"/>
    </row>
    <row r="1356" spans="1:27" s="2" customFormat="1" ht="14">
      <c r="A1356" s="12">
        <v>1263414</v>
      </c>
      <c r="B1356" s="13" t="s">
        <v>14</v>
      </c>
      <c r="C1356" s="13" t="s">
        <v>3901</v>
      </c>
      <c r="D1356" s="13" t="s">
        <v>3902</v>
      </c>
      <c r="E1356" s="13" t="s">
        <v>3506</v>
      </c>
      <c r="F1356" s="14"/>
      <c r="G1356" s="14"/>
      <c r="H1356" s="14"/>
      <c r="I1356" s="14"/>
      <c r="J1356" s="14">
        <f t="shared" si="63"/>
        <v>0</v>
      </c>
      <c r="K1356" s="14">
        <f t="shared" si="64"/>
        <v>0</v>
      </c>
      <c r="L1356" s="17">
        <f t="shared" si="65"/>
        <v>0</v>
      </c>
      <c r="M1356" s="14"/>
      <c r="N1356" s="16"/>
      <c r="O1356" s="16"/>
      <c r="P1356" s="16"/>
      <c r="Q1356" s="16"/>
      <c r="R1356" s="16"/>
      <c r="S1356" s="16"/>
      <c r="T1356" s="16"/>
      <c r="U1356" s="16"/>
      <c r="V1356" s="16"/>
      <c r="W1356" s="16"/>
      <c r="X1356" s="16"/>
      <c r="Y1356" s="16"/>
      <c r="Z1356" s="16"/>
      <c r="AA1356" s="16"/>
    </row>
    <row r="1357" spans="1:27" s="2" customFormat="1" ht="14">
      <c r="A1357" s="12">
        <v>1244199</v>
      </c>
      <c r="B1357" s="13" t="s">
        <v>14</v>
      </c>
      <c r="C1357" s="13" t="s">
        <v>3903</v>
      </c>
      <c r="D1357" s="13" t="s">
        <v>3904</v>
      </c>
      <c r="E1357" s="13" t="s">
        <v>3905</v>
      </c>
      <c r="F1357" s="14"/>
      <c r="G1357" s="14"/>
      <c r="H1357" s="14"/>
      <c r="I1357" s="14"/>
      <c r="J1357" s="14">
        <f t="shared" si="63"/>
        <v>0</v>
      </c>
      <c r="K1357" s="14">
        <f t="shared" si="64"/>
        <v>0</v>
      </c>
      <c r="L1357" s="17">
        <f t="shared" si="65"/>
        <v>0</v>
      </c>
      <c r="M1357" s="14"/>
      <c r="N1357" s="16"/>
      <c r="O1357" s="16"/>
      <c r="P1357" s="16"/>
      <c r="Q1357" s="16"/>
      <c r="R1357" s="16"/>
      <c r="S1357" s="16"/>
      <c r="T1357" s="16"/>
      <c r="U1357" s="16"/>
      <c r="V1357" s="16"/>
      <c r="W1357" s="16"/>
      <c r="X1357" s="16"/>
      <c r="Y1357" s="16"/>
      <c r="Z1357" s="16"/>
      <c r="AA1357" s="16"/>
    </row>
    <row r="1358" spans="1:27" s="2" customFormat="1" ht="14">
      <c r="A1358" s="12" t="s">
        <v>3906</v>
      </c>
      <c r="B1358" s="13" t="s">
        <v>14</v>
      </c>
      <c r="C1358" s="13" t="s">
        <v>3907</v>
      </c>
      <c r="D1358" s="13" t="s">
        <v>3908</v>
      </c>
      <c r="E1358" s="13" t="s">
        <v>40</v>
      </c>
      <c r="F1358" s="14"/>
      <c r="G1358" s="14"/>
      <c r="H1358" s="14"/>
      <c r="I1358" s="14"/>
      <c r="J1358" s="14">
        <f t="shared" si="63"/>
        <v>0</v>
      </c>
      <c r="K1358" s="14">
        <f t="shared" si="64"/>
        <v>0</v>
      </c>
      <c r="L1358" s="17">
        <f t="shared" si="65"/>
        <v>0</v>
      </c>
      <c r="M1358" s="14"/>
      <c r="N1358" s="16"/>
      <c r="O1358" s="16"/>
      <c r="P1358" s="16"/>
      <c r="Q1358" s="16"/>
      <c r="R1358" s="16"/>
      <c r="S1358" s="16"/>
      <c r="T1358" s="16"/>
      <c r="U1358" s="16"/>
      <c r="V1358" s="16"/>
      <c r="W1358" s="16"/>
      <c r="X1358" s="16"/>
      <c r="Y1358" s="16"/>
      <c r="Z1358" s="16"/>
      <c r="AA1358" s="16"/>
    </row>
    <row r="1359" spans="1:27" s="2" customFormat="1" ht="14">
      <c r="A1359" s="12">
        <v>1259364</v>
      </c>
      <c r="B1359" s="13" t="s">
        <v>62</v>
      </c>
      <c r="C1359" s="13" t="s">
        <v>3909</v>
      </c>
      <c r="D1359" s="13" t="s">
        <v>3910</v>
      </c>
      <c r="E1359" s="13" t="s">
        <v>3905</v>
      </c>
      <c r="F1359" s="14"/>
      <c r="G1359" s="14"/>
      <c r="H1359" s="14"/>
      <c r="I1359" s="14"/>
      <c r="J1359" s="14">
        <f t="shared" si="63"/>
        <v>0</v>
      </c>
      <c r="K1359" s="14">
        <f t="shared" si="64"/>
        <v>0</v>
      </c>
      <c r="L1359" s="17">
        <f t="shared" si="65"/>
        <v>0</v>
      </c>
      <c r="M1359" s="14"/>
      <c r="N1359" s="16"/>
      <c r="O1359" s="16"/>
      <c r="P1359" s="16"/>
      <c r="Q1359" s="16"/>
      <c r="R1359" s="16"/>
      <c r="S1359" s="16"/>
      <c r="T1359" s="16"/>
      <c r="U1359" s="16"/>
      <c r="V1359" s="16"/>
      <c r="W1359" s="16"/>
      <c r="X1359" s="16"/>
      <c r="Y1359" s="16"/>
      <c r="Z1359" s="16"/>
      <c r="AA1359" s="16"/>
    </row>
    <row r="1360" spans="1:27" s="2" customFormat="1" ht="14">
      <c r="A1360" s="12" t="s">
        <v>3911</v>
      </c>
      <c r="B1360" s="13" t="s">
        <v>62</v>
      </c>
      <c r="C1360" s="13" t="s">
        <v>3912</v>
      </c>
      <c r="D1360" s="13" t="s">
        <v>3913</v>
      </c>
      <c r="E1360" s="13" t="s">
        <v>114</v>
      </c>
      <c r="F1360" s="14"/>
      <c r="G1360" s="14"/>
      <c r="H1360" s="14"/>
      <c r="I1360" s="14"/>
      <c r="J1360" s="14">
        <f t="shared" si="63"/>
        <v>0</v>
      </c>
      <c r="K1360" s="14">
        <f t="shared" si="64"/>
        <v>0</v>
      </c>
      <c r="L1360" s="17">
        <f t="shared" si="65"/>
        <v>0</v>
      </c>
      <c r="M1360" s="14"/>
      <c r="N1360" s="16"/>
      <c r="O1360" s="16"/>
      <c r="P1360" s="16"/>
      <c r="Q1360" s="16"/>
      <c r="R1360" s="16"/>
      <c r="S1360" s="16"/>
      <c r="T1360" s="16"/>
      <c r="U1360" s="16"/>
      <c r="V1360" s="16"/>
      <c r="W1360" s="16"/>
      <c r="X1360" s="16"/>
      <c r="Y1360" s="16"/>
      <c r="Z1360" s="16"/>
      <c r="AA1360" s="16"/>
    </row>
    <row r="1361" spans="1:27" s="2" customFormat="1" ht="14">
      <c r="A1361" s="12" t="s">
        <v>3914</v>
      </c>
      <c r="B1361" s="13" t="s">
        <v>62</v>
      </c>
      <c r="C1361" s="13" t="s">
        <v>3915</v>
      </c>
      <c r="D1361" s="13" t="s">
        <v>3916</v>
      </c>
      <c r="E1361" s="13" t="s">
        <v>267</v>
      </c>
      <c r="F1361" s="14"/>
      <c r="G1361" s="14"/>
      <c r="H1361" s="14"/>
      <c r="I1361" s="14"/>
      <c r="J1361" s="14">
        <f t="shared" si="63"/>
        <v>0</v>
      </c>
      <c r="K1361" s="14">
        <f t="shared" si="64"/>
        <v>0</v>
      </c>
      <c r="L1361" s="17">
        <f t="shared" si="65"/>
        <v>0</v>
      </c>
      <c r="M1361" s="14"/>
      <c r="N1361" s="16"/>
      <c r="O1361" s="16"/>
      <c r="P1361" s="16"/>
      <c r="Q1361" s="16"/>
      <c r="R1361" s="16"/>
      <c r="S1361" s="16"/>
      <c r="T1361" s="16"/>
      <c r="U1361" s="16"/>
      <c r="V1361" s="16"/>
      <c r="W1361" s="16"/>
      <c r="X1361" s="16"/>
      <c r="Y1361" s="16"/>
      <c r="Z1361" s="16"/>
      <c r="AA1361" s="16"/>
    </row>
    <row r="1362" spans="1:27" s="2" customFormat="1" ht="14">
      <c r="A1362" s="12">
        <v>1259580</v>
      </c>
      <c r="B1362" s="13" t="s">
        <v>14</v>
      </c>
      <c r="C1362" s="13" t="s">
        <v>3917</v>
      </c>
      <c r="D1362" s="13" t="s">
        <v>3918</v>
      </c>
      <c r="E1362" s="13" t="s">
        <v>3862</v>
      </c>
      <c r="F1362" s="14"/>
      <c r="G1362" s="14"/>
      <c r="H1362" s="14"/>
      <c r="I1362" s="14"/>
      <c r="J1362" s="14">
        <f t="shared" si="63"/>
        <v>0</v>
      </c>
      <c r="K1362" s="14">
        <f t="shared" si="64"/>
        <v>0</v>
      </c>
      <c r="L1362" s="17">
        <f t="shared" si="65"/>
        <v>0</v>
      </c>
      <c r="M1362" s="14"/>
      <c r="N1362" s="16"/>
      <c r="O1362" s="16"/>
      <c r="P1362" s="16"/>
      <c r="Q1362" s="16"/>
      <c r="R1362" s="16"/>
      <c r="S1362" s="16"/>
      <c r="T1362" s="16"/>
      <c r="U1362" s="16"/>
      <c r="V1362" s="16"/>
      <c r="W1362" s="16"/>
      <c r="X1362" s="16"/>
      <c r="Y1362" s="16"/>
      <c r="Z1362" s="16"/>
      <c r="AA1362" s="16"/>
    </row>
    <row r="1363" spans="1:27" s="2" customFormat="1" ht="14">
      <c r="A1363" s="12" t="s">
        <v>3919</v>
      </c>
      <c r="B1363" s="13" t="s">
        <v>14</v>
      </c>
      <c r="C1363" s="13" t="s">
        <v>3920</v>
      </c>
      <c r="D1363" s="13" t="s">
        <v>3921</v>
      </c>
      <c r="E1363" s="13" t="s">
        <v>285</v>
      </c>
      <c r="F1363" s="14"/>
      <c r="G1363" s="14"/>
      <c r="H1363" s="14"/>
      <c r="I1363" s="14"/>
      <c r="J1363" s="14">
        <f t="shared" si="63"/>
        <v>0</v>
      </c>
      <c r="K1363" s="14">
        <f t="shared" si="64"/>
        <v>0</v>
      </c>
      <c r="L1363" s="17">
        <f t="shared" si="65"/>
        <v>0</v>
      </c>
      <c r="M1363" s="14"/>
      <c r="N1363" s="16"/>
      <c r="O1363" s="16"/>
      <c r="P1363" s="16"/>
      <c r="Q1363" s="16"/>
      <c r="R1363" s="16"/>
      <c r="S1363" s="16"/>
      <c r="T1363" s="16"/>
      <c r="U1363" s="16"/>
      <c r="V1363" s="16"/>
      <c r="W1363" s="16"/>
      <c r="X1363" s="16"/>
      <c r="Y1363" s="16"/>
      <c r="Z1363" s="16"/>
      <c r="AA1363" s="16"/>
    </row>
    <row r="1364" spans="1:27" s="2" customFormat="1" ht="14">
      <c r="A1364" s="12" t="s">
        <v>3922</v>
      </c>
      <c r="B1364" s="13" t="s">
        <v>14</v>
      </c>
      <c r="C1364" s="13" t="s">
        <v>3923</v>
      </c>
      <c r="D1364" s="13" t="s">
        <v>3924</v>
      </c>
      <c r="E1364" s="13" t="s">
        <v>32</v>
      </c>
      <c r="F1364" s="14"/>
      <c r="G1364" s="14"/>
      <c r="H1364" s="14"/>
      <c r="I1364" s="14"/>
      <c r="J1364" s="14">
        <f t="shared" si="63"/>
        <v>0</v>
      </c>
      <c r="K1364" s="14">
        <f t="shared" si="64"/>
        <v>0</v>
      </c>
      <c r="L1364" s="17">
        <f t="shared" si="65"/>
        <v>0</v>
      </c>
      <c r="M1364" s="14"/>
      <c r="N1364" s="16"/>
      <c r="O1364" s="16"/>
      <c r="P1364" s="16"/>
      <c r="Q1364" s="16"/>
      <c r="R1364" s="16"/>
      <c r="S1364" s="16"/>
      <c r="T1364" s="16"/>
      <c r="U1364" s="16"/>
      <c r="V1364" s="16"/>
      <c r="W1364" s="16"/>
      <c r="X1364" s="16"/>
      <c r="Y1364" s="16"/>
      <c r="Z1364" s="16"/>
      <c r="AA1364" s="16"/>
    </row>
    <row r="1365" spans="1:27" s="2" customFormat="1" ht="14">
      <c r="A1365" s="12" t="s">
        <v>3925</v>
      </c>
      <c r="B1365" s="13" t="s">
        <v>14</v>
      </c>
      <c r="C1365" s="13" t="s">
        <v>3926</v>
      </c>
      <c r="D1365" s="13" t="s">
        <v>3927</v>
      </c>
      <c r="E1365" s="13" t="s">
        <v>25</v>
      </c>
      <c r="F1365" s="14"/>
      <c r="G1365" s="14"/>
      <c r="H1365" s="14"/>
      <c r="I1365" s="14"/>
      <c r="J1365" s="14">
        <f t="shared" si="63"/>
        <v>0</v>
      </c>
      <c r="K1365" s="14">
        <f t="shared" si="64"/>
        <v>0</v>
      </c>
      <c r="L1365" s="17">
        <f t="shared" si="65"/>
        <v>0</v>
      </c>
      <c r="M1365" s="14"/>
      <c r="N1365" s="16"/>
      <c r="O1365" s="16"/>
      <c r="P1365" s="16"/>
      <c r="Q1365" s="16"/>
      <c r="R1365" s="16"/>
      <c r="S1365" s="16"/>
      <c r="T1365" s="16"/>
      <c r="U1365" s="16"/>
      <c r="V1365" s="16"/>
      <c r="W1365" s="16"/>
      <c r="X1365" s="16"/>
      <c r="Y1365" s="16"/>
      <c r="Z1365" s="16"/>
      <c r="AA1365" s="16"/>
    </row>
    <row r="1366" spans="1:27" s="2" customFormat="1" ht="14">
      <c r="A1366" s="12">
        <v>1260002</v>
      </c>
      <c r="B1366" s="13" t="s">
        <v>14</v>
      </c>
      <c r="C1366" s="13" t="s">
        <v>3928</v>
      </c>
      <c r="D1366" s="13" t="s">
        <v>3929</v>
      </c>
      <c r="E1366" s="13" t="s">
        <v>3402</v>
      </c>
      <c r="F1366" s="14"/>
      <c r="G1366" s="14"/>
      <c r="H1366" s="14"/>
      <c r="I1366" s="14"/>
      <c r="J1366" s="14">
        <f t="shared" si="63"/>
        <v>0</v>
      </c>
      <c r="K1366" s="14">
        <f t="shared" si="64"/>
        <v>0</v>
      </c>
      <c r="L1366" s="17">
        <f t="shared" si="65"/>
        <v>0</v>
      </c>
      <c r="M1366" s="14"/>
      <c r="N1366" s="16"/>
      <c r="O1366" s="16"/>
      <c r="P1366" s="16"/>
      <c r="Q1366" s="16"/>
      <c r="R1366" s="16"/>
      <c r="S1366" s="16"/>
      <c r="T1366" s="16"/>
      <c r="U1366" s="16"/>
      <c r="V1366" s="16"/>
      <c r="W1366" s="16"/>
      <c r="X1366" s="16"/>
      <c r="Y1366" s="16"/>
      <c r="Z1366" s="16"/>
      <c r="AA1366" s="16"/>
    </row>
    <row r="1367" spans="1:27" s="2" customFormat="1" ht="14">
      <c r="A1367" s="12">
        <v>1260013</v>
      </c>
      <c r="B1367" s="13" t="s">
        <v>14</v>
      </c>
      <c r="C1367" s="13" t="s">
        <v>3930</v>
      </c>
      <c r="D1367" s="13" t="s">
        <v>3931</v>
      </c>
      <c r="E1367" s="13" t="s">
        <v>3635</v>
      </c>
      <c r="F1367" s="14"/>
      <c r="G1367" s="14"/>
      <c r="H1367" s="14"/>
      <c r="I1367" s="14"/>
      <c r="J1367" s="14">
        <f t="shared" si="63"/>
        <v>0</v>
      </c>
      <c r="K1367" s="14">
        <f t="shared" si="64"/>
        <v>0</v>
      </c>
      <c r="L1367" s="17">
        <f t="shared" si="65"/>
        <v>0</v>
      </c>
      <c r="M1367" s="14"/>
      <c r="N1367" s="16"/>
      <c r="O1367" s="16"/>
      <c r="P1367" s="16"/>
      <c r="Q1367" s="16"/>
      <c r="R1367" s="16"/>
      <c r="S1367" s="16"/>
      <c r="T1367" s="16"/>
      <c r="U1367" s="16"/>
      <c r="V1367" s="16"/>
      <c r="W1367" s="16"/>
      <c r="X1367" s="16"/>
      <c r="Y1367" s="16"/>
      <c r="Z1367" s="16"/>
      <c r="AA1367" s="16"/>
    </row>
    <row r="1368" spans="1:27" s="2" customFormat="1" ht="14">
      <c r="A1368" s="12" t="s">
        <v>3932</v>
      </c>
      <c r="B1368" s="13" t="s">
        <v>14</v>
      </c>
      <c r="C1368" s="13" t="s">
        <v>3933</v>
      </c>
      <c r="D1368" s="13" t="s">
        <v>3934</v>
      </c>
      <c r="E1368" s="13" t="s">
        <v>150</v>
      </c>
      <c r="F1368" s="14"/>
      <c r="G1368" s="14"/>
      <c r="H1368" s="14"/>
      <c r="I1368" s="14"/>
      <c r="J1368" s="14">
        <f t="shared" si="63"/>
        <v>0</v>
      </c>
      <c r="K1368" s="14">
        <f t="shared" si="64"/>
        <v>0</v>
      </c>
      <c r="L1368" s="17">
        <f t="shared" si="65"/>
        <v>0</v>
      </c>
      <c r="M1368" s="14"/>
      <c r="N1368" s="16"/>
      <c r="O1368" s="16"/>
      <c r="P1368" s="16"/>
      <c r="Q1368" s="16"/>
      <c r="R1368" s="16"/>
      <c r="S1368" s="16"/>
      <c r="T1368" s="16"/>
      <c r="U1368" s="16"/>
      <c r="V1368" s="16"/>
      <c r="W1368" s="16"/>
      <c r="X1368" s="16"/>
      <c r="Y1368" s="16"/>
      <c r="Z1368" s="16"/>
      <c r="AA1368" s="16"/>
    </row>
    <row r="1369" spans="1:27" s="2" customFormat="1" ht="14">
      <c r="A1369" s="12" t="s">
        <v>3935</v>
      </c>
      <c r="B1369" s="13" t="s">
        <v>14</v>
      </c>
      <c r="C1369" s="13" t="s">
        <v>3936</v>
      </c>
      <c r="D1369" s="13" t="s">
        <v>3937</v>
      </c>
      <c r="E1369" s="13" t="s">
        <v>40</v>
      </c>
      <c r="F1369" s="14"/>
      <c r="G1369" s="14"/>
      <c r="H1369" s="14"/>
      <c r="I1369" s="14"/>
      <c r="J1369" s="14">
        <f t="shared" si="63"/>
        <v>0</v>
      </c>
      <c r="K1369" s="14">
        <f t="shared" si="64"/>
        <v>0</v>
      </c>
      <c r="L1369" s="17">
        <f t="shared" si="65"/>
        <v>0</v>
      </c>
      <c r="M1369" s="14"/>
      <c r="N1369" s="16"/>
      <c r="O1369" s="16"/>
      <c r="P1369" s="16"/>
      <c r="Q1369" s="16"/>
      <c r="R1369" s="16"/>
      <c r="S1369" s="16"/>
      <c r="T1369" s="16"/>
      <c r="U1369" s="16"/>
      <c r="V1369" s="16"/>
      <c r="W1369" s="16"/>
      <c r="X1369" s="16"/>
      <c r="Y1369" s="16"/>
      <c r="Z1369" s="16"/>
      <c r="AA1369" s="16"/>
    </row>
    <row r="1370" spans="1:27" s="2" customFormat="1" ht="14">
      <c r="A1370" s="12" t="s">
        <v>3938</v>
      </c>
      <c r="B1370" s="13" t="s">
        <v>14</v>
      </c>
      <c r="C1370" s="13" t="s">
        <v>3939</v>
      </c>
      <c r="D1370" s="13" t="s">
        <v>3940</v>
      </c>
      <c r="E1370" s="13" t="s">
        <v>488</v>
      </c>
      <c r="F1370" s="14"/>
      <c r="G1370" s="14"/>
      <c r="H1370" s="14"/>
      <c r="I1370" s="14"/>
      <c r="J1370" s="14">
        <f t="shared" si="63"/>
        <v>0</v>
      </c>
      <c r="K1370" s="14">
        <f t="shared" si="64"/>
        <v>0</v>
      </c>
      <c r="L1370" s="17">
        <f t="shared" si="65"/>
        <v>0</v>
      </c>
      <c r="M1370" s="14"/>
      <c r="N1370" s="16"/>
      <c r="O1370" s="16"/>
      <c r="P1370" s="16"/>
      <c r="Q1370" s="16"/>
      <c r="R1370" s="16"/>
      <c r="S1370" s="16"/>
      <c r="T1370" s="16"/>
      <c r="U1370" s="16"/>
      <c r="V1370" s="16"/>
      <c r="W1370" s="16"/>
      <c r="X1370" s="16"/>
      <c r="Y1370" s="16"/>
      <c r="Z1370" s="16"/>
      <c r="AA1370" s="16"/>
    </row>
    <row r="1371" spans="1:27" s="2" customFormat="1" ht="14">
      <c r="A1371" s="12">
        <v>1244437</v>
      </c>
      <c r="B1371" s="13" t="s">
        <v>14</v>
      </c>
      <c r="C1371" s="13" t="s">
        <v>3941</v>
      </c>
      <c r="D1371" s="13" t="s">
        <v>3942</v>
      </c>
      <c r="E1371" s="13" t="s">
        <v>3632</v>
      </c>
      <c r="F1371" s="14"/>
      <c r="G1371" s="14"/>
      <c r="H1371" s="14"/>
      <c r="I1371" s="14"/>
      <c r="J1371" s="14">
        <f t="shared" si="63"/>
        <v>0</v>
      </c>
      <c r="K1371" s="14">
        <f t="shared" si="64"/>
        <v>0</v>
      </c>
      <c r="L1371" s="17">
        <f t="shared" si="65"/>
        <v>0</v>
      </c>
      <c r="M1371" s="14"/>
      <c r="N1371" s="16"/>
      <c r="O1371" s="16"/>
      <c r="P1371" s="16"/>
      <c r="Q1371" s="16"/>
      <c r="R1371" s="16"/>
      <c r="S1371" s="16"/>
      <c r="T1371" s="16"/>
      <c r="U1371" s="16"/>
      <c r="V1371" s="16"/>
      <c r="W1371" s="16"/>
      <c r="X1371" s="16"/>
      <c r="Y1371" s="16"/>
      <c r="Z1371" s="16"/>
      <c r="AA1371" s="16"/>
    </row>
    <row r="1372" spans="1:27" s="2" customFormat="1" ht="14">
      <c r="A1372" s="12" t="s">
        <v>3943</v>
      </c>
      <c r="B1372" s="13" t="s">
        <v>14</v>
      </c>
      <c r="C1372" s="13" t="s">
        <v>3944</v>
      </c>
      <c r="D1372" s="13" t="s">
        <v>3945</v>
      </c>
      <c r="E1372" s="13" t="s">
        <v>215</v>
      </c>
      <c r="F1372" s="14"/>
      <c r="G1372" s="14"/>
      <c r="H1372" s="14"/>
      <c r="I1372" s="14"/>
      <c r="J1372" s="14">
        <f t="shared" si="63"/>
        <v>0</v>
      </c>
      <c r="K1372" s="14">
        <f t="shared" si="64"/>
        <v>0</v>
      </c>
      <c r="L1372" s="17">
        <f t="shared" si="65"/>
        <v>0</v>
      </c>
      <c r="M1372" s="14"/>
      <c r="N1372" s="16"/>
      <c r="O1372" s="16"/>
      <c r="P1372" s="16"/>
      <c r="Q1372" s="16"/>
      <c r="R1372" s="16"/>
      <c r="S1372" s="16"/>
      <c r="T1372" s="16"/>
      <c r="U1372" s="16"/>
      <c r="V1372" s="16"/>
      <c r="W1372" s="16"/>
      <c r="X1372" s="16"/>
      <c r="Y1372" s="16"/>
      <c r="Z1372" s="16"/>
      <c r="AA1372" s="16"/>
    </row>
    <row r="1373" spans="1:27" s="2" customFormat="1" ht="14">
      <c r="A1373" s="12">
        <v>1261662</v>
      </c>
      <c r="B1373" s="13" t="s">
        <v>62</v>
      </c>
      <c r="C1373" s="13" t="s">
        <v>3946</v>
      </c>
      <c r="D1373" s="13" t="s">
        <v>3947</v>
      </c>
      <c r="E1373" s="13" t="s">
        <v>3948</v>
      </c>
      <c r="F1373" s="14"/>
      <c r="G1373" s="14"/>
      <c r="H1373" s="14"/>
      <c r="I1373" s="14"/>
      <c r="J1373" s="14">
        <f t="shared" si="63"/>
        <v>0</v>
      </c>
      <c r="K1373" s="14">
        <f t="shared" si="64"/>
        <v>0</v>
      </c>
      <c r="L1373" s="17">
        <f t="shared" si="65"/>
        <v>0</v>
      </c>
      <c r="M1373" s="14"/>
      <c r="N1373" s="16"/>
      <c r="O1373" s="16"/>
      <c r="P1373" s="16"/>
      <c r="Q1373" s="16"/>
      <c r="R1373" s="16"/>
      <c r="S1373" s="16"/>
      <c r="T1373" s="16"/>
      <c r="U1373" s="16"/>
      <c r="V1373" s="16"/>
      <c r="W1373" s="16"/>
      <c r="X1373" s="16"/>
      <c r="Y1373" s="16"/>
      <c r="Z1373" s="16"/>
      <c r="AA1373" s="16"/>
    </row>
    <row r="1374" spans="1:27" s="2" customFormat="1" ht="14">
      <c r="A1374" s="12">
        <v>1261683</v>
      </c>
      <c r="B1374" s="13" t="s">
        <v>62</v>
      </c>
      <c r="C1374" s="13" t="s">
        <v>3949</v>
      </c>
      <c r="D1374" s="13" t="s">
        <v>3950</v>
      </c>
      <c r="E1374" s="13" t="s">
        <v>3730</v>
      </c>
      <c r="F1374" s="14"/>
      <c r="G1374" s="14"/>
      <c r="H1374" s="14"/>
      <c r="I1374" s="14"/>
      <c r="J1374" s="14">
        <f t="shared" si="63"/>
        <v>0</v>
      </c>
      <c r="K1374" s="14">
        <f t="shared" si="64"/>
        <v>0</v>
      </c>
      <c r="L1374" s="17">
        <f t="shared" si="65"/>
        <v>0</v>
      </c>
      <c r="M1374" s="14"/>
      <c r="N1374" s="16"/>
      <c r="O1374" s="16"/>
      <c r="P1374" s="16"/>
      <c r="Q1374" s="16"/>
      <c r="R1374" s="16"/>
      <c r="S1374" s="16"/>
      <c r="T1374" s="16"/>
      <c r="U1374" s="16"/>
      <c r="V1374" s="16"/>
      <c r="W1374" s="16"/>
      <c r="X1374" s="16"/>
      <c r="Y1374" s="16"/>
      <c r="Z1374" s="16"/>
      <c r="AA1374" s="16"/>
    </row>
    <row r="1375" spans="1:27" s="2" customFormat="1" ht="14">
      <c r="A1375" s="12">
        <v>1261966</v>
      </c>
      <c r="B1375" s="13" t="s">
        <v>14</v>
      </c>
      <c r="C1375" s="13" t="s">
        <v>3951</v>
      </c>
      <c r="D1375" s="13" t="s">
        <v>3952</v>
      </c>
      <c r="E1375" s="13" t="s">
        <v>1998</v>
      </c>
      <c r="F1375" s="14"/>
      <c r="G1375" s="14"/>
      <c r="H1375" s="14"/>
      <c r="I1375" s="14"/>
      <c r="J1375" s="14">
        <f t="shared" si="63"/>
        <v>0</v>
      </c>
      <c r="K1375" s="14">
        <f t="shared" si="64"/>
        <v>0</v>
      </c>
      <c r="L1375" s="17">
        <f t="shared" si="65"/>
        <v>0</v>
      </c>
      <c r="M1375" s="14"/>
      <c r="N1375" s="16"/>
      <c r="O1375" s="16"/>
      <c r="P1375" s="16"/>
      <c r="Q1375" s="16"/>
      <c r="R1375" s="16"/>
      <c r="S1375" s="16"/>
      <c r="T1375" s="16"/>
      <c r="U1375" s="16"/>
      <c r="V1375" s="16"/>
      <c r="W1375" s="16"/>
      <c r="X1375" s="16"/>
      <c r="Y1375" s="16"/>
      <c r="Z1375" s="16"/>
      <c r="AA1375" s="16"/>
    </row>
    <row r="1376" spans="1:27" s="2" customFormat="1" ht="14">
      <c r="A1376" s="12">
        <v>1261970</v>
      </c>
      <c r="B1376" s="13" t="s">
        <v>14</v>
      </c>
      <c r="C1376" s="13" t="s">
        <v>3953</v>
      </c>
      <c r="D1376" s="13" t="s">
        <v>3954</v>
      </c>
      <c r="E1376" s="13" t="s">
        <v>3327</v>
      </c>
      <c r="F1376" s="14"/>
      <c r="G1376" s="14"/>
      <c r="H1376" s="14"/>
      <c r="I1376" s="14"/>
      <c r="J1376" s="14">
        <f t="shared" si="63"/>
        <v>0</v>
      </c>
      <c r="K1376" s="14">
        <f t="shared" si="64"/>
        <v>0</v>
      </c>
      <c r="L1376" s="17">
        <f t="shared" si="65"/>
        <v>0</v>
      </c>
      <c r="M1376" s="14"/>
      <c r="N1376" s="16"/>
      <c r="O1376" s="16"/>
      <c r="P1376" s="16"/>
      <c r="Q1376" s="16"/>
      <c r="R1376" s="16"/>
      <c r="S1376" s="16"/>
      <c r="T1376" s="16"/>
      <c r="U1376" s="16"/>
      <c r="V1376" s="16"/>
      <c r="W1376" s="16"/>
      <c r="X1376" s="16"/>
      <c r="Y1376" s="16"/>
      <c r="Z1376" s="16"/>
      <c r="AA1376" s="16"/>
    </row>
    <row r="1377" spans="1:27" s="2" customFormat="1" ht="14">
      <c r="A1377" s="12" t="s">
        <v>3955</v>
      </c>
      <c r="B1377" s="13" t="s">
        <v>14</v>
      </c>
      <c r="C1377" s="13" t="s">
        <v>3956</v>
      </c>
      <c r="D1377" s="13" t="s">
        <v>3957</v>
      </c>
      <c r="E1377" s="13" t="s">
        <v>205</v>
      </c>
      <c r="F1377" s="14"/>
      <c r="G1377" s="14"/>
      <c r="H1377" s="14"/>
      <c r="I1377" s="14"/>
      <c r="J1377" s="14">
        <f t="shared" si="63"/>
        <v>0</v>
      </c>
      <c r="K1377" s="14">
        <f t="shared" si="64"/>
        <v>0</v>
      </c>
      <c r="L1377" s="17">
        <f t="shared" si="65"/>
        <v>0</v>
      </c>
      <c r="M1377" s="14"/>
      <c r="N1377" s="16"/>
      <c r="O1377" s="16"/>
      <c r="P1377" s="16"/>
      <c r="Q1377" s="16"/>
      <c r="R1377" s="16"/>
      <c r="S1377" s="16"/>
      <c r="T1377" s="16"/>
      <c r="U1377" s="16"/>
      <c r="V1377" s="16"/>
      <c r="W1377" s="16"/>
      <c r="X1377" s="16"/>
      <c r="Y1377" s="16"/>
      <c r="Z1377" s="16"/>
      <c r="AA1377" s="16"/>
    </row>
    <row r="1378" spans="1:27" s="2" customFormat="1" ht="14">
      <c r="A1378" s="12">
        <v>1262398</v>
      </c>
      <c r="B1378" s="13" t="s">
        <v>62</v>
      </c>
      <c r="C1378" s="13" t="s">
        <v>3958</v>
      </c>
      <c r="D1378" s="13" t="s">
        <v>3959</v>
      </c>
      <c r="E1378" s="13" t="s">
        <v>3509</v>
      </c>
      <c r="F1378" s="14"/>
      <c r="G1378" s="14"/>
      <c r="H1378" s="14"/>
      <c r="I1378" s="14"/>
      <c r="J1378" s="14">
        <f t="shared" si="63"/>
        <v>0</v>
      </c>
      <c r="K1378" s="14">
        <f t="shared" si="64"/>
        <v>0</v>
      </c>
      <c r="L1378" s="17">
        <f t="shared" si="65"/>
        <v>0</v>
      </c>
      <c r="M1378" s="14"/>
      <c r="N1378" s="16"/>
      <c r="O1378" s="16"/>
      <c r="P1378" s="16"/>
      <c r="Q1378" s="16"/>
      <c r="R1378" s="16"/>
      <c r="S1378" s="16"/>
      <c r="T1378" s="16"/>
      <c r="U1378" s="16"/>
      <c r="V1378" s="16"/>
      <c r="W1378" s="16"/>
      <c r="X1378" s="16"/>
      <c r="Y1378" s="16"/>
      <c r="Z1378" s="16"/>
      <c r="AA1378" s="16"/>
    </row>
    <row r="1379" spans="1:27" s="2" customFormat="1" ht="14">
      <c r="A1379" s="12">
        <v>1262510</v>
      </c>
      <c r="B1379" s="13" t="s">
        <v>14</v>
      </c>
      <c r="C1379" s="13" t="s">
        <v>3960</v>
      </c>
      <c r="D1379" s="13" t="s">
        <v>3961</v>
      </c>
      <c r="E1379" s="13" t="s">
        <v>3606</v>
      </c>
      <c r="F1379" s="14"/>
      <c r="G1379" s="14"/>
      <c r="H1379" s="14"/>
      <c r="I1379" s="14"/>
      <c r="J1379" s="14">
        <f t="shared" si="63"/>
        <v>0</v>
      </c>
      <c r="K1379" s="14">
        <f t="shared" si="64"/>
        <v>0</v>
      </c>
      <c r="L1379" s="17">
        <f t="shared" si="65"/>
        <v>0</v>
      </c>
      <c r="M1379" s="14"/>
      <c r="N1379" s="16"/>
      <c r="O1379" s="16"/>
      <c r="P1379" s="16"/>
      <c r="Q1379" s="16"/>
      <c r="R1379" s="16"/>
      <c r="S1379" s="16"/>
      <c r="T1379" s="16"/>
      <c r="U1379" s="16"/>
      <c r="V1379" s="16"/>
      <c r="W1379" s="16"/>
      <c r="X1379" s="16"/>
      <c r="Y1379" s="16"/>
      <c r="Z1379" s="16"/>
      <c r="AA1379" s="16"/>
    </row>
    <row r="1380" spans="1:27" s="2" customFormat="1" ht="14">
      <c r="A1380" s="12">
        <v>1244736</v>
      </c>
      <c r="B1380" s="13" t="s">
        <v>62</v>
      </c>
      <c r="C1380" s="13" t="s">
        <v>3962</v>
      </c>
      <c r="D1380" s="13" t="s">
        <v>3963</v>
      </c>
      <c r="E1380" s="13" t="s">
        <v>3530</v>
      </c>
      <c r="F1380" s="14"/>
      <c r="G1380" s="14"/>
      <c r="H1380" s="14"/>
      <c r="I1380" s="14"/>
      <c r="J1380" s="14">
        <f t="shared" si="63"/>
        <v>0</v>
      </c>
      <c r="K1380" s="14">
        <f t="shared" si="64"/>
        <v>0</v>
      </c>
      <c r="L1380" s="17">
        <f t="shared" si="65"/>
        <v>0</v>
      </c>
      <c r="M1380" s="14"/>
      <c r="N1380" s="16"/>
      <c r="O1380" s="16"/>
      <c r="P1380" s="16"/>
      <c r="Q1380" s="16"/>
      <c r="R1380" s="16"/>
      <c r="S1380" s="16"/>
      <c r="T1380" s="16"/>
      <c r="U1380" s="16"/>
      <c r="V1380" s="16"/>
      <c r="W1380" s="16"/>
      <c r="X1380" s="16"/>
      <c r="Y1380" s="16"/>
      <c r="Z1380" s="16"/>
      <c r="AA1380" s="16"/>
    </row>
    <row r="1381" spans="1:27" s="2" customFormat="1" ht="14">
      <c r="A1381" s="12">
        <v>1263736</v>
      </c>
      <c r="B1381" s="13" t="s">
        <v>62</v>
      </c>
      <c r="C1381" s="13" t="s">
        <v>3964</v>
      </c>
      <c r="D1381" s="13" t="s">
        <v>3965</v>
      </c>
      <c r="E1381" s="13" t="s">
        <v>3750</v>
      </c>
      <c r="F1381" s="14"/>
      <c r="G1381" s="14"/>
      <c r="H1381" s="14"/>
      <c r="I1381" s="14"/>
      <c r="J1381" s="14">
        <f t="shared" si="63"/>
        <v>0</v>
      </c>
      <c r="K1381" s="14">
        <f t="shared" si="64"/>
        <v>0</v>
      </c>
      <c r="L1381" s="17">
        <f t="shared" si="65"/>
        <v>0</v>
      </c>
      <c r="M1381" s="14"/>
      <c r="N1381" s="16"/>
      <c r="O1381" s="16"/>
      <c r="P1381" s="16"/>
      <c r="Q1381" s="16"/>
      <c r="R1381" s="16"/>
      <c r="S1381" s="16"/>
      <c r="T1381" s="16"/>
      <c r="U1381" s="16"/>
      <c r="V1381" s="16"/>
      <c r="W1381" s="16"/>
      <c r="X1381" s="16"/>
      <c r="Y1381" s="16"/>
      <c r="Z1381" s="16"/>
      <c r="AA1381" s="16"/>
    </row>
    <row r="1382" spans="1:27" s="2" customFormat="1" ht="14">
      <c r="A1382" s="12">
        <v>1244832</v>
      </c>
      <c r="B1382" s="13" t="s">
        <v>62</v>
      </c>
      <c r="C1382" s="13" t="s">
        <v>3966</v>
      </c>
      <c r="D1382" s="13" t="s">
        <v>3967</v>
      </c>
      <c r="E1382" s="13" t="s">
        <v>3530</v>
      </c>
      <c r="F1382" s="14"/>
      <c r="G1382" s="14"/>
      <c r="H1382" s="14"/>
      <c r="I1382" s="14"/>
      <c r="J1382" s="14">
        <f t="shared" si="63"/>
        <v>0</v>
      </c>
      <c r="K1382" s="14">
        <f t="shared" si="64"/>
        <v>0</v>
      </c>
      <c r="L1382" s="17">
        <f t="shared" si="65"/>
        <v>0</v>
      </c>
      <c r="M1382" s="14"/>
      <c r="N1382" s="16"/>
      <c r="O1382" s="16"/>
      <c r="P1382" s="16"/>
      <c r="Q1382" s="16"/>
      <c r="R1382" s="16"/>
      <c r="S1382" s="16"/>
      <c r="T1382" s="16"/>
      <c r="U1382" s="16"/>
      <c r="V1382" s="16"/>
      <c r="W1382" s="16"/>
      <c r="X1382" s="16"/>
      <c r="Y1382" s="16"/>
      <c r="Z1382" s="16"/>
      <c r="AA1382" s="16"/>
    </row>
    <row r="1383" spans="1:27" s="2" customFormat="1" ht="14">
      <c r="A1383" s="12">
        <v>1264333</v>
      </c>
      <c r="B1383" s="13" t="s">
        <v>62</v>
      </c>
      <c r="C1383" s="13" t="s">
        <v>3968</v>
      </c>
      <c r="D1383" s="13" t="s">
        <v>3969</v>
      </c>
      <c r="E1383" s="13" t="s">
        <v>1579</v>
      </c>
      <c r="F1383" s="14"/>
      <c r="G1383" s="14"/>
      <c r="H1383" s="14"/>
      <c r="I1383" s="14"/>
      <c r="J1383" s="14">
        <f t="shared" si="63"/>
        <v>0</v>
      </c>
      <c r="K1383" s="14">
        <f t="shared" si="64"/>
        <v>0</v>
      </c>
      <c r="L1383" s="17">
        <f t="shared" si="65"/>
        <v>0</v>
      </c>
      <c r="M1383" s="14"/>
      <c r="N1383" s="16"/>
      <c r="O1383" s="16"/>
      <c r="P1383" s="16"/>
      <c r="Q1383" s="16"/>
      <c r="R1383" s="16"/>
      <c r="S1383" s="16"/>
      <c r="T1383" s="16"/>
      <c r="U1383" s="16"/>
      <c r="V1383" s="16"/>
      <c r="W1383" s="16"/>
      <c r="X1383" s="16"/>
      <c r="Y1383" s="16"/>
      <c r="Z1383" s="16"/>
      <c r="AA1383" s="16"/>
    </row>
    <row r="1384" spans="1:27" s="2" customFormat="1" ht="14">
      <c r="A1384" s="12" t="s">
        <v>3970</v>
      </c>
      <c r="B1384" s="13" t="s">
        <v>14</v>
      </c>
      <c r="C1384" s="13" t="s">
        <v>3971</v>
      </c>
      <c r="D1384" s="13" t="s">
        <v>3972</v>
      </c>
      <c r="E1384" s="13" t="s">
        <v>97</v>
      </c>
      <c r="F1384" s="14"/>
      <c r="G1384" s="14"/>
      <c r="H1384" s="14"/>
      <c r="I1384" s="14"/>
      <c r="J1384" s="14">
        <f t="shared" si="63"/>
        <v>0</v>
      </c>
      <c r="K1384" s="14">
        <f t="shared" si="64"/>
        <v>0</v>
      </c>
      <c r="L1384" s="17">
        <f t="shared" si="65"/>
        <v>0</v>
      </c>
      <c r="M1384" s="14"/>
      <c r="N1384" s="16"/>
      <c r="O1384" s="16"/>
      <c r="P1384" s="16"/>
      <c r="Q1384" s="16"/>
      <c r="R1384" s="16"/>
      <c r="S1384" s="16"/>
      <c r="T1384" s="16"/>
      <c r="U1384" s="16"/>
      <c r="V1384" s="16"/>
      <c r="W1384" s="16"/>
      <c r="X1384" s="16"/>
      <c r="Y1384" s="16"/>
      <c r="Z1384" s="16"/>
      <c r="AA1384" s="16"/>
    </row>
    <row r="1385" spans="1:27" s="2" customFormat="1" ht="14">
      <c r="A1385" s="12" t="s">
        <v>3973</v>
      </c>
      <c r="B1385" s="13" t="s">
        <v>14</v>
      </c>
      <c r="C1385" s="13" t="s">
        <v>3974</v>
      </c>
      <c r="D1385" s="13" t="s">
        <v>3975</v>
      </c>
      <c r="E1385" s="13" t="s">
        <v>21</v>
      </c>
      <c r="F1385" s="14"/>
      <c r="G1385" s="14"/>
      <c r="H1385" s="14"/>
      <c r="I1385" s="14"/>
      <c r="J1385" s="14">
        <f t="shared" si="63"/>
        <v>0</v>
      </c>
      <c r="K1385" s="14">
        <f t="shared" si="64"/>
        <v>0</v>
      </c>
      <c r="L1385" s="17">
        <f t="shared" si="65"/>
        <v>0</v>
      </c>
      <c r="M1385" s="14"/>
      <c r="N1385" s="16"/>
      <c r="O1385" s="16"/>
      <c r="P1385" s="16"/>
      <c r="Q1385" s="16"/>
      <c r="R1385" s="16"/>
      <c r="S1385" s="16"/>
      <c r="T1385" s="16"/>
      <c r="U1385" s="16"/>
      <c r="V1385" s="16"/>
      <c r="W1385" s="16"/>
      <c r="X1385" s="16"/>
      <c r="Y1385" s="16"/>
      <c r="Z1385" s="16"/>
      <c r="AA1385" s="16"/>
    </row>
    <row r="1386" spans="1:27" s="2" customFormat="1" ht="14">
      <c r="A1386" s="12" t="s">
        <v>3976</v>
      </c>
      <c r="B1386" s="13" t="s">
        <v>62</v>
      </c>
      <c r="C1386" s="13" t="s">
        <v>3977</v>
      </c>
      <c r="D1386" s="13" t="s">
        <v>3978</v>
      </c>
      <c r="E1386" s="13" t="s">
        <v>247</v>
      </c>
      <c r="F1386" s="14"/>
      <c r="G1386" s="14"/>
      <c r="H1386" s="14"/>
      <c r="I1386" s="14"/>
      <c r="J1386" s="14">
        <f t="shared" si="63"/>
        <v>0</v>
      </c>
      <c r="K1386" s="14">
        <f t="shared" si="64"/>
        <v>0</v>
      </c>
      <c r="L1386" s="17">
        <f t="shared" si="65"/>
        <v>0</v>
      </c>
      <c r="M1386" s="14"/>
      <c r="N1386" s="16"/>
      <c r="O1386" s="16"/>
      <c r="P1386" s="16"/>
      <c r="Q1386" s="16"/>
      <c r="R1386" s="16"/>
      <c r="S1386" s="16"/>
      <c r="T1386" s="16"/>
      <c r="U1386" s="16"/>
      <c r="V1386" s="16"/>
      <c r="W1386" s="16"/>
      <c r="X1386" s="16"/>
      <c r="Y1386" s="16"/>
      <c r="Z1386" s="16"/>
      <c r="AA1386" s="16"/>
    </row>
    <row r="1387" spans="1:27" s="2" customFormat="1" ht="14">
      <c r="A1387" s="12">
        <v>1264737</v>
      </c>
      <c r="B1387" s="13" t="s">
        <v>62</v>
      </c>
      <c r="C1387" s="13" t="s">
        <v>3979</v>
      </c>
      <c r="D1387" s="13" t="s">
        <v>3980</v>
      </c>
      <c r="E1387" s="13" t="s">
        <v>3981</v>
      </c>
      <c r="F1387" s="14"/>
      <c r="G1387" s="14"/>
      <c r="H1387" s="14"/>
      <c r="I1387" s="14"/>
      <c r="J1387" s="14">
        <f t="shared" si="63"/>
        <v>0</v>
      </c>
      <c r="K1387" s="14">
        <f t="shared" si="64"/>
        <v>0</v>
      </c>
      <c r="L1387" s="17">
        <f t="shared" si="65"/>
        <v>0</v>
      </c>
      <c r="M1387" s="14"/>
      <c r="N1387" s="16"/>
      <c r="O1387" s="16"/>
      <c r="P1387" s="16"/>
      <c r="Q1387" s="16"/>
      <c r="R1387" s="16"/>
      <c r="S1387" s="16"/>
      <c r="T1387" s="16"/>
      <c r="U1387" s="16"/>
      <c r="V1387" s="16"/>
      <c r="W1387" s="16"/>
      <c r="X1387" s="16"/>
      <c r="Y1387" s="16"/>
      <c r="Z1387" s="16"/>
      <c r="AA1387" s="16"/>
    </row>
    <row r="1388" spans="1:27" s="2" customFormat="1" ht="14">
      <c r="A1388" s="12">
        <v>1245031</v>
      </c>
      <c r="B1388" s="13" t="s">
        <v>14</v>
      </c>
      <c r="C1388" s="13" t="s">
        <v>3982</v>
      </c>
      <c r="D1388" s="13" t="s">
        <v>3983</v>
      </c>
      <c r="E1388" s="13" t="s">
        <v>3533</v>
      </c>
      <c r="F1388" s="14"/>
      <c r="G1388" s="14"/>
      <c r="H1388" s="14"/>
      <c r="I1388" s="14"/>
      <c r="J1388" s="14">
        <f t="shared" si="63"/>
        <v>0</v>
      </c>
      <c r="K1388" s="14">
        <f t="shared" si="64"/>
        <v>0</v>
      </c>
      <c r="L1388" s="17">
        <f t="shared" si="65"/>
        <v>0</v>
      </c>
      <c r="M1388" s="14"/>
      <c r="N1388" s="16"/>
      <c r="O1388" s="16"/>
      <c r="P1388" s="16"/>
      <c r="Q1388" s="16"/>
      <c r="R1388" s="16"/>
      <c r="S1388" s="16"/>
      <c r="T1388" s="16"/>
      <c r="U1388" s="16"/>
      <c r="V1388" s="16"/>
      <c r="W1388" s="16"/>
      <c r="X1388" s="16"/>
      <c r="Y1388" s="16"/>
      <c r="Z1388" s="16"/>
      <c r="AA1388" s="16"/>
    </row>
    <row r="1389" spans="1:27" s="2" customFormat="1" ht="14">
      <c r="A1389" s="12">
        <v>1265023</v>
      </c>
      <c r="B1389" s="13" t="s">
        <v>62</v>
      </c>
      <c r="C1389" s="13" t="s">
        <v>3984</v>
      </c>
      <c r="D1389" s="13" t="s">
        <v>3985</v>
      </c>
      <c r="E1389" s="13" t="s">
        <v>3986</v>
      </c>
      <c r="F1389" s="14"/>
      <c r="G1389" s="14"/>
      <c r="H1389" s="14"/>
      <c r="I1389" s="14"/>
      <c r="J1389" s="14">
        <f t="shared" si="63"/>
        <v>0</v>
      </c>
      <c r="K1389" s="14">
        <f t="shared" si="64"/>
        <v>0</v>
      </c>
      <c r="L1389" s="17">
        <f t="shared" si="65"/>
        <v>0</v>
      </c>
      <c r="M1389" s="14"/>
      <c r="N1389" s="16"/>
      <c r="O1389" s="16"/>
      <c r="P1389" s="16"/>
      <c r="Q1389" s="16"/>
      <c r="R1389" s="16"/>
      <c r="S1389" s="16"/>
      <c r="T1389" s="16"/>
      <c r="U1389" s="16"/>
      <c r="V1389" s="16"/>
      <c r="W1389" s="16"/>
      <c r="X1389" s="16"/>
      <c r="Y1389" s="16"/>
      <c r="Z1389" s="16"/>
      <c r="AA1389" s="16"/>
    </row>
    <row r="1390" spans="1:27" s="2" customFormat="1" ht="14">
      <c r="A1390" s="12">
        <v>1264964</v>
      </c>
      <c r="B1390" s="13" t="s">
        <v>14</v>
      </c>
      <c r="C1390" s="13" t="s">
        <v>3987</v>
      </c>
      <c r="D1390" s="13" t="s">
        <v>3988</v>
      </c>
      <c r="E1390" s="13" t="s">
        <v>1579</v>
      </c>
      <c r="F1390" s="14"/>
      <c r="G1390" s="14"/>
      <c r="H1390" s="14"/>
      <c r="I1390" s="14"/>
      <c r="J1390" s="14">
        <f t="shared" si="63"/>
        <v>0</v>
      </c>
      <c r="K1390" s="14">
        <f t="shared" si="64"/>
        <v>0</v>
      </c>
      <c r="L1390" s="17">
        <f t="shared" si="65"/>
        <v>0</v>
      </c>
      <c r="M1390" s="14"/>
      <c r="N1390" s="16"/>
      <c r="O1390" s="16"/>
      <c r="P1390" s="16"/>
      <c r="Q1390" s="16"/>
      <c r="R1390" s="16"/>
      <c r="S1390" s="16"/>
      <c r="T1390" s="16"/>
      <c r="U1390" s="16"/>
      <c r="V1390" s="16"/>
      <c r="W1390" s="16"/>
      <c r="X1390" s="16"/>
      <c r="Y1390" s="16"/>
      <c r="Z1390" s="16"/>
      <c r="AA1390" s="16"/>
    </row>
    <row r="1391" spans="1:27" s="2" customFormat="1" ht="14">
      <c r="A1391" s="12">
        <v>1265699</v>
      </c>
      <c r="B1391" s="13" t="s">
        <v>14</v>
      </c>
      <c r="C1391" s="13" t="s">
        <v>3989</v>
      </c>
      <c r="D1391" s="13" t="s">
        <v>3990</v>
      </c>
      <c r="E1391" s="13" t="s">
        <v>3576</v>
      </c>
      <c r="F1391" s="14"/>
      <c r="G1391" s="14"/>
      <c r="H1391" s="14"/>
      <c r="I1391" s="14"/>
      <c r="J1391" s="14">
        <f t="shared" si="63"/>
        <v>0</v>
      </c>
      <c r="K1391" s="14">
        <f t="shared" si="64"/>
        <v>0</v>
      </c>
      <c r="L1391" s="17">
        <f t="shared" si="65"/>
        <v>0</v>
      </c>
      <c r="M1391" s="14"/>
      <c r="N1391" s="16"/>
      <c r="O1391" s="16"/>
      <c r="P1391" s="16"/>
      <c r="Q1391" s="16"/>
      <c r="R1391" s="16"/>
      <c r="S1391" s="16"/>
      <c r="T1391" s="16"/>
      <c r="U1391" s="16"/>
      <c r="V1391" s="16"/>
      <c r="W1391" s="16"/>
      <c r="X1391" s="16"/>
      <c r="Y1391" s="16"/>
      <c r="Z1391" s="16"/>
      <c r="AA1391" s="16"/>
    </row>
    <row r="1392" spans="1:27" s="2" customFormat="1" ht="14">
      <c r="A1392" s="12" t="s">
        <v>3991</v>
      </c>
      <c r="B1392" s="13" t="s">
        <v>14</v>
      </c>
      <c r="C1392" s="13" t="s">
        <v>3992</v>
      </c>
      <c r="D1392" s="13" t="s">
        <v>3993</v>
      </c>
      <c r="E1392" s="13" t="s">
        <v>365</v>
      </c>
      <c r="F1392" s="14"/>
      <c r="G1392" s="14"/>
      <c r="H1392" s="14"/>
      <c r="I1392" s="14"/>
      <c r="J1392" s="14">
        <f t="shared" si="63"/>
        <v>0</v>
      </c>
      <c r="K1392" s="14">
        <f t="shared" si="64"/>
        <v>0</v>
      </c>
      <c r="L1392" s="17">
        <f t="shared" si="65"/>
        <v>0</v>
      </c>
      <c r="M1392" s="14"/>
      <c r="N1392" s="16"/>
      <c r="O1392" s="16"/>
      <c r="P1392" s="16"/>
      <c r="Q1392" s="16"/>
      <c r="R1392" s="16"/>
      <c r="S1392" s="16"/>
      <c r="T1392" s="16"/>
      <c r="U1392" s="16"/>
      <c r="V1392" s="16"/>
      <c r="W1392" s="16"/>
      <c r="X1392" s="16"/>
      <c r="Y1392" s="16"/>
      <c r="Z1392" s="16"/>
      <c r="AA1392" s="16"/>
    </row>
    <row r="1393" spans="1:27" s="2" customFormat="1" ht="14">
      <c r="A1393" s="12" t="s">
        <v>3994</v>
      </c>
      <c r="B1393" s="13" t="s">
        <v>14</v>
      </c>
      <c r="C1393" s="13" t="s">
        <v>3995</v>
      </c>
      <c r="D1393" s="13" t="s">
        <v>3996</v>
      </c>
      <c r="E1393" s="13" t="s">
        <v>215</v>
      </c>
      <c r="F1393" s="14"/>
      <c r="G1393" s="14"/>
      <c r="H1393" s="14"/>
      <c r="I1393" s="14"/>
      <c r="J1393" s="14">
        <f t="shared" si="63"/>
        <v>0</v>
      </c>
      <c r="K1393" s="14">
        <f t="shared" si="64"/>
        <v>0</v>
      </c>
      <c r="L1393" s="17">
        <f t="shared" si="65"/>
        <v>0</v>
      </c>
      <c r="M1393" s="14"/>
      <c r="N1393" s="16"/>
      <c r="O1393" s="16"/>
      <c r="P1393" s="16"/>
      <c r="Q1393" s="16"/>
      <c r="R1393" s="16"/>
      <c r="S1393" s="16"/>
      <c r="T1393" s="16"/>
      <c r="U1393" s="16"/>
      <c r="V1393" s="16"/>
      <c r="W1393" s="16"/>
      <c r="X1393" s="16"/>
      <c r="Y1393" s="16"/>
      <c r="Z1393" s="16"/>
      <c r="AA1393" s="16"/>
    </row>
    <row r="1394" spans="1:27" s="2" customFormat="1" ht="14">
      <c r="A1394" s="12" t="s">
        <v>3997</v>
      </c>
      <c r="B1394" s="13" t="s">
        <v>14</v>
      </c>
      <c r="C1394" s="13" t="s">
        <v>3998</v>
      </c>
      <c r="D1394" s="13" t="s">
        <v>3999</v>
      </c>
      <c r="E1394" s="13" t="s">
        <v>220</v>
      </c>
      <c r="F1394" s="14"/>
      <c r="G1394" s="14"/>
      <c r="H1394" s="14"/>
      <c r="I1394" s="14"/>
      <c r="J1394" s="14">
        <f t="shared" si="63"/>
        <v>0</v>
      </c>
      <c r="K1394" s="14">
        <f t="shared" si="64"/>
        <v>0</v>
      </c>
      <c r="L1394" s="17">
        <f t="shared" si="65"/>
        <v>0</v>
      </c>
      <c r="M1394" s="14"/>
      <c r="N1394" s="16"/>
      <c r="O1394" s="16"/>
      <c r="P1394" s="16"/>
      <c r="Q1394" s="16"/>
      <c r="R1394" s="16"/>
      <c r="S1394" s="16"/>
      <c r="T1394" s="16"/>
      <c r="U1394" s="16"/>
      <c r="V1394" s="16"/>
      <c r="W1394" s="16"/>
      <c r="X1394" s="16"/>
      <c r="Y1394" s="16"/>
      <c r="Z1394" s="16"/>
      <c r="AA1394" s="16"/>
    </row>
    <row r="1395" spans="1:27" s="2" customFormat="1" ht="14">
      <c r="A1395" s="12">
        <v>1265460</v>
      </c>
      <c r="B1395" s="13" t="s">
        <v>62</v>
      </c>
      <c r="C1395" s="13" t="s">
        <v>4000</v>
      </c>
      <c r="D1395" s="13" t="s">
        <v>4001</v>
      </c>
      <c r="E1395" s="13" t="s">
        <v>3530</v>
      </c>
      <c r="F1395" s="14"/>
      <c r="G1395" s="14"/>
      <c r="H1395" s="14"/>
      <c r="I1395" s="14"/>
      <c r="J1395" s="14">
        <f t="shared" si="63"/>
        <v>0</v>
      </c>
      <c r="K1395" s="14">
        <f t="shared" si="64"/>
        <v>0</v>
      </c>
      <c r="L1395" s="17">
        <f t="shared" si="65"/>
        <v>0</v>
      </c>
      <c r="M1395" s="14"/>
      <c r="N1395" s="16"/>
      <c r="O1395" s="16"/>
      <c r="P1395" s="16"/>
      <c r="Q1395" s="16"/>
      <c r="R1395" s="16"/>
      <c r="S1395" s="16"/>
      <c r="T1395" s="16"/>
      <c r="U1395" s="16"/>
      <c r="V1395" s="16"/>
      <c r="W1395" s="16"/>
      <c r="X1395" s="16"/>
      <c r="Y1395" s="16"/>
      <c r="Z1395" s="16"/>
      <c r="AA1395" s="16"/>
    </row>
    <row r="1396" spans="1:27" s="2" customFormat="1" ht="14">
      <c r="A1396" s="12">
        <v>1245201</v>
      </c>
      <c r="B1396" s="13" t="s">
        <v>62</v>
      </c>
      <c r="C1396" s="13" t="s">
        <v>4002</v>
      </c>
      <c r="D1396" s="13" t="s">
        <v>4003</v>
      </c>
      <c r="E1396" s="13" t="s">
        <v>3606</v>
      </c>
      <c r="F1396" s="14"/>
      <c r="G1396" s="14"/>
      <c r="H1396" s="14"/>
      <c r="I1396" s="14"/>
      <c r="J1396" s="14">
        <f t="shared" si="63"/>
        <v>0</v>
      </c>
      <c r="K1396" s="14">
        <f t="shared" si="64"/>
        <v>0</v>
      </c>
      <c r="L1396" s="17">
        <f t="shared" si="65"/>
        <v>0</v>
      </c>
      <c r="M1396" s="14"/>
      <c r="N1396" s="16"/>
      <c r="O1396" s="16"/>
      <c r="P1396" s="16"/>
      <c r="Q1396" s="16"/>
      <c r="R1396" s="16"/>
      <c r="S1396" s="16"/>
      <c r="T1396" s="16"/>
      <c r="U1396" s="16"/>
      <c r="V1396" s="16"/>
      <c r="W1396" s="16"/>
      <c r="X1396" s="16"/>
      <c r="Y1396" s="16"/>
      <c r="Z1396" s="16"/>
      <c r="AA1396" s="16"/>
    </row>
    <row r="1397" spans="1:27" s="2" customFormat="1" ht="14">
      <c r="A1397" s="12" t="s">
        <v>4004</v>
      </c>
      <c r="B1397" s="13" t="s">
        <v>14</v>
      </c>
      <c r="C1397" s="13" t="s">
        <v>4005</v>
      </c>
      <c r="D1397" s="13" t="s">
        <v>4006</v>
      </c>
      <c r="E1397" s="13" t="s">
        <v>446</v>
      </c>
      <c r="F1397" s="14"/>
      <c r="G1397" s="14"/>
      <c r="H1397" s="14"/>
      <c r="I1397" s="14"/>
      <c r="J1397" s="14">
        <f t="shared" si="63"/>
        <v>0</v>
      </c>
      <c r="K1397" s="14">
        <f t="shared" si="64"/>
        <v>0</v>
      </c>
      <c r="L1397" s="17">
        <f t="shared" si="65"/>
        <v>0</v>
      </c>
      <c r="M1397" s="14"/>
      <c r="N1397" s="16"/>
      <c r="O1397" s="16"/>
      <c r="P1397" s="16"/>
      <c r="Q1397" s="16"/>
      <c r="R1397" s="16"/>
      <c r="S1397" s="16"/>
      <c r="T1397" s="16"/>
      <c r="U1397" s="16"/>
      <c r="V1397" s="16"/>
      <c r="W1397" s="16"/>
      <c r="X1397" s="16"/>
      <c r="Y1397" s="16"/>
      <c r="Z1397" s="16"/>
      <c r="AA1397" s="16"/>
    </row>
    <row r="1398" spans="1:27" s="2" customFormat="1" ht="14">
      <c r="A1398" s="12">
        <v>1264885</v>
      </c>
      <c r="B1398" s="13" t="s">
        <v>14</v>
      </c>
      <c r="C1398" s="13" t="s">
        <v>4007</v>
      </c>
      <c r="D1398" s="13" t="s">
        <v>4008</v>
      </c>
      <c r="E1398" s="13" t="s">
        <v>3530</v>
      </c>
      <c r="F1398" s="14"/>
      <c r="G1398" s="14"/>
      <c r="H1398" s="14"/>
      <c r="I1398" s="14"/>
      <c r="J1398" s="14">
        <f t="shared" si="63"/>
        <v>0</v>
      </c>
      <c r="K1398" s="14">
        <f t="shared" si="64"/>
        <v>0</v>
      </c>
      <c r="L1398" s="17">
        <f t="shared" si="65"/>
        <v>0</v>
      </c>
      <c r="M1398" s="14"/>
      <c r="N1398" s="16"/>
      <c r="O1398" s="16"/>
      <c r="P1398" s="16"/>
      <c r="Q1398" s="16"/>
      <c r="R1398" s="16"/>
      <c r="S1398" s="16"/>
      <c r="T1398" s="16"/>
      <c r="U1398" s="16"/>
      <c r="V1398" s="16"/>
      <c r="W1398" s="16"/>
      <c r="X1398" s="16"/>
      <c r="Y1398" s="16"/>
      <c r="Z1398" s="16"/>
      <c r="AA1398" s="16"/>
    </row>
    <row r="1399" spans="1:27" s="2" customFormat="1" ht="14">
      <c r="A1399" s="12">
        <v>1264897</v>
      </c>
      <c r="B1399" s="13" t="s">
        <v>14</v>
      </c>
      <c r="C1399" s="13" t="s">
        <v>4009</v>
      </c>
      <c r="D1399" s="13" t="s">
        <v>4010</v>
      </c>
      <c r="E1399" s="13" t="s">
        <v>3606</v>
      </c>
      <c r="F1399" s="14"/>
      <c r="G1399" s="14"/>
      <c r="H1399" s="14"/>
      <c r="I1399" s="14"/>
      <c r="J1399" s="14">
        <f t="shared" si="63"/>
        <v>0</v>
      </c>
      <c r="K1399" s="14">
        <f t="shared" si="64"/>
        <v>0</v>
      </c>
      <c r="L1399" s="17">
        <f t="shared" si="65"/>
        <v>0</v>
      </c>
      <c r="M1399" s="14"/>
      <c r="N1399" s="16"/>
      <c r="O1399" s="16"/>
      <c r="P1399" s="16"/>
      <c r="Q1399" s="16"/>
      <c r="R1399" s="16"/>
      <c r="S1399" s="16"/>
      <c r="T1399" s="16"/>
      <c r="U1399" s="16"/>
      <c r="V1399" s="16"/>
      <c r="W1399" s="16"/>
      <c r="X1399" s="16"/>
      <c r="Y1399" s="16"/>
      <c r="Z1399" s="16"/>
      <c r="AA1399" s="16"/>
    </row>
    <row r="1400" spans="1:27" s="2" customFormat="1" ht="14">
      <c r="A1400" s="12">
        <v>1267409</v>
      </c>
      <c r="B1400" s="13" t="s">
        <v>14</v>
      </c>
      <c r="C1400" s="13" t="s">
        <v>4011</v>
      </c>
      <c r="D1400" s="13" t="s">
        <v>4012</v>
      </c>
      <c r="E1400" s="13" t="s">
        <v>1573</v>
      </c>
      <c r="F1400" s="14"/>
      <c r="G1400" s="14"/>
      <c r="H1400" s="14"/>
      <c r="I1400" s="14"/>
      <c r="J1400" s="14">
        <f t="shared" si="63"/>
        <v>0</v>
      </c>
      <c r="K1400" s="14">
        <f t="shared" si="64"/>
        <v>0</v>
      </c>
      <c r="L1400" s="17">
        <f t="shared" si="65"/>
        <v>0</v>
      </c>
      <c r="M1400" s="14"/>
      <c r="N1400" s="16"/>
      <c r="O1400" s="16"/>
      <c r="P1400" s="16"/>
      <c r="Q1400" s="16"/>
      <c r="R1400" s="16"/>
      <c r="S1400" s="16"/>
      <c r="T1400" s="16"/>
      <c r="U1400" s="16"/>
      <c r="V1400" s="16"/>
      <c r="W1400" s="16"/>
      <c r="X1400" s="16"/>
      <c r="Y1400" s="16"/>
      <c r="Z1400" s="16"/>
      <c r="AA1400" s="16"/>
    </row>
    <row r="1401" spans="1:27" s="2" customFormat="1" ht="14">
      <c r="A1401" s="12">
        <v>1245376</v>
      </c>
      <c r="B1401" s="13" t="s">
        <v>14</v>
      </c>
      <c r="C1401" s="13" t="s">
        <v>4013</v>
      </c>
      <c r="D1401" s="13" t="s">
        <v>4014</v>
      </c>
      <c r="E1401" s="13" t="s">
        <v>3703</v>
      </c>
      <c r="F1401" s="14"/>
      <c r="G1401" s="14"/>
      <c r="H1401" s="14"/>
      <c r="I1401" s="14"/>
      <c r="J1401" s="14">
        <f t="shared" si="63"/>
        <v>0</v>
      </c>
      <c r="K1401" s="14">
        <f t="shared" si="64"/>
        <v>0</v>
      </c>
      <c r="L1401" s="17">
        <f t="shared" si="65"/>
        <v>0</v>
      </c>
      <c r="M1401" s="14"/>
      <c r="N1401" s="16"/>
      <c r="O1401" s="16"/>
      <c r="P1401" s="16"/>
      <c r="Q1401" s="16"/>
      <c r="R1401" s="16"/>
      <c r="S1401" s="16"/>
      <c r="T1401" s="16"/>
      <c r="U1401" s="16"/>
      <c r="V1401" s="16"/>
      <c r="W1401" s="16"/>
      <c r="X1401" s="16"/>
      <c r="Y1401" s="16"/>
      <c r="Z1401" s="16"/>
      <c r="AA1401" s="16"/>
    </row>
    <row r="1402" spans="1:27" s="2" customFormat="1" ht="14">
      <c r="A1402" s="12" t="s">
        <v>4015</v>
      </c>
      <c r="B1402" s="13" t="s">
        <v>14</v>
      </c>
      <c r="C1402" s="13" t="s">
        <v>4016</v>
      </c>
      <c r="D1402" s="13" t="s">
        <v>4017</v>
      </c>
      <c r="E1402" s="13" t="s">
        <v>402</v>
      </c>
      <c r="F1402" s="14"/>
      <c r="G1402" s="14"/>
      <c r="H1402" s="14"/>
      <c r="I1402" s="14"/>
      <c r="J1402" s="14">
        <f t="shared" si="63"/>
        <v>0</v>
      </c>
      <c r="K1402" s="14">
        <f t="shared" si="64"/>
        <v>0</v>
      </c>
      <c r="L1402" s="17">
        <f t="shared" si="65"/>
        <v>0</v>
      </c>
      <c r="M1402" s="14"/>
      <c r="N1402" s="16"/>
      <c r="O1402" s="16"/>
      <c r="P1402" s="16"/>
      <c r="Q1402" s="16"/>
      <c r="R1402" s="16"/>
      <c r="S1402" s="16"/>
      <c r="T1402" s="16"/>
      <c r="U1402" s="16"/>
      <c r="V1402" s="16"/>
      <c r="W1402" s="16"/>
      <c r="X1402" s="16"/>
      <c r="Y1402" s="16"/>
      <c r="Z1402" s="16"/>
      <c r="AA1402" s="16"/>
    </row>
    <row r="1403" spans="1:27" s="2" customFormat="1" ht="14">
      <c r="A1403" s="12">
        <v>1267562</v>
      </c>
      <c r="B1403" s="13" t="s">
        <v>14</v>
      </c>
      <c r="C1403" s="13" t="s">
        <v>4018</v>
      </c>
      <c r="D1403" s="13" t="s">
        <v>4019</v>
      </c>
      <c r="E1403" s="13" t="s">
        <v>3189</v>
      </c>
      <c r="F1403" s="14"/>
      <c r="G1403" s="14"/>
      <c r="H1403" s="14"/>
      <c r="I1403" s="14"/>
      <c r="J1403" s="14">
        <f t="shared" si="63"/>
        <v>0</v>
      </c>
      <c r="K1403" s="14">
        <f t="shared" si="64"/>
        <v>0</v>
      </c>
      <c r="L1403" s="17">
        <f t="shared" si="65"/>
        <v>0</v>
      </c>
      <c r="M1403" s="14"/>
      <c r="N1403" s="16"/>
      <c r="O1403" s="16"/>
      <c r="P1403" s="16"/>
      <c r="Q1403" s="16"/>
      <c r="R1403" s="16"/>
      <c r="S1403" s="16"/>
      <c r="T1403" s="16"/>
      <c r="U1403" s="16"/>
      <c r="V1403" s="16"/>
      <c r="W1403" s="16"/>
      <c r="X1403" s="16"/>
      <c r="Y1403" s="16"/>
      <c r="Z1403" s="16"/>
      <c r="AA1403" s="16"/>
    </row>
    <row r="1404" spans="1:27" s="2" customFormat="1" ht="14">
      <c r="A1404" s="12" t="s">
        <v>4020</v>
      </c>
      <c r="B1404" s="13" t="s">
        <v>62</v>
      </c>
      <c r="C1404" s="13" t="s">
        <v>4021</v>
      </c>
      <c r="D1404" s="13" t="s">
        <v>4022</v>
      </c>
      <c r="E1404" s="13" t="s">
        <v>43</v>
      </c>
      <c r="F1404" s="14"/>
      <c r="G1404" s="14"/>
      <c r="H1404" s="14"/>
      <c r="I1404" s="14"/>
      <c r="J1404" s="14">
        <f t="shared" si="63"/>
        <v>0</v>
      </c>
      <c r="K1404" s="14">
        <f t="shared" si="64"/>
        <v>0</v>
      </c>
      <c r="L1404" s="17">
        <f t="shared" si="65"/>
        <v>0</v>
      </c>
      <c r="M1404" s="14"/>
      <c r="N1404" s="16"/>
      <c r="O1404" s="16"/>
      <c r="P1404" s="16"/>
      <c r="Q1404" s="16"/>
      <c r="R1404" s="16"/>
      <c r="S1404" s="16"/>
      <c r="T1404" s="16"/>
      <c r="U1404" s="16"/>
      <c r="V1404" s="16"/>
      <c r="W1404" s="16"/>
      <c r="X1404" s="16"/>
      <c r="Y1404" s="16"/>
      <c r="Z1404" s="16"/>
      <c r="AA1404" s="16"/>
    </row>
    <row r="1405" spans="1:27" s="2" customFormat="1" ht="14">
      <c r="A1405" s="12" t="s">
        <v>4023</v>
      </c>
      <c r="B1405" s="13" t="s">
        <v>14</v>
      </c>
      <c r="C1405" s="13" t="s">
        <v>4024</v>
      </c>
      <c r="D1405" s="13" t="s">
        <v>4025</v>
      </c>
      <c r="E1405" s="13" t="s">
        <v>97</v>
      </c>
      <c r="F1405" s="14"/>
      <c r="G1405" s="14"/>
      <c r="H1405" s="14"/>
      <c r="I1405" s="14"/>
      <c r="J1405" s="14">
        <f t="shared" si="63"/>
        <v>0</v>
      </c>
      <c r="K1405" s="14">
        <f t="shared" si="64"/>
        <v>0</v>
      </c>
      <c r="L1405" s="17">
        <f t="shared" si="65"/>
        <v>0</v>
      </c>
      <c r="M1405" s="14"/>
      <c r="N1405" s="16"/>
      <c r="O1405" s="16"/>
      <c r="P1405" s="16"/>
      <c r="Q1405" s="16"/>
      <c r="R1405" s="16"/>
      <c r="S1405" s="16"/>
      <c r="T1405" s="16"/>
      <c r="U1405" s="16"/>
      <c r="V1405" s="16"/>
      <c r="W1405" s="16"/>
      <c r="X1405" s="16"/>
      <c r="Y1405" s="16"/>
      <c r="Z1405" s="16"/>
      <c r="AA1405" s="16"/>
    </row>
    <row r="1406" spans="1:27" s="2" customFormat="1" ht="14">
      <c r="A1406" s="12">
        <v>1270574</v>
      </c>
      <c r="B1406" s="13" t="s">
        <v>62</v>
      </c>
      <c r="C1406" s="13" t="s">
        <v>4026</v>
      </c>
      <c r="D1406" s="13" t="s">
        <v>4027</v>
      </c>
      <c r="E1406" s="13" t="s">
        <v>3730</v>
      </c>
      <c r="F1406" s="14"/>
      <c r="G1406" s="14"/>
      <c r="H1406" s="14"/>
      <c r="I1406" s="14"/>
      <c r="J1406" s="14">
        <f t="shared" si="63"/>
        <v>0</v>
      </c>
      <c r="K1406" s="14">
        <f t="shared" si="64"/>
        <v>0</v>
      </c>
      <c r="L1406" s="17">
        <f t="shared" si="65"/>
        <v>0</v>
      </c>
      <c r="M1406" s="14"/>
      <c r="N1406" s="16"/>
      <c r="O1406" s="16"/>
      <c r="P1406" s="16"/>
      <c r="Q1406" s="16"/>
      <c r="R1406" s="16"/>
      <c r="S1406" s="16"/>
      <c r="T1406" s="16"/>
      <c r="U1406" s="16"/>
      <c r="V1406" s="16"/>
      <c r="W1406" s="16"/>
      <c r="X1406" s="16"/>
      <c r="Y1406" s="16"/>
      <c r="Z1406" s="16"/>
      <c r="AA1406" s="16"/>
    </row>
    <row r="1407" spans="1:27" s="2" customFormat="1" ht="14">
      <c r="A1407" s="12" t="s">
        <v>4028</v>
      </c>
      <c r="B1407" s="13" t="s">
        <v>14</v>
      </c>
      <c r="C1407" s="13" t="s">
        <v>4029</v>
      </c>
      <c r="D1407" s="13" t="s">
        <v>4030</v>
      </c>
      <c r="E1407" s="13" t="s">
        <v>402</v>
      </c>
      <c r="F1407" s="14"/>
      <c r="G1407" s="14"/>
      <c r="H1407" s="14"/>
      <c r="I1407" s="14"/>
      <c r="J1407" s="14">
        <f t="shared" si="63"/>
        <v>0</v>
      </c>
      <c r="K1407" s="14">
        <f t="shared" si="64"/>
        <v>0</v>
      </c>
      <c r="L1407" s="17">
        <f t="shared" si="65"/>
        <v>0</v>
      </c>
      <c r="M1407" s="14"/>
      <c r="N1407" s="16"/>
      <c r="O1407" s="16"/>
      <c r="P1407" s="16"/>
      <c r="Q1407" s="16"/>
      <c r="R1407" s="16"/>
      <c r="S1407" s="16"/>
      <c r="T1407" s="16"/>
      <c r="U1407" s="16"/>
      <c r="V1407" s="16"/>
      <c r="W1407" s="16"/>
      <c r="X1407" s="16"/>
      <c r="Y1407" s="16"/>
      <c r="Z1407" s="16"/>
      <c r="AA1407" s="16"/>
    </row>
    <row r="1408" spans="1:27" s="2" customFormat="1" ht="14">
      <c r="A1408" s="12">
        <v>1268598</v>
      </c>
      <c r="B1408" s="13" t="s">
        <v>62</v>
      </c>
      <c r="C1408" s="13" t="s">
        <v>4031</v>
      </c>
      <c r="D1408" s="13" t="s">
        <v>4032</v>
      </c>
      <c r="E1408" s="13" t="s">
        <v>3606</v>
      </c>
      <c r="F1408" s="14"/>
      <c r="G1408" s="14"/>
      <c r="H1408" s="14"/>
      <c r="I1408" s="14"/>
      <c r="J1408" s="14">
        <f t="shared" si="63"/>
        <v>0</v>
      </c>
      <c r="K1408" s="14">
        <f t="shared" si="64"/>
        <v>0</v>
      </c>
      <c r="L1408" s="17">
        <f t="shared" si="65"/>
        <v>0</v>
      </c>
      <c r="M1408" s="14"/>
      <c r="N1408" s="16"/>
      <c r="O1408" s="16"/>
      <c r="P1408" s="16"/>
      <c r="Q1408" s="16"/>
      <c r="R1408" s="16"/>
      <c r="S1408" s="16"/>
      <c r="T1408" s="16"/>
      <c r="U1408" s="16"/>
      <c r="V1408" s="16"/>
      <c r="W1408" s="16"/>
      <c r="X1408" s="16"/>
      <c r="Y1408" s="16"/>
      <c r="Z1408" s="16"/>
      <c r="AA1408" s="16"/>
    </row>
    <row r="1409" spans="1:27" s="2" customFormat="1" ht="14">
      <c r="A1409" s="12">
        <v>1268776</v>
      </c>
      <c r="B1409" s="13" t="s">
        <v>14</v>
      </c>
      <c r="C1409" s="13" t="s">
        <v>4033</v>
      </c>
      <c r="D1409" s="13" t="s">
        <v>4034</v>
      </c>
      <c r="E1409" s="13" t="s">
        <v>3327</v>
      </c>
      <c r="F1409" s="14"/>
      <c r="G1409" s="14"/>
      <c r="H1409" s="14"/>
      <c r="I1409" s="14"/>
      <c r="J1409" s="14">
        <f t="shared" si="63"/>
        <v>0</v>
      </c>
      <c r="K1409" s="14">
        <f t="shared" si="64"/>
        <v>0</v>
      </c>
      <c r="L1409" s="17">
        <f t="shared" si="65"/>
        <v>0</v>
      </c>
      <c r="M1409" s="14"/>
      <c r="N1409" s="16"/>
      <c r="O1409" s="16"/>
      <c r="P1409" s="16"/>
      <c r="Q1409" s="16"/>
      <c r="R1409" s="16"/>
      <c r="S1409" s="16"/>
      <c r="T1409" s="16"/>
      <c r="U1409" s="16"/>
      <c r="V1409" s="16"/>
      <c r="W1409" s="16"/>
      <c r="X1409" s="16"/>
      <c r="Y1409" s="16"/>
      <c r="Z1409" s="16"/>
      <c r="AA1409" s="16"/>
    </row>
    <row r="1410" spans="1:27" s="2" customFormat="1" ht="14">
      <c r="A1410" s="12">
        <v>1268872</v>
      </c>
      <c r="B1410" s="13" t="s">
        <v>14</v>
      </c>
      <c r="C1410" s="13" t="s">
        <v>4035</v>
      </c>
      <c r="D1410" s="13" t="s">
        <v>4036</v>
      </c>
      <c r="E1410" s="13" t="s">
        <v>1998</v>
      </c>
      <c r="F1410" s="14"/>
      <c r="G1410" s="14"/>
      <c r="H1410" s="14"/>
      <c r="I1410" s="14"/>
      <c r="J1410" s="14">
        <f t="shared" ref="J1410:J1473" si="66">IF(G1410&gt;0,1,0)</f>
        <v>0</v>
      </c>
      <c r="K1410" s="14">
        <f t="shared" ref="K1410:K1473" si="67">IF(H1410&gt;0,1,0)</f>
        <v>0</v>
      </c>
      <c r="L1410" s="17">
        <f t="shared" ref="L1410:L1473" si="68">IF(G1410&gt;0,IF(H1410&gt;0,1,0),0)</f>
        <v>0</v>
      </c>
      <c r="M1410" s="14"/>
      <c r="N1410" s="16"/>
      <c r="O1410" s="16"/>
      <c r="P1410" s="16"/>
      <c r="Q1410" s="16"/>
      <c r="R1410" s="16"/>
      <c r="S1410" s="16"/>
      <c r="T1410" s="16"/>
      <c r="U1410" s="16"/>
      <c r="V1410" s="16"/>
      <c r="W1410" s="16"/>
      <c r="X1410" s="16"/>
      <c r="Y1410" s="16"/>
      <c r="Z1410" s="16"/>
      <c r="AA1410" s="16"/>
    </row>
    <row r="1411" spans="1:27" s="2" customFormat="1" ht="14">
      <c r="A1411" s="12">
        <v>1268879</v>
      </c>
      <c r="B1411" s="13" t="s">
        <v>62</v>
      </c>
      <c r="C1411" s="13" t="s">
        <v>4037</v>
      </c>
      <c r="D1411" s="13" t="s">
        <v>4038</v>
      </c>
      <c r="E1411" s="13" t="s">
        <v>3632</v>
      </c>
      <c r="F1411" s="14"/>
      <c r="G1411" s="14"/>
      <c r="H1411" s="14"/>
      <c r="I1411" s="14"/>
      <c r="J1411" s="14">
        <f t="shared" si="66"/>
        <v>0</v>
      </c>
      <c r="K1411" s="14">
        <f t="shared" si="67"/>
        <v>0</v>
      </c>
      <c r="L1411" s="17">
        <f t="shared" si="68"/>
        <v>0</v>
      </c>
      <c r="M1411" s="14"/>
      <c r="N1411" s="16"/>
      <c r="O1411" s="16"/>
      <c r="P1411" s="16"/>
      <c r="Q1411" s="16"/>
      <c r="R1411" s="16"/>
      <c r="S1411" s="16"/>
      <c r="T1411" s="16"/>
      <c r="U1411" s="16"/>
      <c r="V1411" s="16"/>
      <c r="W1411" s="16"/>
      <c r="X1411" s="16"/>
      <c r="Y1411" s="16"/>
      <c r="Z1411" s="16"/>
      <c r="AA1411" s="16"/>
    </row>
    <row r="1412" spans="1:27" s="2" customFormat="1" ht="14">
      <c r="A1412" s="12" t="s">
        <v>4039</v>
      </c>
      <c r="B1412" s="13" t="s">
        <v>14</v>
      </c>
      <c r="C1412" s="13" t="s">
        <v>4040</v>
      </c>
      <c r="D1412" s="13" t="s">
        <v>4041</v>
      </c>
      <c r="E1412" s="13" t="s">
        <v>114</v>
      </c>
      <c r="F1412" s="14"/>
      <c r="G1412" s="14"/>
      <c r="H1412" s="14"/>
      <c r="I1412" s="14"/>
      <c r="J1412" s="14">
        <f t="shared" si="66"/>
        <v>0</v>
      </c>
      <c r="K1412" s="14">
        <f t="shared" si="67"/>
        <v>0</v>
      </c>
      <c r="L1412" s="17">
        <f t="shared" si="68"/>
        <v>0</v>
      </c>
      <c r="M1412" s="14"/>
      <c r="N1412" s="16"/>
      <c r="O1412" s="16"/>
      <c r="P1412" s="16"/>
      <c r="Q1412" s="16"/>
      <c r="R1412" s="16"/>
      <c r="S1412" s="16"/>
      <c r="T1412" s="16"/>
      <c r="U1412" s="16"/>
      <c r="V1412" s="16"/>
      <c r="W1412" s="16"/>
      <c r="X1412" s="16"/>
      <c r="Y1412" s="16"/>
      <c r="Z1412" s="16"/>
      <c r="AA1412" s="16"/>
    </row>
    <row r="1413" spans="1:27" s="2" customFormat="1" ht="14">
      <c r="A1413" s="12" t="s">
        <v>4042</v>
      </c>
      <c r="B1413" s="13" t="s">
        <v>14</v>
      </c>
      <c r="C1413" s="13" t="s">
        <v>4043</v>
      </c>
      <c r="D1413" s="13" t="s">
        <v>4044</v>
      </c>
      <c r="E1413" s="13" t="s">
        <v>17</v>
      </c>
      <c r="F1413" s="14"/>
      <c r="G1413" s="14"/>
      <c r="H1413" s="14"/>
      <c r="I1413" s="14"/>
      <c r="J1413" s="14">
        <f t="shared" si="66"/>
        <v>0</v>
      </c>
      <c r="K1413" s="14">
        <f t="shared" si="67"/>
        <v>0</v>
      </c>
      <c r="L1413" s="17">
        <f t="shared" si="68"/>
        <v>0</v>
      </c>
      <c r="M1413" s="14"/>
      <c r="N1413" s="16"/>
      <c r="O1413" s="16"/>
      <c r="P1413" s="16"/>
      <c r="Q1413" s="16"/>
      <c r="R1413" s="16"/>
      <c r="S1413" s="16"/>
      <c r="T1413" s="16"/>
      <c r="U1413" s="16"/>
      <c r="V1413" s="16"/>
      <c r="W1413" s="16"/>
      <c r="X1413" s="16"/>
      <c r="Y1413" s="16"/>
      <c r="Z1413" s="16"/>
      <c r="AA1413" s="16"/>
    </row>
    <row r="1414" spans="1:27" s="2" customFormat="1" ht="14">
      <c r="A1414" s="12">
        <v>1269773</v>
      </c>
      <c r="B1414" s="13" t="s">
        <v>14</v>
      </c>
      <c r="C1414" s="13" t="s">
        <v>4045</v>
      </c>
      <c r="D1414" s="13" t="s">
        <v>4046</v>
      </c>
      <c r="E1414" s="13" t="s">
        <v>3402</v>
      </c>
      <c r="F1414" s="14"/>
      <c r="G1414" s="14"/>
      <c r="H1414" s="14"/>
      <c r="I1414" s="14"/>
      <c r="J1414" s="14">
        <f t="shared" si="66"/>
        <v>0</v>
      </c>
      <c r="K1414" s="14">
        <f t="shared" si="67"/>
        <v>0</v>
      </c>
      <c r="L1414" s="17">
        <f t="shared" si="68"/>
        <v>0</v>
      </c>
      <c r="M1414" s="14"/>
      <c r="N1414" s="16"/>
      <c r="O1414" s="16"/>
      <c r="P1414" s="16"/>
      <c r="Q1414" s="16"/>
      <c r="R1414" s="16"/>
      <c r="S1414" s="16"/>
      <c r="T1414" s="16"/>
      <c r="U1414" s="16"/>
      <c r="V1414" s="16"/>
      <c r="W1414" s="16"/>
      <c r="X1414" s="16"/>
      <c r="Y1414" s="16"/>
      <c r="Z1414" s="16"/>
      <c r="AA1414" s="16"/>
    </row>
    <row r="1415" spans="1:27" s="2" customFormat="1" ht="14">
      <c r="A1415" s="12">
        <v>1269778</v>
      </c>
      <c r="B1415" s="13" t="s">
        <v>62</v>
      </c>
      <c r="C1415" s="13" t="s">
        <v>4047</v>
      </c>
      <c r="D1415" s="13" t="s">
        <v>4048</v>
      </c>
      <c r="E1415" s="13" t="s">
        <v>4049</v>
      </c>
      <c r="F1415" s="14"/>
      <c r="G1415" s="14"/>
      <c r="H1415" s="14"/>
      <c r="I1415" s="14"/>
      <c r="J1415" s="14">
        <f t="shared" si="66"/>
        <v>0</v>
      </c>
      <c r="K1415" s="14">
        <f t="shared" si="67"/>
        <v>0</v>
      </c>
      <c r="L1415" s="17">
        <f t="shared" si="68"/>
        <v>0</v>
      </c>
      <c r="M1415" s="14"/>
      <c r="N1415" s="16"/>
      <c r="O1415" s="16"/>
      <c r="P1415" s="16"/>
      <c r="Q1415" s="16"/>
      <c r="R1415" s="16"/>
      <c r="S1415" s="16"/>
      <c r="T1415" s="16"/>
      <c r="U1415" s="16"/>
      <c r="V1415" s="16"/>
      <c r="W1415" s="16"/>
      <c r="X1415" s="16"/>
      <c r="Y1415" s="16"/>
      <c r="Z1415" s="16"/>
      <c r="AA1415" s="16"/>
    </row>
    <row r="1416" spans="1:27" s="2" customFormat="1" ht="14">
      <c r="A1416" s="12">
        <v>1245932</v>
      </c>
      <c r="B1416" s="13" t="s">
        <v>62</v>
      </c>
      <c r="C1416" s="13" t="s">
        <v>4050</v>
      </c>
      <c r="D1416" s="13" t="s">
        <v>4051</v>
      </c>
      <c r="E1416" s="13" t="s">
        <v>3750</v>
      </c>
      <c r="F1416" s="14"/>
      <c r="G1416" s="14"/>
      <c r="H1416" s="14"/>
      <c r="I1416" s="14"/>
      <c r="J1416" s="14">
        <f t="shared" si="66"/>
        <v>0</v>
      </c>
      <c r="K1416" s="14">
        <f t="shared" si="67"/>
        <v>0</v>
      </c>
      <c r="L1416" s="17">
        <f t="shared" si="68"/>
        <v>0</v>
      </c>
      <c r="M1416" s="14"/>
      <c r="N1416" s="16"/>
      <c r="O1416" s="16"/>
      <c r="P1416" s="16"/>
      <c r="Q1416" s="16"/>
      <c r="R1416" s="16"/>
      <c r="S1416" s="16"/>
      <c r="T1416" s="16"/>
      <c r="U1416" s="16"/>
      <c r="V1416" s="16"/>
      <c r="W1416" s="16"/>
      <c r="X1416" s="16"/>
      <c r="Y1416" s="16"/>
      <c r="Z1416" s="16"/>
      <c r="AA1416" s="16"/>
    </row>
    <row r="1417" spans="1:27" s="2" customFormat="1" ht="14">
      <c r="A1417" s="12">
        <v>1269880</v>
      </c>
      <c r="B1417" s="13" t="s">
        <v>62</v>
      </c>
      <c r="C1417" s="13" t="s">
        <v>4052</v>
      </c>
      <c r="D1417" s="13" t="s">
        <v>4053</v>
      </c>
      <c r="E1417" s="13" t="s">
        <v>3843</v>
      </c>
      <c r="F1417" s="14"/>
      <c r="G1417" s="14"/>
      <c r="H1417" s="14"/>
      <c r="I1417" s="14"/>
      <c r="J1417" s="14">
        <f t="shared" si="66"/>
        <v>0</v>
      </c>
      <c r="K1417" s="14">
        <f t="shared" si="67"/>
        <v>0</v>
      </c>
      <c r="L1417" s="17">
        <f t="shared" si="68"/>
        <v>0</v>
      </c>
      <c r="M1417" s="14"/>
      <c r="N1417" s="16"/>
      <c r="O1417" s="16"/>
      <c r="P1417" s="16"/>
      <c r="Q1417" s="16"/>
      <c r="R1417" s="16"/>
      <c r="S1417" s="16"/>
      <c r="T1417" s="16"/>
      <c r="U1417" s="16"/>
      <c r="V1417" s="16"/>
      <c r="W1417" s="16"/>
      <c r="X1417" s="16"/>
      <c r="Y1417" s="16"/>
      <c r="Z1417" s="16"/>
      <c r="AA1417" s="16"/>
    </row>
    <row r="1418" spans="1:27" s="2" customFormat="1" ht="14">
      <c r="A1418" s="12">
        <v>1270052</v>
      </c>
      <c r="B1418" s="13" t="s">
        <v>14</v>
      </c>
      <c r="C1418" s="13" t="s">
        <v>4054</v>
      </c>
      <c r="D1418" s="13" t="s">
        <v>4055</v>
      </c>
      <c r="E1418" s="13" t="s">
        <v>1839</v>
      </c>
      <c r="F1418" s="14"/>
      <c r="G1418" s="14"/>
      <c r="H1418" s="14"/>
      <c r="I1418" s="14"/>
      <c r="J1418" s="14">
        <f t="shared" si="66"/>
        <v>0</v>
      </c>
      <c r="K1418" s="14">
        <f t="shared" si="67"/>
        <v>0</v>
      </c>
      <c r="L1418" s="17">
        <f t="shared" si="68"/>
        <v>0</v>
      </c>
      <c r="M1418" s="14"/>
      <c r="N1418" s="16"/>
      <c r="O1418" s="16"/>
      <c r="P1418" s="16"/>
      <c r="Q1418" s="16"/>
      <c r="R1418" s="16"/>
      <c r="S1418" s="16"/>
      <c r="T1418" s="16"/>
      <c r="U1418" s="16"/>
      <c r="V1418" s="16"/>
      <c r="W1418" s="16"/>
      <c r="X1418" s="16"/>
      <c r="Y1418" s="16"/>
      <c r="Z1418" s="16"/>
      <c r="AA1418" s="16"/>
    </row>
    <row r="1419" spans="1:27" s="2" customFormat="1" ht="14">
      <c r="A1419" s="12">
        <v>1270649</v>
      </c>
      <c r="B1419" s="13" t="s">
        <v>62</v>
      </c>
      <c r="C1419" s="13" t="s">
        <v>4056</v>
      </c>
      <c r="D1419" s="13" t="s">
        <v>4057</v>
      </c>
      <c r="E1419" s="13" t="s">
        <v>3509</v>
      </c>
      <c r="F1419" s="14"/>
      <c r="G1419" s="14"/>
      <c r="H1419" s="14"/>
      <c r="I1419" s="14"/>
      <c r="J1419" s="14">
        <f t="shared" si="66"/>
        <v>0</v>
      </c>
      <c r="K1419" s="14">
        <f t="shared" si="67"/>
        <v>0</v>
      </c>
      <c r="L1419" s="17">
        <f t="shared" si="68"/>
        <v>0</v>
      </c>
      <c r="M1419" s="14"/>
      <c r="N1419" s="16"/>
      <c r="O1419" s="16"/>
      <c r="P1419" s="16"/>
      <c r="Q1419" s="16"/>
      <c r="R1419" s="16"/>
      <c r="S1419" s="16"/>
      <c r="T1419" s="16"/>
      <c r="U1419" s="16"/>
      <c r="V1419" s="16"/>
      <c r="W1419" s="16"/>
      <c r="X1419" s="16"/>
      <c r="Y1419" s="16"/>
      <c r="Z1419" s="16"/>
      <c r="AA1419" s="16"/>
    </row>
    <row r="1420" spans="1:27" s="2" customFormat="1" ht="14">
      <c r="A1420" s="12">
        <v>1271232</v>
      </c>
      <c r="B1420" s="13" t="s">
        <v>14</v>
      </c>
      <c r="C1420" s="13" t="s">
        <v>4058</v>
      </c>
      <c r="D1420" s="13" t="s">
        <v>4059</v>
      </c>
      <c r="E1420" s="13" t="s">
        <v>3632</v>
      </c>
      <c r="F1420" s="14"/>
      <c r="G1420" s="14"/>
      <c r="H1420" s="14"/>
      <c r="I1420" s="14"/>
      <c r="J1420" s="14">
        <f t="shared" si="66"/>
        <v>0</v>
      </c>
      <c r="K1420" s="14">
        <f t="shared" si="67"/>
        <v>0</v>
      </c>
      <c r="L1420" s="17">
        <f t="shared" si="68"/>
        <v>0</v>
      </c>
      <c r="M1420" s="14"/>
      <c r="N1420" s="16"/>
      <c r="O1420" s="16"/>
      <c r="P1420" s="16"/>
      <c r="Q1420" s="16"/>
      <c r="R1420" s="16"/>
      <c r="S1420" s="16"/>
      <c r="T1420" s="16"/>
      <c r="U1420" s="16"/>
      <c r="V1420" s="16"/>
      <c r="W1420" s="16"/>
      <c r="X1420" s="16"/>
      <c r="Y1420" s="16"/>
      <c r="Z1420" s="16"/>
      <c r="AA1420" s="16"/>
    </row>
    <row r="1421" spans="1:27" s="2" customFormat="1" ht="14">
      <c r="A1421" s="12">
        <v>1271032</v>
      </c>
      <c r="B1421" s="13" t="s">
        <v>14</v>
      </c>
      <c r="C1421" s="13" t="s">
        <v>4060</v>
      </c>
      <c r="D1421" s="13" t="s">
        <v>4061</v>
      </c>
      <c r="E1421" s="13" t="s">
        <v>3635</v>
      </c>
      <c r="F1421" s="14"/>
      <c r="G1421" s="14"/>
      <c r="H1421" s="14"/>
      <c r="I1421" s="14"/>
      <c r="J1421" s="14">
        <f t="shared" si="66"/>
        <v>0</v>
      </c>
      <c r="K1421" s="14">
        <f t="shared" si="67"/>
        <v>0</v>
      </c>
      <c r="L1421" s="17">
        <f t="shared" si="68"/>
        <v>0</v>
      </c>
      <c r="M1421" s="14"/>
      <c r="N1421" s="16"/>
      <c r="O1421" s="16"/>
      <c r="P1421" s="16"/>
      <c r="Q1421" s="16"/>
      <c r="R1421" s="16"/>
      <c r="S1421" s="16"/>
      <c r="T1421" s="16"/>
      <c r="U1421" s="16"/>
      <c r="V1421" s="16"/>
      <c r="W1421" s="16"/>
      <c r="X1421" s="16"/>
      <c r="Y1421" s="16"/>
      <c r="Z1421" s="16"/>
      <c r="AA1421" s="16"/>
    </row>
    <row r="1422" spans="1:27" s="2" customFormat="1" ht="14">
      <c r="A1422" s="12">
        <v>1271628</v>
      </c>
      <c r="B1422" s="13" t="s">
        <v>14</v>
      </c>
      <c r="C1422" s="13" t="s">
        <v>4062</v>
      </c>
      <c r="D1422" s="13" t="s">
        <v>4063</v>
      </c>
      <c r="E1422" s="13" t="s">
        <v>3750</v>
      </c>
      <c r="F1422" s="14"/>
      <c r="G1422" s="14"/>
      <c r="H1422" s="14"/>
      <c r="I1422" s="14"/>
      <c r="J1422" s="14">
        <f t="shared" si="66"/>
        <v>0</v>
      </c>
      <c r="K1422" s="14">
        <f t="shared" si="67"/>
        <v>0</v>
      </c>
      <c r="L1422" s="17">
        <f t="shared" si="68"/>
        <v>0</v>
      </c>
      <c r="M1422" s="14"/>
      <c r="N1422" s="16"/>
      <c r="O1422" s="16"/>
      <c r="P1422" s="16"/>
      <c r="Q1422" s="16"/>
      <c r="R1422" s="16"/>
      <c r="S1422" s="16"/>
      <c r="T1422" s="16"/>
      <c r="U1422" s="16"/>
      <c r="V1422" s="16"/>
      <c r="W1422" s="16"/>
      <c r="X1422" s="16"/>
      <c r="Y1422" s="16"/>
      <c r="Z1422" s="16"/>
      <c r="AA1422" s="16"/>
    </row>
    <row r="1423" spans="1:27" s="2" customFormat="1" ht="14">
      <c r="A1423" s="12">
        <v>1271444</v>
      </c>
      <c r="B1423" s="13" t="s">
        <v>14</v>
      </c>
      <c r="C1423" s="13" t="s">
        <v>4064</v>
      </c>
      <c r="D1423" s="13" t="s">
        <v>4065</v>
      </c>
      <c r="E1423" s="13" t="s">
        <v>3533</v>
      </c>
      <c r="F1423" s="14"/>
      <c r="G1423" s="14"/>
      <c r="H1423" s="14"/>
      <c r="I1423" s="14"/>
      <c r="J1423" s="14">
        <f t="shared" si="66"/>
        <v>0</v>
      </c>
      <c r="K1423" s="14">
        <f t="shared" si="67"/>
        <v>0</v>
      </c>
      <c r="L1423" s="17">
        <f t="shared" si="68"/>
        <v>0</v>
      </c>
      <c r="M1423" s="14"/>
      <c r="N1423" s="16"/>
      <c r="O1423" s="16"/>
      <c r="P1423" s="16"/>
      <c r="Q1423" s="16"/>
      <c r="R1423" s="16"/>
      <c r="S1423" s="16"/>
      <c r="T1423" s="16"/>
      <c r="U1423" s="16"/>
      <c r="V1423" s="16"/>
      <c r="W1423" s="16"/>
      <c r="X1423" s="16"/>
      <c r="Y1423" s="16"/>
      <c r="Z1423" s="16"/>
      <c r="AA1423" s="16"/>
    </row>
    <row r="1424" spans="1:27" s="2" customFormat="1" ht="14">
      <c r="A1424" s="12">
        <v>1272265</v>
      </c>
      <c r="B1424" s="13" t="s">
        <v>62</v>
      </c>
      <c r="C1424" s="13" t="s">
        <v>4066</v>
      </c>
      <c r="D1424" s="13" t="s">
        <v>4067</v>
      </c>
      <c r="E1424" s="13" t="s">
        <v>3872</v>
      </c>
      <c r="F1424" s="14"/>
      <c r="G1424" s="14"/>
      <c r="H1424" s="14"/>
      <c r="I1424" s="14"/>
      <c r="J1424" s="14">
        <f t="shared" si="66"/>
        <v>0</v>
      </c>
      <c r="K1424" s="14">
        <f t="shared" si="67"/>
        <v>0</v>
      </c>
      <c r="L1424" s="17">
        <f t="shared" si="68"/>
        <v>0</v>
      </c>
      <c r="M1424" s="14"/>
      <c r="N1424" s="16"/>
      <c r="O1424" s="16"/>
      <c r="P1424" s="16"/>
      <c r="Q1424" s="16"/>
      <c r="R1424" s="16"/>
      <c r="S1424" s="16"/>
      <c r="T1424" s="16"/>
      <c r="U1424" s="16"/>
      <c r="V1424" s="16"/>
      <c r="W1424" s="16"/>
      <c r="X1424" s="16"/>
      <c r="Y1424" s="16"/>
      <c r="Z1424" s="16"/>
      <c r="AA1424" s="16"/>
    </row>
    <row r="1425" spans="1:27" s="2" customFormat="1" ht="14">
      <c r="A1425" s="12">
        <v>1272135</v>
      </c>
      <c r="B1425" s="13" t="s">
        <v>62</v>
      </c>
      <c r="C1425" s="13" t="s">
        <v>4068</v>
      </c>
      <c r="D1425" s="13" t="s">
        <v>4069</v>
      </c>
      <c r="E1425" s="13" t="s">
        <v>3862</v>
      </c>
      <c r="F1425" s="14"/>
      <c r="G1425" s="14"/>
      <c r="H1425" s="14"/>
      <c r="I1425" s="14"/>
      <c r="J1425" s="14">
        <f t="shared" si="66"/>
        <v>0</v>
      </c>
      <c r="K1425" s="14">
        <f t="shared" si="67"/>
        <v>0</v>
      </c>
      <c r="L1425" s="17">
        <f t="shared" si="68"/>
        <v>0</v>
      </c>
      <c r="M1425" s="14"/>
      <c r="N1425" s="16"/>
      <c r="O1425" s="16"/>
      <c r="P1425" s="16"/>
      <c r="Q1425" s="16"/>
      <c r="R1425" s="16"/>
      <c r="S1425" s="16"/>
      <c r="T1425" s="16"/>
      <c r="U1425" s="16"/>
      <c r="V1425" s="16"/>
      <c r="W1425" s="16"/>
      <c r="X1425" s="16"/>
      <c r="Y1425" s="16"/>
      <c r="Z1425" s="16"/>
      <c r="AA1425" s="16"/>
    </row>
    <row r="1426" spans="1:27" s="2" customFormat="1" ht="14">
      <c r="A1426" s="12">
        <v>1272086</v>
      </c>
      <c r="B1426" s="13" t="s">
        <v>62</v>
      </c>
      <c r="C1426" s="13" t="s">
        <v>4070</v>
      </c>
      <c r="D1426" s="13" t="s">
        <v>4071</v>
      </c>
      <c r="E1426" s="13" t="s">
        <v>1839</v>
      </c>
      <c r="F1426" s="14"/>
      <c r="G1426" s="14"/>
      <c r="H1426" s="14"/>
      <c r="I1426" s="14"/>
      <c r="J1426" s="14">
        <f t="shared" si="66"/>
        <v>0</v>
      </c>
      <c r="K1426" s="14">
        <f t="shared" si="67"/>
        <v>0</v>
      </c>
      <c r="L1426" s="17">
        <f t="shared" si="68"/>
        <v>0</v>
      </c>
      <c r="M1426" s="14"/>
      <c r="N1426" s="16"/>
      <c r="O1426" s="16"/>
      <c r="P1426" s="16"/>
      <c r="Q1426" s="16"/>
      <c r="R1426" s="16"/>
      <c r="S1426" s="16"/>
      <c r="T1426" s="16"/>
      <c r="U1426" s="16"/>
      <c r="V1426" s="16"/>
      <c r="W1426" s="16"/>
      <c r="X1426" s="16"/>
      <c r="Y1426" s="16"/>
      <c r="Z1426" s="16"/>
      <c r="AA1426" s="16"/>
    </row>
    <row r="1427" spans="1:27" s="2" customFormat="1" ht="14">
      <c r="A1427" s="12">
        <v>1272113</v>
      </c>
      <c r="B1427" s="13" t="s">
        <v>14</v>
      </c>
      <c r="C1427" s="13" t="s">
        <v>4072</v>
      </c>
      <c r="D1427" s="13" t="s">
        <v>4073</v>
      </c>
      <c r="E1427" s="13" t="s">
        <v>3530</v>
      </c>
      <c r="F1427" s="14"/>
      <c r="G1427" s="14"/>
      <c r="H1427" s="14"/>
      <c r="I1427" s="14"/>
      <c r="J1427" s="14">
        <f t="shared" si="66"/>
        <v>0</v>
      </c>
      <c r="K1427" s="14">
        <f t="shared" si="67"/>
        <v>0</v>
      </c>
      <c r="L1427" s="17">
        <f t="shared" si="68"/>
        <v>0</v>
      </c>
      <c r="M1427" s="14"/>
      <c r="N1427" s="16"/>
      <c r="O1427" s="16"/>
      <c r="P1427" s="16"/>
      <c r="Q1427" s="16"/>
      <c r="R1427" s="16"/>
      <c r="S1427" s="16"/>
      <c r="T1427" s="16"/>
      <c r="U1427" s="16"/>
      <c r="V1427" s="16"/>
      <c r="W1427" s="16"/>
      <c r="X1427" s="16"/>
      <c r="Y1427" s="16"/>
      <c r="Z1427" s="16"/>
      <c r="AA1427" s="16"/>
    </row>
    <row r="1428" spans="1:27" s="2" customFormat="1" ht="14">
      <c r="A1428" s="12">
        <v>1272297</v>
      </c>
      <c r="B1428" s="13" t="s">
        <v>14</v>
      </c>
      <c r="C1428" s="13" t="s">
        <v>4074</v>
      </c>
      <c r="D1428" s="13" t="s">
        <v>4075</v>
      </c>
      <c r="E1428" s="13" t="s">
        <v>3606</v>
      </c>
      <c r="F1428" s="14"/>
      <c r="G1428" s="14"/>
      <c r="H1428" s="14"/>
      <c r="I1428" s="14"/>
      <c r="J1428" s="14">
        <f t="shared" si="66"/>
        <v>0</v>
      </c>
      <c r="K1428" s="14">
        <f t="shared" si="67"/>
        <v>0</v>
      </c>
      <c r="L1428" s="17">
        <f t="shared" si="68"/>
        <v>0</v>
      </c>
      <c r="M1428" s="14"/>
      <c r="N1428" s="16"/>
      <c r="O1428" s="16"/>
      <c r="P1428" s="16"/>
      <c r="Q1428" s="16"/>
      <c r="R1428" s="16"/>
      <c r="S1428" s="16"/>
      <c r="T1428" s="16"/>
      <c r="U1428" s="16"/>
      <c r="V1428" s="16"/>
      <c r="W1428" s="16"/>
      <c r="X1428" s="16"/>
      <c r="Y1428" s="16"/>
      <c r="Z1428" s="16"/>
      <c r="AA1428" s="16"/>
    </row>
    <row r="1429" spans="1:27" s="2" customFormat="1" ht="14">
      <c r="A1429" s="12" t="s">
        <v>4076</v>
      </c>
      <c r="B1429" s="13" t="s">
        <v>14</v>
      </c>
      <c r="C1429" s="13" t="s">
        <v>4077</v>
      </c>
      <c r="D1429" s="13" t="s">
        <v>4078</v>
      </c>
      <c r="E1429" s="13" t="s">
        <v>29</v>
      </c>
      <c r="F1429" s="14"/>
      <c r="G1429" s="14"/>
      <c r="H1429" s="14"/>
      <c r="I1429" s="14"/>
      <c r="J1429" s="14">
        <f t="shared" si="66"/>
        <v>0</v>
      </c>
      <c r="K1429" s="14">
        <f t="shared" si="67"/>
        <v>0</v>
      </c>
      <c r="L1429" s="17">
        <f t="shared" si="68"/>
        <v>0</v>
      </c>
      <c r="M1429" s="14"/>
      <c r="N1429" s="16"/>
      <c r="O1429" s="16"/>
      <c r="P1429" s="16"/>
      <c r="Q1429" s="16"/>
      <c r="R1429" s="16"/>
      <c r="S1429" s="16"/>
      <c r="T1429" s="16"/>
      <c r="U1429" s="16"/>
      <c r="V1429" s="16"/>
      <c r="W1429" s="16"/>
      <c r="X1429" s="16"/>
      <c r="Y1429" s="16"/>
      <c r="Z1429" s="16"/>
      <c r="AA1429" s="16"/>
    </row>
    <row r="1430" spans="1:27" s="2" customFormat="1" ht="14">
      <c r="A1430" s="12" t="s">
        <v>4079</v>
      </c>
      <c r="B1430" s="13" t="s">
        <v>14</v>
      </c>
      <c r="C1430" s="13" t="s">
        <v>4080</v>
      </c>
      <c r="D1430" s="13" t="s">
        <v>4081</v>
      </c>
      <c r="E1430" s="13" t="s">
        <v>21</v>
      </c>
      <c r="F1430" s="14"/>
      <c r="G1430" s="14"/>
      <c r="H1430" s="14"/>
      <c r="I1430" s="14"/>
      <c r="J1430" s="14">
        <f t="shared" si="66"/>
        <v>0</v>
      </c>
      <c r="K1430" s="14">
        <f t="shared" si="67"/>
        <v>0</v>
      </c>
      <c r="L1430" s="17">
        <f t="shared" si="68"/>
        <v>0</v>
      </c>
      <c r="M1430" s="14"/>
      <c r="N1430" s="16"/>
      <c r="O1430" s="16"/>
      <c r="P1430" s="16"/>
      <c r="Q1430" s="16"/>
      <c r="R1430" s="16"/>
      <c r="S1430" s="16"/>
      <c r="T1430" s="16"/>
      <c r="U1430" s="16"/>
      <c r="V1430" s="16"/>
      <c r="W1430" s="16"/>
      <c r="X1430" s="16"/>
      <c r="Y1430" s="16"/>
      <c r="Z1430" s="16"/>
      <c r="AA1430" s="16"/>
    </row>
    <row r="1431" spans="1:27" s="2" customFormat="1" ht="14">
      <c r="A1431" s="12">
        <v>1272992</v>
      </c>
      <c r="B1431" s="13" t="s">
        <v>62</v>
      </c>
      <c r="C1431" s="13" t="s">
        <v>4082</v>
      </c>
      <c r="D1431" s="13" t="s">
        <v>4083</v>
      </c>
      <c r="E1431" s="13" t="s">
        <v>1998</v>
      </c>
      <c r="F1431" s="14"/>
      <c r="G1431" s="14"/>
      <c r="H1431" s="14"/>
      <c r="I1431" s="14"/>
      <c r="J1431" s="14">
        <f t="shared" si="66"/>
        <v>0</v>
      </c>
      <c r="K1431" s="14">
        <f t="shared" si="67"/>
        <v>0</v>
      </c>
      <c r="L1431" s="17">
        <f t="shared" si="68"/>
        <v>0</v>
      </c>
      <c r="M1431" s="14"/>
      <c r="N1431" s="16"/>
      <c r="O1431" s="16"/>
      <c r="P1431" s="16"/>
      <c r="Q1431" s="16"/>
      <c r="R1431" s="16"/>
      <c r="S1431" s="16"/>
      <c r="T1431" s="16"/>
      <c r="U1431" s="16"/>
      <c r="V1431" s="16"/>
      <c r="W1431" s="16"/>
      <c r="X1431" s="16"/>
      <c r="Y1431" s="16"/>
      <c r="Z1431" s="16"/>
      <c r="AA1431" s="16"/>
    </row>
    <row r="1432" spans="1:27" s="2" customFormat="1" ht="14">
      <c r="A1432" s="12">
        <v>1272998</v>
      </c>
      <c r="B1432" s="13" t="s">
        <v>62</v>
      </c>
      <c r="C1432" s="13" t="s">
        <v>4084</v>
      </c>
      <c r="D1432" s="13" t="s">
        <v>4085</v>
      </c>
      <c r="E1432" s="13" t="s">
        <v>3986</v>
      </c>
      <c r="F1432" s="14"/>
      <c r="G1432" s="14"/>
      <c r="H1432" s="14"/>
      <c r="I1432" s="14"/>
      <c r="J1432" s="14">
        <f t="shared" si="66"/>
        <v>0</v>
      </c>
      <c r="K1432" s="14">
        <f t="shared" si="67"/>
        <v>0</v>
      </c>
      <c r="L1432" s="17">
        <f t="shared" si="68"/>
        <v>0</v>
      </c>
      <c r="M1432" s="14"/>
      <c r="N1432" s="16"/>
      <c r="O1432" s="16"/>
      <c r="P1432" s="16"/>
      <c r="Q1432" s="16"/>
      <c r="R1432" s="16"/>
      <c r="S1432" s="16"/>
      <c r="T1432" s="16"/>
      <c r="U1432" s="16"/>
      <c r="V1432" s="16"/>
      <c r="W1432" s="16"/>
      <c r="X1432" s="16"/>
      <c r="Y1432" s="16"/>
      <c r="Z1432" s="16"/>
      <c r="AA1432" s="16"/>
    </row>
    <row r="1433" spans="1:27" s="2" customFormat="1" ht="14">
      <c r="A1433" s="12">
        <v>1273302</v>
      </c>
      <c r="B1433" s="13" t="s">
        <v>14</v>
      </c>
      <c r="C1433" s="13" t="s">
        <v>4086</v>
      </c>
      <c r="D1433" s="13" t="s">
        <v>4087</v>
      </c>
      <c r="E1433" s="13" t="s">
        <v>3606</v>
      </c>
      <c r="F1433" s="14"/>
      <c r="G1433" s="14"/>
      <c r="H1433" s="14"/>
      <c r="I1433" s="14"/>
      <c r="J1433" s="14">
        <f t="shared" si="66"/>
        <v>0</v>
      </c>
      <c r="K1433" s="14">
        <f t="shared" si="67"/>
        <v>0</v>
      </c>
      <c r="L1433" s="17">
        <f t="shared" si="68"/>
        <v>0</v>
      </c>
      <c r="M1433" s="14"/>
      <c r="N1433" s="16"/>
      <c r="O1433" s="16"/>
      <c r="P1433" s="16"/>
      <c r="Q1433" s="16"/>
      <c r="R1433" s="16"/>
      <c r="S1433" s="16"/>
      <c r="T1433" s="16"/>
      <c r="U1433" s="16"/>
      <c r="V1433" s="16"/>
      <c r="W1433" s="16"/>
      <c r="X1433" s="16"/>
      <c r="Y1433" s="16"/>
      <c r="Z1433" s="16"/>
      <c r="AA1433" s="16"/>
    </row>
    <row r="1434" spans="1:27" s="2" customFormat="1" ht="14">
      <c r="A1434" s="12" t="s">
        <v>4088</v>
      </c>
      <c r="B1434" s="13" t="s">
        <v>14</v>
      </c>
      <c r="C1434" s="13" t="s">
        <v>4089</v>
      </c>
      <c r="D1434" s="13" t="s">
        <v>4090</v>
      </c>
      <c r="E1434" s="13" t="s">
        <v>1567</v>
      </c>
      <c r="F1434" s="14"/>
      <c r="G1434" s="14"/>
      <c r="H1434" s="14"/>
      <c r="I1434" s="14"/>
      <c r="J1434" s="14">
        <f t="shared" si="66"/>
        <v>0</v>
      </c>
      <c r="K1434" s="14">
        <f t="shared" si="67"/>
        <v>0</v>
      </c>
      <c r="L1434" s="17">
        <f t="shared" si="68"/>
        <v>0</v>
      </c>
      <c r="M1434" s="14"/>
      <c r="N1434" s="16"/>
      <c r="O1434" s="16"/>
      <c r="P1434" s="16"/>
      <c r="Q1434" s="16"/>
      <c r="R1434" s="16"/>
      <c r="S1434" s="16"/>
      <c r="T1434" s="16"/>
      <c r="U1434" s="16"/>
      <c r="V1434" s="16"/>
      <c r="W1434" s="16"/>
      <c r="X1434" s="16"/>
      <c r="Y1434" s="16"/>
      <c r="Z1434" s="16"/>
      <c r="AA1434" s="16"/>
    </row>
    <row r="1435" spans="1:27" s="2" customFormat="1" ht="14">
      <c r="A1435" s="12">
        <v>1246529</v>
      </c>
      <c r="B1435" s="13" t="s">
        <v>14</v>
      </c>
      <c r="C1435" s="13" t="s">
        <v>4091</v>
      </c>
      <c r="D1435" s="13" t="s">
        <v>4092</v>
      </c>
      <c r="E1435" s="13" t="s">
        <v>3324</v>
      </c>
      <c r="F1435" s="14"/>
      <c r="G1435" s="14"/>
      <c r="H1435" s="14"/>
      <c r="I1435" s="14"/>
      <c r="J1435" s="14">
        <f t="shared" si="66"/>
        <v>0</v>
      </c>
      <c r="K1435" s="14">
        <f t="shared" si="67"/>
        <v>0</v>
      </c>
      <c r="L1435" s="17">
        <f t="shared" si="68"/>
        <v>0</v>
      </c>
      <c r="M1435" s="14"/>
      <c r="N1435" s="16"/>
      <c r="O1435" s="16"/>
      <c r="P1435" s="16"/>
      <c r="Q1435" s="16"/>
      <c r="R1435" s="16"/>
      <c r="S1435" s="16"/>
      <c r="T1435" s="16"/>
      <c r="U1435" s="16"/>
      <c r="V1435" s="16"/>
      <c r="W1435" s="16"/>
      <c r="X1435" s="16"/>
      <c r="Y1435" s="16"/>
      <c r="Z1435" s="16"/>
      <c r="AA1435" s="16"/>
    </row>
    <row r="1436" spans="1:27" s="2" customFormat="1" ht="14">
      <c r="A1436" s="12">
        <v>1273615</v>
      </c>
      <c r="B1436" s="13" t="s">
        <v>14</v>
      </c>
      <c r="C1436" s="13" t="s">
        <v>4093</v>
      </c>
      <c r="D1436" s="13" t="s">
        <v>4094</v>
      </c>
      <c r="E1436" s="13" t="s">
        <v>3606</v>
      </c>
      <c r="F1436" s="14"/>
      <c r="G1436" s="14"/>
      <c r="H1436" s="14"/>
      <c r="I1436" s="14"/>
      <c r="J1436" s="14">
        <f t="shared" si="66"/>
        <v>0</v>
      </c>
      <c r="K1436" s="14">
        <f t="shared" si="67"/>
        <v>0</v>
      </c>
      <c r="L1436" s="17">
        <f t="shared" si="68"/>
        <v>0</v>
      </c>
      <c r="M1436" s="14"/>
      <c r="N1436" s="16"/>
      <c r="O1436" s="16"/>
      <c r="P1436" s="16"/>
      <c r="Q1436" s="16"/>
      <c r="R1436" s="16"/>
      <c r="S1436" s="16"/>
      <c r="T1436" s="16"/>
      <c r="U1436" s="16"/>
      <c r="V1436" s="16"/>
      <c r="W1436" s="16"/>
      <c r="X1436" s="16"/>
      <c r="Y1436" s="16"/>
      <c r="Z1436" s="16"/>
      <c r="AA1436" s="16"/>
    </row>
    <row r="1437" spans="1:27" s="2" customFormat="1" ht="14">
      <c r="A1437" s="12">
        <v>1273267</v>
      </c>
      <c r="B1437" s="13" t="s">
        <v>62</v>
      </c>
      <c r="C1437" s="13" t="s">
        <v>4095</v>
      </c>
      <c r="D1437" s="13" t="s">
        <v>4096</v>
      </c>
      <c r="E1437" s="13" t="s">
        <v>3512</v>
      </c>
      <c r="F1437" s="14"/>
      <c r="G1437" s="14"/>
      <c r="H1437" s="14"/>
      <c r="I1437" s="14"/>
      <c r="J1437" s="14">
        <f t="shared" si="66"/>
        <v>0</v>
      </c>
      <c r="K1437" s="14">
        <f t="shared" si="67"/>
        <v>0</v>
      </c>
      <c r="L1437" s="17">
        <f t="shared" si="68"/>
        <v>0</v>
      </c>
      <c r="M1437" s="14"/>
      <c r="N1437" s="16"/>
      <c r="O1437" s="16"/>
      <c r="P1437" s="16"/>
      <c r="Q1437" s="16"/>
      <c r="R1437" s="16"/>
      <c r="S1437" s="16"/>
      <c r="T1437" s="16"/>
      <c r="U1437" s="16"/>
      <c r="V1437" s="16"/>
      <c r="W1437" s="16"/>
      <c r="X1437" s="16"/>
      <c r="Y1437" s="16"/>
      <c r="Z1437" s="16"/>
      <c r="AA1437" s="16"/>
    </row>
    <row r="1438" spans="1:27" s="2" customFormat="1" ht="14">
      <c r="A1438" s="12" t="s">
        <v>4097</v>
      </c>
      <c r="B1438" s="13" t="s">
        <v>62</v>
      </c>
      <c r="C1438" s="13" t="s">
        <v>4098</v>
      </c>
      <c r="D1438" s="13" t="s">
        <v>4099</v>
      </c>
      <c r="E1438" s="13" t="s">
        <v>354</v>
      </c>
      <c r="F1438" s="14"/>
      <c r="G1438" s="14"/>
      <c r="H1438" s="14"/>
      <c r="I1438" s="14"/>
      <c r="J1438" s="14">
        <f t="shared" si="66"/>
        <v>0</v>
      </c>
      <c r="K1438" s="14">
        <f t="shared" si="67"/>
        <v>0</v>
      </c>
      <c r="L1438" s="17">
        <f t="shared" si="68"/>
        <v>0</v>
      </c>
      <c r="M1438" s="14"/>
      <c r="N1438" s="16"/>
      <c r="O1438" s="16"/>
      <c r="P1438" s="16"/>
      <c r="Q1438" s="16"/>
      <c r="R1438" s="16"/>
      <c r="S1438" s="16"/>
      <c r="T1438" s="16"/>
      <c r="U1438" s="16"/>
      <c r="V1438" s="16"/>
      <c r="W1438" s="16"/>
      <c r="X1438" s="16"/>
      <c r="Y1438" s="16"/>
      <c r="Z1438" s="16"/>
      <c r="AA1438" s="16"/>
    </row>
    <row r="1439" spans="1:27" s="2" customFormat="1" ht="14">
      <c r="A1439" s="12">
        <v>1273978</v>
      </c>
      <c r="B1439" s="13" t="s">
        <v>14</v>
      </c>
      <c r="C1439" s="13" t="s">
        <v>4100</v>
      </c>
      <c r="D1439" s="13" t="s">
        <v>4101</v>
      </c>
      <c r="E1439" s="13" t="s">
        <v>3533</v>
      </c>
      <c r="F1439" s="14"/>
      <c r="G1439" s="14"/>
      <c r="H1439" s="14"/>
      <c r="I1439" s="14"/>
      <c r="J1439" s="14">
        <f t="shared" si="66"/>
        <v>0</v>
      </c>
      <c r="K1439" s="14">
        <f t="shared" si="67"/>
        <v>0</v>
      </c>
      <c r="L1439" s="17">
        <f t="shared" si="68"/>
        <v>0</v>
      </c>
      <c r="M1439" s="14"/>
      <c r="N1439" s="16"/>
      <c r="O1439" s="16"/>
      <c r="P1439" s="16"/>
      <c r="Q1439" s="16"/>
      <c r="R1439" s="16"/>
      <c r="S1439" s="16"/>
      <c r="T1439" s="16"/>
      <c r="U1439" s="16"/>
      <c r="V1439" s="16"/>
      <c r="W1439" s="16"/>
      <c r="X1439" s="16"/>
      <c r="Y1439" s="16"/>
      <c r="Z1439" s="16"/>
      <c r="AA1439" s="16"/>
    </row>
    <row r="1440" spans="1:27" s="2" customFormat="1" ht="14">
      <c r="A1440" s="12">
        <v>1246653</v>
      </c>
      <c r="B1440" s="13" t="s">
        <v>62</v>
      </c>
      <c r="C1440" s="13" t="s">
        <v>4102</v>
      </c>
      <c r="D1440" s="13" t="s">
        <v>4103</v>
      </c>
      <c r="E1440" s="13" t="s">
        <v>3843</v>
      </c>
      <c r="F1440" s="14"/>
      <c r="G1440" s="14"/>
      <c r="H1440" s="14"/>
      <c r="I1440" s="14"/>
      <c r="J1440" s="14">
        <f t="shared" si="66"/>
        <v>0</v>
      </c>
      <c r="K1440" s="14">
        <f t="shared" si="67"/>
        <v>0</v>
      </c>
      <c r="L1440" s="17">
        <f t="shared" si="68"/>
        <v>0</v>
      </c>
      <c r="M1440" s="14"/>
      <c r="N1440" s="16"/>
      <c r="O1440" s="16"/>
      <c r="P1440" s="16"/>
      <c r="Q1440" s="16"/>
      <c r="R1440" s="16"/>
      <c r="S1440" s="16"/>
      <c r="T1440" s="16"/>
      <c r="U1440" s="16"/>
      <c r="V1440" s="16"/>
      <c r="W1440" s="16"/>
      <c r="X1440" s="16"/>
      <c r="Y1440" s="16"/>
      <c r="Z1440" s="16"/>
      <c r="AA1440" s="16"/>
    </row>
    <row r="1441" spans="1:27" s="2" customFormat="1" ht="14">
      <c r="A1441" s="12">
        <v>1274516</v>
      </c>
      <c r="B1441" s="13" t="s">
        <v>62</v>
      </c>
      <c r="C1441" s="13" t="s">
        <v>4104</v>
      </c>
      <c r="D1441" s="13" t="s">
        <v>4105</v>
      </c>
      <c r="E1441" s="13" t="s">
        <v>3843</v>
      </c>
      <c r="F1441" s="14"/>
      <c r="G1441" s="14"/>
      <c r="H1441" s="14"/>
      <c r="I1441" s="14"/>
      <c r="J1441" s="14">
        <f t="shared" si="66"/>
        <v>0</v>
      </c>
      <c r="K1441" s="14">
        <f t="shared" si="67"/>
        <v>0</v>
      </c>
      <c r="L1441" s="17">
        <f t="shared" si="68"/>
        <v>0</v>
      </c>
      <c r="M1441" s="14"/>
      <c r="N1441" s="16"/>
      <c r="O1441" s="16"/>
      <c r="P1441" s="16"/>
      <c r="Q1441" s="16"/>
      <c r="R1441" s="16"/>
      <c r="S1441" s="16"/>
      <c r="T1441" s="16"/>
      <c r="U1441" s="16"/>
      <c r="V1441" s="16"/>
      <c r="W1441" s="16"/>
      <c r="X1441" s="16"/>
      <c r="Y1441" s="16"/>
      <c r="Z1441" s="16"/>
      <c r="AA1441" s="16"/>
    </row>
    <row r="1442" spans="1:27" s="2" customFormat="1" ht="14">
      <c r="A1442" s="12" t="s">
        <v>4106</v>
      </c>
      <c r="B1442" s="13" t="s">
        <v>14</v>
      </c>
      <c r="C1442" s="13" t="s">
        <v>4107</v>
      </c>
      <c r="D1442" s="13" t="s">
        <v>4108</v>
      </c>
      <c r="E1442" s="13" t="s">
        <v>72</v>
      </c>
      <c r="F1442" s="14"/>
      <c r="G1442" s="14"/>
      <c r="H1442" s="14"/>
      <c r="I1442" s="14"/>
      <c r="J1442" s="14">
        <f t="shared" si="66"/>
        <v>0</v>
      </c>
      <c r="K1442" s="14">
        <f t="shared" si="67"/>
        <v>0</v>
      </c>
      <c r="L1442" s="17">
        <f t="shared" si="68"/>
        <v>0</v>
      </c>
      <c r="M1442" s="14"/>
      <c r="N1442" s="16"/>
      <c r="O1442" s="16"/>
      <c r="P1442" s="16"/>
      <c r="Q1442" s="16"/>
      <c r="R1442" s="16"/>
      <c r="S1442" s="16"/>
      <c r="T1442" s="16"/>
      <c r="U1442" s="16"/>
      <c r="V1442" s="16"/>
      <c r="W1442" s="16"/>
      <c r="X1442" s="16"/>
      <c r="Y1442" s="16"/>
      <c r="Z1442" s="16"/>
      <c r="AA1442" s="16"/>
    </row>
    <row r="1443" spans="1:27" s="2" customFormat="1" ht="14">
      <c r="A1443" s="12">
        <v>1271598</v>
      </c>
      <c r="B1443" s="13" t="s">
        <v>14</v>
      </c>
      <c r="C1443" s="13" t="s">
        <v>4109</v>
      </c>
      <c r="D1443" s="13" t="s">
        <v>4110</v>
      </c>
      <c r="E1443" s="13" t="s">
        <v>3506</v>
      </c>
      <c r="F1443" s="14"/>
      <c r="G1443" s="14"/>
      <c r="H1443" s="14"/>
      <c r="I1443" s="14"/>
      <c r="J1443" s="14">
        <f t="shared" si="66"/>
        <v>0</v>
      </c>
      <c r="K1443" s="14">
        <f t="shared" si="67"/>
        <v>0</v>
      </c>
      <c r="L1443" s="17">
        <f t="shared" si="68"/>
        <v>0</v>
      </c>
      <c r="M1443" s="14"/>
      <c r="N1443" s="16"/>
      <c r="O1443" s="16"/>
      <c r="P1443" s="16"/>
      <c r="Q1443" s="16"/>
      <c r="R1443" s="16"/>
      <c r="S1443" s="16"/>
      <c r="T1443" s="16"/>
      <c r="U1443" s="16"/>
      <c r="V1443" s="16"/>
      <c r="W1443" s="16"/>
      <c r="X1443" s="16"/>
      <c r="Y1443" s="16"/>
      <c r="Z1443" s="16"/>
      <c r="AA1443" s="16"/>
    </row>
    <row r="1444" spans="1:27" s="2" customFormat="1" ht="14">
      <c r="A1444" s="12" t="s">
        <v>4111</v>
      </c>
      <c r="B1444" s="13" t="s">
        <v>14</v>
      </c>
      <c r="C1444" s="13" t="s">
        <v>4112</v>
      </c>
      <c r="D1444" s="13" t="s">
        <v>4113</v>
      </c>
      <c r="E1444" s="13" t="s">
        <v>29</v>
      </c>
      <c r="F1444" s="14"/>
      <c r="G1444" s="14"/>
      <c r="H1444" s="14"/>
      <c r="I1444" s="14"/>
      <c r="J1444" s="14">
        <f t="shared" si="66"/>
        <v>0</v>
      </c>
      <c r="K1444" s="14">
        <f t="shared" si="67"/>
        <v>0</v>
      </c>
      <c r="L1444" s="17">
        <f t="shared" si="68"/>
        <v>0</v>
      </c>
      <c r="M1444" s="14"/>
      <c r="N1444" s="16"/>
      <c r="O1444" s="16"/>
      <c r="P1444" s="16"/>
      <c r="Q1444" s="16"/>
      <c r="R1444" s="16"/>
      <c r="S1444" s="16"/>
      <c r="T1444" s="16"/>
      <c r="U1444" s="16"/>
      <c r="V1444" s="16"/>
      <c r="W1444" s="16"/>
      <c r="X1444" s="16"/>
      <c r="Y1444" s="16"/>
      <c r="Z1444" s="16"/>
      <c r="AA1444" s="16"/>
    </row>
    <row r="1445" spans="1:27" s="2" customFormat="1" ht="14">
      <c r="A1445" s="12">
        <v>1275638</v>
      </c>
      <c r="B1445" s="13" t="s">
        <v>62</v>
      </c>
      <c r="C1445" s="13" t="s">
        <v>4114</v>
      </c>
      <c r="D1445" s="13" t="s">
        <v>4115</v>
      </c>
      <c r="E1445" s="13" t="s">
        <v>3189</v>
      </c>
      <c r="F1445" s="14"/>
      <c r="G1445" s="14"/>
      <c r="H1445" s="14"/>
      <c r="I1445" s="14"/>
      <c r="J1445" s="14">
        <f t="shared" si="66"/>
        <v>0</v>
      </c>
      <c r="K1445" s="14">
        <f t="shared" si="67"/>
        <v>0</v>
      </c>
      <c r="L1445" s="17">
        <f t="shared" si="68"/>
        <v>0</v>
      </c>
      <c r="M1445" s="14"/>
      <c r="N1445" s="16"/>
      <c r="O1445" s="16"/>
      <c r="P1445" s="16"/>
      <c r="Q1445" s="16"/>
      <c r="R1445" s="16"/>
      <c r="S1445" s="16"/>
      <c r="T1445" s="16"/>
      <c r="U1445" s="16"/>
      <c r="V1445" s="16"/>
      <c r="W1445" s="16"/>
      <c r="X1445" s="16"/>
      <c r="Y1445" s="16"/>
      <c r="Z1445" s="16"/>
      <c r="AA1445" s="16"/>
    </row>
    <row r="1446" spans="1:27" s="2" customFormat="1" ht="14">
      <c r="A1446" s="12" t="s">
        <v>4116</v>
      </c>
      <c r="B1446" s="13" t="s">
        <v>62</v>
      </c>
      <c r="C1446" s="13" t="s">
        <v>4117</v>
      </c>
      <c r="D1446" s="13" t="s">
        <v>4118</v>
      </c>
      <c r="E1446" s="13" t="s">
        <v>25</v>
      </c>
      <c r="F1446" s="14"/>
      <c r="G1446" s="14"/>
      <c r="H1446" s="14"/>
      <c r="I1446" s="14"/>
      <c r="J1446" s="14">
        <f t="shared" si="66"/>
        <v>0</v>
      </c>
      <c r="K1446" s="14">
        <f t="shared" si="67"/>
        <v>0</v>
      </c>
      <c r="L1446" s="17">
        <f t="shared" si="68"/>
        <v>0</v>
      </c>
      <c r="M1446" s="14"/>
      <c r="N1446" s="16"/>
      <c r="O1446" s="16"/>
      <c r="P1446" s="16"/>
      <c r="Q1446" s="16"/>
      <c r="R1446" s="16"/>
      <c r="S1446" s="16"/>
      <c r="T1446" s="16"/>
      <c r="U1446" s="16"/>
      <c r="V1446" s="16"/>
      <c r="W1446" s="16"/>
      <c r="X1446" s="16"/>
      <c r="Y1446" s="16"/>
      <c r="Z1446" s="16"/>
      <c r="AA1446" s="16"/>
    </row>
    <row r="1447" spans="1:27" s="2" customFormat="1" ht="14">
      <c r="A1447" s="12">
        <v>1275316</v>
      </c>
      <c r="B1447" s="13" t="s">
        <v>62</v>
      </c>
      <c r="C1447" s="13" t="s">
        <v>4119</v>
      </c>
      <c r="D1447" s="13" t="s">
        <v>4120</v>
      </c>
      <c r="E1447" s="13" t="s">
        <v>3632</v>
      </c>
      <c r="F1447" s="14"/>
      <c r="G1447" s="14"/>
      <c r="H1447" s="14"/>
      <c r="I1447" s="14"/>
      <c r="J1447" s="14">
        <f t="shared" si="66"/>
        <v>0</v>
      </c>
      <c r="K1447" s="14">
        <f t="shared" si="67"/>
        <v>0</v>
      </c>
      <c r="L1447" s="17">
        <f t="shared" si="68"/>
        <v>0</v>
      </c>
      <c r="M1447" s="14"/>
      <c r="N1447" s="16"/>
      <c r="O1447" s="16"/>
      <c r="P1447" s="16"/>
      <c r="Q1447" s="16"/>
      <c r="R1447" s="16"/>
      <c r="S1447" s="16"/>
      <c r="T1447" s="16"/>
      <c r="U1447" s="16"/>
      <c r="V1447" s="16"/>
      <c r="W1447" s="16"/>
      <c r="X1447" s="16"/>
      <c r="Y1447" s="16"/>
      <c r="Z1447" s="16"/>
      <c r="AA1447" s="16"/>
    </row>
    <row r="1448" spans="1:27" s="2" customFormat="1" ht="14">
      <c r="A1448" s="12">
        <v>1275125</v>
      </c>
      <c r="B1448" s="13" t="s">
        <v>14</v>
      </c>
      <c r="C1448" s="13" t="s">
        <v>4121</v>
      </c>
      <c r="D1448" s="13" t="s">
        <v>4122</v>
      </c>
      <c r="E1448" s="13" t="s">
        <v>3530</v>
      </c>
      <c r="F1448" s="14"/>
      <c r="G1448" s="14"/>
      <c r="H1448" s="14"/>
      <c r="I1448" s="14"/>
      <c r="J1448" s="14">
        <f t="shared" si="66"/>
        <v>0</v>
      </c>
      <c r="K1448" s="14">
        <f t="shared" si="67"/>
        <v>0</v>
      </c>
      <c r="L1448" s="17">
        <f t="shared" si="68"/>
        <v>0</v>
      </c>
      <c r="M1448" s="14"/>
      <c r="N1448" s="16"/>
      <c r="O1448" s="16"/>
      <c r="P1448" s="16"/>
      <c r="Q1448" s="16"/>
      <c r="R1448" s="16"/>
      <c r="S1448" s="16"/>
      <c r="T1448" s="16"/>
      <c r="U1448" s="16"/>
      <c r="V1448" s="16"/>
      <c r="W1448" s="16"/>
      <c r="X1448" s="16"/>
      <c r="Y1448" s="16"/>
      <c r="Z1448" s="16"/>
      <c r="AA1448" s="16"/>
    </row>
    <row r="1449" spans="1:27" s="2" customFormat="1" ht="14">
      <c r="A1449" s="12" t="s">
        <v>4123</v>
      </c>
      <c r="B1449" s="13" t="s">
        <v>14</v>
      </c>
      <c r="C1449" s="13" t="s">
        <v>4124</v>
      </c>
      <c r="D1449" s="13" t="s">
        <v>4125</v>
      </c>
      <c r="E1449" s="13" t="s">
        <v>32</v>
      </c>
      <c r="F1449" s="14"/>
      <c r="G1449" s="14"/>
      <c r="H1449" s="14"/>
      <c r="I1449" s="14"/>
      <c r="J1449" s="14">
        <f t="shared" si="66"/>
        <v>0</v>
      </c>
      <c r="K1449" s="14">
        <f t="shared" si="67"/>
        <v>0</v>
      </c>
      <c r="L1449" s="17">
        <f t="shared" si="68"/>
        <v>0</v>
      </c>
      <c r="M1449" s="14"/>
      <c r="N1449" s="16"/>
      <c r="O1449" s="16"/>
      <c r="P1449" s="16"/>
      <c r="Q1449" s="16"/>
      <c r="R1449" s="16"/>
      <c r="S1449" s="16"/>
      <c r="T1449" s="16"/>
      <c r="U1449" s="16"/>
      <c r="V1449" s="16"/>
      <c r="W1449" s="16"/>
      <c r="X1449" s="16"/>
      <c r="Y1449" s="16"/>
      <c r="Z1449" s="16"/>
      <c r="AA1449" s="16"/>
    </row>
    <row r="1450" spans="1:27" s="2" customFormat="1" ht="14">
      <c r="A1450" s="12">
        <v>1275368</v>
      </c>
      <c r="B1450" s="13" t="s">
        <v>62</v>
      </c>
      <c r="C1450" s="13" t="s">
        <v>4126</v>
      </c>
      <c r="D1450" s="13" t="s">
        <v>4127</v>
      </c>
      <c r="E1450" s="13" t="s">
        <v>3324</v>
      </c>
      <c r="F1450" s="14"/>
      <c r="G1450" s="14"/>
      <c r="H1450" s="14"/>
      <c r="I1450" s="14"/>
      <c r="J1450" s="14">
        <f t="shared" si="66"/>
        <v>0</v>
      </c>
      <c r="K1450" s="14">
        <f t="shared" si="67"/>
        <v>0</v>
      </c>
      <c r="L1450" s="17">
        <f t="shared" si="68"/>
        <v>0</v>
      </c>
      <c r="M1450" s="14"/>
      <c r="N1450" s="16"/>
      <c r="O1450" s="16"/>
      <c r="P1450" s="16"/>
      <c r="Q1450" s="16"/>
      <c r="R1450" s="16"/>
      <c r="S1450" s="16"/>
      <c r="T1450" s="16"/>
      <c r="U1450" s="16"/>
      <c r="V1450" s="16"/>
      <c r="W1450" s="16"/>
      <c r="X1450" s="16"/>
      <c r="Y1450" s="16"/>
      <c r="Z1450" s="16"/>
      <c r="AA1450" s="16"/>
    </row>
    <row r="1451" spans="1:27" s="2" customFormat="1" ht="14">
      <c r="A1451" s="12">
        <v>1275413</v>
      </c>
      <c r="B1451" s="13" t="s">
        <v>14</v>
      </c>
      <c r="C1451" s="13" t="s">
        <v>4128</v>
      </c>
      <c r="D1451" s="13" t="s">
        <v>4129</v>
      </c>
      <c r="E1451" s="13" t="s">
        <v>3509</v>
      </c>
      <c r="F1451" s="14"/>
      <c r="G1451" s="14"/>
      <c r="H1451" s="14"/>
      <c r="I1451" s="14"/>
      <c r="J1451" s="14">
        <f t="shared" si="66"/>
        <v>0</v>
      </c>
      <c r="K1451" s="14">
        <f t="shared" si="67"/>
        <v>0</v>
      </c>
      <c r="L1451" s="17">
        <f t="shared" si="68"/>
        <v>0</v>
      </c>
      <c r="M1451" s="14"/>
      <c r="N1451" s="16"/>
      <c r="O1451" s="16"/>
      <c r="P1451" s="16"/>
      <c r="Q1451" s="16"/>
      <c r="R1451" s="16"/>
      <c r="S1451" s="16"/>
      <c r="T1451" s="16"/>
      <c r="U1451" s="16"/>
      <c r="V1451" s="16"/>
      <c r="W1451" s="16"/>
      <c r="X1451" s="16"/>
      <c r="Y1451" s="16"/>
      <c r="Z1451" s="16"/>
      <c r="AA1451" s="16"/>
    </row>
    <row r="1452" spans="1:27" s="2" customFormat="1" ht="14">
      <c r="A1452" s="12" t="s">
        <v>4130</v>
      </c>
      <c r="B1452" s="13" t="s">
        <v>14</v>
      </c>
      <c r="C1452" s="13" t="s">
        <v>4131</v>
      </c>
      <c r="D1452" s="13" t="s">
        <v>4132</v>
      </c>
      <c r="E1452" s="13" t="s">
        <v>267</v>
      </c>
      <c r="F1452" s="14"/>
      <c r="G1452" s="14"/>
      <c r="H1452" s="14"/>
      <c r="I1452" s="14"/>
      <c r="J1452" s="14">
        <f t="shared" si="66"/>
        <v>0</v>
      </c>
      <c r="K1452" s="14">
        <f t="shared" si="67"/>
        <v>0</v>
      </c>
      <c r="L1452" s="17">
        <f t="shared" si="68"/>
        <v>0</v>
      </c>
      <c r="M1452" s="14"/>
      <c r="N1452" s="16"/>
      <c r="O1452" s="16"/>
      <c r="P1452" s="16"/>
      <c r="Q1452" s="16"/>
      <c r="R1452" s="16"/>
      <c r="S1452" s="16"/>
      <c r="T1452" s="16"/>
      <c r="U1452" s="16"/>
      <c r="V1452" s="16"/>
      <c r="W1452" s="16"/>
      <c r="X1452" s="16"/>
      <c r="Y1452" s="16"/>
      <c r="Z1452" s="16"/>
      <c r="AA1452" s="16"/>
    </row>
    <row r="1453" spans="1:27" s="2" customFormat="1" ht="14">
      <c r="A1453" s="12" t="s">
        <v>4133</v>
      </c>
      <c r="B1453" s="13" t="s">
        <v>14</v>
      </c>
      <c r="C1453" s="13" t="s">
        <v>4134</v>
      </c>
      <c r="D1453" s="13" t="s">
        <v>4135</v>
      </c>
      <c r="E1453" s="13" t="s">
        <v>201</v>
      </c>
      <c r="F1453" s="14"/>
      <c r="G1453" s="14"/>
      <c r="H1453" s="14"/>
      <c r="I1453" s="14"/>
      <c r="J1453" s="14">
        <f t="shared" si="66"/>
        <v>0</v>
      </c>
      <c r="K1453" s="14">
        <f t="shared" si="67"/>
        <v>0</v>
      </c>
      <c r="L1453" s="17">
        <f t="shared" si="68"/>
        <v>0</v>
      </c>
      <c r="M1453" s="14"/>
      <c r="N1453" s="16"/>
      <c r="O1453" s="16"/>
      <c r="P1453" s="16"/>
      <c r="Q1453" s="16"/>
      <c r="R1453" s="16"/>
      <c r="S1453" s="16"/>
      <c r="T1453" s="16"/>
      <c r="U1453" s="16"/>
      <c r="V1453" s="16"/>
      <c r="W1453" s="16"/>
      <c r="X1453" s="16"/>
      <c r="Y1453" s="16"/>
      <c r="Z1453" s="16"/>
      <c r="AA1453" s="16"/>
    </row>
    <row r="1454" spans="1:27" s="2" customFormat="1" ht="14">
      <c r="A1454" s="12">
        <v>1275470</v>
      </c>
      <c r="B1454" s="13" t="s">
        <v>14</v>
      </c>
      <c r="C1454" s="13" t="s">
        <v>4136</v>
      </c>
      <c r="D1454" s="13" t="s">
        <v>4137</v>
      </c>
      <c r="E1454" s="13" t="s">
        <v>3635</v>
      </c>
      <c r="F1454" s="14"/>
      <c r="G1454" s="14"/>
      <c r="H1454" s="14"/>
      <c r="I1454" s="14"/>
      <c r="J1454" s="14">
        <f t="shared" si="66"/>
        <v>0</v>
      </c>
      <c r="K1454" s="14">
        <f t="shared" si="67"/>
        <v>0</v>
      </c>
      <c r="L1454" s="17">
        <f t="shared" si="68"/>
        <v>0</v>
      </c>
      <c r="M1454" s="14"/>
      <c r="N1454" s="16"/>
      <c r="O1454" s="16"/>
      <c r="P1454" s="16"/>
      <c r="Q1454" s="16"/>
      <c r="R1454" s="16"/>
      <c r="S1454" s="16"/>
      <c r="T1454" s="16"/>
      <c r="U1454" s="16"/>
      <c r="V1454" s="16"/>
      <c r="W1454" s="16"/>
      <c r="X1454" s="16"/>
      <c r="Y1454" s="16"/>
      <c r="Z1454" s="16"/>
      <c r="AA1454" s="16"/>
    </row>
    <row r="1455" spans="1:27" s="2" customFormat="1" ht="14">
      <c r="A1455" s="12">
        <v>1276199</v>
      </c>
      <c r="B1455" s="13" t="s">
        <v>62</v>
      </c>
      <c r="C1455" s="13" t="s">
        <v>4138</v>
      </c>
      <c r="D1455" s="13" t="s">
        <v>4139</v>
      </c>
      <c r="E1455" s="13" t="s">
        <v>3730</v>
      </c>
      <c r="F1455" s="14"/>
      <c r="G1455" s="14"/>
      <c r="H1455" s="14"/>
      <c r="I1455" s="14"/>
      <c r="J1455" s="14">
        <f t="shared" si="66"/>
        <v>0</v>
      </c>
      <c r="K1455" s="14">
        <f t="shared" si="67"/>
        <v>0</v>
      </c>
      <c r="L1455" s="17">
        <f t="shared" si="68"/>
        <v>0</v>
      </c>
      <c r="M1455" s="14"/>
      <c r="N1455" s="16"/>
      <c r="O1455" s="16"/>
      <c r="P1455" s="16"/>
      <c r="Q1455" s="16"/>
      <c r="R1455" s="16"/>
      <c r="S1455" s="16"/>
      <c r="T1455" s="16"/>
      <c r="U1455" s="16"/>
      <c r="V1455" s="16"/>
      <c r="W1455" s="16"/>
      <c r="X1455" s="16"/>
      <c r="Y1455" s="16"/>
      <c r="Z1455" s="16"/>
      <c r="AA1455" s="16"/>
    </row>
    <row r="1456" spans="1:27" s="2" customFormat="1" ht="14">
      <c r="A1456" s="12">
        <v>1247003</v>
      </c>
      <c r="B1456" s="13" t="s">
        <v>14</v>
      </c>
      <c r="C1456" s="13" t="s">
        <v>4140</v>
      </c>
      <c r="D1456" s="13" t="s">
        <v>4141</v>
      </c>
      <c r="E1456" s="13" t="s">
        <v>3848</v>
      </c>
      <c r="F1456" s="14"/>
      <c r="G1456" s="14"/>
      <c r="H1456" s="14"/>
      <c r="I1456" s="14"/>
      <c r="J1456" s="14">
        <f t="shared" si="66"/>
        <v>0</v>
      </c>
      <c r="K1456" s="14">
        <f t="shared" si="67"/>
        <v>0</v>
      </c>
      <c r="L1456" s="17">
        <f t="shared" si="68"/>
        <v>0</v>
      </c>
      <c r="M1456" s="14"/>
      <c r="N1456" s="16"/>
      <c r="O1456" s="16"/>
      <c r="P1456" s="16"/>
      <c r="Q1456" s="16"/>
      <c r="R1456" s="16"/>
      <c r="S1456" s="16"/>
      <c r="T1456" s="16"/>
      <c r="U1456" s="16"/>
      <c r="V1456" s="16"/>
      <c r="W1456" s="16"/>
      <c r="X1456" s="16"/>
      <c r="Y1456" s="16"/>
      <c r="Z1456" s="16"/>
      <c r="AA1456" s="16"/>
    </row>
    <row r="1457" spans="1:27" s="2" customFormat="1" ht="14">
      <c r="A1457" s="12" t="s">
        <v>4142</v>
      </c>
      <c r="B1457" s="13" t="s">
        <v>14</v>
      </c>
      <c r="C1457" s="13" t="s">
        <v>4143</v>
      </c>
      <c r="D1457" s="13" t="s">
        <v>4144</v>
      </c>
      <c r="E1457" s="13" t="s">
        <v>21</v>
      </c>
      <c r="F1457" s="14"/>
      <c r="G1457" s="14"/>
      <c r="H1457" s="14"/>
      <c r="I1457" s="14"/>
      <c r="J1457" s="14">
        <f t="shared" si="66"/>
        <v>0</v>
      </c>
      <c r="K1457" s="14">
        <f t="shared" si="67"/>
        <v>0</v>
      </c>
      <c r="L1457" s="17">
        <f t="shared" si="68"/>
        <v>0</v>
      </c>
      <c r="M1457" s="14"/>
      <c r="N1457" s="16"/>
      <c r="O1457" s="16"/>
      <c r="P1457" s="16"/>
      <c r="Q1457" s="16"/>
      <c r="R1457" s="16"/>
      <c r="S1457" s="16"/>
      <c r="T1457" s="16"/>
      <c r="U1457" s="16"/>
      <c r="V1457" s="16"/>
      <c r="W1457" s="16"/>
      <c r="X1457" s="16"/>
      <c r="Y1457" s="16"/>
      <c r="Z1457" s="16"/>
      <c r="AA1457" s="16"/>
    </row>
    <row r="1458" spans="1:27" s="2" customFormat="1" ht="14">
      <c r="A1458" s="12">
        <v>1275681</v>
      </c>
      <c r="B1458" s="13" t="s">
        <v>14</v>
      </c>
      <c r="C1458" s="13" t="s">
        <v>4145</v>
      </c>
      <c r="D1458" s="13" t="s">
        <v>4146</v>
      </c>
      <c r="E1458" s="13" t="s">
        <v>3402</v>
      </c>
      <c r="F1458" s="14"/>
      <c r="G1458" s="14"/>
      <c r="H1458" s="14"/>
      <c r="I1458" s="14"/>
      <c r="J1458" s="14">
        <f t="shared" si="66"/>
        <v>0</v>
      </c>
      <c r="K1458" s="14">
        <f t="shared" si="67"/>
        <v>0</v>
      </c>
      <c r="L1458" s="17">
        <f t="shared" si="68"/>
        <v>0</v>
      </c>
      <c r="M1458" s="14"/>
      <c r="N1458" s="16"/>
      <c r="O1458" s="16"/>
      <c r="P1458" s="16"/>
      <c r="Q1458" s="16"/>
      <c r="R1458" s="16"/>
      <c r="S1458" s="16"/>
      <c r="T1458" s="16"/>
      <c r="U1458" s="16"/>
      <c r="V1458" s="16"/>
      <c r="W1458" s="16"/>
      <c r="X1458" s="16"/>
      <c r="Y1458" s="16"/>
      <c r="Z1458" s="16"/>
      <c r="AA1458" s="16"/>
    </row>
    <row r="1459" spans="1:27" s="2" customFormat="1" ht="14">
      <c r="A1459" s="12" t="s">
        <v>4147</v>
      </c>
      <c r="B1459" s="13" t="s">
        <v>14</v>
      </c>
      <c r="C1459" s="13" t="s">
        <v>4148</v>
      </c>
      <c r="D1459" s="13" t="s">
        <v>4149</v>
      </c>
      <c r="E1459" s="13" t="s">
        <v>402</v>
      </c>
      <c r="F1459" s="14"/>
      <c r="G1459" s="14"/>
      <c r="H1459" s="14"/>
      <c r="I1459" s="14"/>
      <c r="J1459" s="14">
        <f t="shared" si="66"/>
        <v>0</v>
      </c>
      <c r="K1459" s="14">
        <f t="shared" si="67"/>
        <v>0</v>
      </c>
      <c r="L1459" s="17">
        <f t="shared" si="68"/>
        <v>0</v>
      </c>
      <c r="M1459" s="14"/>
      <c r="N1459" s="16"/>
      <c r="O1459" s="16"/>
      <c r="P1459" s="16"/>
      <c r="Q1459" s="16"/>
      <c r="R1459" s="16"/>
      <c r="S1459" s="16"/>
      <c r="T1459" s="16"/>
      <c r="U1459" s="16"/>
      <c r="V1459" s="16"/>
      <c r="W1459" s="16"/>
      <c r="X1459" s="16"/>
      <c r="Y1459" s="16"/>
      <c r="Z1459" s="16"/>
      <c r="AA1459" s="16"/>
    </row>
    <row r="1460" spans="1:27" s="2" customFormat="1" ht="14">
      <c r="A1460" s="12">
        <v>1276756</v>
      </c>
      <c r="B1460" s="13" t="s">
        <v>14</v>
      </c>
      <c r="C1460" s="13" t="s">
        <v>4150</v>
      </c>
      <c r="D1460" s="13" t="s">
        <v>4151</v>
      </c>
      <c r="E1460" s="13" t="s">
        <v>3509</v>
      </c>
      <c r="F1460" s="14"/>
      <c r="G1460" s="14"/>
      <c r="H1460" s="14"/>
      <c r="I1460" s="14"/>
      <c r="J1460" s="14">
        <f t="shared" si="66"/>
        <v>0</v>
      </c>
      <c r="K1460" s="14">
        <f t="shared" si="67"/>
        <v>0</v>
      </c>
      <c r="L1460" s="17">
        <f t="shared" si="68"/>
        <v>0</v>
      </c>
      <c r="M1460" s="14"/>
      <c r="N1460" s="16"/>
      <c r="O1460" s="16"/>
      <c r="P1460" s="16"/>
      <c r="Q1460" s="16"/>
      <c r="R1460" s="16"/>
      <c r="S1460" s="16"/>
      <c r="T1460" s="16"/>
      <c r="U1460" s="16"/>
      <c r="V1460" s="16"/>
      <c r="W1460" s="16"/>
      <c r="X1460" s="16"/>
      <c r="Y1460" s="16"/>
      <c r="Z1460" s="16"/>
      <c r="AA1460" s="16"/>
    </row>
    <row r="1461" spans="1:27" s="2" customFormat="1" ht="14">
      <c r="A1461" s="12">
        <v>1276789</v>
      </c>
      <c r="B1461" s="13" t="s">
        <v>62</v>
      </c>
      <c r="C1461" s="13" t="s">
        <v>4152</v>
      </c>
      <c r="D1461" s="13" t="s">
        <v>4153</v>
      </c>
      <c r="E1461" s="13" t="s">
        <v>3530</v>
      </c>
      <c r="F1461" s="14"/>
      <c r="G1461" s="14"/>
      <c r="H1461" s="14"/>
      <c r="I1461" s="14"/>
      <c r="J1461" s="14">
        <f t="shared" si="66"/>
        <v>0</v>
      </c>
      <c r="K1461" s="14">
        <f t="shared" si="67"/>
        <v>0</v>
      </c>
      <c r="L1461" s="17">
        <f t="shared" si="68"/>
        <v>0</v>
      </c>
      <c r="M1461" s="14"/>
      <c r="N1461" s="16"/>
      <c r="O1461" s="16"/>
      <c r="P1461" s="16"/>
      <c r="Q1461" s="16"/>
      <c r="R1461" s="16"/>
      <c r="S1461" s="16"/>
      <c r="T1461" s="16"/>
      <c r="U1461" s="16"/>
      <c r="V1461" s="16"/>
      <c r="W1461" s="16"/>
      <c r="X1461" s="16"/>
      <c r="Y1461" s="16"/>
      <c r="Z1461" s="16"/>
      <c r="AA1461" s="16"/>
    </row>
    <row r="1462" spans="1:27" s="2" customFormat="1" ht="14">
      <c r="A1462" s="12" t="s">
        <v>4154</v>
      </c>
      <c r="B1462" s="13" t="s">
        <v>14</v>
      </c>
      <c r="C1462" s="13" t="s">
        <v>4155</v>
      </c>
      <c r="D1462" s="13" t="s">
        <v>4156</v>
      </c>
      <c r="E1462" s="13" t="s">
        <v>21</v>
      </c>
      <c r="F1462" s="14"/>
      <c r="G1462" s="14"/>
      <c r="H1462" s="14"/>
      <c r="I1462" s="14"/>
      <c r="J1462" s="14">
        <f t="shared" si="66"/>
        <v>0</v>
      </c>
      <c r="K1462" s="14">
        <f t="shared" si="67"/>
        <v>0</v>
      </c>
      <c r="L1462" s="17">
        <f t="shared" si="68"/>
        <v>0</v>
      </c>
      <c r="M1462" s="14"/>
      <c r="N1462" s="16"/>
      <c r="O1462" s="16"/>
      <c r="P1462" s="16"/>
      <c r="Q1462" s="16"/>
      <c r="R1462" s="16"/>
      <c r="S1462" s="16"/>
      <c r="T1462" s="16"/>
      <c r="U1462" s="16"/>
      <c r="V1462" s="16"/>
      <c r="W1462" s="16"/>
      <c r="X1462" s="16"/>
      <c r="Y1462" s="16"/>
      <c r="Z1462" s="16"/>
      <c r="AA1462" s="16"/>
    </row>
    <row r="1463" spans="1:27" s="2" customFormat="1" ht="14">
      <c r="A1463" s="12">
        <v>1276865</v>
      </c>
      <c r="B1463" s="13" t="s">
        <v>14</v>
      </c>
      <c r="C1463" s="13" t="s">
        <v>4157</v>
      </c>
      <c r="D1463" s="13" t="s">
        <v>4158</v>
      </c>
      <c r="E1463" s="13" t="s">
        <v>3635</v>
      </c>
      <c r="F1463" s="14"/>
      <c r="G1463" s="14"/>
      <c r="H1463" s="14"/>
      <c r="I1463" s="14"/>
      <c r="J1463" s="14">
        <f t="shared" si="66"/>
        <v>0</v>
      </c>
      <c r="K1463" s="14">
        <f t="shared" si="67"/>
        <v>0</v>
      </c>
      <c r="L1463" s="17">
        <f t="shared" si="68"/>
        <v>0</v>
      </c>
      <c r="M1463" s="14"/>
      <c r="N1463" s="16"/>
      <c r="O1463" s="16"/>
      <c r="P1463" s="16"/>
      <c r="Q1463" s="16"/>
      <c r="R1463" s="16"/>
      <c r="S1463" s="16"/>
      <c r="T1463" s="16"/>
      <c r="U1463" s="16"/>
      <c r="V1463" s="16"/>
      <c r="W1463" s="16"/>
      <c r="X1463" s="16"/>
      <c r="Y1463" s="16"/>
      <c r="Z1463" s="16"/>
      <c r="AA1463" s="16"/>
    </row>
    <row r="1464" spans="1:27" s="2" customFormat="1" ht="14">
      <c r="A1464" s="12">
        <v>1277175</v>
      </c>
      <c r="B1464" s="13" t="s">
        <v>14</v>
      </c>
      <c r="C1464" s="13" t="s">
        <v>4159</v>
      </c>
      <c r="D1464" s="13" t="s">
        <v>4160</v>
      </c>
      <c r="E1464" s="13" t="s">
        <v>4049</v>
      </c>
      <c r="F1464" s="14"/>
      <c r="G1464" s="14"/>
      <c r="H1464" s="14"/>
      <c r="I1464" s="14"/>
      <c r="J1464" s="14">
        <f t="shared" si="66"/>
        <v>0</v>
      </c>
      <c r="K1464" s="14">
        <f t="shared" si="67"/>
        <v>0</v>
      </c>
      <c r="L1464" s="17">
        <f t="shared" si="68"/>
        <v>0</v>
      </c>
      <c r="M1464" s="14"/>
      <c r="N1464" s="16"/>
      <c r="O1464" s="16"/>
      <c r="P1464" s="16"/>
      <c r="Q1464" s="16"/>
      <c r="R1464" s="16"/>
      <c r="S1464" s="16"/>
      <c r="T1464" s="16"/>
      <c r="U1464" s="16"/>
      <c r="V1464" s="16"/>
      <c r="W1464" s="16"/>
      <c r="X1464" s="16"/>
      <c r="Y1464" s="16"/>
      <c r="Z1464" s="16"/>
      <c r="AA1464" s="16"/>
    </row>
    <row r="1465" spans="1:27" s="2" customFormat="1" ht="14">
      <c r="A1465" s="12">
        <v>1277331</v>
      </c>
      <c r="B1465" s="13" t="s">
        <v>14</v>
      </c>
      <c r="C1465" s="13" t="s">
        <v>4161</v>
      </c>
      <c r="D1465" s="13" t="s">
        <v>4162</v>
      </c>
      <c r="E1465" s="13" t="s">
        <v>3750</v>
      </c>
      <c r="F1465" s="14"/>
      <c r="G1465" s="14"/>
      <c r="H1465" s="14"/>
      <c r="I1465" s="14"/>
      <c r="J1465" s="14">
        <f t="shared" si="66"/>
        <v>0</v>
      </c>
      <c r="K1465" s="14">
        <f t="shared" si="67"/>
        <v>0</v>
      </c>
      <c r="L1465" s="17">
        <f t="shared" si="68"/>
        <v>0</v>
      </c>
      <c r="M1465" s="14"/>
      <c r="N1465" s="16"/>
      <c r="O1465" s="16"/>
      <c r="P1465" s="16"/>
      <c r="Q1465" s="16"/>
      <c r="R1465" s="16"/>
      <c r="S1465" s="16"/>
      <c r="T1465" s="16"/>
      <c r="U1465" s="16"/>
      <c r="V1465" s="16"/>
      <c r="W1465" s="16"/>
      <c r="X1465" s="16"/>
      <c r="Y1465" s="16"/>
      <c r="Z1465" s="16"/>
      <c r="AA1465" s="16"/>
    </row>
    <row r="1466" spans="1:27" s="2" customFormat="1" ht="14">
      <c r="A1466" s="12">
        <v>1277346</v>
      </c>
      <c r="B1466" s="13" t="s">
        <v>62</v>
      </c>
      <c r="C1466" s="13" t="s">
        <v>4163</v>
      </c>
      <c r="D1466" s="13" t="s">
        <v>4164</v>
      </c>
      <c r="E1466" s="13" t="s">
        <v>3327</v>
      </c>
      <c r="F1466" s="14"/>
      <c r="G1466" s="14"/>
      <c r="H1466" s="14"/>
      <c r="I1466" s="14"/>
      <c r="J1466" s="14">
        <f t="shared" si="66"/>
        <v>0</v>
      </c>
      <c r="K1466" s="14">
        <f t="shared" si="67"/>
        <v>0</v>
      </c>
      <c r="L1466" s="17">
        <f t="shared" si="68"/>
        <v>0</v>
      </c>
      <c r="M1466" s="14"/>
      <c r="N1466" s="16"/>
      <c r="O1466" s="16"/>
      <c r="P1466" s="16"/>
      <c r="Q1466" s="16"/>
      <c r="R1466" s="16"/>
      <c r="S1466" s="16"/>
      <c r="T1466" s="16"/>
      <c r="U1466" s="16"/>
      <c r="V1466" s="16"/>
      <c r="W1466" s="16"/>
      <c r="X1466" s="16"/>
      <c r="Y1466" s="16"/>
      <c r="Z1466" s="16"/>
      <c r="AA1466" s="16"/>
    </row>
    <row r="1467" spans="1:27" s="2" customFormat="1" ht="14">
      <c r="A1467" s="12">
        <v>1277545</v>
      </c>
      <c r="B1467" s="13" t="s">
        <v>14</v>
      </c>
      <c r="C1467" s="13" t="s">
        <v>4165</v>
      </c>
      <c r="D1467" s="13" t="s">
        <v>4166</v>
      </c>
      <c r="E1467" s="13" t="s">
        <v>3512</v>
      </c>
      <c r="F1467" s="14"/>
      <c r="G1467" s="14"/>
      <c r="H1467" s="14"/>
      <c r="I1467" s="14"/>
      <c r="J1467" s="14">
        <f t="shared" si="66"/>
        <v>0</v>
      </c>
      <c r="K1467" s="14">
        <f t="shared" si="67"/>
        <v>0</v>
      </c>
      <c r="L1467" s="17">
        <f t="shared" si="68"/>
        <v>0</v>
      </c>
      <c r="M1467" s="14"/>
      <c r="N1467" s="16"/>
      <c r="O1467" s="16"/>
      <c r="P1467" s="16"/>
      <c r="Q1467" s="16"/>
      <c r="R1467" s="16"/>
      <c r="S1467" s="16"/>
      <c r="T1467" s="16"/>
      <c r="U1467" s="16"/>
      <c r="V1467" s="16"/>
      <c r="W1467" s="16"/>
      <c r="X1467" s="16"/>
      <c r="Y1467" s="16"/>
      <c r="Z1467" s="16"/>
      <c r="AA1467" s="16"/>
    </row>
    <row r="1468" spans="1:27" s="2" customFormat="1" ht="14">
      <c r="A1468" s="12" t="s">
        <v>4167</v>
      </c>
      <c r="B1468" s="13" t="s">
        <v>62</v>
      </c>
      <c r="C1468" s="13" t="s">
        <v>4168</v>
      </c>
      <c r="D1468" s="13" t="s">
        <v>4169</v>
      </c>
      <c r="E1468" s="13" t="s">
        <v>68</v>
      </c>
      <c r="F1468" s="14"/>
      <c r="G1468" s="14"/>
      <c r="H1468" s="14"/>
      <c r="I1468" s="14"/>
      <c r="J1468" s="14">
        <f t="shared" si="66"/>
        <v>0</v>
      </c>
      <c r="K1468" s="14">
        <f t="shared" si="67"/>
        <v>0</v>
      </c>
      <c r="L1468" s="17">
        <f t="shared" si="68"/>
        <v>0</v>
      </c>
      <c r="M1468" s="14"/>
      <c r="N1468" s="16"/>
      <c r="O1468" s="16"/>
      <c r="P1468" s="16"/>
      <c r="Q1468" s="16"/>
      <c r="R1468" s="16"/>
      <c r="S1468" s="16"/>
      <c r="T1468" s="16"/>
      <c r="U1468" s="16"/>
      <c r="V1468" s="16"/>
      <c r="W1468" s="16"/>
      <c r="X1468" s="16"/>
      <c r="Y1468" s="16"/>
      <c r="Z1468" s="16"/>
      <c r="AA1468" s="16"/>
    </row>
    <row r="1469" spans="1:27" s="2" customFormat="1" ht="14">
      <c r="A1469" s="12">
        <v>1278149</v>
      </c>
      <c r="B1469" s="13" t="s">
        <v>14</v>
      </c>
      <c r="C1469" s="13" t="s">
        <v>4170</v>
      </c>
      <c r="D1469" s="13" t="s">
        <v>4171</v>
      </c>
      <c r="E1469" s="13" t="s">
        <v>3327</v>
      </c>
      <c r="F1469" s="14"/>
      <c r="G1469" s="14"/>
      <c r="H1469" s="14"/>
      <c r="I1469" s="14"/>
      <c r="J1469" s="14">
        <f t="shared" si="66"/>
        <v>0</v>
      </c>
      <c r="K1469" s="14">
        <f t="shared" si="67"/>
        <v>0</v>
      </c>
      <c r="L1469" s="17">
        <f t="shared" si="68"/>
        <v>0</v>
      </c>
      <c r="M1469" s="14"/>
      <c r="N1469" s="16"/>
      <c r="O1469" s="16"/>
      <c r="P1469" s="16"/>
      <c r="Q1469" s="16"/>
      <c r="R1469" s="16"/>
      <c r="S1469" s="16"/>
      <c r="T1469" s="16"/>
      <c r="U1469" s="16"/>
      <c r="V1469" s="16"/>
      <c r="W1469" s="16"/>
      <c r="X1469" s="16"/>
      <c r="Y1469" s="16"/>
      <c r="Z1469" s="16"/>
      <c r="AA1469" s="16"/>
    </row>
    <row r="1470" spans="1:27" s="2" customFormat="1" ht="14">
      <c r="A1470" s="12" t="s">
        <v>4172</v>
      </c>
      <c r="B1470" s="13" t="s">
        <v>14</v>
      </c>
      <c r="C1470" s="13" t="s">
        <v>4173</v>
      </c>
      <c r="D1470" s="13" t="s">
        <v>4174</v>
      </c>
      <c r="E1470" s="13" t="s">
        <v>40</v>
      </c>
      <c r="F1470" s="14"/>
      <c r="G1470" s="14"/>
      <c r="H1470" s="14"/>
      <c r="I1470" s="14"/>
      <c r="J1470" s="14">
        <f t="shared" si="66"/>
        <v>0</v>
      </c>
      <c r="K1470" s="14">
        <f t="shared" si="67"/>
        <v>0</v>
      </c>
      <c r="L1470" s="17">
        <f t="shared" si="68"/>
        <v>0</v>
      </c>
      <c r="M1470" s="14"/>
      <c r="N1470" s="16"/>
      <c r="O1470" s="16"/>
      <c r="P1470" s="16"/>
      <c r="Q1470" s="16"/>
      <c r="R1470" s="16"/>
      <c r="S1470" s="16"/>
      <c r="T1470" s="16"/>
      <c r="U1470" s="16"/>
      <c r="V1470" s="16"/>
      <c r="W1470" s="16"/>
      <c r="X1470" s="16"/>
      <c r="Y1470" s="16"/>
      <c r="Z1470" s="16"/>
      <c r="AA1470" s="16"/>
    </row>
    <row r="1471" spans="1:27" s="2" customFormat="1" ht="14">
      <c r="A1471" s="12">
        <v>2086576</v>
      </c>
      <c r="B1471" s="13" t="s">
        <v>14</v>
      </c>
      <c r="C1471" s="13" t="s">
        <v>4175</v>
      </c>
      <c r="D1471" s="13" t="s">
        <v>4176</v>
      </c>
      <c r="E1471" s="13" t="s">
        <v>3465</v>
      </c>
      <c r="F1471" s="14"/>
      <c r="G1471" s="14"/>
      <c r="H1471" s="14"/>
      <c r="I1471" s="14"/>
      <c r="J1471" s="14">
        <f t="shared" si="66"/>
        <v>0</v>
      </c>
      <c r="K1471" s="14">
        <f t="shared" si="67"/>
        <v>0</v>
      </c>
      <c r="L1471" s="17">
        <f t="shared" si="68"/>
        <v>0</v>
      </c>
      <c r="M1471" s="14"/>
      <c r="N1471" s="16"/>
      <c r="O1471" s="16"/>
      <c r="P1471" s="16"/>
      <c r="Q1471" s="16"/>
      <c r="R1471" s="16"/>
      <c r="S1471" s="16"/>
      <c r="T1471" s="16"/>
      <c r="U1471" s="16"/>
      <c r="V1471" s="16"/>
      <c r="W1471" s="16"/>
      <c r="X1471" s="16"/>
      <c r="Y1471" s="16"/>
      <c r="Z1471" s="16"/>
      <c r="AA1471" s="16"/>
    </row>
    <row r="1472" spans="1:27" s="2" customFormat="1" ht="14">
      <c r="A1472" s="12">
        <v>1278238</v>
      </c>
      <c r="B1472" s="13" t="s">
        <v>14</v>
      </c>
      <c r="C1472" s="13" t="s">
        <v>4177</v>
      </c>
      <c r="D1472" s="13" t="s">
        <v>4178</v>
      </c>
      <c r="E1472" s="13" t="s">
        <v>3872</v>
      </c>
      <c r="F1472" s="14"/>
      <c r="G1472" s="14"/>
      <c r="H1472" s="14"/>
      <c r="I1472" s="14"/>
      <c r="J1472" s="14">
        <f t="shared" si="66"/>
        <v>0</v>
      </c>
      <c r="K1472" s="14">
        <f t="shared" si="67"/>
        <v>0</v>
      </c>
      <c r="L1472" s="17">
        <f t="shared" si="68"/>
        <v>0</v>
      </c>
      <c r="M1472" s="14"/>
      <c r="N1472" s="16"/>
      <c r="O1472" s="16"/>
      <c r="P1472" s="16"/>
      <c r="Q1472" s="16"/>
      <c r="R1472" s="16"/>
      <c r="S1472" s="16"/>
      <c r="T1472" s="16"/>
      <c r="U1472" s="16"/>
      <c r="V1472" s="16"/>
      <c r="W1472" s="16"/>
      <c r="X1472" s="16"/>
      <c r="Y1472" s="16"/>
      <c r="Z1472" s="16"/>
      <c r="AA1472" s="16"/>
    </row>
    <row r="1473" spans="1:27" s="2" customFormat="1" ht="14">
      <c r="A1473" s="12" t="s">
        <v>4179</v>
      </c>
      <c r="B1473" s="13" t="s">
        <v>14</v>
      </c>
      <c r="C1473" s="13" t="s">
        <v>4180</v>
      </c>
      <c r="D1473" s="13" t="s">
        <v>4181</v>
      </c>
      <c r="E1473" s="13" t="s">
        <v>72</v>
      </c>
      <c r="F1473" s="14"/>
      <c r="G1473" s="14"/>
      <c r="H1473" s="14"/>
      <c r="I1473" s="14"/>
      <c r="J1473" s="14">
        <f t="shared" si="66"/>
        <v>0</v>
      </c>
      <c r="K1473" s="14">
        <f t="shared" si="67"/>
        <v>0</v>
      </c>
      <c r="L1473" s="17">
        <f t="shared" si="68"/>
        <v>0</v>
      </c>
      <c r="M1473" s="14"/>
      <c r="N1473" s="16"/>
      <c r="O1473" s="16"/>
      <c r="P1473" s="16"/>
      <c r="Q1473" s="16"/>
      <c r="R1473" s="16"/>
      <c r="S1473" s="16"/>
      <c r="T1473" s="16"/>
      <c r="U1473" s="16"/>
      <c r="V1473" s="16"/>
      <c r="W1473" s="16"/>
      <c r="X1473" s="16"/>
      <c r="Y1473" s="16"/>
      <c r="Z1473" s="16"/>
      <c r="AA1473" s="16"/>
    </row>
    <row r="1474" spans="1:27" s="2" customFormat="1" ht="14">
      <c r="A1474" s="12">
        <v>1247369</v>
      </c>
      <c r="B1474" s="13" t="s">
        <v>14</v>
      </c>
      <c r="C1474" s="13" t="s">
        <v>4182</v>
      </c>
      <c r="D1474" s="13" t="s">
        <v>4183</v>
      </c>
      <c r="E1474" s="13" t="s">
        <v>3402</v>
      </c>
      <c r="F1474" s="14"/>
      <c r="G1474" s="14"/>
      <c r="H1474" s="14"/>
      <c r="I1474" s="14"/>
      <c r="J1474" s="14">
        <f t="shared" ref="J1474:J1537" si="69">IF(G1474&gt;0,1,0)</f>
        <v>0</v>
      </c>
      <c r="K1474" s="14">
        <f t="shared" ref="K1474:K1537" si="70">IF(H1474&gt;0,1,0)</f>
        <v>0</v>
      </c>
      <c r="L1474" s="17">
        <f t="shared" ref="L1474:L1537" si="71">IF(G1474&gt;0,IF(H1474&gt;0,1,0),0)</f>
        <v>0</v>
      </c>
      <c r="M1474" s="14"/>
      <c r="N1474" s="16"/>
      <c r="O1474" s="16"/>
      <c r="P1474" s="16"/>
      <c r="Q1474" s="16"/>
      <c r="R1474" s="16"/>
      <c r="S1474" s="16"/>
      <c r="T1474" s="16"/>
      <c r="U1474" s="16"/>
      <c r="V1474" s="16"/>
      <c r="W1474" s="16"/>
      <c r="X1474" s="16"/>
      <c r="Y1474" s="16"/>
      <c r="Z1474" s="16"/>
      <c r="AA1474" s="16"/>
    </row>
    <row r="1475" spans="1:27" s="2" customFormat="1" ht="14">
      <c r="A1475" s="12">
        <v>1279664</v>
      </c>
      <c r="B1475" s="13" t="s">
        <v>62</v>
      </c>
      <c r="C1475" s="13" t="s">
        <v>4184</v>
      </c>
      <c r="D1475" s="13" t="s">
        <v>4185</v>
      </c>
      <c r="E1475" s="13" t="s">
        <v>3465</v>
      </c>
      <c r="F1475" s="14"/>
      <c r="G1475" s="14"/>
      <c r="H1475" s="14"/>
      <c r="I1475" s="14"/>
      <c r="J1475" s="14">
        <f t="shared" si="69"/>
        <v>0</v>
      </c>
      <c r="K1475" s="14">
        <f t="shared" si="70"/>
        <v>0</v>
      </c>
      <c r="L1475" s="17">
        <f t="shared" si="71"/>
        <v>0</v>
      </c>
      <c r="M1475" s="14"/>
      <c r="N1475" s="16"/>
      <c r="O1475" s="16"/>
      <c r="P1475" s="16"/>
      <c r="Q1475" s="16"/>
      <c r="R1475" s="16"/>
      <c r="S1475" s="16"/>
      <c r="T1475" s="16"/>
      <c r="U1475" s="16"/>
      <c r="V1475" s="16"/>
      <c r="W1475" s="16"/>
      <c r="X1475" s="16"/>
      <c r="Y1475" s="16"/>
      <c r="Z1475" s="16"/>
      <c r="AA1475" s="16"/>
    </row>
    <row r="1476" spans="1:27" s="2" customFormat="1" ht="14">
      <c r="A1476" s="12">
        <v>1280872</v>
      </c>
      <c r="B1476" s="13" t="s">
        <v>14</v>
      </c>
      <c r="C1476" s="13" t="s">
        <v>4186</v>
      </c>
      <c r="D1476" s="13" t="s">
        <v>4187</v>
      </c>
      <c r="E1476" s="13" t="s">
        <v>3509</v>
      </c>
      <c r="F1476" s="14"/>
      <c r="G1476" s="14"/>
      <c r="H1476" s="14"/>
      <c r="I1476" s="14"/>
      <c r="J1476" s="14">
        <f t="shared" si="69"/>
        <v>0</v>
      </c>
      <c r="K1476" s="14">
        <f t="shared" si="70"/>
        <v>0</v>
      </c>
      <c r="L1476" s="17">
        <f t="shared" si="71"/>
        <v>0</v>
      </c>
      <c r="M1476" s="14"/>
      <c r="N1476" s="16"/>
      <c r="O1476" s="16"/>
      <c r="P1476" s="16"/>
      <c r="Q1476" s="16"/>
      <c r="R1476" s="16"/>
      <c r="S1476" s="16"/>
      <c r="T1476" s="16"/>
      <c r="U1476" s="16"/>
      <c r="V1476" s="16"/>
      <c r="W1476" s="16"/>
      <c r="X1476" s="16"/>
      <c r="Y1476" s="16"/>
      <c r="Z1476" s="16"/>
      <c r="AA1476" s="16"/>
    </row>
    <row r="1477" spans="1:27" s="2" customFormat="1" ht="14">
      <c r="A1477" s="12">
        <v>1280976</v>
      </c>
      <c r="B1477" s="13" t="s">
        <v>62</v>
      </c>
      <c r="C1477" s="13" t="s">
        <v>4188</v>
      </c>
      <c r="D1477" s="13" t="s">
        <v>4189</v>
      </c>
      <c r="E1477" s="13" t="s">
        <v>3730</v>
      </c>
      <c r="F1477" s="14"/>
      <c r="G1477" s="14"/>
      <c r="H1477" s="14"/>
      <c r="I1477" s="14"/>
      <c r="J1477" s="14">
        <f t="shared" si="69"/>
        <v>0</v>
      </c>
      <c r="K1477" s="14">
        <f t="shared" si="70"/>
        <v>0</v>
      </c>
      <c r="L1477" s="17">
        <f t="shared" si="71"/>
        <v>0</v>
      </c>
      <c r="M1477" s="14"/>
      <c r="N1477" s="16"/>
      <c r="O1477" s="16"/>
      <c r="P1477" s="16"/>
      <c r="Q1477" s="16"/>
      <c r="R1477" s="16"/>
      <c r="S1477" s="16"/>
      <c r="T1477" s="16"/>
      <c r="U1477" s="16"/>
      <c r="V1477" s="16"/>
      <c r="W1477" s="16"/>
      <c r="X1477" s="16"/>
      <c r="Y1477" s="16"/>
      <c r="Z1477" s="16"/>
      <c r="AA1477" s="16"/>
    </row>
    <row r="1478" spans="1:27" s="2" customFormat="1" ht="14">
      <c r="A1478" s="12" t="s">
        <v>4190</v>
      </c>
      <c r="B1478" s="13" t="s">
        <v>14</v>
      </c>
      <c r="C1478" s="13" t="s">
        <v>4191</v>
      </c>
      <c r="D1478" s="13" t="s">
        <v>4192</v>
      </c>
      <c r="E1478" s="13" t="s">
        <v>446</v>
      </c>
      <c r="F1478" s="14"/>
      <c r="G1478" s="14"/>
      <c r="H1478" s="14"/>
      <c r="I1478" s="14"/>
      <c r="J1478" s="14">
        <f t="shared" si="69"/>
        <v>0</v>
      </c>
      <c r="K1478" s="14">
        <f t="shared" si="70"/>
        <v>0</v>
      </c>
      <c r="L1478" s="17">
        <f t="shared" si="71"/>
        <v>0</v>
      </c>
      <c r="M1478" s="14"/>
      <c r="N1478" s="16"/>
      <c r="O1478" s="16"/>
      <c r="P1478" s="16"/>
      <c r="Q1478" s="16"/>
      <c r="R1478" s="16"/>
      <c r="S1478" s="16"/>
      <c r="T1478" s="16"/>
      <c r="U1478" s="16"/>
      <c r="V1478" s="16"/>
      <c r="W1478" s="16"/>
      <c r="X1478" s="16"/>
      <c r="Y1478" s="16"/>
      <c r="Z1478" s="16"/>
      <c r="AA1478" s="16"/>
    </row>
    <row r="1479" spans="1:27" s="2" customFormat="1" ht="14">
      <c r="A1479" s="12">
        <v>1281480</v>
      </c>
      <c r="B1479" s="13" t="s">
        <v>62</v>
      </c>
      <c r="C1479" s="13" t="s">
        <v>4193</v>
      </c>
      <c r="D1479" s="13" t="s">
        <v>4194</v>
      </c>
      <c r="E1479" s="13" t="s">
        <v>3512</v>
      </c>
      <c r="F1479" s="14"/>
      <c r="G1479" s="14"/>
      <c r="H1479" s="14"/>
      <c r="I1479" s="14"/>
      <c r="J1479" s="14">
        <f t="shared" si="69"/>
        <v>0</v>
      </c>
      <c r="K1479" s="14">
        <f t="shared" si="70"/>
        <v>0</v>
      </c>
      <c r="L1479" s="17">
        <f t="shared" si="71"/>
        <v>0</v>
      </c>
      <c r="M1479" s="14"/>
      <c r="N1479" s="16"/>
      <c r="O1479" s="16"/>
      <c r="P1479" s="16"/>
      <c r="Q1479" s="16"/>
      <c r="R1479" s="16"/>
      <c r="S1479" s="16"/>
      <c r="T1479" s="16"/>
      <c r="U1479" s="16"/>
      <c r="V1479" s="16"/>
      <c r="W1479" s="16"/>
      <c r="X1479" s="16"/>
      <c r="Y1479" s="16"/>
      <c r="Z1479" s="16"/>
      <c r="AA1479" s="16"/>
    </row>
    <row r="1480" spans="1:27" s="2" customFormat="1" ht="14">
      <c r="A1480" s="12">
        <v>1281751</v>
      </c>
      <c r="B1480" s="13" t="s">
        <v>14</v>
      </c>
      <c r="C1480" s="13" t="s">
        <v>4195</v>
      </c>
      <c r="D1480" s="13" t="s">
        <v>4196</v>
      </c>
      <c r="E1480" s="13" t="s">
        <v>3189</v>
      </c>
      <c r="F1480" s="14"/>
      <c r="G1480" s="14"/>
      <c r="H1480" s="14"/>
      <c r="I1480" s="14"/>
      <c r="J1480" s="14">
        <f t="shared" si="69"/>
        <v>0</v>
      </c>
      <c r="K1480" s="14">
        <f t="shared" si="70"/>
        <v>0</v>
      </c>
      <c r="L1480" s="17">
        <f t="shared" si="71"/>
        <v>0</v>
      </c>
      <c r="M1480" s="14"/>
      <c r="N1480" s="16"/>
      <c r="O1480" s="16"/>
      <c r="P1480" s="16"/>
      <c r="Q1480" s="16"/>
      <c r="R1480" s="16"/>
      <c r="S1480" s="16"/>
      <c r="T1480" s="16"/>
      <c r="U1480" s="16"/>
      <c r="V1480" s="16"/>
      <c r="W1480" s="16"/>
      <c r="X1480" s="16"/>
      <c r="Y1480" s="16"/>
      <c r="Z1480" s="16"/>
      <c r="AA1480" s="16"/>
    </row>
    <row r="1481" spans="1:27" s="2" customFormat="1" ht="14">
      <c r="A1481" s="12">
        <v>1281365</v>
      </c>
      <c r="B1481" s="13" t="s">
        <v>14</v>
      </c>
      <c r="C1481" s="13" t="s">
        <v>4197</v>
      </c>
      <c r="D1481" s="13" t="s">
        <v>4198</v>
      </c>
      <c r="E1481" s="13" t="s">
        <v>837</v>
      </c>
      <c r="F1481" s="14"/>
      <c r="G1481" s="14"/>
      <c r="H1481" s="14"/>
      <c r="I1481" s="14"/>
      <c r="J1481" s="14">
        <f t="shared" si="69"/>
        <v>0</v>
      </c>
      <c r="K1481" s="14">
        <f t="shared" si="70"/>
        <v>0</v>
      </c>
      <c r="L1481" s="17">
        <f t="shared" si="71"/>
        <v>0</v>
      </c>
      <c r="M1481" s="14"/>
      <c r="N1481" s="16"/>
      <c r="O1481" s="16"/>
      <c r="P1481" s="16"/>
      <c r="Q1481" s="16"/>
      <c r="R1481" s="16"/>
      <c r="S1481" s="16"/>
      <c r="T1481" s="16"/>
      <c r="U1481" s="16"/>
      <c r="V1481" s="16"/>
      <c r="W1481" s="16"/>
      <c r="X1481" s="16"/>
      <c r="Y1481" s="16"/>
      <c r="Z1481" s="16"/>
      <c r="AA1481" s="16"/>
    </row>
    <row r="1482" spans="1:27" s="2" customFormat="1" ht="14">
      <c r="A1482" s="12">
        <v>1281623</v>
      </c>
      <c r="B1482" s="13" t="s">
        <v>62</v>
      </c>
      <c r="C1482" s="13" t="s">
        <v>4199</v>
      </c>
      <c r="D1482" s="13" t="s">
        <v>4200</v>
      </c>
      <c r="E1482" s="13" t="s">
        <v>3509</v>
      </c>
      <c r="F1482" s="14"/>
      <c r="G1482" s="14"/>
      <c r="H1482" s="14"/>
      <c r="I1482" s="14"/>
      <c r="J1482" s="14">
        <f t="shared" si="69"/>
        <v>0</v>
      </c>
      <c r="K1482" s="14">
        <f t="shared" si="70"/>
        <v>0</v>
      </c>
      <c r="L1482" s="17">
        <f t="shared" si="71"/>
        <v>0</v>
      </c>
      <c r="M1482" s="14"/>
      <c r="N1482" s="16"/>
      <c r="O1482" s="16"/>
      <c r="P1482" s="16"/>
      <c r="Q1482" s="16"/>
      <c r="R1482" s="16"/>
      <c r="S1482" s="16"/>
      <c r="T1482" s="16"/>
      <c r="U1482" s="16"/>
      <c r="V1482" s="16"/>
      <c r="W1482" s="16"/>
      <c r="X1482" s="16"/>
      <c r="Y1482" s="16"/>
      <c r="Z1482" s="16"/>
      <c r="AA1482" s="16"/>
    </row>
    <row r="1483" spans="1:27" s="2" customFormat="1" ht="14">
      <c r="A1483" s="12">
        <v>1281776</v>
      </c>
      <c r="B1483" s="13" t="s">
        <v>62</v>
      </c>
      <c r="C1483" s="13" t="s">
        <v>4201</v>
      </c>
      <c r="D1483" s="13" t="s">
        <v>4202</v>
      </c>
      <c r="E1483" s="13" t="s">
        <v>4203</v>
      </c>
      <c r="F1483" s="14"/>
      <c r="G1483" s="14"/>
      <c r="H1483" s="14"/>
      <c r="I1483" s="14"/>
      <c r="J1483" s="14">
        <f t="shared" si="69"/>
        <v>0</v>
      </c>
      <c r="K1483" s="14">
        <f t="shared" si="70"/>
        <v>0</v>
      </c>
      <c r="L1483" s="17">
        <f t="shared" si="71"/>
        <v>0</v>
      </c>
      <c r="M1483" s="14"/>
      <c r="N1483" s="16"/>
      <c r="O1483" s="16"/>
      <c r="P1483" s="16"/>
      <c r="Q1483" s="16"/>
      <c r="R1483" s="16"/>
      <c r="S1483" s="16"/>
      <c r="T1483" s="16"/>
      <c r="U1483" s="16"/>
      <c r="V1483" s="16"/>
      <c r="W1483" s="16"/>
      <c r="X1483" s="16"/>
      <c r="Y1483" s="16"/>
      <c r="Z1483" s="16"/>
      <c r="AA1483" s="16"/>
    </row>
    <row r="1484" spans="1:27" s="2" customFormat="1" ht="14">
      <c r="A1484" s="12">
        <v>1247977</v>
      </c>
      <c r="B1484" s="13" t="s">
        <v>62</v>
      </c>
      <c r="C1484" s="13" t="s">
        <v>4204</v>
      </c>
      <c r="D1484" s="13" t="s">
        <v>4205</v>
      </c>
      <c r="E1484" s="13" t="s">
        <v>3981</v>
      </c>
      <c r="F1484" s="14"/>
      <c r="G1484" s="14"/>
      <c r="H1484" s="14"/>
      <c r="I1484" s="14"/>
      <c r="J1484" s="14">
        <f t="shared" si="69"/>
        <v>0</v>
      </c>
      <c r="K1484" s="14">
        <f t="shared" si="70"/>
        <v>0</v>
      </c>
      <c r="L1484" s="17">
        <f t="shared" si="71"/>
        <v>0</v>
      </c>
      <c r="M1484" s="14"/>
      <c r="N1484" s="16"/>
      <c r="O1484" s="16"/>
      <c r="P1484" s="16"/>
      <c r="Q1484" s="16"/>
      <c r="R1484" s="16"/>
      <c r="S1484" s="16"/>
      <c r="T1484" s="16"/>
      <c r="U1484" s="16"/>
      <c r="V1484" s="16"/>
      <c r="W1484" s="16"/>
      <c r="X1484" s="16"/>
      <c r="Y1484" s="16"/>
      <c r="Z1484" s="16"/>
      <c r="AA1484" s="16"/>
    </row>
    <row r="1485" spans="1:27" s="2" customFormat="1" ht="14">
      <c r="A1485" s="12" t="s">
        <v>4206</v>
      </c>
      <c r="B1485" s="13" t="s">
        <v>62</v>
      </c>
      <c r="C1485" s="13" t="s">
        <v>4207</v>
      </c>
      <c r="D1485" s="13" t="s">
        <v>4208</v>
      </c>
      <c r="E1485" s="13" t="s">
        <v>354</v>
      </c>
      <c r="F1485" s="14"/>
      <c r="G1485" s="14"/>
      <c r="H1485" s="14"/>
      <c r="I1485" s="14"/>
      <c r="J1485" s="14">
        <f t="shared" si="69"/>
        <v>0</v>
      </c>
      <c r="K1485" s="14">
        <f t="shared" si="70"/>
        <v>0</v>
      </c>
      <c r="L1485" s="17">
        <f t="shared" si="71"/>
        <v>0</v>
      </c>
      <c r="M1485" s="14"/>
      <c r="N1485" s="16"/>
      <c r="O1485" s="16"/>
      <c r="P1485" s="16"/>
      <c r="Q1485" s="16"/>
      <c r="R1485" s="16"/>
      <c r="S1485" s="16"/>
      <c r="T1485" s="16"/>
      <c r="U1485" s="16"/>
      <c r="V1485" s="16"/>
      <c r="W1485" s="16"/>
      <c r="X1485" s="16"/>
      <c r="Y1485" s="16"/>
      <c r="Z1485" s="16"/>
      <c r="AA1485" s="16"/>
    </row>
    <row r="1486" spans="1:27" s="2" customFormat="1" ht="14">
      <c r="A1486" s="12">
        <v>1282255</v>
      </c>
      <c r="B1486" s="13" t="s">
        <v>14</v>
      </c>
      <c r="C1486" s="13" t="s">
        <v>4209</v>
      </c>
      <c r="D1486" s="13" t="s">
        <v>4210</v>
      </c>
      <c r="E1486" s="13" t="s">
        <v>3509</v>
      </c>
      <c r="F1486" s="14"/>
      <c r="G1486" s="14"/>
      <c r="H1486" s="14"/>
      <c r="I1486" s="14"/>
      <c r="J1486" s="14">
        <f t="shared" si="69"/>
        <v>0</v>
      </c>
      <c r="K1486" s="14">
        <f t="shared" si="70"/>
        <v>0</v>
      </c>
      <c r="L1486" s="17">
        <f t="shared" si="71"/>
        <v>0</v>
      </c>
      <c r="M1486" s="14"/>
      <c r="N1486" s="16"/>
      <c r="O1486" s="16"/>
      <c r="P1486" s="16"/>
      <c r="Q1486" s="16"/>
      <c r="R1486" s="16"/>
      <c r="S1486" s="16"/>
      <c r="T1486" s="16"/>
      <c r="U1486" s="16"/>
      <c r="V1486" s="16"/>
      <c r="W1486" s="16"/>
      <c r="X1486" s="16"/>
      <c r="Y1486" s="16"/>
      <c r="Z1486" s="16"/>
      <c r="AA1486" s="16"/>
    </row>
    <row r="1487" spans="1:27" s="2" customFormat="1" ht="14">
      <c r="A1487" s="12" t="s">
        <v>4211</v>
      </c>
      <c r="B1487" s="13" t="s">
        <v>14</v>
      </c>
      <c r="C1487" s="13" t="s">
        <v>4212</v>
      </c>
      <c r="D1487" s="13" t="s">
        <v>4213</v>
      </c>
      <c r="E1487" s="13" t="s">
        <v>267</v>
      </c>
      <c r="F1487" s="14"/>
      <c r="G1487" s="14"/>
      <c r="H1487" s="14"/>
      <c r="I1487" s="14"/>
      <c r="J1487" s="14">
        <f t="shared" si="69"/>
        <v>0</v>
      </c>
      <c r="K1487" s="14">
        <f t="shared" si="70"/>
        <v>0</v>
      </c>
      <c r="L1487" s="17">
        <f t="shared" si="71"/>
        <v>0</v>
      </c>
      <c r="M1487" s="14"/>
      <c r="N1487" s="16"/>
      <c r="O1487" s="16"/>
      <c r="P1487" s="16"/>
      <c r="Q1487" s="16"/>
      <c r="R1487" s="16"/>
      <c r="S1487" s="16"/>
      <c r="T1487" s="16"/>
      <c r="U1487" s="16"/>
      <c r="V1487" s="16"/>
      <c r="W1487" s="16"/>
      <c r="X1487" s="16"/>
      <c r="Y1487" s="16"/>
      <c r="Z1487" s="16"/>
      <c r="AA1487" s="16"/>
    </row>
    <row r="1488" spans="1:27" s="2" customFormat="1" ht="14">
      <c r="A1488" s="12">
        <v>1280086</v>
      </c>
      <c r="B1488" s="13" t="s">
        <v>62</v>
      </c>
      <c r="C1488" s="13" t="s">
        <v>4214</v>
      </c>
      <c r="D1488" s="13" t="s">
        <v>4215</v>
      </c>
      <c r="E1488" s="13" t="s">
        <v>3649</v>
      </c>
      <c r="F1488" s="14"/>
      <c r="G1488" s="14"/>
      <c r="H1488" s="14"/>
      <c r="I1488" s="14"/>
      <c r="J1488" s="14">
        <f t="shared" si="69"/>
        <v>0</v>
      </c>
      <c r="K1488" s="14">
        <f t="shared" si="70"/>
        <v>0</v>
      </c>
      <c r="L1488" s="17">
        <f t="shared" si="71"/>
        <v>0</v>
      </c>
      <c r="M1488" s="14"/>
      <c r="N1488" s="16"/>
      <c r="O1488" s="16"/>
      <c r="P1488" s="16"/>
      <c r="Q1488" s="16"/>
      <c r="R1488" s="16"/>
      <c r="S1488" s="16"/>
      <c r="T1488" s="16"/>
      <c r="U1488" s="16"/>
      <c r="V1488" s="16"/>
      <c r="W1488" s="16"/>
      <c r="X1488" s="16"/>
      <c r="Y1488" s="16"/>
      <c r="Z1488" s="16"/>
      <c r="AA1488" s="16"/>
    </row>
    <row r="1489" spans="1:27" s="2" customFormat="1" ht="14">
      <c r="A1489" s="12">
        <v>1280133</v>
      </c>
      <c r="B1489" s="13" t="s">
        <v>14</v>
      </c>
      <c r="C1489" s="13" t="s">
        <v>4216</v>
      </c>
      <c r="D1489" s="13" t="s">
        <v>4217</v>
      </c>
      <c r="E1489" s="13" t="s">
        <v>3327</v>
      </c>
      <c r="F1489" s="14"/>
      <c r="G1489" s="14"/>
      <c r="H1489" s="14"/>
      <c r="I1489" s="14"/>
      <c r="J1489" s="14">
        <f t="shared" si="69"/>
        <v>0</v>
      </c>
      <c r="K1489" s="14">
        <f t="shared" si="70"/>
        <v>0</v>
      </c>
      <c r="L1489" s="17">
        <f t="shared" si="71"/>
        <v>0</v>
      </c>
      <c r="M1489" s="14"/>
      <c r="N1489" s="16"/>
      <c r="O1489" s="16"/>
      <c r="P1489" s="16"/>
      <c r="Q1489" s="16"/>
      <c r="R1489" s="16"/>
      <c r="S1489" s="16"/>
      <c r="T1489" s="16"/>
      <c r="U1489" s="16"/>
      <c r="V1489" s="16"/>
      <c r="W1489" s="16"/>
      <c r="X1489" s="16"/>
      <c r="Y1489" s="16"/>
      <c r="Z1489" s="16"/>
      <c r="AA1489" s="16"/>
    </row>
    <row r="1490" spans="1:27" s="2" customFormat="1" ht="14">
      <c r="A1490" s="12">
        <v>1280119</v>
      </c>
      <c r="B1490" s="13" t="s">
        <v>14</v>
      </c>
      <c r="C1490" s="13" t="s">
        <v>4218</v>
      </c>
      <c r="D1490" s="13" t="s">
        <v>4219</v>
      </c>
      <c r="E1490" s="13" t="s">
        <v>3606</v>
      </c>
      <c r="F1490" s="14"/>
      <c r="G1490" s="14"/>
      <c r="H1490" s="14"/>
      <c r="I1490" s="14"/>
      <c r="J1490" s="14">
        <f t="shared" si="69"/>
        <v>0</v>
      </c>
      <c r="K1490" s="14">
        <f t="shared" si="70"/>
        <v>0</v>
      </c>
      <c r="L1490" s="17">
        <f t="shared" si="71"/>
        <v>0</v>
      </c>
      <c r="M1490" s="14"/>
      <c r="N1490" s="16"/>
      <c r="O1490" s="16"/>
      <c r="P1490" s="16"/>
      <c r="Q1490" s="16"/>
      <c r="R1490" s="16"/>
      <c r="S1490" s="16"/>
      <c r="T1490" s="16"/>
      <c r="U1490" s="16"/>
      <c r="V1490" s="16"/>
      <c r="W1490" s="16"/>
      <c r="X1490" s="16"/>
      <c r="Y1490" s="16"/>
      <c r="Z1490" s="16"/>
      <c r="AA1490" s="16"/>
    </row>
    <row r="1491" spans="1:27" s="2" customFormat="1" ht="14">
      <c r="A1491" s="12">
        <v>1280125</v>
      </c>
      <c r="B1491" s="13" t="s">
        <v>62</v>
      </c>
      <c r="C1491" s="13" t="s">
        <v>4220</v>
      </c>
      <c r="D1491" s="13" t="s">
        <v>4221</v>
      </c>
      <c r="E1491" s="13" t="s">
        <v>3862</v>
      </c>
      <c r="F1491" s="14"/>
      <c r="G1491" s="14"/>
      <c r="H1491" s="14"/>
      <c r="I1491" s="14"/>
      <c r="J1491" s="14">
        <f t="shared" si="69"/>
        <v>0</v>
      </c>
      <c r="K1491" s="14">
        <f t="shared" si="70"/>
        <v>0</v>
      </c>
      <c r="L1491" s="17">
        <f t="shared" si="71"/>
        <v>0</v>
      </c>
      <c r="M1491" s="14"/>
      <c r="N1491" s="16"/>
      <c r="O1491" s="16"/>
      <c r="P1491" s="16"/>
      <c r="Q1491" s="16"/>
      <c r="R1491" s="16"/>
      <c r="S1491" s="16"/>
      <c r="T1491" s="16"/>
      <c r="U1491" s="16"/>
      <c r="V1491" s="16"/>
      <c r="W1491" s="16"/>
      <c r="X1491" s="16"/>
      <c r="Y1491" s="16"/>
      <c r="Z1491" s="16"/>
      <c r="AA1491" s="16"/>
    </row>
    <row r="1492" spans="1:27" s="2" customFormat="1" ht="14">
      <c r="A1492" s="12">
        <v>1280143</v>
      </c>
      <c r="B1492" s="13" t="s">
        <v>14</v>
      </c>
      <c r="C1492" s="13" t="s">
        <v>4222</v>
      </c>
      <c r="D1492" s="13" t="s">
        <v>4223</v>
      </c>
      <c r="E1492" s="13" t="s">
        <v>3533</v>
      </c>
      <c r="F1492" s="14"/>
      <c r="G1492" s="14"/>
      <c r="H1492" s="14"/>
      <c r="I1492" s="14"/>
      <c r="J1492" s="14">
        <f t="shared" si="69"/>
        <v>0</v>
      </c>
      <c r="K1492" s="14">
        <f t="shared" si="70"/>
        <v>0</v>
      </c>
      <c r="L1492" s="17">
        <f t="shared" si="71"/>
        <v>0</v>
      </c>
      <c r="M1492" s="14"/>
      <c r="N1492" s="16"/>
      <c r="O1492" s="16"/>
      <c r="P1492" s="16"/>
      <c r="Q1492" s="16"/>
      <c r="R1492" s="16"/>
      <c r="S1492" s="16"/>
      <c r="T1492" s="16"/>
      <c r="U1492" s="16"/>
      <c r="V1492" s="16"/>
      <c r="W1492" s="16"/>
      <c r="X1492" s="16"/>
      <c r="Y1492" s="16"/>
      <c r="Z1492" s="16"/>
      <c r="AA1492" s="16"/>
    </row>
    <row r="1493" spans="1:27" s="2" customFormat="1" ht="14">
      <c r="A1493" s="12">
        <v>1280142</v>
      </c>
      <c r="B1493" s="13" t="s">
        <v>62</v>
      </c>
      <c r="C1493" s="13" t="s">
        <v>4224</v>
      </c>
      <c r="D1493" s="13" t="s">
        <v>4225</v>
      </c>
      <c r="E1493" s="13" t="s">
        <v>3796</v>
      </c>
      <c r="F1493" s="14"/>
      <c r="G1493" s="14"/>
      <c r="H1493" s="14"/>
      <c r="I1493" s="14"/>
      <c r="J1493" s="14">
        <f t="shared" si="69"/>
        <v>0</v>
      </c>
      <c r="K1493" s="14">
        <f t="shared" si="70"/>
        <v>0</v>
      </c>
      <c r="L1493" s="17">
        <f t="shared" si="71"/>
        <v>0</v>
      </c>
      <c r="M1493" s="14"/>
      <c r="N1493" s="16"/>
      <c r="O1493" s="16"/>
      <c r="P1493" s="16"/>
      <c r="Q1493" s="16"/>
      <c r="R1493" s="16"/>
      <c r="S1493" s="16"/>
      <c r="T1493" s="16"/>
      <c r="U1493" s="16"/>
      <c r="V1493" s="16"/>
      <c r="W1493" s="16"/>
      <c r="X1493" s="16"/>
      <c r="Y1493" s="16"/>
      <c r="Z1493" s="16"/>
      <c r="AA1493" s="16"/>
    </row>
    <row r="1494" spans="1:27" s="2" customFormat="1" ht="14">
      <c r="A1494" s="12">
        <v>1280129</v>
      </c>
      <c r="B1494" s="13" t="s">
        <v>14</v>
      </c>
      <c r="C1494" s="13" t="s">
        <v>4226</v>
      </c>
      <c r="D1494" s="13" t="s">
        <v>4227</v>
      </c>
      <c r="E1494" s="13" t="s">
        <v>3533</v>
      </c>
      <c r="F1494" s="14"/>
      <c r="G1494" s="14"/>
      <c r="H1494" s="14"/>
      <c r="I1494" s="14"/>
      <c r="J1494" s="14">
        <f t="shared" si="69"/>
        <v>0</v>
      </c>
      <c r="K1494" s="14">
        <f t="shared" si="70"/>
        <v>0</v>
      </c>
      <c r="L1494" s="17">
        <f t="shared" si="71"/>
        <v>0</v>
      </c>
      <c r="M1494" s="14"/>
      <c r="N1494" s="16"/>
      <c r="O1494" s="16"/>
      <c r="P1494" s="16"/>
      <c r="Q1494" s="16"/>
      <c r="R1494" s="16"/>
      <c r="S1494" s="16"/>
      <c r="T1494" s="16"/>
      <c r="U1494" s="16"/>
      <c r="V1494" s="16"/>
      <c r="W1494" s="16"/>
      <c r="X1494" s="16"/>
      <c r="Y1494" s="16"/>
      <c r="Z1494" s="16"/>
      <c r="AA1494" s="16"/>
    </row>
    <row r="1495" spans="1:27" s="2" customFormat="1" ht="14">
      <c r="A1495" s="12">
        <v>1280145</v>
      </c>
      <c r="B1495" s="13" t="s">
        <v>14</v>
      </c>
      <c r="C1495" s="13" t="s">
        <v>4228</v>
      </c>
      <c r="D1495" s="13" t="s">
        <v>4229</v>
      </c>
      <c r="E1495" s="13" t="s">
        <v>837</v>
      </c>
      <c r="F1495" s="14"/>
      <c r="G1495" s="14"/>
      <c r="H1495" s="14"/>
      <c r="I1495" s="14"/>
      <c r="J1495" s="14">
        <f t="shared" si="69"/>
        <v>0</v>
      </c>
      <c r="K1495" s="14">
        <f t="shared" si="70"/>
        <v>0</v>
      </c>
      <c r="L1495" s="17">
        <f t="shared" si="71"/>
        <v>0</v>
      </c>
      <c r="M1495" s="14"/>
      <c r="N1495" s="16"/>
      <c r="O1495" s="16"/>
      <c r="P1495" s="16"/>
      <c r="Q1495" s="16"/>
      <c r="R1495" s="16"/>
      <c r="S1495" s="16"/>
      <c r="T1495" s="16"/>
      <c r="U1495" s="16"/>
      <c r="V1495" s="16"/>
      <c r="W1495" s="16"/>
      <c r="X1495" s="16"/>
      <c r="Y1495" s="16"/>
      <c r="Z1495" s="16"/>
      <c r="AA1495" s="16"/>
    </row>
    <row r="1496" spans="1:27" s="2" customFormat="1" ht="14">
      <c r="A1496" s="12">
        <v>1280149</v>
      </c>
      <c r="B1496" s="13" t="s">
        <v>62</v>
      </c>
      <c r="C1496" s="13" t="s">
        <v>4230</v>
      </c>
      <c r="D1496" s="13" t="s">
        <v>4231</v>
      </c>
      <c r="E1496" s="13" t="s">
        <v>3465</v>
      </c>
      <c r="F1496" s="14"/>
      <c r="G1496" s="14"/>
      <c r="H1496" s="14"/>
      <c r="I1496" s="14"/>
      <c r="J1496" s="14">
        <f t="shared" si="69"/>
        <v>0</v>
      </c>
      <c r="K1496" s="14">
        <f t="shared" si="70"/>
        <v>0</v>
      </c>
      <c r="L1496" s="17">
        <f t="shared" si="71"/>
        <v>0</v>
      </c>
      <c r="M1496" s="14"/>
      <c r="N1496" s="16"/>
      <c r="O1496" s="16"/>
      <c r="P1496" s="16"/>
      <c r="Q1496" s="16"/>
      <c r="R1496" s="16"/>
      <c r="S1496" s="16"/>
      <c r="T1496" s="16"/>
      <c r="U1496" s="16"/>
      <c r="V1496" s="16"/>
      <c r="W1496" s="16"/>
      <c r="X1496" s="16"/>
      <c r="Y1496" s="16"/>
      <c r="Z1496" s="16"/>
      <c r="AA1496" s="16"/>
    </row>
    <row r="1497" spans="1:27" s="2" customFormat="1" ht="14">
      <c r="A1497" s="12">
        <v>1280349</v>
      </c>
      <c r="B1497" s="13" t="s">
        <v>62</v>
      </c>
      <c r="C1497" s="13" t="s">
        <v>4232</v>
      </c>
      <c r="D1497" s="13" t="s">
        <v>4233</v>
      </c>
      <c r="E1497" s="13" t="s">
        <v>3509</v>
      </c>
      <c r="F1497" s="14"/>
      <c r="G1497" s="14"/>
      <c r="H1497" s="14"/>
      <c r="I1497" s="14"/>
      <c r="J1497" s="14">
        <f t="shared" si="69"/>
        <v>0</v>
      </c>
      <c r="K1497" s="14">
        <f t="shared" si="70"/>
        <v>0</v>
      </c>
      <c r="L1497" s="17">
        <f t="shared" si="71"/>
        <v>0</v>
      </c>
      <c r="M1497" s="14"/>
      <c r="N1497" s="16"/>
      <c r="O1497" s="16"/>
      <c r="P1497" s="16"/>
      <c r="Q1497" s="16"/>
      <c r="R1497" s="16"/>
      <c r="S1497" s="16"/>
      <c r="T1497" s="16"/>
      <c r="U1497" s="16"/>
      <c r="V1497" s="16"/>
      <c r="W1497" s="16"/>
      <c r="X1497" s="16"/>
      <c r="Y1497" s="16"/>
      <c r="Z1497" s="16"/>
      <c r="AA1497" s="16"/>
    </row>
    <row r="1498" spans="1:27" s="2" customFormat="1" ht="14">
      <c r="A1498" s="12">
        <v>1282336</v>
      </c>
      <c r="B1498" s="13" t="s">
        <v>62</v>
      </c>
      <c r="C1498" s="13" t="s">
        <v>4234</v>
      </c>
      <c r="D1498" s="13" t="s">
        <v>4235</v>
      </c>
      <c r="E1498" s="13" t="s">
        <v>3465</v>
      </c>
      <c r="F1498" s="14"/>
      <c r="G1498" s="14"/>
      <c r="H1498" s="14"/>
      <c r="I1498" s="14"/>
      <c r="J1498" s="14">
        <f t="shared" si="69"/>
        <v>0</v>
      </c>
      <c r="K1498" s="14">
        <f t="shared" si="70"/>
        <v>0</v>
      </c>
      <c r="L1498" s="17">
        <f t="shared" si="71"/>
        <v>0</v>
      </c>
      <c r="M1498" s="14"/>
      <c r="N1498" s="16"/>
      <c r="O1498" s="16"/>
      <c r="P1498" s="16"/>
      <c r="Q1498" s="16"/>
      <c r="R1498" s="16"/>
      <c r="S1498" s="16"/>
      <c r="T1498" s="16"/>
      <c r="U1498" s="16"/>
      <c r="V1498" s="16"/>
      <c r="W1498" s="16"/>
      <c r="X1498" s="16"/>
      <c r="Y1498" s="16"/>
      <c r="Z1498" s="16"/>
      <c r="AA1498" s="16"/>
    </row>
    <row r="1499" spans="1:27" s="2" customFormat="1" ht="14">
      <c r="A1499" s="12">
        <v>1283100</v>
      </c>
      <c r="B1499" s="13" t="s">
        <v>62</v>
      </c>
      <c r="C1499" s="13" t="s">
        <v>4236</v>
      </c>
      <c r="D1499" s="13" t="s">
        <v>4237</v>
      </c>
      <c r="E1499" s="13" t="s">
        <v>1579</v>
      </c>
      <c r="F1499" s="14"/>
      <c r="G1499" s="14"/>
      <c r="H1499" s="14"/>
      <c r="I1499" s="14"/>
      <c r="J1499" s="14">
        <f t="shared" si="69"/>
        <v>0</v>
      </c>
      <c r="K1499" s="14">
        <f t="shared" si="70"/>
        <v>0</v>
      </c>
      <c r="L1499" s="17">
        <f t="shared" si="71"/>
        <v>0</v>
      </c>
      <c r="M1499" s="14"/>
      <c r="N1499" s="16"/>
      <c r="O1499" s="16"/>
      <c r="P1499" s="16"/>
      <c r="Q1499" s="16"/>
      <c r="R1499" s="16"/>
      <c r="S1499" s="16"/>
      <c r="T1499" s="16"/>
      <c r="U1499" s="16"/>
      <c r="V1499" s="16"/>
      <c r="W1499" s="16"/>
      <c r="X1499" s="16"/>
      <c r="Y1499" s="16"/>
      <c r="Z1499" s="16"/>
      <c r="AA1499" s="16"/>
    </row>
    <row r="1500" spans="1:27" s="2" customFormat="1" ht="14">
      <c r="A1500" s="12">
        <v>1283744</v>
      </c>
      <c r="B1500" s="13" t="s">
        <v>14</v>
      </c>
      <c r="C1500" s="13" t="s">
        <v>4238</v>
      </c>
      <c r="D1500" s="13" t="s">
        <v>4239</v>
      </c>
      <c r="E1500" s="13" t="s">
        <v>3402</v>
      </c>
      <c r="F1500" s="14"/>
      <c r="G1500" s="14"/>
      <c r="H1500" s="14"/>
      <c r="I1500" s="14"/>
      <c r="J1500" s="14">
        <f t="shared" si="69"/>
        <v>0</v>
      </c>
      <c r="K1500" s="14">
        <f t="shared" si="70"/>
        <v>0</v>
      </c>
      <c r="L1500" s="17">
        <f t="shared" si="71"/>
        <v>0</v>
      </c>
      <c r="M1500" s="14"/>
      <c r="N1500" s="16"/>
      <c r="O1500" s="16"/>
      <c r="P1500" s="16"/>
      <c r="Q1500" s="16"/>
      <c r="R1500" s="16"/>
      <c r="S1500" s="16"/>
      <c r="T1500" s="16"/>
      <c r="U1500" s="16"/>
      <c r="V1500" s="16"/>
      <c r="W1500" s="16"/>
      <c r="X1500" s="16"/>
      <c r="Y1500" s="16"/>
      <c r="Z1500" s="16"/>
      <c r="AA1500" s="16"/>
    </row>
    <row r="1501" spans="1:27" s="2" customFormat="1" ht="14">
      <c r="A1501" s="12">
        <v>1283378</v>
      </c>
      <c r="B1501" s="13" t="s">
        <v>14</v>
      </c>
      <c r="C1501" s="13" t="s">
        <v>4240</v>
      </c>
      <c r="D1501" s="13" t="s">
        <v>4241</v>
      </c>
      <c r="E1501" s="13" t="s">
        <v>3402</v>
      </c>
      <c r="F1501" s="14"/>
      <c r="G1501" s="14"/>
      <c r="H1501" s="14"/>
      <c r="I1501" s="14"/>
      <c r="J1501" s="14">
        <f t="shared" si="69"/>
        <v>0</v>
      </c>
      <c r="K1501" s="14">
        <f t="shared" si="70"/>
        <v>0</v>
      </c>
      <c r="L1501" s="17">
        <f t="shared" si="71"/>
        <v>0</v>
      </c>
      <c r="M1501" s="14"/>
      <c r="N1501" s="16"/>
      <c r="O1501" s="16"/>
      <c r="P1501" s="16"/>
      <c r="Q1501" s="16"/>
      <c r="R1501" s="16"/>
      <c r="S1501" s="16"/>
      <c r="T1501" s="16"/>
      <c r="U1501" s="16"/>
      <c r="V1501" s="16"/>
      <c r="W1501" s="16"/>
      <c r="X1501" s="16"/>
      <c r="Y1501" s="16"/>
      <c r="Z1501" s="16"/>
      <c r="AA1501" s="16"/>
    </row>
    <row r="1502" spans="1:27" s="2" customFormat="1" ht="14">
      <c r="A1502" s="12">
        <v>1280253</v>
      </c>
      <c r="B1502" s="13" t="s">
        <v>14</v>
      </c>
      <c r="C1502" s="13" t="s">
        <v>4242</v>
      </c>
      <c r="D1502" s="13" t="s">
        <v>4243</v>
      </c>
      <c r="E1502" s="13" t="s">
        <v>3706</v>
      </c>
      <c r="F1502" s="14"/>
      <c r="G1502" s="14"/>
      <c r="H1502" s="14"/>
      <c r="I1502" s="14"/>
      <c r="J1502" s="14">
        <f t="shared" si="69"/>
        <v>0</v>
      </c>
      <c r="K1502" s="14">
        <f t="shared" si="70"/>
        <v>0</v>
      </c>
      <c r="L1502" s="17">
        <f t="shared" si="71"/>
        <v>0</v>
      </c>
      <c r="M1502" s="14"/>
      <c r="N1502" s="16"/>
      <c r="O1502" s="16"/>
      <c r="P1502" s="16"/>
      <c r="Q1502" s="16"/>
      <c r="R1502" s="16"/>
      <c r="S1502" s="16"/>
      <c r="T1502" s="16"/>
      <c r="U1502" s="16"/>
      <c r="V1502" s="16"/>
      <c r="W1502" s="16"/>
      <c r="X1502" s="16"/>
      <c r="Y1502" s="16"/>
      <c r="Z1502" s="16"/>
      <c r="AA1502" s="16"/>
    </row>
    <row r="1503" spans="1:27" s="2" customFormat="1" ht="14">
      <c r="A1503" s="12">
        <v>1280269</v>
      </c>
      <c r="B1503" s="13" t="s">
        <v>14</v>
      </c>
      <c r="C1503" s="13" t="s">
        <v>4244</v>
      </c>
      <c r="D1503" s="13" t="s">
        <v>4245</v>
      </c>
      <c r="E1503" s="13" t="s">
        <v>3465</v>
      </c>
      <c r="F1503" s="14"/>
      <c r="G1503" s="14"/>
      <c r="H1503" s="14"/>
      <c r="I1503" s="14"/>
      <c r="J1503" s="14">
        <f t="shared" si="69"/>
        <v>0</v>
      </c>
      <c r="K1503" s="14">
        <f t="shared" si="70"/>
        <v>0</v>
      </c>
      <c r="L1503" s="17">
        <f t="shared" si="71"/>
        <v>0</v>
      </c>
      <c r="M1503" s="14"/>
      <c r="N1503" s="16"/>
      <c r="O1503" s="16"/>
      <c r="P1503" s="16"/>
      <c r="Q1503" s="16"/>
      <c r="R1503" s="16"/>
      <c r="S1503" s="16"/>
      <c r="T1503" s="16"/>
      <c r="U1503" s="16"/>
      <c r="V1503" s="16"/>
      <c r="W1503" s="16"/>
      <c r="X1503" s="16"/>
      <c r="Y1503" s="16"/>
      <c r="Z1503" s="16"/>
      <c r="AA1503" s="16"/>
    </row>
    <row r="1504" spans="1:27" s="2" customFormat="1" ht="14">
      <c r="A1504" s="12">
        <v>1280270</v>
      </c>
      <c r="B1504" s="13" t="s">
        <v>62</v>
      </c>
      <c r="C1504" s="13" t="s">
        <v>4246</v>
      </c>
      <c r="D1504" s="13" t="s">
        <v>4247</v>
      </c>
      <c r="E1504" s="13" t="s">
        <v>4049</v>
      </c>
      <c r="F1504" s="14"/>
      <c r="G1504" s="14"/>
      <c r="H1504" s="14"/>
      <c r="I1504" s="14"/>
      <c r="J1504" s="14">
        <f t="shared" si="69"/>
        <v>0</v>
      </c>
      <c r="K1504" s="14">
        <f t="shared" si="70"/>
        <v>0</v>
      </c>
      <c r="L1504" s="17">
        <f t="shared" si="71"/>
        <v>0</v>
      </c>
      <c r="M1504" s="14"/>
      <c r="N1504" s="16"/>
      <c r="O1504" s="16"/>
      <c r="P1504" s="16"/>
      <c r="Q1504" s="16"/>
      <c r="R1504" s="16"/>
      <c r="S1504" s="16"/>
      <c r="T1504" s="16"/>
      <c r="U1504" s="16"/>
      <c r="V1504" s="16"/>
      <c r="W1504" s="16"/>
      <c r="X1504" s="16"/>
      <c r="Y1504" s="16"/>
      <c r="Z1504" s="16"/>
      <c r="AA1504" s="16"/>
    </row>
    <row r="1505" spans="1:27" s="2" customFormat="1" ht="14">
      <c r="A1505" s="12">
        <v>1280287</v>
      </c>
      <c r="B1505" s="13" t="s">
        <v>62</v>
      </c>
      <c r="C1505" s="13" t="s">
        <v>4248</v>
      </c>
      <c r="D1505" s="13" t="s">
        <v>4249</v>
      </c>
      <c r="E1505" s="13" t="s">
        <v>3872</v>
      </c>
      <c r="F1505" s="14"/>
      <c r="G1505" s="14"/>
      <c r="H1505" s="14"/>
      <c r="I1505" s="14"/>
      <c r="J1505" s="14">
        <f t="shared" si="69"/>
        <v>0</v>
      </c>
      <c r="K1505" s="14">
        <f t="shared" si="70"/>
        <v>0</v>
      </c>
      <c r="L1505" s="17">
        <f t="shared" si="71"/>
        <v>0</v>
      </c>
      <c r="M1505" s="14"/>
      <c r="N1505" s="16"/>
      <c r="O1505" s="16"/>
      <c r="P1505" s="16"/>
      <c r="Q1505" s="16"/>
      <c r="R1505" s="16"/>
      <c r="S1505" s="16"/>
      <c r="T1505" s="16"/>
      <c r="U1505" s="16"/>
      <c r="V1505" s="16"/>
      <c r="W1505" s="16"/>
      <c r="X1505" s="16"/>
      <c r="Y1505" s="16"/>
      <c r="Z1505" s="16"/>
      <c r="AA1505" s="16"/>
    </row>
    <row r="1506" spans="1:27" s="2" customFormat="1" ht="14">
      <c r="A1506" s="12">
        <v>1280647</v>
      </c>
      <c r="B1506" s="13" t="s">
        <v>14</v>
      </c>
      <c r="C1506" s="13" t="s">
        <v>4250</v>
      </c>
      <c r="D1506" s="13" t="s">
        <v>4251</v>
      </c>
      <c r="E1506" s="13" t="s">
        <v>3327</v>
      </c>
      <c r="F1506" s="14"/>
      <c r="G1506" s="14"/>
      <c r="H1506" s="14"/>
      <c r="I1506" s="14"/>
      <c r="J1506" s="14">
        <f t="shared" si="69"/>
        <v>0</v>
      </c>
      <c r="K1506" s="14">
        <f t="shared" si="70"/>
        <v>0</v>
      </c>
      <c r="L1506" s="17">
        <f t="shared" si="71"/>
        <v>0</v>
      </c>
      <c r="M1506" s="14"/>
      <c r="N1506" s="16"/>
      <c r="O1506" s="16"/>
      <c r="P1506" s="16"/>
      <c r="Q1506" s="16"/>
      <c r="R1506" s="16"/>
      <c r="S1506" s="16"/>
      <c r="T1506" s="16"/>
      <c r="U1506" s="16"/>
      <c r="V1506" s="16"/>
      <c r="W1506" s="16"/>
      <c r="X1506" s="16"/>
      <c r="Y1506" s="16"/>
      <c r="Z1506" s="16"/>
      <c r="AA1506" s="16"/>
    </row>
    <row r="1507" spans="1:27" s="2" customFormat="1" ht="14">
      <c r="A1507" s="12">
        <v>1284573</v>
      </c>
      <c r="B1507" s="13" t="s">
        <v>14</v>
      </c>
      <c r="C1507" s="13" t="s">
        <v>4252</v>
      </c>
      <c r="D1507" s="13" t="s">
        <v>4253</v>
      </c>
      <c r="E1507" s="13" t="s">
        <v>3324</v>
      </c>
      <c r="F1507" s="14"/>
      <c r="G1507" s="14"/>
      <c r="H1507" s="14"/>
      <c r="I1507" s="14"/>
      <c r="J1507" s="14">
        <f t="shared" si="69"/>
        <v>0</v>
      </c>
      <c r="K1507" s="14">
        <f t="shared" si="70"/>
        <v>0</v>
      </c>
      <c r="L1507" s="17">
        <f t="shared" si="71"/>
        <v>0</v>
      </c>
      <c r="M1507" s="14"/>
      <c r="N1507" s="16"/>
      <c r="O1507" s="16"/>
      <c r="P1507" s="16"/>
      <c r="Q1507" s="16"/>
      <c r="R1507" s="16"/>
      <c r="S1507" s="16"/>
      <c r="T1507" s="16"/>
      <c r="U1507" s="16"/>
      <c r="V1507" s="16"/>
      <c r="W1507" s="16"/>
      <c r="X1507" s="16"/>
      <c r="Y1507" s="16"/>
      <c r="Z1507" s="16"/>
      <c r="AA1507" s="16"/>
    </row>
    <row r="1508" spans="1:27" s="2" customFormat="1" ht="14">
      <c r="A1508" s="12">
        <v>1284436</v>
      </c>
      <c r="B1508" s="13" t="s">
        <v>14</v>
      </c>
      <c r="C1508" s="13" t="s">
        <v>4254</v>
      </c>
      <c r="D1508" s="13" t="s">
        <v>4255</v>
      </c>
      <c r="E1508" s="13" t="s">
        <v>1579</v>
      </c>
      <c r="F1508" s="14"/>
      <c r="G1508" s="14"/>
      <c r="H1508" s="14"/>
      <c r="I1508" s="14"/>
      <c r="J1508" s="14">
        <f t="shared" si="69"/>
        <v>0</v>
      </c>
      <c r="K1508" s="14">
        <f t="shared" si="70"/>
        <v>0</v>
      </c>
      <c r="L1508" s="17">
        <f t="shared" si="71"/>
        <v>0</v>
      </c>
      <c r="M1508" s="14"/>
      <c r="N1508" s="16"/>
      <c r="O1508" s="16"/>
      <c r="P1508" s="16"/>
      <c r="Q1508" s="16"/>
      <c r="R1508" s="16"/>
      <c r="S1508" s="16"/>
      <c r="T1508" s="16"/>
      <c r="U1508" s="16"/>
      <c r="V1508" s="16"/>
      <c r="W1508" s="16"/>
      <c r="X1508" s="16"/>
      <c r="Y1508" s="16"/>
      <c r="Z1508" s="16"/>
      <c r="AA1508" s="16"/>
    </row>
    <row r="1509" spans="1:27" s="2" customFormat="1" ht="14">
      <c r="A1509" s="12" t="s">
        <v>4256</v>
      </c>
      <c r="B1509" s="13" t="s">
        <v>14</v>
      </c>
      <c r="C1509" s="13" t="s">
        <v>4257</v>
      </c>
      <c r="D1509" s="13" t="s">
        <v>4258</v>
      </c>
      <c r="E1509" s="13" t="s">
        <v>156</v>
      </c>
      <c r="F1509" s="14"/>
      <c r="G1509" s="14"/>
      <c r="H1509" s="14"/>
      <c r="I1509" s="14"/>
      <c r="J1509" s="14">
        <f t="shared" si="69"/>
        <v>0</v>
      </c>
      <c r="K1509" s="14">
        <f t="shared" si="70"/>
        <v>0</v>
      </c>
      <c r="L1509" s="17">
        <f t="shared" si="71"/>
        <v>0</v>
      </c>
      <c r="M1509" s="14"/>
      <c r="N1509" s="16"/>
      <c r="O1509" s="16"/>
      <c r="P1509" s="16"/>
      <c r="Q1509" s="16"/>
      <c r="R1509" s="16"/>
      <c r="S1509" s="16"/>
      <c r="T1509" s="16"/>
      <c r="U1509" s="16"/>
      <c r="V1509" s="16"/>
      <c r="W1509" s="16"/>
      <c r="X1509" s="16"/>
      <c r="Y1509" s="16"/>
      <c r="Z1509" s="16"/>
      <c r="AA1509" s="16"/>
    </row>
    <row r="1510" spans="1:27" s="2" customFormat="1" ht="14">
      <c r="A1510" s="12">
        <v>1286322</v>
      </c>
      <c r="B1510" s="13" t="s">
        <v>14</v>
      </c>
      <c r="C1510" s="13" t="s">
        <v>4259</v>
      </c>
      <c r="D1510" s="13" t="s">
        <v>4260</v>
      </c>
      <c r="E1510" s="13" t="s">
        <v>4261</v>
      </c>
      <c r="F1510" s="14"/>
      <c r="G1510" s="14"/>
      <c r="H1510" s="14"/>
      <c r="I1510" s="14"/>
      <c r="J1510" s="14">
        <f t="shared" si="69"/>
        <v>0</v>
      </c>
      <c r="K1510" s="14">
        <f t="shared" si="70"/>
        <v>0</v>
      </c>
      <c r="L1510" s="17">
        <f t="shared" si="71"/>
        <v>0</v>
      </c>
      <c r="M1510" s="14"/>
      <c r="N1510" s="16"/>
      <c r="O1510" s="16"/>
      <c r="P1510" s="16"/>
      <c r="Q1510" s="16"/>
      <c r="R1510" s="16"/>
      <c r="S1510" s="16"/>
      <c r="T1510" s="16"/>
      <c r="U1510" s="16"/>
      <c r="V1510" s="16"/>
      <c r="W1510" s="16"/>
      <c r="X1510" s="16"/>
      <c r="Y1510" s="16"/>
      <c r="Z1510" s="16"/>
      <c r="AA1510" s="16"/>
    </row>
    <row r="1511" spans="1:27" s="2" customFormat="1" ht="14">
      <c r="A1511" s="12">
        <v>1286451</v>
      </c>
      <c r="B1511" s="13" t="s">
        <v>62</v>
      </c>
      <c r="C1511" s="13" t="s">
        <v>4262</v>
      </c>
      <c r="D1511" s="13" t="s">
        <v>4263</v>
      </c>
      <c r="E1511" s="13" t="s">
        <v>1573</v>
      </c>
      <c r="F1511" s="14"/>
      <c r="G1511" s="14"/>
      <c r="H1511" s="14"/>
      <c r="I1511" s="14"/>
      <c r="J1511" s="14">
        <f t="shared" si="69"/>
        <v>0</v>
      </c>
      <c r="K1511" s="14">
        <f t="shared" si="70"/>
        <v>0</v>
      </c>
      <c r="L1511" s="17">
        <f t="shared" si="71"/>
        <v>0</v>
      </c>
      <c r="M1511" s="14"/>
      <c r="N1511" s="16"/>
      <c r="O1511" s="16"/>
      <c r="P1511" s="16"/>
      <c r="Q1511" s="16"/>
      <c r="R1511" s="16"/>
      <c r="S1511" s="16"/>
      <c r="T1511" s="16"/>
      <c r="U1511" s="16"/>
      <c r="V1511" s="16"/>
      <c r="W1511" s="16"/>
      <c r="X1511" s="16"/>
      <c r="Y1511" s="16"/>
      <c r="Z1511" s="16"/>
      <c r="AA1511" s="16"/>
    </row>
    <row r="1512" spans="1:27" s="2" customFormat="1" ht="14">
      <c r="A1512" s="12">
        <v>1286915</v>
      </c>
      <c r="B1512" s="13" t="s">
        <v>62</v>
      </c>
      <c r="C1512" s="13" t="s">
        <v>4264</v>
      </c>
      <c r="D1512" s="13" t="s">
        <v>4265</v>
      </c>
      <c r="E1512" s="13" t="s">
        <v>3327</v>
      </c>
      <c r="F1512" s="14"/>
      <c r="G1512" s="14"/>
      <c r="H1512" s="14"/>
      <c r="I1512" s="14"/>
      <c r="J1512" s="14">
        <f t="shared" si="69"/>
        <v>0</v>
      </c>
      <c r="K1512" s="14">
        <f t="shared" si="70"/>
        <v>0</v>
      </c>
      <c r="L1512" s="17">
        <f t="shared" si="71"/>
        <v>0</v>
      </c>
      <c r="M1512" s="14"/>
      <c r="N1512" s="16"/>
      <c r="O1512" s="16"/>
      <c r="P1512" s="16"/>
      <c r="Q1512" s="16"/>
      <c r="R1512" s="16"/>
      <c r="S1512" s="16"/>
      <c r="T1512" s="16"/>
      <c r="U1512" s="16"/>
      <c r="V1512" s="16"/>
      <c r="W1512" s="16"/>
      <c r="X1512" s="16"/>
      <c r="Y1512" s="16"/>
      <c r="Z1512" s="16"/>
      <c r="AA1512" s="16"/>
    </row>
    <row r="1513" spans="1:27" s="2" customFormat="1" ht="14">
      <c r="A1513" s="12" t="s">
        <v>4266</v>
      </c>
      <c r="B1513" s="13" t="s">
        <v>14</v>
      </c>
      <c r="C1513" s="13" t="s">
        <v>4267</v>
      </c>
      <c r="D1513" s="13" t="s">
        <v>4268</v>
      </c>
      <c r="E1513" s="13" t="s">
        <v>104</v>
      </c>
      <c r="F1513" s="14"/>
      <c r="G1513" s="14"/>
      <c r="H1513" s="14"/>
      <c r="I1513" s="14"/>
      <c r="J1513" s="14">
        <f t="shared" si="69"/>
        <v>0</v>
      </c>
      <c r="K1513" s="14">
        <f t="shared" si="70"/>
        <v>0</v>
      </c>
      <c r="L1513" s="17">
        <f t="shared" si="71"/>
        <v>0</v>
      </c>
      <c r="M1513" s="14"/>
      <c r="N1513" s="16"/>
      <c r="O1513" s="16"/>
      <c r="P1513" s="16"/>
      <c r="Q1513" s="16"/>
      <c r="R1513" s="16"/>
      <c r="S1513" s="16"/>
      <c r="T1513" s="16"/>
      <c r="U1513" s="16"/>
      <c r="V1513" s="16"/>
      <c r="W1513" s="16"/>
      <c r="X1513" s="16"/>
      <c r="Y1513" s="16"/>
      <c r="Z1513" s="16"/>
      <c r="AA1513" s="16"/>
    </row>
    <row r="1514" spans="1:27" s="2" customFormat="1" ht="14">
      <c r="A1514" s="12">
        <v>1287074</v>
      </c>
      <c r="B1514" s="13" t="s">
        <v>62</v>
      </c>
      <c r="C1514" s="13" t="s">
        <v>4269</v>
      </c>
      <c r="D1514" s="13" t="s">
        <v>4270</v>
      </c>
      <c r="E1514" s="13" t="s">
        <v>3843</v>
      </c>
      <c r="F1514" s="14"/>
      <c r="G1514" s="14"/>
      <c r="H1514" s="14"/>
      <c r="I1514" s="14"/>
      <c r="J1514" s="14">
        <f t="shared" si="69"/>
        <v>0</v>
      </c>
      <c r="K1514" s="14">
        <f t="shared" si="70"/>
        <v>0</v>
      </c>
      <c r="L1514" s="17">
        <f t="shared" si="71"/>
        <v>0</v>
      </c>
      <c r="M1514" s="14"/>
      <c r="N1514" s="16"/>
      <c r="O1514" s="16"/>
      <c r="P1514" s="16"/>
      <c r="Q1514" s="16"/>
      <c r="R1514" s="16"/>
      <c r="S1514" s="16"/>
      <c r="T1514" s="16"/>
      <c r="U1514" s="16"/>
      <c r="V1514" s="16"/>
      <c r="W1514" s="16"/>
      <c r="X1514" s="16"/>
      <c r="Y1514" s="16"/>
      <c r="Z1514" s="16"/>
      <c r="AA1514" s="16"/>
    </row>
    <row r="1515" spans="1:27" s="2" customFormat="1" ht="14">
      <c r="A1515" s="12">
        <v>1287206</v>
      </c>
      <c r="B1515" s="13" t="s">
        <v>14</v>
      </c>
      <c r="C1515" s="13" t="s">
        <v>4271</v>
      </c>
      <c r="D1515" s="13" t="s">
        <v>4272</v>
      </c>
      <c r="E1515" s="13" t="s">
        <v>3576</v>
      </c>
      <c r="F1515" s="14"/>
      <c r="G1515" s="14"/>
      <c r="H1515" s="14"/>
      <c r="I1515" s="14"/>
      <c r="J1515" s="14">
        <f t="shared" si="69"/>
        <v>0</v>
      </c>
      <c r="K1515" s="14">
        <f t="shared" si="70"/>
        <v>0</v>
      </c>
      <c r="L1515" s="17">
        <f t="shared" si="71"/>
        <v>0</v>
      </c>
      <c r="M1515" s="14"/>
      <c r="N1515" s="16"/>
      <c r="O1515" s="16"/>
      <c r="P1515" s="16"/>
      <c r="Q1515" s="16"/>
      <c r="R1515" s="16"/>
      <c r="S1515" s="16"/>
      <c r="T1515" s="16"/>
      <c r="U1515" s="16"/>
      <c r="V1515" s="16"/>
      <c r="W1515" s="16"/>
      <c r="X1515" s="16"/>
      <c r="Y1515" s="16"/>
      <c r="Z1515" s="16"/>
      <c r="AA1515" s="16"/>
    </row>
    <row r="1516" spans="1:27" s="2" customFormat="1" ht="14">
      <c r="A1516" s="12">
        <v>1287823</v>
      </c>
      <c r="B1516" s="13" t="s">
        <v>14</v>
      </c>
      <c r="C1516" s="13" t="s">
        <v>4273</v>
      </c>
      <c r="D1516" s="13" t="s">
        <v>4274</v>
      </c>
      <c r="E1516" s="13" t="s">
        <v>3402</v>
      </c>
      <c r="F1516" s="14"/>
      <c r="G1516" s="14"/>
      <c r="H1516" s="14"/>
      <c r="I1516" s="14"/>
      <c r="J1516" s="14">
        <f t="shared" si="69"/>
        <v>0</v>
      </c>
      <c r="K1516" s="14">
        <f t="shared" si="70"/>
        <v>0</v>
      </c>
      <c r="L1516" s="17">
        <f t="shared" si="71"/>
        <v>0</v>
      </c>
      <c r="M1516" s="14"/>
      <c r="N1516" s="16"/>
      <c r="O1516" s="16"/>
      <c r="P1516" s="16"/>
      <c r="Q1516" s="16"/>
      <c r="R1516" s="16"/>
      <c r="S1516" s="16"/>
      <c r="T1516" s="16"/>
      <c r="U1516" s="16"/>
      <c r="V1516" s="16"/>
      <c r="W1516" s="16"/>
      <c r="X1516" s="16"/>
      <c r="Y1516" s="16"/>
      <c r="Z1516" s="16"/>
      <c r="AA1516" s="16"/>
    </row>
    <row r="1517" spans="1:27" s="2" customFormat="1" ht="14">
      <c r="A1517" s="12" t="s">
        <v>4275</v>
      </c>
      <c r="B1517" s="13" t="s">
        <v>14</v>
      </c>
      <c r="C1517" s="13" t="s">
        <v>4276</v>
      </c>
      <c r="D1517" s="13" t="s">
        <v>4277</v>
      </c>
      <c r="E1517" s="13" t="s">
        <v>247</v>
      </c>
      <c r="F1517" s="14"/>
      <c r="G1517" s="14"/>
      <c r="H1517" s="14"/>
      <c r="I1517" s="14"/>
      <c r="J1517" s="14">
        <f t="shared" si="69"/>
        <v>0</v>
      </c>
      <c r="K1517" s="14">
        <f t="shared" si="70"/>
        <v>0</v>
      </c>
      <c r="L1517" s="17">
        <f t="shared" si="71"/>
        <v>0</v>
      </c>
      <c r="M1517" s="14"/>
      <c r="N1517" s="16"/>
      <c r="O1517" s="16"/>
      <c r="P1517" s="16"/>
      <c r="Q1517" s="16"/>
      <c r="R1517" s="16"/>
      <c r="S1517" s="16"/>
      <c r="T1517" s="16"/>
      <c r="U1517" s="16"/>
      <c r="V1517" s="16"/>
      <c r="W1517" s="16"/>
      <c r="X1517" s="16"/>
      <c r="Y1517" s="16"/>
      <c r="Z1517" s="16"/>
      <c r="AA1517" s="16"/>
    </row>
    <row r="1518" spans="1:27" s="2" customFormat="1" ht="14">
      <c r="A1518" s="12">
        <v>1289054</v>
      </c>
      <c r="B1518" s="13" t="s">
        <v>14</v>
      </c>
      <c r="C1518" s="13" t="s">
        <v>4278</v>
      </c>
      <c r="D1518" s="13" t="s">
        <v>4279</v>
      </c>
      <c r="E1518" s="13" t="s">
        <v>3703</v>
      </c>
      <c r="F1518" s="14"/>
      <c r="G1518" s="14"/>
      <c r="H1518" s="14"/>
      <c r="I1518" s="14"/>
      <c r="J1518" s="14">
        <f t="shared" si="69"/>
        <v>0</v>
      </c>
      <c r="K1518" s="14">
        <f t="shared" si="70"/>
        <v>0</v>
      </c>
      <c r="L1518" s="17">
        <f t="shared" si="71"/>
        <v>0</v>
      </c>
      <c r="M1518" s="14"/>
      <c r="N1518" s="16"/>
      <c r="O1518" s="16"/>
      <c r="P1518" s="16"/>
      <c r="Q1518" s="16"/>
      <c r="R1518" s="16"/>
      <c r="S1518" s="16"/>
      <c r="T1518" s="16"/>
      <c r="U1518" s="16"/>
      <c r="V1518" s="16"/>
      <c r="W1518" s="16"/>
      <c r="X1518" s="16"/>
      <c r="Y1518" s="16"/>
      <c r="Z1518" s="16"/>
      <c r="AA1518" s="16"/>
    </row>
    <row r="1519" spans="1:27" s="2" customFormat="1" ht="14">
      <c r="A1519" s="12">
        <v>1286716</v>
      </c>
      <c r="B1519" s="13" t="s">
        <v>14</v>
      </c>
      <c r="C1519" s="13" t="s">
        <v>4280</v>
      </c>
      <c r="D1519" s="13" t="s">
        <v>4281</v>
      </c>
      <c r="E1519" s="13" t="s">
        <v>3465</v>
      </c>
      <c r="F1519" s="14"/>
      <c r="G1519" s="14"/>
      <c r="H1519" s="14"/>
      <c r="I1519" s="14"/>
      <c r="J1519" s="14">
        <f t="shared" si="69"/>
        <v>0</v>
      </c>
      <c r="K1519" s="14">
        <f t="shared" si="70"/>
        <v>0</v>
      </c>
      <c r="L1519" s="17">
        <f t="shared" si="71"/>
        <v>0</v>
      </c>
      <c r="M1519" s="14"/>
      <c r="N1519" s="16"/>
      <c r="O1519" s="16"/>
      <c r="P1519" s="16"/>
      <c r="Q1519" s="16"/>
      <c r="R1519" s="16"/>
      <c r="S1519" s="16"/>
      <c r="T1519" s="16"/>
      <c r="U1519" s="16"/>
      <c r="V1519" s="16"/>
      <c r="W1519" s="16"/>
      <c r="X1519" s="16"/>
      <c r="Y1519" s="16"/>
      <c r="Z1519" s="16"/>
      <c r="AA1519" s="16"/>
    </row>
    <row r="1520" spans="1:27" s="2" customFormat="1" ht="14">
      <c r="A1520" s="12" t="s">
        <v>4282</v>
      </c>
      <c r="B1520" s="13" t="s">
        <v>62</v>
      </c>
      <c r="C1520" s="13" t="s">
        <v>4283</v>
      </c>
      <c r="D1520" s="13" t="s">
        <v>4284</v>
      </c>
      <c r="E1520" s="13" t="s">
        <v>72</v>
      </c>
      <c r="F1520" s="14"/>
      <c r="G1520" s="14"/>
      <c r="H1520" s="14"/>
      <c r="I1520" s="14"/>
      <c r="J1520" s="14">
        <f t="shared" si="69"/>
        <v>0</v>
      </c>
      <c r="K1520" s="14">
        <f t="shared" si="70"/>
        <v>0</v>
      </c>
      <c r="L1520" s="17">
        <f t="shared" si="71"/>
        <v>0</v>
      </c>
      <c r="M1520" s="14"/>
      <c r="N1520" s="16"/>
      <c r="O1520" s="16"/>
      <c r="P1520" s="16"/>
      <c r="Q1520" s="16"/>
      <c r="R1520" s="16"/>
      <c r="S1520" s="16"/>
      <c r="T1520" s="16"/>
      <c r="U1520" s="16"/>
      <c r="V1520" s="16"/>
      <c r="W1520" s="16"/>
      <c r="X1520" s="16"/>
      <c r="Y1520" s="16"/>
      <c r="Z1520" s="16"/>
      <c r="AA1520" s="16"/>
    </row>
    <row r="1521" spans="1:27" s="2" customFormat="1" ht="14">
      <c r="A1521" s="12">
        <v>1286730</v>
      </c>
      <c r="B1521" s="13" t="s">
        <v>14</v>
      </c>
      <c r="C1521" s="13" t="s">
        <v>4285</v>
      </c>
      <c r="D1521" s="13" t="s">
        <v>4286</v>
      </c>
      <c r="E1521" s="13" t="s">
        <v>3803</v>
      </c>
      <c r="F1521" s="14"/>
      <c r="G1521" s="14"/>
      <c r="H1521" s="14"/>
      <c r="I1521" s="14"/>
      <c r="J1521" s="14">
        <f t="shared" si="69"/>
        <v>0</v>
      </c>
      <c r="K1521" s="14">
        <f t="shared" si="70"/>
        <v>0</v>
      </c>
      <c r="L1521" s="17">
        <f t="shared" si="71"/>
        <v>0</v>
      </c>
      <c r="M1521" s="14"/>
      <c r="N1521" s="16"/>
      <c r="O1521" s="16"/>
      <c r="P1521" s="16"/>
      <c r="Q1521" s="16"/>
      <c r="R1521" s="16"/>
      <c r="S1521" s="16"/>
      <c r="T1521" s="16"/>
      <c r="U1521" s="16"/>
      <c r="V1521" s="16"/>
      <c r="W1521" s="16"/>
      <c r="X1521" s="16"/>
      <c r="Y1521" s="16"/>
      <c r="Z1521" s="16"/>
      <c r="AA1521" s="16"/>
    </row>
    <row r="1522" spans="1:27" s="2" customFormat="1" ht="14">
      <c r="A1522" s="12">
        <v>1286731</v>
      </c>
      <c r="B1522" s="13" t="s">
        <v>14</v>
      </c>
      <c r="C1522" s="13" t="s">
        <v>4287</v>
      </c>
      <c r="D1522" s="13" t="s">
        <v>4288</v>
      </c>
      <c r="E1522" s="13" t="s">
        <v>1839</v>
      </c>
      <c r="F1522" s="14"/>
      <c r="G1522" s="14"/>
      <c r="H1522" s="14"/>
      <c r="I1522" s="14"/>
      <c r="J1522" s="14">
        <f t="shared" si="69"/>
        <v>0</v>
      </c>
      <c r="K1522" s="14">
        <f t="shared" si="70"/>
        <v>0</v>
      </c>
      <c r="L1522" s="17">
        <f t="shared" si="71"/>
        <v>0</v>
      </c>
      <c r="M1522" s="14"/>
      <c r="N1522" s="16"/>
      <c r="O1522" s="16"/>
      <c r="P1522" s="16"/>
      <c r="Q1522" s="16"/>
      <c r="R1522" s="16"/>
      <c r="S1522" s="16"/>
      <c r="T1522" s="16"/>
      <c r="U1522" s="16"/>
      <c r="V1522" s="16"/>
      <c r="W1522" s="16"/>
      <c r="X1522" s="16"/>
      <c r="Y1522" s="16"/>
      <c r="Z1522" s="16"/>
      <c r="AA1522" s="16"/>
    </row>
    <row r="1523" spans="1:27" s="2" customFormat="1" ht="14">
      <c r="A1523" s="12">
        <v>1285355</v>
      </c>
      <c r="B1523" s="13" t="s">
        <v>14</v>
      </c>
      <c r="C1523" s="13" t="s">
        <v>4289</v>
      </c>
      <c r="D1523" s="13" t="s">
        <v>4290</v>
      </c>
      <c r="E1523" s="13" t="s">
        <v>3703</v>
      </c>
      <c r="F1523" s="14"/>
      <c r="G1523" s="14"/>
      <c r="H1523" s="14"/>
      <c r="I1523" s="14"/>
      <c r="J1523" s="14">
        <f t="shared" si="69"/>
        <v>0</v>
      </c>
      <c r="K1523" s="14">
        <f t="shared" si="70"/>
        <v>0</v>
      </c>
      <c r="L1523" s="17">
        <f t="shared" si="71"/>
        <v>0</v>
      </c>
      <c r="M1523" s="14"/>
      <c r="N1523" s="16"/>
      <c r="O1523" s="16"/>
      <c r="P1523" s="16"/>
      <c r="Q1523" s="16"/>
      <c r="R1523" s="16"/>
      <c r="S1523" s="16"/>
      <c r="T1523" s="16"/>
      <c r="U1523" s="16"/>
      <c r="V1523" s="16"/>
      <c r="W1523" s="16"/>
      <c r="X1523" s="16"/>
      <c r="Y1523" s="16"/>
      <c r="Z1523" s="16"/>
      <c r="AA1523" s="16"/>
    </row>
    <row r="1524" spans="1:27" s="2" customFormat="1" ht="14">
      <c r="A1524" s="12">
        <v>1288973</v>
      </c>
      <c r="B1524" s="13" t="s">
        <v>14</v>
      </c>
      <c r="C1524" s="13" t="s">
        <v>4291</v>
      </c>
      <c r="D1524" s="13" t="s">
        <v>4292</v>
      </c>
      <c r="E1524" s="13" t="s">
        <v>3576</v>
      </c>
      <c r="F1524" s="14"/>
      <c r="G1524" s="14"/>
      <c r="H1524" s="14"/>
      <c r="I1524" s="14"/>
      <c r="J1524" s="14">
        <f t="shared" si="69"/>
        <v>0</v>
      </c>
      <c r="K1524" s="14">
        <f t="shared" si="70"/>
        <v>0</v>
      </c>
      <c r="L1524" s="17">
        <f t="shared" si="71"/>
        <v>0</v>
      </c>
      <c r="M1524" s="14"/>
      <c r="N1524" s="16"/>
      <c r="O1524" s="16"/>
      <c r="P1524" s="16"/>
      <c r="Q1524" s="16"/>
      <c r="R1524" s="16"/>
      <c r="S1524" s="16"/>
      <c r="T1524" s="16"/>
      <c r="U1524" s="16"/>
      <c r="V1524" s="16"/>
      <c r="W1524" s="16"/>
      <c r="X1524" s="16"/>
      <c r="Y1524" s="16"/>
      <c r="Z1524" s="16"/>
      <c r="AA1524" s="16"/>
    </row>
    <row r="1525" spans="1:27" s="2" customFormat="1" ht="14">
      <c r="A1525" s="12" t="s">
        <v>4293</v>
      </c>
      <c r="B1525" s="13" t="s">
        <v>14</v>
      </c>
      <c r="C1525" s="13" t="s">
        <v>4294</v>
      </c>
      <c r="D1525" s="13" t="s">
        <v>4295</v>
      </c>
      <c r="E1525" s="13" t="s">
        <v>215</v>
      </c>
      <c r="F1525" s="14"/>
      <c r="G1525" s="14"/>
      <c r="H1525" s="14"/>
      <c r="I1525" s="14"/>
      <c r="J1525" s="14">
        <f t="shared" si="69"/>
        <v>0</v>
      </c>
      <c r="K1525" s="14">
        <f t="shared" si="70"/>
        <v>0</v>
      </c>
      <c r="L1525" s="17">
        <f t="shared" si="71"/>
        <v>0</v>
      </c>
      <c r="M1525" s="14"/>
      <c r="N1525" s="16"/>
      <c r="O1525" s="16"/>
      <c r="P1525" s="16"/>
      <c r="Q1525" s="16"/>
      <c r="R1525" s="16"/>
      <c r="S1525" s="16"/>
      <c r="T1525" s="16"/>
      <c r="U1525" s="16"/>
      <c r="V1525" s="16"/>
      <c r="W1525" s="16"/>
      <c r="X1525" s="16"/>
      <c r="Y1525" s="16"/>
      <c r="Z1525" s="16"/>
      <c r="AA1525" s="16"/>
    </row>
    <row r="1526" spans="1:27" s="2" customFormat="1" ht="14">
      <c r="A1526" s="12">
        <v>1289344</v>
      </c>
      <c r="B1526" s="13" t="s">
        <v>14</v>
      </c>
      <c r="C1526" s="13" t="s">
        <v>4296</v>
      </c>
      <c r="D1526" s="13" t="s">
        <v>4297</v>
      </c>
      <c r="E1526" s="13" t="s">
        <v>3703</v>
      </c>
      <c r="F1526" s="14"/>
      <c r="G1526" s="14"/>
      <c r="H1526" s="14"/>
      <c r="I1526" s="14"/>
      <c r="J1526" s="14">
        <f t="shared" si="69"/>
        <v>0</v>
      </c>
      <c r="K1526" s="14">
        <f t="shared" si="70"/>
        <v>0</v>
      </c>
      <c r="L1526" s="17">
        <f t="shared" si="71"/>
        <v>0</v>
      </c>
      <c r="M1526" s="14"/>
      <c r="N1526" s="16"/>
      <c r="O1526" s="16"/>
      <c r="P1526" s="16"/>
      <c r="Q1526" s="16"/>
      <c r="R1526" s="16"/>
      <c r="S1526" s="16"/>
      <c r="T1526" s="16"/>
      <c r="U1526" s="16"/>
      <c r="V1526" s="16"/>
      <c r="W1526" s="16"/>
      <c r="X1526" s="16"/>
      <c r="Y1526" s="16"/>
      <c r="Z1526" s="16"/>
      <c r="AA1526" s="16"/>
    </row>
    <row r="1527" spans="1:27" s="2" customFormat="1" ht="14">
      <c r="A1527" s="12" t="s">
        <v>4298</v>
      </c>
      <c r="B1527" s="13" t="s">
        <v>14</v>
      </c>
      <c r="C1527" s="13" t="s">
        <v>4299</v>
      </c>
      <c r="D1527" s="13" t="s">
        <v>4300</v>
      </c>
      <c r="E1527" s="13" t="s">
        <v>104</v>
      </c>
      <c r="F1527" s="14"/>
      <c r="G1527" s="14"/>
      <c r="H1527" s="14"/>
      <c r="I1527" s="14"/>
      <c r="J1527" s="14">
        <f t="shared" si="69"/>
        <v>0</v>
      </c>
      <c r="K1527" s="14">
        <f t="shared" si="70"/>
        <v>0</v>
      </c>
      <c r="L1527" s="17">
        <f t="shared" si="71"/>
        <v>0</v>
      </c>
      <c r="M1527" s="14"/>
      <c r="N1527" s="16"/>
      <c r="O1527" s="16"/>
      <c r="P1527" s="16"/>
      <c r="Q1527" s="16"/>
      <c r="R1527" s="16"/>
      <c r="S1527" s="16"/>
      <c r="T1527" s="16"/>
      <c r="U1527" s="16"/>
      <c r="V1527" s="16"/>
      <c r="W1527" s="16"/>
      <c r="X1527" s="16"/>
      <c r="Y1527" s="16"/>
      <c r="Z1527" s="16"/>
      <c r="AA1527" s="16"/>
    </row>
    <row r="1528" spans="1:27" s="2" customFormat="1" ht="14">
      <c r="A1528" s="12">
        <v>1289954</v>
      </c>
      <c r="B1528" s="13" t="s">
        <v>14</v>
      </c>
      <c r="C1528" s="13" t="s">
        <v>4301</v>
      </c>
      <c r="D1528" s="13" t="s">
        <v>4302</v>
      </c>
      <c r="E1528" s="13" t="s">
        <v>3533</v>
      </c>
      <c r="F1528" s="14"/>
      <c r="G1528" s="14"/>
      <c r="H1528" s="14"/>
      <c r="I1528" s="14"/>
      <c r="J1528" s="14">
        <f t="shared" si="69"/>
        <v>0</v>
      </c>
      <c r="K1528" s="14">
        <f t="shared" si="70"/>
        <v>0</v>
      </c>
      <c r="L1528" s="17">
        <f t="shared" si="71"/>
        <v>0</v>
      </c>
      <c r="M1528" s="14"/>
      <c r="N1528" s="16"/>
      <c r="O1528" s="16"/>
      <c r="P1528" s="16"/>
      <c r="Q1528" s="16"/>
      <c r="R1528" s="16"/>
      <c r="S1528" s="16"/>
      <c r="T1528" s="16"/>
      <c r="U1528" s="16"/>
      <c r="V1528" s="16"/>
      <c r="W1528" s="16"/>
      <c r="X1528" s="16"/>
      <c r="Y1528" s="16"/>
      <c r="Z1528" s="16"/>
      <c r="AA1528" s="16"/>
    </row>
    <row r="1529" spans="1:27" s="2" customFormat="1" ht="14">
      <c r="A1529" s="12">
        <v>1290112</v>
      </c>
      <c r="B1529" s="13" t="s">
        <v>62</v>
      </c>
      <c r="C1529" s="13" t="s">
        <v>4303</v>
      </c>
      <c r="D1529" s="13" t="s">
        <v>4304</v>
      </c>
      <c r="E1529" s="13" t="s">
        <v>3327</v>
      </c>
      <c r="F1529" s="14"/>
      <c r="G1529" s="14"/>
      <c r="H1529" s="14"/>
      <c r="I1529" s="14"/>
      <c r="J1529" s="14">
        <f t="shared" si="69"/>
        <v>0</v>
      </c>
      <c r="K1529" s="14">
        <f t="shared" si="70"/>
        <v>0</v>
      </c>
      <c r="L1529" s="17">
        <f t="shared" si="71"/>
        <v>0</v>
      </c>
      <c r="M1529" s="14"/>
      <c r="N1529" s="16"/>
      <c r="O1529" s="16"/>
      <c r="P1529" s="16"/>
      <c r="Q1529" s="16"/>
      <c r="R1529" s="16"/>
      <c r="S1529" s="16"/>
      <c r="T1529" s="16"/>
      <c r="U1529" s="16"/>
      <c r="V1529" s="16"/>
      <c r="W1529" s="16"/>
      <c r="X1529" s="16"/>
      <c r="Y1529" s="16"/>
      <c r="Z1529" s="16"/>
      <c r="AA1529" s="16"/>
    </row>
    <row r="1530" spans="1:27" s="2" customFormat="1" ht="14">
      <c r="A1530" s="12">
        <v>1290441</v>
      </c>
      <c r="B1530" s="13" t="s">
        <v>14</v>
      </c>
      <c r="C1530" s="13" t="s">
        <v>4305</v>
      </c>
      <c r="D1530" s="13" t="s">
        <v>4306</v>
      </c>
      <c r="E1530" s="13" t="s">
        <v>3843</v>
      </c>
      <c r="F1530" s="14"/>
      <c r="G1530" s="14"/>
      <c r="H1530" s="14"/>
      <c r="I1530" s="14"/>
      <c r="J1530" s="14">
        <f t="shared" si="69"/>
        <v>0</v>
      </c>
      <c r="K1530" s="14">
        <f t="shared" si="70"/>
        <v>0</v>
      </c>
      <c r="L1530" s="17">
        <f t="shared" si="71"/>
        <v>0</v>
      </c>
      <c r="M1530" s="14"/>
      <c r="N1530" s="16"/>
      <c r="O1530" s="16"/>
      <c r="P1530" s="16"/>
      <c r="Q1530" s="16"/>
      <c r="R1530" s="16"/>
      <c r="S1530" s="16"/>
      <c r="T1530" s="16"/>
      <c r="U1530" s="16"/>
      <c r="V1530" s="16"/>
      <c r="W1530" s="16"/>
      <c r="X1530" s="16"/>
      <c r="Y1530" s="16"/>
      <c r="Z1530" s="16"/>
      <c r="AA1530" s="16"/>
    </row>
    <row r="1531" spans="1:27" s="2" customFormat="1" ht="14">
      <c r="A1531" s="12">
        <v>1286799</v>
      </c>
      <c r="B1531" s="13" t="s">
        <v>14</v>
      </c>
      <c r="C1531" s="13" t="s">
        <v>4307</v>
      </c>
      <c r="D1531" s="13" t="s">
        <v>4308</v>
      </c>
      <c r="E1531" s="13" t="s">
        <v>3402</v>
      </c>
      <c r="F1531" s="14"/>
      <c r="G1531" s="14"/>
      <c r="H1531" s="14"/>
      <c r="I1531" s="14"/>
      <c r="J1531" s="14">
        <f t="shared" si="69"/>
        <v>0</v>
      </c>
      <c r="K1531" s="14">
        <f t="shared" si="70"/>
        <v>0</v>
      </c>
      <c r="L1531" s="17">
        <f t="shared" si="71"/>
        <v>0</v>
      </c>
      <c r="M1531" s="14"/>
      <c r="N1531" s="16"/>
      <c r="O1531" s="16"/>
      <c r="P1531" s="16"/>
      <c r="Q1531" s="16"/>
      <c r="R1531" s="16"/>
      <c r="S1531" s="16"/>
      <c r="T1531" s="16"/>
      <c r="U1531" s="16"/>
      <c r="V1531" s="16"/>
      <c r="W1531" s="16"/>
      <c r="X1531" s="16"/>
      <c r="Y1531" s="16"/>
      <c r="Z1531" s="16"/>
      <c r="AA1531" s="16"/>
    </row>
    <row r="1532" spans="1:27" s="2" customFormat="1" ht="14">
      <c r="A1532" s="12" t="s">
        <v>4309</v>
      </c>
      <c r="B1532" s="13" t="s">
        <v>62</v>
      </c>
      <c r="C1532" s="13" t="s">
        <v>4310</v>
      </c>
      <c r="D1532" s="13" t="s">
        <v>4311</v>
      </c>
      <c r="E1532" s="13" t="s">
        <v>114</v>
      </c>
      <c r="F1532" s="14"/>
      <c r="G1532" s="14"/>
      <c r="H1532" s="14"/>
      <c r="I1532" s="14"/>
      <c r="J1532" s="14">
        <f t="shared" si="69"/>
        <v>0</v>
      </c>
      <c r="K1532" s="14">
        <f t="shared" si="70"/>
        <v>0</v>
      </c>
      <c r="L1532" s="17">
        <f t="shared" si="71"/>
        <v>0</v>
      </c>
      <c r="M1532" s="14"/>
      <c r="N1532" s="16"/>
      <c r="O1532" s="16"/>
      <c r="P1532" s="16"/>
      <c r="Q1532" s="16"/>
      <c r="R1532" s="16"/>
      <c r="S1532" s="16"/>
      <c r="T1532" s="16"/>
      <c r="U1532" s="16"/>
      <c r="V1532" s="16"/>
      <c r="W1532" s="16"/>
      <c r="X1532" s="16"/>
      <c r="Y1532" s="16"/>
      <c r="Z1532" s="16"/>
      <c r="AA1532" s="16"/>
    </row>
    <row r="1533" spans="1:27" s="2" customFormat="1" ht="14">
      <c r="A1533" s="12">
        <v>1291004</v>
      </c>
      <c r="B1533" s="13" t="s">
        <v>14</v>
      </c>
      <c r="C1533" s="13" t="s">
        <v>4312</v>
      </c>
      <c r="D1533" s="13" t="s">
        <v>4313</v>
      </c>
      <c r="E1533" s="13" t="s">
        <v>3750</v>
      </c>
      <c r="F1533" s="14"/>
      <c r="G1533" s="14"/>
      <c r="H1533" s="14"/>
      <c r="I1533" s="14"/>
      <c r="J1533" s="14">
        <f t="shared" si="69"/>
        <v>0</v>
      </c>
      <c r="K1533" s="14">
        <f t="shared" si="70"/>
        <v>0</v>
      </c>
      <c r="L1533" s="17">
        <f t="shared" si="71"/>
        <v>0</v>
      </c>
      <c r="M1533" s="14"/>
      <c r="N1533" s="16"/>
      <c r="O1533" s="16"/>
      <c r="P1533" s="16"/>
      <c r="Q1533" s="16"/>
      <c r="R1533" s="16"/>
      <c r="S1533" s="16"/>
      <c r="T1533" s="16"/>
      <c r="U1533" s="16"/>
      <c r="V1533" s="16"/>
      <c r="W1533" s="16"/>
      <c r="X1533" s="16"/>
      <c r="Y1533" s="16"/>
      <c r="Z1533" s="16"/>
      <c r="AA1533" s="16"/>
    </row>
    <row r="1534" spans="1:27" s="2" customFormat="1" ht="14">
      <c r="A1534" s="12">
        <v>1288488</v>
      </c>
      <c r="B1534" s="13" t="s">
        <v>14</v>
      </c>
      <c r="C1534" s="13" t="s">
        <v>4314</v>
      </c>
      <c r="D1534" s="13" t="s">
        <v>4315</v>
      </c>
      <c r="E1534" s="13" t="s">
        <v>3327</v>
      </c>
      <c r="F1534" s="14"/>
      <c r="G1534" s="14"/>
      <c r="H1534" s="14"/>
      <c r="I1534" s="14"/>
      <c r="J1534" s="14">
        <f t="shared" si="69"/>
        <v>0</v>
      </c>
      <c r="K1534" s="14">
        <f t="shared" si="70"/>
        <v>0</v>
      </c>
      <c r="L1534" s="17">
        <f t="shared" si="71"/>
        <v>0</v>
      </c>
      <c r="M1534" s="14"/>
      <c r="N1534" s="16"/>
      <c r="O1534" s="16"/>
      <c r="P1534" s="16"/>
      <c r="Q1534" s="16"/>
      <c r="R1534" s="16"/>
      <c r="S1534" s="16"/>
      <c r="T1534" s="16"/>
      <c r="U1534" s="16"/>
      <c r="V1534" s="16"/>
      <c r="W1534" s="16"/>
      <c r="X1534" s="16"/>
      <c r="Y1534" s="16"/>
      <c r="Z1534" s="16"/>
      <c r="AA1534" s="16"/>
    </row>
    <row r="1535" spans="1:27" s="2" customFormat="1" ht="14">
      <c r="A1535" s="12">
        <v>1288581</v>
      </c>
      <c r="B1535" s="13" t="s">
        <v>14</v>
      </c>
      <c r="C1535" s="13" t="s">
        <v>4316</v>
      </c>
      <c r="D1535" s="13" t="s">
        <v>4317</v>
      </c>
      <c r="E1535" s="13" t="s">
        <v>3533</v>
      </c>
      <c r="F1535" s="14"/>
      <c r="G1535" s="14"/>
      <c r="H1535" s="14"/>
      <c r="I1535" s="14"/>
      <c r="J1535" s="14">
        <f t="shared" si="69"/>
        <v>0</v>
      </c>
      <c r="K1535" s="14">
        <f t="shared" si="70"/>
        <v>0</v>
      </c>
      <c r="L1535" s="17">
        <f t="shared" si="71"/>
        <v>0</v>
      </c>
      <c r="M1535" s="14"/>
      <c r="N1535" s="16"/>
      <c r="O1535" s="16"/>
      <c r="P1535" s="16"/>
      <c r="Q1535" s="16"/>
      <c r="R1535" s="16"/>
      <c r="S1535" s="16"/>
      <c r="T1535" s="16"/>
      <c r="U1535" s="16"/>
      <c r="V1535" s="16"/>
      <c r="W1535" s="16"/>
      <c r="X1535" s="16"/>
      <c r="Y1535" s="16"/>
      <c r="Z1535" s="16"/>
      <c r="AA1535" s="16"/>
    </row>
    <row r="1536" spans="1:27" s="2" customFormat="1" ht="14">
      <c r="A1536" s="12">
        <v>1292602</v>
      </c>
      <c r="B1536" s="13" t="s">
        <v>14</v>
      </c>
      <c r="C1536" s="13" t="s">
        <v>4318</v>
      </c>
      <c r="D1536" s="13" t="s">
        <v>4319</v>
      </c>
      <c r="E1536" s="13" t="s">
        <v>1579</v>
      </c>
      <c r="F1536" s="14"/>
      <c r="G1536" s="14"/>
      <c r="H1536" s="14"/>
      <c r="I1536" s="14"/>
      <c r="J1536" s="14">
        <f t="shared" si="69"/>
        <v>0</v>
      </c>
      <c r="K1536" s="14">
        <f t="shared" si="70"/>
        <v>0</v>
      </c>
      <c r="L1536" s="17">
        <f t="shared" si="71"/>
        <v>0</v>
      </c>
      <c r="M1536" s="14"/>
      <c r="N1536" s="16"/>
      <c r="O1536" s="16"/>
      <c r="P1536" s="16"/>
      <c r="Q1536" s="16"/>
      <c r="R1536" s="16"/>
      <c r="S1536" s="16"/>
      <c r="T1536" s="16"/>
      <c r="U1536" s="16"/>
      <c r="V1536" s="16"/>
      <c r="W1536" s="16"/>
      <c r="X1536" s="16"/>
      <c r="Y1536" s="16"/>
      <c r="Z1536" s="16"/>
      <c r="AA1536" s="16"/>
    </row>
    <row r="1537" spans="1:27" s="2" customFormat="1" ht="14">
      <c r="A1537" s="12" t="s">
        <v>4320</v>
      </c>
      <c r="B1537" s="13" t="s">
        <v>62</v>
      </c>
      <c r="C1537" s="13" t="s">
        <v>4321</v>
      </c>
      <c r="D1537" s="13" t="s">
        <v>4322</v>
      </c>
      <c r="E1537" s="13" t="s">
        <v>201</v>
      </c>
      <c r="F1537" s="14"/>
      <c r="G1537" s="14"/>
      <c r="H1537" s="14"/>
      <c r="I1537" s="14"/>
      <c r="J1537" s="14">
        <f t="shared" si="69"/>
        <v>0</v>
      </c>
      <c r="K1537" s="14">
        <f t="shared" si="70"/>
        <v>0</v>
      </c>
      <c r="L1537" s="17">
        <f t="shared" si="71"/>
        <v>0</v>
      </c>
      <c r="M1537" s="14"/>
      <c r="N1537" s="16"/>
      <c r="O1537" s="16"/>
      <c r="P1537" s="16"/>
      <c r="Q1537" s="16"/>
      <c r="R1537" s="16"/>
      <c r="S1537" s="16"/>
      <c r="T1537" s="16"/>
      <c r="U1537" s="16"/>
      <c r="V1537" s="16"/>
      <c r="W1537" s="16"/>
      <c r="X1537" s="16"/>
      <c r="Y1537" s="16"/>
      <c r="Z1537" s="16"/>
      <c r="AA1537" s="16"/>
    </row>
    <row r="1538" spans="1:27" s="2" customFormat="1" ht="14">
      <c r="A1538" s="12">
        <v>1293172</v>
      </c>
      <c r="B1538" s="13" t="s">
        <v>14</v>
      </c>
      <c r="C1538" s="13" t="s">
        <v>4323</v>
      </c>
      <c r="D1538" s="13" t="s">
        <v>4324</v>
      </c>
      <c r="E1538" s="13" t="s">
        <v>3506</v>
      </c>
      <c r="F1538" s="14"/>
      <c r="G1538" s="14"/>
      <c r="H1538" s="14"/>
      <c r="I1538" s="14"/>
      <c r="J1538" s="14">
        <f t="shared" ref="J1538:J1601" si="72">IF(G1538&gt;0,1,0)</f>
        <v>0</v>
      </c>
      <c r="K1538" s="14">
        <f t="shared" ref="K1538:K1601" si="73">IF(H1538&gt;0,1,0)</f>
        <v>0</v>
      </c>
      <c r="L1538" s="17">
        <f t="shared" ref="L1538:L1601" si="74">IF(G1538&gt;0,IF(H1538&gt;0,1,0),0)</f>
        <v>0</v>
      </c>
      <c r="M1538" s="14"/>
      <c r="N1538" s="16"/>
      <c r="O1538" s="16"/>
      <c r="P1538" s="16"/>
      <c r="Q1538" s="16"/>
      <c r="R1538" s="16"/>
      <c r="S1538" s="16"/>
      <c r="T1538" s="16"/>
      <c r="U1538" s="16"/>
      <c r="V1538" s="16"/>
      <c r="W1538" s="16"/>
      <c r="X1538" s="16"/>
      <c r="Y1538" s="16"/>
      <c r="Z1538" s="16"/>
      <c r="AA1538" s="16"/>
    </row>
    <row r="1539" spans="1:27" s="2" customFormat="1" ht="14">
      <c r="A1539" s="12">
        <v>1293186</v>
      </c>
      <c r="B1539" s="13" t="s">
        <v>14</v>
      </c>
      <c r="C1539" s="13" t="s">
        <v>4325</v>
      </c>
      <c r="D1539" s="13" t="s">
        <v>4326</v>
      </c>
      <c r="E1539" s="13" t="s">
        <v>3649</v>
      </c>
      <c r="F1539" s="14"/>
      <c r="G1539" s="14"/>
      <c r="H1539" s="14"/>
      <c r="I1539" s="14"/>
      <c r="J1539" s="14">
        <f t="shared" si="72"/>
        <v>0</v>
      </c>
      <c r="K1539" s="14">
        <f t="shared" si="73"/>
        <v>0</v>
      </c>
      <c r="L1539" s="17">
        <f t="shared" si="74"/>
        <v>0</v>
      </c>
      <c r="M1539" s="14"/>
      <c r="N1539" s="16"/>
      <c r="O1539" s="16"/>
      <c r="P1539" s="16"/>
      <c r="Q1539" s="16"/>
      <c r="R1539" s="16"/>
      <c r="S1539" s="16"/>
      <c r="T1539" s="16"/>
      <c r="U1539" s="16"/>
      <c r="V1539" s="16"/>
      <c r="W1539" s="16"/>
      <c r="X1539" s="16"/>
      <c r="Y1539" s="16"/>
      <c r="Z1539" s="16"/>
      <c r="AA1539" s="16"/>
    </row>
    <row r="1540" spans="1:27" s="2" customFormat="1" ht="14">
      <c r="A1540" s="12">
        <v>1293154</v>
      </c>
      <c r="B1540" s="13" t="s">
        <v>14</v>
      </c>
      <c r="C1540" s="13" t="s">
        <v>4327</v>
      </c>
      <c r="D1540" s="13" t="s">
        <v>4328</v>
      </c>
      <c r="E1540" s="13" t="s">
        <v>4049</v>
      </c>
      <c r="F1540" s="14"/>
      <c r="G1540" s="14"/>
      <c r="H1540" s="14"/>
      <c r="I1540" s="14"/>
      <c r="J1540" s="14">
        <f t="shared" si="72"/>
        <v>0</v>
      </c>
      <c r="K1540" s="14">
        <f t="shared" si="73"/>
        <v>0</v>
      </c>
      <c r="L1540" s="17">
        <f t="shared" si="74"/>
        <v>0</v>
      </c>
      <c r="M1540" s="14"/>
      <c r="N1540" s="16"/>
      <c r="O1540" s="16"/>
      <c r="P1540" s="16"/>
      <c r="Q1540" s="16"/>
      <c r="R1540" s="16"/>
      <c r="S1540" s="16"/>
      <c r="T1540" s="16"/>
      <c r="U1540" s="16"/>
      <c r="V1540" s="16"/>
      <c r="W1540" s="16"/>
      <c r="X1540" s="16"/>
      <c r="Y1540" s="16"/>
      <c r="Z1540" s="16"/>
      <c r="AA1540" s="16"/>
    </row>
    <row r="1541" spans="1:27" s="2" customFormat="1" ht="14">
      <c r="A1541" s="12">
        <v>1293187</v>
      </c>
      <c r="B1541" s="13" t="s">
        <v>14</v>
      </c>
      <c r="C1541" s="13" t="s">
        <v>4329</v>
      </c>
      <c r="D1541" s="13" t="s">
        <v>4330</v>
      </c>
      <c r="E1541" s="13" t="s">
        <v>3750</v>
      </c>
      <c r="F1541" s="14"/>
      <c r="G1541" s="14"/>
      <c r="H1541" s="14"/>
      <c r="I1541" s="14"/>
      <c r="J1541" s="14">
        <f t="shared" si="72"/>
        <v>0</v>
      </c>
      <c r="K1541" s="14">
        <f t="shared" si="73"/>
        <v>0</v>
      </c>
      <c r="L1541" s="17">
        <f t="shared" si="74"/>
        <v>0</v>
      </c>
      <c r="M1541" s="14"/>
      <c r="N1541" s="16"/>
      <c r="O1541" s="16"/>
      <c r="P1541" s="16"/>
      <c r="Q1541" s="16"/>
      <c r="R1541" s="16"/>
      <c r="S1541" s="16"/>
      <c r="T1541" s="16"/>
      <c r="U1541" s="16"/>
      <c r="V1541" s="16"/>
      <c r="W1541" s="16"/>
      <c r="X1541" s="16"/>
      <c r="Y1541" s="16"/>
      <c r="Z1541" s="16"/>
      <c r="AA1541" s="16"/>
    </row>
    <row r="1542" spans="1:27" s="2" customFormat="1" ht="14">
      <c r="A1542" s="12">
        <v>1288731</v>
      </c>
      <c r="B1542" s="13" t="s">
        <v>14</v>
      </c>
      <c r="C1542" s="13" t="s">
        <v>4331</v>
      </c>
      <c r="D1542" s="13" t="s">
        <v>4332</v>
      </c>
      <c r="E1542" s="13" t="s">
        <v>3533</v>
      </c>
      <c r="F1542" s="14"/>
      <c r="G1542" s="14"/>
      <c r="H1542" s="14"/>
      <c r="I1542" s="14"/>
      <c r="J1542" s="14">
        <f t="shared" si="72"/>
        <v>0</v>
      </c>
      <c r="K1542" s="14">
        <f t="shared" si="73"/>
        <v>0</v>
      </c>
      <c r="L1542" s="17">
        <f t="shared" si="74"/>
        <v>0</v>
      </c>
      <c r="M1542" s="14"/>
      <c r="N1542" s="16"/>
      <c r="O1542" s="16"/>
      <c r="P1542" s="16"/>
      <c r="Q1542" s="16"/>
      <c r="R1542" s="16"/>
      <c r="S1542" s="16"/>
      <c r="T1542" s="16"/>
      <c r="U1542" s="16"/>
      <c r="V1542" s="16"/>
      <c r="W1542" s="16"/>
      <c r="X1542" s="16"/>
      <c r="Y1542" s="16"/>
      <c r="Z1542" s="16"/>
      <c r="AA1542" s="16"/>
    </row>
    <row r="1543" spans="1:27" s="2" customFormat="1" ht="14">
      <c r="A1543" s="12">
        <v>1293354</v>
      </c>
      <c r="B1543" s="13" t="s">
        <v>14</v>
      </c>
      <c r="C1543" s="13" t="s">
        <v>4333</v>
      </c>
      <c r="D1543" s="13" t="s">
        <v>4334</v>
      </c>
      <c r="E1543" s="13" t="s">
        <v>3576</v>
      </c>
      <c r="F1543" s="14"/>
      <c r="G1543" s="14"/>
      <c r="H1543" s="14"/>
      <c r="I1543" s="14"/>
      <c r="J1543" s="14">
        <f t="shared" si="72"/>
        <v>0</v>
      </c>
      <c r="K1543" s="14">
        <f t="shared" si="73"/>
        <v>0</v>
      </c>
      <c r="L1543" s="17">
        <f t="shared" si="74"/>
        <v>0</v>
      </c>
      <c r="M1543" s="14"/>
      <c r="N1543" s="16"/>
      <c r="O1543" s="16"/>
      <c r="P1543" s="16"/>
      <c r="Q1543" s="16"/>
      <c r="R1543" s="16"/>
      <c r="S1543" s="16"/>
      <c r="T1543" s="16"/>
      <c r="U1543" s="16"/>
      <c r="V1543" s="16"/>
      <c r="W1543" s="16"/>
      <c r="X1543" s="16"/>
      <c r="Y1543" s="16"/>
      <c r="Z1543" s="16"/>
      <c r="AA1543" s="16"/>
    </row>
    <row r="1544" spans="1:27" s="2" customFormat="1" ht="14">
      <c r="A1544" s="12">
        <v>1293569</v>
      </c>
      <c r="B1544" s="13" t="s">
        <v>14</v>
      </c>
      <c r="C1544" s="13" t="s">
        <v>4335</v>
      </c>
      <c r="D1544" s="13" t="s">
        <v>4336</v>
      </c>
      <c r="E1544" s="13" t="s">
        <v>1998</v>
      </c>
      <c r="F1544" s="14"/>
      <c r="G1544" s="14"/>
      <c r="H1544" s="14"/>
      <c r="I1544" s="14"/>
      <c r="J1544" s="14">
        <f t="shared" si="72"/>
        <v>0</v>
      </c>
      <c r="K1544" s="14">
        <f t="shared" si="73"/>
        <v>0</v>
      </c>
      <c r="L1544" s="17">
        <f t="shared" si="74"/>
        <v>0</v>
      </c>
      <c r="M1544" s="14"/>
      <c r="N1544" s="16"/>
      <c r="O1544" s="16"/>
      <c r="P1544" s="16"/>
      <c r="Q1544" s="16"/>
      <c r="R1544" s="16"/>
      <c r="S1544" s="16"/>
      <c r="T1544" s="16"/>
      <c r="U1544" s="16"/>
      <c r="V1544" s="16"/>
      <c r="W1544" s="16"/>
      <c r="X1544" s="16"/>
      <c r="Y1544" s="16"/>
      <c r="Z1544" s="16"/>
      <c r="AA1544" s="16"/>
    </row>
    <row r="1545" spans="1:27" s="2" customFormat="1" ht="14">
      <c r="A1545" s="12" t="s">
        <v>4337</v>
      </c>
      <c r="B1545" s="13" t="s">
        <v>14</v>
      </c>
      <c r="C1545" s="13" t="s">
        <v>4338</v>
      </c>
      <c r="D1545" s="13" t="s">
        <v>4339</v>
      </c>
      <c r="E1545" s="13" t="s">
        <v>72</v>
      </c>
      <c r="F1545" s="14"/>
      <c r="G1545" s="14"/>
      <c r="H1545" s="14"/>
      <c r="I1545" s="14"/>
      <c r="J1545" s="14">
        <f t="shared" si="72"/>
        <v>0</v>
      </c>
      <c r="K1545" s="14">
        <f t="shared" si="73"/>
        <v>0</v>
      </c>
      <c r="L1545" s="17">
        <f t="shared" si="74"/>
        <v>0</v>
      </c>
      <c r="M1545" s="14"/>
      <c r="N1545" s="16"/>
      <c r="O1545" s="16"/>
      <c r="P1545" s="16"/>
      <c r="Q1545" s="16"/>
      <c r="R1545" s="16"/>
      <c r="S1545" s="16"/>
      <c r="T1545" s="16"/>
      <c r="U1545" s="16"/>
      <c r="V1545" s="16"/>
      <c r="W1545" s="16"/>
      <c r="X1545" s="16"/>
      <c r="Y1545" s="16"/>
      <c r="Z1545" s="16"/>
      <c r="AA1545" s="16"/>
    </row>
    <row r="1546" spans="1:27" s="2" customFormat="1" ht="14">
      <c r="A1546" s="12">
        <v>1294057</v>
      </c>
      <c r="B1546" s="13" t="s">
        <v>14</v>
      </c>
      <c r="C1546" s="13" t="s">
        <v>4340</v>
      </c>
      <c r="D1546" s="13" t="s">
        <v>4341</v>
      </c>
      <c r="E1546" s="13" t="s">
        <v>3948</v>
      </c>
      <c r="F1546" s="14"/>
      <c r="G1546" s="14"/>
      <c r="H1546" s="14"/>
      <c r="I1546" s="14"/>
      <c r="J1546" s="14">
        <f t="shared" si="72"/>
        <v>0</v>
      </c>
      <c r="K1546" s="14">
        <f t="shared" si="73"/>
        <v>0</v>
      </c>
      <c r="L1546" s="17">
        <f t="shared" si="74"/>
        <v>0</v>
      </c>
      <c r="M1546" s="14"/>
      <c r="N1546" s="16"/>
      <c r="O1546" s="16"/>
      <c r="P1546" s="16"/>
      <c r="Q1546" s="16"/>
      <c r="R1546" s="16"/>
      <c r="S1546" s="16"/>
      <c r="T1546" s="16"/>
      <c r="U1546" s="16"/>
      <c r="V1546" s="16"/>
      <c r="W1546" s="16"/>
      <c r="X1546" s="16"/>
      <c r="Y1546" s="16"/>
      <c r="Z1546" s="16"/>
      <c r="AA1546" s="16"/>
    </row>
    <row r="1547" spans="1:27" s="2" customFormat="1" ht="14">
      <c r="A1547" s="12">
        <v>1293635</v>
      </c>
      <c r="B1547" s="13" t="s">
        <v>14</v>
      </c>
      <c r="C1547" s="13" t="s">
        <v>4342</v>
      </c>
      <c r="D1547" s="13" t="s">
        <v>4343</v>
      </c>
      <c r="E1547" s="13" t="s">
        <v>3796</v>
      </c>
      <c r="F1547" s="14"/>
      <c r="G1547" s="14"/>
      <c r="H1547" s="14"/>
      <c r="I1547" s="14"/>
      <c r="J1547" s="14">
        <f t="shared" si="72"/>
        <v>0</v>
      </c>
      <c r="K1547" s="14">
        <f t="shared" si="73"/>
        <v>0</v>
      </c>
      <c r="L1547" s="17">
        <f t="shared" si="74"/>
        <v>0</v>
      </c>
      <c r="M1547" s="14"/>
      <c r="N1547" s="16"/>
      <c r="O1547" s="16"/>
      <c r="P1547" s="16"/>
      <c r="Q1547" s="16"/>
      <c r="R1547" s="16"/>
      <c r="S1547" s="16"/>
      <c r="T1547" s="16"/>
      <c r="U1547" s="16"/>
      <c r="V1547" s="16"/>
      <c r="W1547" s="16"/>
      <c r="X1547" s="16"/>
      <c r="Y1547" s="16"/>
      <c r="Z1547" s="16"/>
      <c r="AA1547" s="16"/>
    </row>
    <row r="1548" spans="1:27" s="2" customFormat="1" ht="14">
      <c r="A1548" s="12">
        <v>1291447</v>
      </c>
      <c r="B1548" s="13" t="s">
        <v>14</v>
      </c>
      <c r="C1548" s="13" t="s">
        <v>4344</v>
      </c>
      <c r="D1548" s="13" t="s">
        <v>4345</v>
      </c>
      <c r="E1548" s="13" t="s">
        <v>4346</v>
      </c>
      <c r="F1548" s="14"/>
      <c r="G1548" s="14"/>
      <c r="H1548" s="14"/>
      <c r="I1548" s="14"/>
      <c r="J1548" s="14">
        <f t="shared" si="72"/>
        <v>0</v>
      </c>
      <c r="K1548" s="14">
        <f t="shared" si="73"/>
        <v>0</v>
      </c>
      <c r="L1548" s="17">
        <f t="shared" si="74"/>
        <v>0</v>
      </c>
      <c r="M1548" s="14"/>
      <c r="N1548" s="16"/>
      <c r="O1548" s="16"/>
      <c r="P1548" s="16"/>
      <c r="Q1548" s="16"/>
      <c r="R1548" s="16"/>
      <c r="S1548" s="16"/>
      <c r="T1548" s="16"/>
      <c r="U1548" s="16"/>
      <c r="V1548" s="16"/>
      <c r="W1548" s="16"/>
      <c r="X1548" s="16"/>
      <c r="Y1548" s="16"/>
      <c r="Z1548" s="16"/>
      <c r="AA1548" s="16"/>
    </row>
    <row r="1549" spans="1:27" s="2" customFormat="1" ht="14">
      <c r="A1549" s="12">
        <v>1294735</v>
      </c>
      <c r="B1549" s="13" t="s">
        <v>62</v>
      </c>
      <c r="C1549" s="13" t="s">
        <v>4347</v>
      </c>
      <c r="D1549" s="13" t="s">
        <v>4348</v>
      </c>
      <c r="E1549" s="13" t="s">
        <v>3750</v>
      </c>
      <c r="F1549" s="14"/>
      <c r="G1549" s="14"/>
      <c r="H1549" s="14"/>
      <c r="I1549" s="14"/>
      <c r="J1549" s="14">
        <f t="shared" si="72"/>
        <v>0</v>
      </c>
      <c r="K1549" s="14">
        <f t="shared" si="73"/>
        <v>0</v>
      </c>
      <c r="L1549" s="17">
        <f t="shared" si="74"/>
        <v>0</v>
      </c>
      <c r="M1549" s="14"/>
      <c r="N1549" s="16"/>
      <c r="O1549" s="16"/>
      <c r="P1549" s="16"/>
      <c r="Q1549" s="16"/>
      <c r="R1549" s="16"/>
      <c r="S1549" s="16"/>
      <c r="T1549" s="16"/>
      <c r="U1549" s="16"/>
      <c r="V1549" s="16"/>
      <c r="W1549" s="16"/>
      <c r="X1549" s="16"/>
      <c r="Y1549" s="16"/>
      <c r="Z1549" s="16"/>
      <c r="AA1549" s="16"/>
    </row>
    <row r="1550" spans="1:27" s="2" customFormat="1" ht="14">
      <c r="A1550" s="12" t="s">
        <v>4349</v>
      </c>
      <c r="B1550" s="13" t="s">
        <v>14</v>
      </c>
      <c r="C1550" s="13" t="s">
        <v>4350</v>
      </c>
      <c r="D1550" s="13" t="s">
        <v>4351</v>
      </c>
      <c r="E1550" s="13" t="s">
        <v>29</v>
      </c>
      <c r="F1550" s="14"/>
      <c r="G1550" s="14"/>
      <c r="H1550" s="14"/>
      <c r="I1550" s="14"/>
      <c r="J1550" s="14">
        <f t="shared" si="72"/>
        <v>0</v>
      </c>
      <c r="K1550" s="14">
        <f t="shared" si="73"/>
        <v>0</v>
      </c>
      <c r="L1550" s="17">
        <f t="shared" si="74"/>
        <v>0</v>
      </c>
      <c r="M1550" s="14"/>
      <c r="N1550" s="16"/>
      <c r="O1550" s="16"/>
      <c r="P1550" s="16"/>
      <c r="Q1550" s="16"/>
      <c r="R1550" s="16"/>
      <c r="S1550" s="16"/>
      <c r="T1550" s="16"/>
      <c r="U1550" s="16"/>
      <c r="V1550" s="16"/>
      <c r="W1550" s="16"/>
      <c r="X1550" s="16"/>
      <c r="Y1550" s="16"/>
      <c r="Z1550" s="16"/>
      <c r="AA1550" s="16"/>
    </row>
    <row r="1551" spans="1:27" s="2" customFormat="1" ht="14">
      <c r="A1551" s="12" t="s">
        <v>4352</v>
      </c>
      <c r="B1551" s="13" t="s">
        <v>62</v>
      </c>
      <c r="C1551" s="13" t="s">
        <v>4353</v>
      </c>
      <c r="D1551" s="13" t="s">
        <v>4354</v>
      </c>
      <c r="E1551" s="13" t="s">
        <v>201</v>
      </c>
      <c r="F1551" s="14"/>
      <c r="G1551" s="14"/>
      <c r="H1551" s="14"/>
      <c r="I1551" s="14"/>
      <c r="J1551" s="14">
        <f t="shared" si="72"/>
        <v>0</v>
      </c>
      <c r="K1551" s="14">
        <f t="shared" si="73"/>
        <v>0</v>
      </c>
      <c r="L1551" s="17">
        <f t="shared" si="74"/>
        <v>0</v>
      </c>
      <c r="M1551" s="14"/>
      <c r="N1551" s="16"/>
      <c r="O1551" s="16"/>
      <c r="P1551" s="16"/>
      <c r="Q1551" s="16"/>
      <c r="R1551" s="16"/>
      <c r="S1551" s="16"/>
      <c r="T1551" s="16"/>
      <c r="U1551" s="16"/>
      <c r="V1551" s="16"/>
      <c r="W1551" s="16"/>
      <c r="X1551" s="16"/>
      <c r="Y1551" s="16"/>
      <c r="Z1551" s="16"/>
      <c r="AA1551" s="16"/>
    </row>
    <row r="1552" spans="1:27" s="2" customFormat="1" ht="14">
      <c r="A1552" s="12">
        <v>1291672</v>
      </c>
      <c r="B1552" s="13" t="s">
        <v>14</v>
      </c>
      <c r="C1552" s="13" t="s">
        <v>4355</v>
      </c>
      <c r="D1552" s="13" t="s">
        <v>4356</v>
      </c>
      <c r="E1552" s="13" t="s">
        <v>3750</v>
      </c>
      <c r="F1552" s="14"/>
      <c r="G1552" s="14"/>
      <c r="H1552" s="14"/>
      <c r="I1552" s="14"/>
      <c r="J1552" s="14">
        <f t="shared" si="72"/>
        <v>0</v>
      </c>
      <c r="K1552" s="14">
        <f t="shared" si="73"/>
        <v>0</v>
      </c>
      <c r="L1552" s="17">
        <f t="shared" si="74"/>
        <v>0</v>
      </c>
      <c r="M1552" s="14"/>
      <c r="N1552" s="16"/>
      <c r="O1552" s="16"/>
      <c r="P1552" s="16"/>
      <c r="Q1552" s="16"/>
      <c r="R1552" s="16"/>
      <c r="S1552" s="16"/>
      <c r="T1552" s="16"/>
      <c r="U1552" s="16"/>
      <c r="V1552" s="16"/>
      <c r="W1552" s="16"/>
      <c r="X1552" s="16"/>
      <c r="Y1552" s="16"/>
      <c r="Z1552" s="16"/>
      <c r="AA1552" s="16"/>
    </row>
    <row r="1553" spans="1:27" s="2" customFormat="1" ht="14">
      <c r="A1553" s="12">
        <v>1295083</v>
      </c>
      <c r="B1553" s="13" t="s">
        <v>62</v>
      </c>
      <c r="C1553" s="13" t="s">
        <v>4357</v>
      </c>
      <c r="D1553" s="13" t="s">
        <v>4358</v>
      </c>
      <c r="E1553" s="13" t="s">
        <v>3506</v>
      </c>
      <c r="F1553" s="14"/>
      <c r="G1553" s="14"/>
      <c r="H1553" s="14"/>
      <c r="I1553" s="14"/>
      <c r="J1553" s="14">
        <f t="shared" si="72"/>
        <v>0</v>
      </c>
      <c r="K1553" s="14">
        <f t="shared" si="73"/>
        <v>0</v>
      </c>
      <c r="L1553" s="17">
        <f t="shared" si="74"/>
        <v>0</v>
      </c>
      <c r="M1553" s="14"/>
      <c r="N1553" s="16"/>
      <c r="O1553" s="16"/>
      <c r="P1553" s="16"/>
      <c r="Q1553" s="16"/>
      <c r="R1553" s="16"/>
      <c r="S1553" s="16"/>
      <c r="T1553" s="16"/>
      <c r="U1553" s="16"/>
      <c r="V1553" s="16"/>
      <c r="W1553" s="16"/>
      <c r="X1553" s="16"/>
      <c r="Y1553" s="16"/>
      <c r="Z1553" s="16"/>
      <c r="AA1553" s="16"/>
    </row>
    <row r="1554" spans="1:27" s="2" customFormat="1" ht="14">
      <c r="A1554" s="12" t="s">
        <v>4359</v>
      </c>
      <c r="B1554" s="13" t="s">
        <v>14</v>
      </c>
      <c r="C1554" s="13" t="s">
        <v>4360</v>
      </c>
      <c r="D1554" s="13" t="s">
        <v>4361</v>
      </c>
      <c r="E1554" s="13" t="s">
        <v>43</v>
      </c>
      <c r="F1554" s="14"/>
      <c r="G1554" s="14"/>
      <c r="H1554" s="14"/>
      <c r="I1554" s="14"/>
      <c r="J1554" s="14">
        <f t="shared" si="72"/>
        <v>0</v>
      </c>
      <c r="K1554" s="14">
        <f t="shared" si="73"/>
        <v>0</v>
      </c>
      <c r="L1554" s="17">
        <f t="shared" si="74"/>
        <v>0</v>
      </c>
      <c r="M1554" s="14"/>
      <c r="N1554" s="16"/>
      <c r="O1554" s="16"/>
      <c r="P1554" s="16"/>
      <c r="Q1554" s="16"/>
      <c r="R1554" s="16"/>
      <c r="S1554" s="16"/>
      <c r="T1554" s="16"/>
      <c r="U1554" s="16"/>
      <c r="V1554" s="16"/>
      <c r="W1554" s="16"/>
      <c r="X1554" s="16"/>
      <c r="Y1554" s="16"/>
      <c r="Z1554" s="16"/>
      <c r="AA1554" s="16"/>
    </row>
    <row r="1555" spans="1:27" s="2" customFormat="1" ht="14">
      <c r="A1555" s="12">
        <v>1295158</v>
      </c>
      <c r="B1555" s="13" t="s">
        <v>14</v>
      </c>
      <c r="C1555" s="13" t="s">
        <v>4362</v>
      </c>
      <c r="D1555" s="13" t="s">
        <v>4363</v>
      </c>
      <c r="E1555" s="13" t="s">
        <v>3512</v>
      </c>
      <c r="F1555" s="14"/>
      <c r="G1555" s="14"/>
      <c r="H1555" s="14"/>
      <c r="I1555" s="14"/>
      <c r="J1555" s="14">
        <f t="shared" si="72"/>
        <v>0</v>
      </c>
      <c r="K1555" s="14">
        <f t="shared" si="73"/>
        <v>0</v>
      </c>
      <c r="L1555" s="17">
        <f t="shared" si="74"/>
        <v>0</v>
      </c>
      <c r="M1555" s="14"/>
      <c r="N1555" s="16"/>
      <c r="O1555" s="16"/>
      <c r="P1555" s="16"/>
      <c r="Q1555" s="16"/>
      <c r="R1555" s="16"/>
      <c r="S1555" s="16"/>
      <c r="T1555" s="16"/>
      <c r="U1555" s="16"/>
      <c r="V1555" s="16"/>
      <c r="W1555" s="16"/>
      <c r="X1555" s="16"/>
      <c r="Y1555" s="16"/>
      <c r="Z1555" s="16"/>
      <c r="AA1555" s="16"/>
    </row>
    <row r="1556" spans="1:27" s="2" customFormat="1" ht="14">
      <c r="A1556" s="12">
        <v>1294505</v>
      </c>
      <c r="B1556" s="13" t="s">
        <v>14</v>
      </c>
      <c r="C1556" s="13" t="s">
        <v>4364</v>
      </c>
      <c r="D1556" s="13" t="s">
        <v>4365</v>
      </c>
      <c r="E1556" s="13" t="s">
        <v>3632</v>
      </c>
      <c r="F1556" s="14"/>
      <c r="G1556" s="14"/>
      <c r="H1556" s="14"/>
      <c r="I1556" s="14"/>
      <c r="J1556" s="14">
        <f t="shared" si="72"/>
        <v>0</v>
      </c>
      <c r="K1556" s="14">
        <f t="shared" si="73"/>
        <v>0</v>
      </c>
      <c r="L1556" s="17">
        <f t="shared" si="74"/>
        <v>0</v>
      </c>
      <c r="M1556" s="14"/>
      <c r="N1556" s="16"/>
      <c r="O1556" s="16"/>
      <c r="P1556" s="16"/>
      <c r="Q1556" s="16"/>
      <c r="R1556" s="16"/>
      <c r="S1556" s="16"/>
      <c r="T1556" s="16"/>
      <c r="U1556" s="16"/>
      <c r="V1556" s="16"/>
      <c r="W1556" s="16"/>
      <c r="X1556" s="16"/>
      <c r="Y1556" s="16"/>
      <c r="Z1556" s="16"/>
      <c r="AA1556" s="16"/>
    </row>
    <row r="1557" spans="1:27" s="2" customFormat="1" ht="14">
      <c r="A1557" s="12">
        <v>1295436</v>
      </c>
      <c r="B1557" s="13" t="s">
        <v>14</v>
      </c>
      <c r="C1557" s="13" t="s">
        <v>4366</v>
      </c>
      <c r="D1557" s="13" t="s">
        <v>4367</v>
      </c>
      <c r="E1557" s="13" t="s">
        <v>3750</v>
      </c>
      <c r="F1557" s="14"/>
      <c r="G1557" s="14"/>
      <c r="H1557" s="14"/>
      <c r="I1557" s="14"/>
      <c r="J1557" s="14">
        <f t="shared" si="72"/>
        <v>0</v>
      </c>
      <c r="K1557" s="14">
        <f t="shared" si="73"/>
        <v>0</v>
      </c>
      <c r="L1557" s="17">
        <f t="shared" si="74"/>
        <v>0</v>
      </c>
      <c r="M1557" s="14"/>
      <c r="N1557" s="16"/>
      <c r="O1557" s="16"/>
      <c r="P1557" s="16"/>
      <c r="Q1557" s="16"/>
      <c r="R1557" s="16"/>
      <c r="S1557" s="16"/>
      <c r="T1557" s="16"/>
      <c r="U1557" s="16"/>
      <c r="V1557" s="16"/>
      <c r="W1557" s="16"/>
      <c r="X1557" s="16"/>
      <c r="Y1557" s="16"/>
      <c r="Z1557" s="16"/>
      <c r="AA1557" s="16"/>
    </row>
    <row r="1558" spans="1:27" s="2" customFormat="1" ht="14">
      <c r="A1558" s="12">
        <v>1296936</v>
      </c>
      <c r="B1558" s="13" t="s">
        <v>14</v>
      </c>
      <c r="C1558" s="13" t="s">
        <v>4368</v>
      </c>
      <c r="D1558" s="13" t="s">
        <v>4369</v>
      </c>
      <c r="E1558" s="13" t="s">
        <v>3327</v>
      </c>
      <c r="F1558" s="14"/>
      <c r="G1558" s="14"/>
      <c r="H1558" s="14"/>
      <c r="I1558" s="14"/>
      <c r="J1558" s="14">
        <f t="shared" si="72"/>
        <v>0</v>
      </c>
      <c r="K1558" s="14">
        <f t="shared" si="73"/>
        <v>0</v>
      </c>
      <c r="L1558" s="17">
        <f t="shared" si="74"/>
        <v>0</v>
      </c>
      <c r="M1558" s="14"/>
      <c r="N1558" s="16"/>
      <c r="O1558" s="16"/>
      <c r="P1558" s="16"/>
      <c r="Q1558" s="16"/>
      <c r="R1558" s="16"/>
      <c r="S1558" s="16"/>
      <c r="T1558" s="16"/>
      <c r="U1558" s="16"/>
      <c r="V1558" s="16"/>
      <c r="W1558" s="16"/>
      <c r="X1558" s="16"/>
      <c r="Y1558" s="16"/>
      <c r="Z1558" s="16"/>
      <c r="AA1558" s="16"/>
    </row>
    <row r="1559" spans="1:27" s="2" customFormat="1" ht="14">
      <c r="A1559" s="12" t="s">
        <v>4370</v>
      </c>
      <c r="B1559" s="13" t="s">
        <v>14</v>
      </c>
      <c r="C1559" s="13" t="s">
        <v>4371</v>
      </c>
      <c r="D1559" s="13" t="s">
        <v>4372</v>
      </c>
      <c r="E1559" s="13" t="s">
        <v>156</v>
      </c>
      <c r="F1559" s="14"/>
      <c r="G1559" s="14"/>
      <c r="H1559" s="14"/>
      <c r="I1559" s="14"/>
      <c r="J1559" s="14">
        <f t="shared" si="72"/>
        <v>0</v>
      </c>
      <c r="K1559" s="14">
        <f t="shared" si="73"/>
        <v>0</v>
      </c>
      <c r="L1559" s="17">
        <f t="shared" si="74"/>
        <v>0</v>
      </c>
      <c r="M1559" s="14"/>
      <c r="N1559" s="16"/>
      <c r="O1559" s="16"/>
      <c r="P1559" s="16"/>
      <c r="Q1559" s="16"/>
      <c r="R1559" s="16"/>
      <c r="S1559" s="16"/>
      <c r="T1559" s="16"/>
      <c r="U1559" s="16"/>
      <c r="V1559" s="16"/>
      <c r="W1559" s="16"/>
      <c r="X1559" s="16"/>
      <c r="Y1559" s="16"/>
      <c r="Z1559" s="16"/>
      <c r="AA1559" s="16"/>
    </row>
    <row r="1560" spans="1:27" s="2" customFormat="1" ht="14">
      <c r="A1560" s="12" t="s">
        <v>4373</v>
      </c>
      <c r="B1560" s="13" t="s">
        <v>14</v>
      </c>
      <c r="C1560" s="13" t="s">
        <v>4374</v>
      </c>
      <c r="D1560" s="13" t="s">
        <v>4375</v>
      </c>
      <c r="E1560" s="13" t="s">
        <v>156</v>
      </c>
      <c r="F1560" s="14"/>
      <c r="G1560" s="14"/>
      <c r="H1560" s="14"/>
      <c r="I1560" s="14"/>
      <c r="J1560" s="14">
        <f t="shared" si="72"/>
        <v>0</v>
      </c>
      <c r="K1560" s="14">
        <f t="shared" si="73"/>
        <v>0</v>
      </c>
      <c r="L1560" s="17">
        <f t="shared" si="74"/>
        <v>0</v>
      </c>
      <c r="M1560" s="14"/>
      <c r="N1560" s="16"/>
      <c r="O1560" s="16"/>
      <c r="P1560" s="16"/>
      <c r="Q1560" s="16"/>
      <c r="R1560" s="16"/>
      <c r="S1560" s="16"/>
      <c r="T1560" s="16"/>
      <c r="U1560" s="16"/>
      <c r="V1560" s="16"/>
      <c r="W1560" s="16"/>
      <c r="X1560" s="16"/>
      <c r="Y1560" s="16"/>
      <c r="Z1560" s="16"/>
      <c r="AA1560" s="16"/>
    </row>
    <row r="1561" spans="1:27" s="2" customFormat="1" ht="14">
      <c r="A1561" s="12" t="s">
        <v>4376</v>
      </c>
      <c r="B1561" s="13" t="s">
        <v>14</v>
      </c>
      <c r="C1561" s="13" t="s">
        <v>4377</v>
      </c>
      <c r="D1561" s="13" t="s">
        <v>4378</v>
      </c>
      <c r="E1561" s="13" t="s">
        <v>205</v>
      </c>
      <c r="F1561" s="14"/>
      <c r="G1561" s="14"/>
      <c r="H1561" s="14"/>
      <c r="I1561" s="14"/>
      <c r="J1561" s="14">
        <f t="shared" si="72"/>
        <v>0</v>
      </c>
      <c r="K1561" s="14">
        <f t="shared" si="73"/>
        <v>0</v>
      </c>
      <c r="L1561" s="17">
        <f t="shared" si="74"/>
        <v>0</v>
      </c>
      <c r="M1561" s="14"/>
      <c r="N1561" s="16"/>
      <c r="O1561" s="16"/>
      <c r="P1561" s="16"/>
      <c r="Q1561" s="16"/>
      <c r="R1561" s="16"/>
      <c r="S1561" s="16"/>
      <c r="T1561" s="16"/>
      <c r="U1561" s="16"/>
      <c r="V1561" s="16"/>
      <c r="W1561" s="16"/>
      <c r="X1561" s="16"/>
      <c r="Y1561" s="16"/>
      <c r="Z1561" s="16"/>
      <c r="AA1561" s="16"/>
    </row>
    <row r="1562" spans="1:27" s="2" customFormat="1" ht="14">
      <c r="A1562" s="12">
        <v>1296576</v>
      </c>
      <c r="B1562" s="13" t="s">
        <v>62</v>
      </c>
      <c r="C1562" s="13" t="s">
        <v>4379</v>
      </c>
      <c r="D1562" s="13" t="s">
        <v>4380</v>
      </c>
      <c r="E1562" s="13" t="s">
        <v>3848</v>
      </c>
      <c r="F1562" s="14"/>
      <c r="G1562" s="14"/>
      <c r="H1562" s="14"/>
      <c r="I1562" s="14"/>
      <c r="J1562" s="14">
        <f t="shared" si="72"/>
        <v>0</v>
      </c>
      <c r="K1562" s="14">
        <f t="shared" si="73"/>
        <v>0</v>
      </c>
      <c r="L1562" s="17">
        <f t="shared" si="74"/>
        <v>0</v>
      </c>
      <c r="M1562" s="14"/>
      <c r="N1562" s="16"/>
      <c r="O1562" s="16"/>
      <c r="P1562" s="16"/>
      <c r="Q1562" s="16"/>
      <c r="R1562" s="16"/>
      <c r="S1562" s="16"/>
      <c r="T1562" s="16"/>
      <c r="U1562" s="16"/>
      <c r="V1562" s="16"/>
      <c r="W1562" s="16"/>
      <c r="X1562" s="16"/>
      <c r="Y1562" s="16"/>
      <c r="Z1562" s="16"/>
      <c r="AA1562" s="16"/>
    </row>
    <row r="1563" spans="1:27" s="2" customFormat="1" ht="14">
      <c r="A1563" s="12">
        <v>1297411</v>
      </c>
      <c r="B1563" s="13" t="s">
        <v>62</v>
      </c>
      <c r="C1563" s="13" t="s">
        <v>4381</v>
      </c>
      <c r="D1563" s="13" t="s">
        <v>4382</v>
      </c>
      <c r="E1563" s="13" t="s">
        <v>3606</v>
      </c>
      <c r="F1563" s="14"/>
      <c r="G1563" s="14"/>
      <c r="H1563" s="14"/>
      <c r="I1563" s="14"/>
      <c r="J1563" s="14">
        <f t="shared" si="72"/>
        <v>0</v>
      </c>
      <c r="K1563" s="14">
        <f t="shared" si="73"/>
        <v>0</v>
      </c>
      <c r="L1563" s="17">
        <f t="shared" si="74"/>
        <v>0</v>
      </c>
      <c r="M1563" s="14"/>
      <c r="N1563" s="16"/>
      <c r="O1563" s="16"/>
      <c r="P1563" s="16"/>
      <c r="Q1563" s="16"/>
      <c r="R1563" s="16"/>
      <c r="S1563" s="16"/>
      <c r="T1563" s="16"/>
      <c r="U1563" s="16"/>
      <c r="V1563" s="16"/>
      <c r="W1563" s="16"/>
      <c r="X1563" s="16"/>
      <c r="Y1563" s="16"/>
      <c r="Z1563" s="16"/>
      <c r="AA1563" s="16"/>
    </row>
    <row r="1564" spans="1:27" s="2" customFormat="1" ht="14">
      <c r="A1564" s="12" t="s">
        <v>4383</v>
      </c>
      <c r="B1564" s="13" t="s">
        <v>14</v>
      </c>
      <c r="C1564" s="13" t="s">
        <v>4384</v>
      </c>
      <c r="D1564" s="13" t="s">
        <v>4385</v>
      </c>
      <c r="E1564" s="13" t="s">
        <v>72</v>
      </c>
      <c r="F1564" s="14"/>
      <c r="G1564" s="14"/>
      <c r="H1564" s="14"/>
      <c r="I1564" s="14"/>
      <c r="J1564" s="14">
        <f t="shared" si="72"/>
        <v>0</v>
      </c>
      <c r="K1564" s="14">
        <f t="shared" si="73"/>
        <v>0</v>
      </c>
      <c r="L1564" s="17">
        <f t="shared" si="74"/>
        <v>0</v>
      </c>
      <c r="M1564" s="14"/>
      <c r="N1564" s="16"/>
      <c r="O1564" s="16"/>
      <c r="P1564" s="16"/>
      <c r="Q1564" s="16"/>
      <c r="R1564" s="16"/>
      <c r="S1564" s="16"/>
      <c r="T1564" s="16"/>
      <c r="U1564" s="16"/>
      <c r="V1564" s="16"/>
      <c r="W1564" s="16"/>
      <c r="X1564" s="16"/>
      <c r="Y1564" s="16"/>
      <c r="Z1564" s="16"/>
      <c r="AA1564" s="16"/>
    </row>
    <row r="1565" spans="1:27" s="2" customFormat="1" ht="14">
      <c r="A1565" s="12" t="s">
        <v>4386</v>
      </c>
      <c r="B1565" s="13" t="s">
        <v>14</v>
      </c>
      <c r="C1565" s="13" t="s">
        <v>4387</v>
      </c>
      <c r="D1565" s="13" t="s">
        <v>4388</v>
      </c>
      <c r="E1565" s="13" t="s">
        <v>46</v>
      </c>
      <c r="F1565" s="14"/>
      <c r="G1565" s="14"/>
      <c r="H1565" s="14"/>
      <c r="I1565" s="14"/>
      <c r="J1565" s="14">
        <f t="shared" si="72"/>
        <v>0</v>
      </c>
      <c r="K1565" s="14">
        <f t="shared" si="73"/>
        <v>0</v>
      </c>
      <c r="L1565" s="17">
        <f t="shared" si="74"/>
        <v>0</v>
      </c>
      <c r="M1565" s="14"/>
      <c r="N1565" s="16"/>
      <c r="O1565" s="16"/>
      <c r="P1565" s="16"/>
      <c r="Q1565" s="16"/>
      <c r="R1565" s="16"/>
      <c r="S1565" s="16"/>
      <c r="T1565" s="16"/>
      <c r="U1565" s="16"/>
      <c r="V1565" s="16"/>
      <c r="W1565" s="16"/>
      <c r="X1565" s="16"/>
      <c r="Y1565" s="16"/>
      <c r="Z1565" s="16"/>
      <c r="AA1565" s="16"/>
    </row>
    <row r="1566" spans="1:27" s="2" customFormat="1" ht="14">
      <c r="A1566" s="12">
        <v>1297723</v>
      </c>
      <c r="B1566" s="13" t="s">
        <v>62</v>
      </c>
      <c r="C1566" s="13" t="s">
        <v>4389</v>
      </c>
      <c r="D1566" s="13" t="s">
        <v>4390</v>
      </c>
      <c r="E1566" s="13" t="s">
        <v>1573</v>
      </c>
      <c r="F1566" s="14"/>
      <c r="G1566" s="14"/>
      <c r="H1566" s="14"/>
      <c r="I1566" s="14"/>
      <c r="J1566" s="14">
        <f t="shared" si="72"/>
        <v>0</v>
      </c>
      <c r="K1566" s="14">
        <f t="shared" si="73"/>
        <v>0</v>
      </c>
      <c r="L1566" s="17">
        <f t="shared" si="74"/>
        <v>0</v>
      </c>
      <c r="M1566" s="14"/>
      <c r="N1566" s="16"/>
      <c r="O1566" s="16"/>
      <c r="P1566" s="16"/>
      <c r="Q1566" s="16"/>
      <c r="R1566" s="16"/>
      <c r="S1566" s="16"/>
      <c r="T1566" s="16"/>
      <c r="U1566" s="16"/>
      <c r="V1566" s="16"/>
      <c r="W1566" s="16"/>
      <c r="X1566" s="16"/>
      <c r="Y1566" s="16"/>
      <c r="Z1566" s="16"/>
      <c r="AA1566" s="16"/>
    </row>
    <row r="1567" spans="1:27" s="2" customFormat="1" ht="14">
      <c r="A1567" s="12">
        <v>1299226</v>
      </c>
      <c r="B1567" s="13" t="s">
        <v>14</v>
      </c>
      <c r="C1567" s="13" t="s">
        <v>4391</v>
      </c>
      <c r="D1567" s="13" t="s">
        <v>4392</v>
      </c>
      <c r="E1567" s="13" t="s">
        <v>3327</v>
      </c>
      <c r="F1567" s="14"/>
      <c r="G1567" s="14"/>
      <c r="H1567" s="14"/>
      <c r="I1567" s="14"/>
      <c r="J1567" s="14">
        <f t="shared" si="72"/>
        <v>0</v>
      </c>
      <c r="K1567" s="14">
        <f t="shared" si="73"/>
        <v>0</v>
      </c>
      <c r="L1567" s="17">
        <f t="shared" si="74"/>
        <v>0</v>
      </c>
      <c r="M1567" s="14"/>
      <c r="N1567" s="16"/>
      <c r="O1567" s="16"/>
      <c r="P1567" s="16"/>
      <c r="Q1567" s="16"/>
      <c r="R1567" s="16"/>
      <c r="S1567" s="16"/>
      <c r="T1567" s="16"/>
      <c r="U1567" s="16"/>
      <c r="V1567" s="16"/>
      <c r="W1567" s="16"/>
      <c r="X1567" s="16"/>
      <c r="Y1567" s="16"/>
      <c r="Z1567" s="16"/>
      <c r="AA1567" s="16"/>
    </row>
    <row r="1568" spans="1:27" s="2" customFormat="1" ht="14">
      <c r="A1568" s="12">
        <v>1299479</v>
      </c>
      <c r="B1568" s="13" t="s">
        <v>62</v>
      </c>
      <c r="C1568" s="13" t="s">
        <v>4393</v>
      </c>
      <c r="D1568" s="13" t="s">
        <v>4394</v>
      </c>
      <c r="E1568" s="13" t="s">
        <v>3189</v>
      </c>
      <c r="F1568" s="14"/>
      <c r="G1568" s="14"/>
      <c r="H1568" s="14"/>
      <c r="I1568" s="14"/>
      <c r="J1568" s="14">
        <f t="shared" si="72"/>
        <v>0</v>
      </c>
      <c r="K1568" s="14">
        <f t="shared" si="73"/>
        <v>0</v>
      </c>
      <c r="L1568" s="17">
        <f t="shared" si="74"/>
        <v>0</v>
      </c>
      <c r="M1568" s="14"/>
      <c r="N1568" s="16"/>
      <c r="O1568" s="16"/>
      <c r="P1568" s="16"/>
      <c r="Q1568" s="16"/>
      <c r="R1568" s="16"/>
      <c r="S1568" s="16"/>
      <c r="T1568" s="16"/>
      <c r="U1568" s="16"/>
      <c r="V1568" s="16"/>
      <c r="W1568" s="16"/>
      <c r="X1568" s="16"/>
      <c r="Y1568" s="16"/>
      <c r="Z1568" s="16"/>
      <c r="AA1568" s="16"/>
    </row>
    <row r="1569" spans="1:27" s="2" customFormat="1" ht="14">
      <c r="A1569" s="12">
        <v>1301746</v>
      </c>
      <c r="B1569" s="13" t="s">
        <v>62</v>
      </c>
      <c r="C1569" s="13" t="s">
        <v>4395</v>
      </c>
      <c r="D1569" s="13" t="s">
        <v>4396</v>
      </c>
      <c r="E1569" s="13" t="s">
        <v>3905</v>
      </c>
      <c r="F1569" s="14"/>
      <c r="G1569" s="14"/>
      <c r="H1569" s="14"/>
      <c r="I1569" s="14"/>
      <c r="J1569" s="14">
        <f t="shared" si="72"/>
        <v>0</v>
      </c>
      <c r="K1569" s="14">
        <f t="shared" si="73"/>
        <v>0</v>
      </c>
      <c r="L1569" s="17">
        <f t="shared" si="74"/>
        <v>0</v>
      </c>
      <c r="M1569" s="14"/>
      <c r="N1569" s="16"/>
      <c r="O1569" s="16"/>
      <c r="P1569" s="16"/>
      <c r="Q1569" s="16"/>
      <c r="R1569" s="16"/>
      <c r="S1569" s="16"/>
      <c r="T1569" s="16"/>
      <c r="U1569" s="16"/>
      <c r="V1569" s="16"/>
      <c r="W1569" s="16"/>
      <c r="X1569" s="16"/>
      <c r="Y1569" s="16"/>
      <c r="Z1569" s="16"/>
      <c r="AA1569" s="16"/>
    </row>
    <row r="1570" spans="1:27" s="2" customFormat="1" ht="14">
      <c r="A1570" s="12">
        <v>1302430</v>
      </c>
      <c r="B1570" s="13" t="s">
        <v>14</v>
      </c>
      <c r="C1570" s="13" t="s">
        <v>4397</v>
      </c>
      <c r="D1570" s="13" t="s">
        <v>4398</v>
      </c>
      <c r="E1570" s="13" t="s">
        <v>3324</v>
      </c>
      <c r="F1570" s="14"/>
      <c r="G1570" s="14"/>
      <c r="H1570" s="14"/>
      <c r="I1570" s="14"/>
      <c r="J1570" s="14">
        <f t="shared" si="72"/>
        <v>0</v>
      </c>
      <c r="K1570" s="14">
        <f t="shared" si="73"/>
        <v>0</v>
      </c>
      <c r="L1570" s="17">
        <f t="shared" si="74"/>
        <v>0</v>
      </c>
      <c r="M1570" s="14"/>
      <c r="N1570" s="16"/>
      <c r="O1570" s="16"/>
      <c r="P1570" s="16"/>
      <c r="Q1570" s="16"/>
      <c r="R1570" s="16"/>
      <c r="S1570" s="16"/>
      <c r="T1570" s="16"/>
      <c r="U1570" s="16"/>
      <c r="V1570" s="16"/>
      <c r="W1570" s="16"/>
      <c r="X1570" s="16"/>
      <c r="Y1570" s="16"/>
      <c r="Z1570" s="16"/>
      <c r="AA1570" s="16"/>
    </row>
    <row r="1571" spans="1:27" s="2" customFormat="1" ht="14">
      <c r="A1571" s="12">
        <v>1298539</v>
      </c>
      <c r="B1571" s="13" t="s">
        <v>14</v>
      </c>
      <c r="C1571" s="13" t="s">
        <v>4399</v>
      </c>
      <c r="D1571" s="13" t="s">
        <v>4400</v>
      </c>
      <c r="E1571" s="13" t="s">
        <v>3189</v>
      </c>
      <c r="F1571" s="14"/>
      <c r="G1571" s="14"/>
      <c r="H1571" s="14"/>
      <c r="I1571" s="14"/>
      <c r="J1571" s="14">
        <f t="shared" si="72"/>
        <v>0</v>
      </c>
      <c r="K1571" s="14">
        <f t="shared" si="73"/>
        <v>0</v>
      </c>
      <c r="L1571" s="17">
        <f t="shared" si="74"/>
        <v>0</v>
      </c>
      <c r="M1571" s="14"/>
      <c r="N1571" s="16"/>
      <c r="O1571" s="16"/>
      <c r="P1571" s="16"/>
      <c r="Q1571" s="16"/>
      <c r="R1571" s="16"/>
      <c r="S1571" s="16"/>
      <c r="T1571" s="16"/>
      <c r="U1571" s="16"/>
      <c r="V1571" s="16"/>
      <c r="W1571" s="16"/>
      <c r="X1571" s="16"/>
      <c r="Y1571" s="16"/>
      <c r="Z1571" s="16"/>
      <c r="AA1571" s="16"/>
    </row>
    <row r="1572" spans="1:27" s="2" customFormat="1" ht="14">
      <c r="A1572" s="12">
        <v>1302433</v>
      </c>
      <c r="B1572" s="13" t="s">
        <v>14</v>
      </c>
      <c r="C1572" s="13" t="s">
        <v>4401</v>
      </c>
      <c r="D1572" s="13" t="s">
        <v>4402</v>
      </c>
      <c r="E1572" s="13" t="s">
        <v>1579</v>
      </c>
      <c r="F1572" s="14"/>
      <c r="G1572" s="14"/>
      <c r="H1572" s="14"/>
      <c r="I1572" s="14"/>
      <c r="J1572" s="14">
        <f t="shared" si="72"/>
        <v>0</v>
      </c>
      <c r="K1572" s="14">
        <f t="shared" si="73"/>
        <v>0</v>
      </c>
      <c r="L1572" s="17">
        <f t="shared" si="74"/>
        <v>0</v>
      </c>
      <c r="M1572" s="14"/>
      <c r="N1572" s="16"/>
      <c r="O1572" s="16"/>
      <c r="P1572" s="16"/>
      <c r="Q1572" s="16"/>
      <c r="R1572" s="16"/>
      <c r="S1572" s="16"/>
      <c r="T1572" s="16"/>
      <c r="U1572" s="16"/>
      <c r="V1572" s="16"/>
      <c r="W1572" s="16"/>
      <c r="X1572" s="16"/>
      <c r="Y1572" s="16"/>
      <c r="Z1572" s="16"/>
      <c r="AA1572" s="16"/>
    </row>
    <row r="1573" spans="1:27" s="2" customFormat="1" ht="14">
      <c r="A1573" s="12">
        <v>1302539</v>
      </c>
      <c r="B1573" s="13" t="s">
        <v>14</v>
      </c>
      <c r="C1573" s="13" t="s">
        <v>4403</v>
      </c>
      <c r="D1573" s="13" t="s">
        <v>4404</v>
      </c>
      <c r="E1573" s="13" t="s">
        <v>3189</v>
      </c>
      <c r="F1573" s="14"/>
      <c r="G1573" s="14"/>
      <c r="H1573" s="14"/>
      <c r="I1573" s="14"/>
      <c r="J1573" s="14">
        <f t="shared" si="72"/>
        <v>0</v>
      </c>
      <c r="K1573" s="14">
        <f t="shared" si="73"/>
        <v>0</v>
      </c>
      <c r="L1573" s="17">
        <f t="shared" si="74"/>
        <v>0</v>
      </c>
      <c r="M1573" s="14"/>
      <c r="N1573" s="16"/>
      <c r="O1573" s="16"/>
      <c r="P1573" s="16"/>
      <c r="Q1573" s="16"/>
      <c r="R1573" s="16"/>
      <c r="S1573" s="16"/>
      <c r="T1573" s="16"/>
      <c r="U1573" s="16"/>
      <c r="V1573" s="16"/>
      <c r="W1573" s="16"/>
      <c r="X1573" s="16"/>
      <c r="Y1573" s="16"/>
      <c r="Z1573" s="16"/>
      <c r="AA1573" s="16"/>
    </row>
    <row r="1574" spans="1:27" s="2" customFormat="1" ht="14">
      <c r="A1574" s="12">
        <v>1302709</v>
      </c>
      <c r="B1574" s="13" t="s">
        <v>62</v>
      </c>
      <c r="C1574" s="13" t="s">
        <v>4405</v>
      </c>
      <c r="D1574" s="13" t="s">
        <v>4406</v>
      </c>
      <c r="E1574" s="13" t="s">
        <v>1573</v>
      </c>
      <c r="F1574" s="14"/>
      <c r="G1574" s="14"/>
      <c r="H1574" s="14"/>
      <c r="I1574" s="14"/>
      <c r="J1574" s="14">
        <f t="shared" si="72"/>
        <v>0</v>
      </c>
      <c r="K1574" s="14">
        <f t="shared" si="73"/>
        <v>0</v>
      </c>
      <c r="L1574" s="17">
        <f t="shared" si="74"/>
        <v>0</v>
      </c>
      <c r="M1574" s="14"/>
      <c r="N1574" s="16"/>
      <c r="O1574" s="16"/>
      <c r="P1574" s="16"/>
      <c r="Q1574" s="16"/>
      <c r="R1574" s="16"/>
      <c r="S1574" s="16"/>
      <c r="T1574" s="16"/>
      <c r="U1574" s="16"/>
      <c r="V1574" s="16"/>
      <c r="W1574" s="16"/>
      <c r="X1574" s="16"/>
      <c r="Y1574" s="16"/>
      <c r="Z1574" s="16"/>
      <c r="AA1574" s="16"/>
    </row>
    <row r="1575" spans="1:27" s="2" customFormat="1" ht="14">
      <c r="A1575" s="12">
        <v>1302737</v>
      </c>
      <c r="B1575" s="13" t="s">
        <v>14</v>
      </c>
      <c r="C1575" s="13" t="s">
        <v>4407</v>
      </c>
      <c r="D1575" s="13" t="s">
        <v>4408</v>
      </c>
      <c r="E1575" s="13" t="s">
        <v>1579</v>
      </c>
      <c r="F1575" s="14"/>
      <c r="G1575" s="14"/>
      <c r="H1575" s="14"/>
      <c r="I1575" s="14"/>
      <c r="J1575" s="14">
        <f t="shared" si="72"/>
        <v>0</v>
      </c>
      <c r="K1575" s="14">
        <f t="shared" si="73"/>
        <v>0</v>
      </c>
      <c r="L1575" s="17">
        <f t="shared" si="74"/>
        <v>0</v>
      </c>
      <c r="M1575" s="14"/>
      <c r="N1575" s="16"/>
      <c r="O1575" s="16"/>
      <c r="P1575" s="16"/>
      <c r="Q1575" s="16"/>
      <c r="R1575" s="16"/>
      <c r="S1575" s="16"/>
      <c r="T1575" s="16"/>
      <c r="U1575" s="16"/>
      <c r="V1575" s="16"/>
      <c r="W1575" s="16"/>
      <c r="X1575" s="16"/>
      <c r="Y1575" s="16"/>
      <c r="Z1575" s="16"/>
      <c r="AA1575" s="16"/>
    </row>
    <row r="1576" spans="1:27" s="2" customFormat="1" ht="14">
      <c r="A1576" s="12" t="s">
        <v>4409</v>
      </c>
      <c r="B1576" s="13" t="s">
        <v>14</v>
      </c>
      <c r="C1576" s="13" t="s">
        <v>4410</v>
      </c>
      <c r="D1576" s="13" t="s">
        <v>4411</v>
      </c>
      <c r="E1576" s="13" t="s">
        <v>220</v>
      </c>
      <c r="F1576" s="14"/>
      <c r="G1576" s="14"/>
      <c r="H1576" s="14"/>
      <c r="I1576" s="14"/>
      <c r="J1576" s="14">
        <f t="shared" si="72"/>
        <v>0</v>
      </c>
      <c r="K1576" s="14">
        <f t="shared" si="73"/>
        <v>0</v>
      </c>
      <c r="L1576" s="17">
        <f t="shared" si="74"/>
        <v>0</v>
      </c>
      <c r="M1576" s="14"/>
      <c r="N1576" s="16"/>
      <c r="O1576" s="16"/>
      <c r="P1576" s="16"/>
      <c r="Q1576" s="16"/>
      <c r="R1576" s="16"/>
      <c r="S1576" s="16"/>
      <c r="T1576" s="16"/>
      <c r="U1576" s="16"/>
      <c r="V1576" s="16"/>
      <c r="W1576" s="16"/>
      <c r="X1576" s="16"/>
      <c r="Y1576" s="16"/>
      <c r="Z1576" s="16"/>
      <c r="AA1576" s="16"/>
    </row>
    <row r="1577" spans="1:27" s="2" customFormat="1" ht="14">
      <c r="A1577" s="12">
        <v>1299634</v>
      </c>
      <c r="B1577" s="13" t="s">
        <v>14</v>
      </c>
      <c r="C1577" s="13" t="s">
        <v>4412</v>
      </c>
      <c r="D1577" s="13" t="s">
        <v>4413</v>
      </c>
      <c r="E1577" s="13" t="s">
        <v>3465</v>
      </c>
      <c r="F1577" s="14"/>
      <c r="G1577" s="14"/>
      <c r="H1577" s="14"/>
      <c r="I1577" s="14"/>
      <c r="J1577" s="14">
        <f t="shared" si="72"/>
        <v>0</v>
      </c>
      <c r="K1577" s="14">
        <f t="shared" si="73"/>
        <v>0</v>
      </c>
      <c r="L1577" s="17">
        <f t="shared" si="74"/>
        <v>0</v>
      </c>
      <c r="M1577" s="14"/>
      <c r="N1577" s="16"/>
      <c r="O1577" s="16"/>
      <c r="P1577" s="16"/>
      <c r="Q1577" s="16"/>
      <c r="R1577" s="16"/>
      <c r="S1577" s="16"/>
      <c r="T1577" s="16"/>
      <c r="U1577" s="16"/>
      <c r="V1577" s="16"/>
      <c r="W1577" s="16"/>
      <c r="X1577" s="16"/>
      <c r="Y1577" s="16"/>
      <c r="Z1577" s="16"/>
      <c r="AA1577" s="16"/>
    </row>
    <row r="1578" spans="1:27" s="2" customFormat="1" ht="14">
      <c r="A1578" s="12">
        <v>1299656</v>
      </c>
      <c r="B1578" s="13" t="s">
        <v>62</v>
      </c>
      <c r="C1578" s="13" t="s">
        <v>4414</v>
      </c>
      <c r="D1578" s="13" t="s">
        <v>4415</v>
      </c>
      <c r="E1578" s="13" t="s">
        <v>3324</v>
      </c>
      <c r="F1578" s="14"/>
      <c r="G1578" s="14"/>
      <c r="H1578" s="14"/>
      <c r="I1578" s="14"/>
      <c r="J1578" s="14">
        <f t="shared" si="72"/>
        <v>0</v>
      </c>
      <c r="K1578" s="14">
        <f t="shared" si="73"/>
        <v>0</v>
      </c>
      <c r="L1578" s="17">
        <f t="shared" si="74"/>
        <v>0</v>
      </c>
      <c r="M1578" s="14"/>
      <c r="N1578" s="16"/>
      <c r="O1578" s="16"/>
      <c r="P1578" s="16"/>
      <c r="Q1578" s="16"/>
      <c r="R1578" s="16"/>
      <c r="S1578" s="16"/>
      <c r="T1578" s="16"/>
      <c r="U1578" s="16"/>
      <c r="V1578" s="16"/>
      <c r="W1578" s="16"/>
      <c r="X1578" s="16"/>
      <c r="Y1578" s="16"/>
      <c r="Z1578" s="16"/>
      <c r="AA1578" s="16"/>
    </row>
    <row r="1579" spans="1:27" s="2" customFormat="1" ht="14">
      <c r="A1579" s="12">
        <v>1299632</v>
      </c>
      <c r="B1579" s="13" t="s">
        <v>14</v>
      </c>
      <c r="C1579" s="13" t="s">
        <v>4416</v>
      </c>
      <c r="D1579" s="13" t="s">
        <v>4417</v>
      </c>
      <c r="E1579" s="13" t="s">
        <v>3509</v>
      </c>
      <c r="F1579" s="14"/>
      <c r="G1579" s="14"/>
      <c r="H1579" s="14"/>
      <c r="I1579" s="14"/>
      <c r="J1579" s="14">
        <f t="shared" si="72"/>
        <v>0</v>
      </c>
      <c r="K1579" s="14">
        <f t="shared" si="73"/>
        <v>0</v>
      </c>
      <c r="L1579" s="17">
        <f t="shared" si="74"/>
        <v>0</v>
      </c>
      <c r="M1579" s="14"/>
      <c r="N1579" s="16"/>
      <c r="O1579" s="16"/>
      <c r="P1579" s="16"/>
      <c r="Q1579" s="16"/>
      <c r="R1579" s="16"/>
      <c r="S1579" s="16"/>
      <c r="T1579" s="16"/>
      <c r="U1579" s="16"/>
      <c r="V1579" s="16"/>
      <c r="W1579" s="16"/>
      <c r="X1579" s="16"/>
      <c r="Y1579" s="16"/>
      <c r="Z1579" s="16"/>
      <c r="AA1579" s="16"/>
    </row>
    <row r="1580" spans="1:27" s="2" customFormat="1" ht="14">
      <c r="A1580" s="12">
        <v>1299659</v>
      </c>
      <c r="B1580" s="13" t="s">
        <v>62</v>
      </c>
      <c r="C1580" s="13" t="s">
        <v>4418</v>
      </c>
      <c r="D1580" s="13" t="s">
        <v>4419</v>
      </c>
      <c r="E1580" s="13" t="s">
        <v>3862</v>
      </c>
      <c r="F1580" s="14"/>
      <c r="G1580" s="14"/>
      <c r="H1580" s="14"/>
      <c r="I1580" s="14"/>
      <c r="J1580" s="14">
        <f t="shared" si="72"/>
        <v>0</v>
      </c>
      <c r="K1580" s="14">
        <f t="shared" si="73"/>
        <v>0</v>
      </c>
      <c r="L1580" s="17">
        <f t="shared" si="74"/>
        <v>0</v>
      </c>
      <c r="M1580" s="14"/>
      <c r="N1580" s="16"/>
      <c r="O1580" s="16"/>
      <c r="P1580" s="16"/>
      <c r="Q1580" s="16"/>
      <c r="R1580" s="16"/>
      <c r="S1580" s="16"/>
      <c r="T1580" s="16"/>
      <c r="U1580" s="16"/>
      <c r="V1580" s="16"/>
      <c r="W1580" s="16"/>
      <c r="X1580" s="16"/>
      <c r="Y1580" s="16"/>
      <c r="Z1580" s="16"/>
      <c r="AA1580" s="16"/>
    </row>
    <row r="1581" spans="1:27" s="2" customFormat="1" ht="14">
      <c r="A1581" s="12">
        <v>1299646</v>
      </c>
      <c r="B1581" s="13" t="s">
        <v>62</v>
      </c>
      <c r="C1581" s="13" t="s">
        <v>4420</v>
      </c>
      <c r="D1581" s="13" t="s">
        <v>4421</v>
      </c>
      <c r="E1581" s="13" t="s">
        <v>3576</v>
      </c>
      <c r="F1581" s="14"/>
      <c r="G1581" s="14"/>
      <c r="H1581" s="14"/>
      <c r="I1581" s="14"/>
      <c r="J1581" s="14">
        <f t="shared" si="72"/>
        <v>0</v>
      </c>
      <c r="K1581" s="14">
        <f t="shared" si="73"/>
        <v>0</v>
      </c>
      <c r="L1581" s="17">
        <f t="shared" si="74"/>
        <v>0</v>
      </c>
      <c r="M1581" s="14"/>
      <c r="N1581" s="16"/>
      <c r="O1581" s="16"/>
      <c r="P1581" s="16"/>
      <c r="Q1581" s="16"/>
      <c r="R1581" s="16"/>
      <c r="S1581" s="16"/>
      <c r="T1581" s="16"/>
      <c r="U1581" s="16"/>
      <c r="V1581" s="16"/>
      <c r="W1581" s="16"/>
      <c r="X1581" s="16"/>
      <c r="Y1581" s="16"/>
      <c r="Z1581" s="16"/>
      <c r="AA1581" s="16"/>
    </row>
    <row r="1582" spans="1:27" s="2" customFormat="1" ht="14">
      <c r="A1582" s="12">
        <v>1299670</v>
      </c>
      <c r="B1582" s="13" t="s">
        <v>62</v>
      </c>
      <c r="C1582" s="13" t="s">
        <v>4422</v>
      </c>
      <c r="D1582" s="13" t="s">
        <v>4423</v>
      </c>
      <c r="E1582" s="13" t="s">
        <v>1573</v>
      </c>
      <c r="F1582" s="14"/>
      <c r="G1582" s="14"/>
      <c r="H1582" s="14"/>
      <c r="I1582" s="14"/>
      <c r="J1582" s="14">
        <f t="shared" si="72"/>
        <v>0</v>
      </c>
      <c r="K1582" s="14">
        <f t="shared" si="73"/>
        <v>0</v>
      </c>
      <c r="L1582" s="17">
        <f t="shared" si="74"/>
        <v>0</v>
      </c>
      <c r="M1582" s="14"/>
      <c r="N1582" s="16"/>
      <c r="O1582" s="16"/>
      <c r="P1582" s="16"/>
      <c r="Q1582" s="16"/>
      <c r="R1582" s="16"/>
      <c r="S1582" s="16"/>
      <c r="T1582" s="16"/>
      <c r="U1582" s="16"/>
      <c r="V1582" s="16"/>
      <c r="W1582" s="16"/>
      <c r="X1582" s="16"/>
      <c r="Y1582" s="16"/>
      <c r="Z1582" s="16"/>
      <c r="AA1582" s="16"/>
    </row>
    <row r="1583" spans="1:27" s="2" customFormat="1" ht="14">
      <c r="A1583" s="12" t="s">
        <v>4424</v>
      </c>
      <c r="B1583" s="13" t="s">
        <v>14</v>
      </c>
      <c r="C1583" s="13" t="s">
        <v>4425</v>
      </c>
      <c r="D1583" s="13" t="s">
        <v>4426</v>
      </c>
      <c r="E1583" s="13" t="s">
        <v>285</v>
      </c>
      <c r="F1583" s="14"/>
      <c r="G1583" s="14"/>
      <c r="H1583" s="14"/>
      <c r="I1583" s="14"/>
      <c r="J1583" s="14">
        <f t="shared" si="72"/>
        <v>0</v>
      </c>
      <c r="K1583" s="14">
        <f t="shared" si="73"/>
        <v>0</v>
      </c>
      <c r="L1583" s="17">
        <f t="shared" si="74"/>
        <v>0</v>
      </c>
      <c r="M1583" s="14"/>
      <c r="N1583" s="16"/>
      <c r="O1583" s="16"/>
      <c r="P1583" s="16"/>
      <c r="Q1583" s="16"/>
      <c r="R1583" s="16"/>
      <c r="S1583" s="16"/>
      <c r="T1583" s="16"/>
      <c r="U1583" s="16"/>
      <c r="V1583" s="16"/>
      <c r="W1583" s="16"/>
      <c r="X1583" s="16"/>
      <c r="Y1583" s="16"/>
      <c r="Z1583" s="16"/>
      <c r="AA1583" s="16"/>
    </row>
    <row r="1584" spans="1:27" s="2" customFormat="1" ht="14">
      <c r="A1584" s="12">
        <v>1304871</v>
      </c>
      <c r="B1584" s="13" t="s">
        <v>14</v>
      </c>
      <c r="C1584" s="13" t="s">
        <v>4427</v>
      </c>
      <c r="D1584" s="13" t="s">
        <v>4428</v>
      </c>
      <c r="E1584" s="13" t="s">
        <v>3981</v>
      </c>
      <c r="F1584" s="14"/>
      <c r="G1584" s="14"/>
      <c r="H1584" s="14"/>
      <c r="I1584" s="14"/>
      <c r="J1584" s="14">
        <f t="shared" si="72"/>
        <v>0</v>
      </c>
      <c r="K1584" s="14">
        <f t="shared" si="73"/>
        <v>0</v>
      </c>
      <c r="L1584" s="17">
        <f t="shared" si="74"/>
        <v>0</v>
      </c>
      <c r="M1584" s="14"/>
      <c r="N1584" s="16"/>
      <c r="O1584" s="16"/>
      <c r="P1584" s="16"/>
      <c r="Q1584" s="16"/>
      <c r="R1584" s="16"/>
      <c r="S1584" s="16"/>
      <c r="T1584" s="16"/>
      <c r="U1584" s="16"/>
      <c r="V1584" s="16"/>
      <c r="W1584" s="16"/>
      <c r="X1584" s="16"/>
      <c r="Y1584" s="16"/>
      <c r="Z1584" s="16"/>
      <c r="AA1584" s="16"/>
    </row>
    <row r="1585" spans="1:27" s="2" customFormat="1" ht="14">
      <c r="A1585" s="12">
        <v>1305674</v>
      </c>
      <c r="B1585" s="13" t="s">
        <v>14</v>
      </c>
      <c r="C1585" s="13" t="s">
        <v>4429</v>
      </c>
      <c r="D1585" s="13" t="s">
        <v>4430</v>
      </c>
      <c r="E1585" s="13" t="s">
        <v>3750</v>
      </c>
      <c r="F1585" s="14"/>
      <c r="G1585" s="14"/>
      <c r="H1585" s="14"/>
      <c r="I1585" s="14"/>
      <c r="J1585" s="14">
        <f t="shared" si="72"/>
        <v>0</v>
      </c>
      <c r="K1585" s="14">
        <f t="shared" si="73"/>
        <v>0</v>
      </c>
      <c r="L1585" s="17">
        <f t="shared" si="74"/>
        <v>0</v>
      </c>
      <c r="M1585" s="14"/>
      <c r="N1585" s="16"/>
      <c r="O1585" s="16"/>
      <c r="P1585" s="16"/>
      <c r="Q1585" s="16"/>
      <c r="R1585" s="16"/>
      <c r="S1585" s="16"/>
      <c r="T1585" s="16"/>
      <c r="U1585" s="16"/>
      <c r="V1585" s="16"/>
      <c r="W1585" s="16"/>
      <c r="X1585" s="16"/>
      <c r="Y1585" s="16"/>
      <c r="Z1585" s="16"/>
      <c r="AA1585" s="16"/>
    </row>
    <row r="1586" spans="1:27" s="2" customFormat="1" ht="14">
      <c r="A1586" s="12">
        <v>1305679</v>
      </c>
      <c r="B1586" s="13" t="s">
        <v>14</v>
      </c>
      <c r="C1586" s="13" t="s">
        <v>4431</v>
      </c>
      <c r="D1586" s="13" t="s">
        <v>4432</v>
      </c>
      <c r="E1586" s="13" t="s">
        <v>3703</v>
      </c>
      <c r="F1586" s="14"/>
      <c r="G1586" s="14"/>
      <c r="H1586" s="14"/>
      <c r="I1586" s="14"/>
      <c r="J1586" s="14">
        <f t="shared" si="72"/>
        <v>0</v>
      </c>
      <c r="K1586" s="14">
        <f t="shared" si="73"/>
        <v>0</v>
      </c>
      <c r="L1586" s="17">
        <f t="shared" si="74"/>
        <v>0</v>
      </c>
      <c r="M1586" s="14"/>
      <c r="N1586" s="16"/>
      <c r="O1586" s="16"/>
      <c r="P1586" s="16"/>
      <c r="Q1586" s="16"/>
      <c r="R1586" s="16"/>
      <c r="S1586" s="16"/>
      <c r="T1586" s="16"/>
      <c r="U1586" s="16"/>
      <c r="V1586" s="16"/>
      <c r="W1586" s="16"/>
      <c r="X1586" s="16"/>
      <c r="Y1586" s="16"/>
      <c r="Z1586" s="16"/>
      <c r="AA1586" s="16"/>
    </row>
    <row r="1587" spans="1:27" s="2" customFormat="1" ht="14">
      <c r="A1587" s="12">
        <v>1306160</v>
      </c>
      <c r="B1587" s="13" t="s">
        <v>62</v>
      </c>
      <c r="C1587" s="13" t="s">
        <v>4433</v>
      </c>
      <c r="D1587" s="13" t="s">
        <v>4434</v>
      </c>
      <c r="E1587" s="13" t="s">
        <v>3796</v>
      </c>
      <c r="F1587" s="14"/>
      <c r="G1587" s="14"/>
      <c r="H1587" s="14"/>
      <c r="I1587" s="14"/>
      <c r="J1587" s="14">
        <f t="shared" si="72"/>
        <v>0</v>
      </c>
      <c r="K1587" s="14">
        <f t="shared" si="73"/>
        <v>0</v>
      </c>
      <c r="L1587" s="17">
        <f t="shared" si="74"/>
        <v>0</v>
      </c>
      <c r="M1587" s="14"/>
      <c r="N1587" s="16"/>
      <c r="O1587" s="16"/>
      <c r="P1587" s="16"/>
      <c r="Q1587" s="16"/>
      <c r="R1587" s="16"/>
      <c r="S1587" s="16"/>
      <c r="T1587" s="16"/>
      <c r="U1587" s="16"/>
      <c r="V1587" s="16"/>
      <c r="W1587" s="16"/>
      <c r="X1587" s="16"/>
      <c r="Y1587" s="16"/>
      <c r="Z1587" s="16"/>
      <c r="AA1587" s="16"/>
    </row>
    <row r="1588" spans="1:27" s="2" customFormat="1" ht="14">
      <c r="A1588" s="12" t="s">
        <v>4435</v>
      </c>
      <c r="B1588" s="13" t="s">
        <v>14</v>
      </c>
      <c r="C1588" s="13" t="s">
        <v>4436</v>
      </c>
      <c r="D1588" s="13" t="s">
        <v>4437</v>
      </c>
      <c r="E1588" s="13" t="s">
        <v>136</v>
      </c>
      <c r="F1588" s="14"/>
      <c r="G1588" s="14"/>
      <c r="H1588" s="14"/>
      <c r="I1588" s="14"/>
      <c r="J1588" s="14">
        <f t="shared" si="72"/>
        <v>0</v>
      </c>
      <c r="K1588" s="14">
        <f t="shared" si="73"/>
        <v>0</v>
      </c>
      <c r="L1588" s="17">
        <f t="shared" si="74"/>
        <v>0</v>
      </c>
      <c r="M1588" s="14"/>
      <c r="N1588" s="16"/>
      <c r="O1588" s="16"/>
      <c r="P1588" s="16"/>
      <c r="Q1588" s="16"/>
      <c r="R1588" s="16"/>
      <c r="S1588" s="16"/>
      <c r="T1588" s="16"/>
      <c r="U1588" s="16"/>
      <c r="V1588" s="16"/>
      <c r="W1588" s="16"/>
      <c r="X1588" s="16"/>
      <c r="Y1588" s="16"/>
      <c r="Z1588" s="16"/>
      <c r="AA1588" s="16"/>
    </row>
    <row r="1589" spans="1:27" s="2" customFormat="1" ht="14">
      <c r="A1589" s="12">
        <v>1306741</v>
      </c>
      <c r="B1589" s="13" t="s">
        <v>62</v>
      </c>
      <c r="C1589" s="13" t="s">
        <v>4438</v>
      </c>
      <c r="D1589" s="13" t="s">
        <v>4439</v>
      </c>
      <c r="E1589" s="13" t="s">
        <v>3533</v>
      </c>
      <c r="F1589" s="14"/>
      <c r="G1589" s="14"/>
      <c r="H1589" s="14"/>
      <c r="I1589" s="14"/>
      <c r="J1589" s="14">
        <f t="shared" si="72"/>
        <v>0</v>
      </c>
      <c r="K1589" s="14">
        <f t="shared" si="73"/>
        <v>0</v>
      </c>
      <c r="L1589" s="17">
        <f t="shared" si="74"/>
        <v>0</v>
      </c>
      <c r="M1589" s="14"/>
      <c r="N1589" s="16"/>
      <c r="O1589" s="16"/>
      <c r="P1589" s="16"/>
      <c r="Q1589" s="16"/>
      <c r="R1589" s="16"/>
      <c r="S1589" s="16"/>
      <c r="T1589" s="16"/>
      <c r="U1589" s="16"/>
      <c r="V1589" s="16"/>
      <c r="W1589" s="16"/>
      <c r="X1589" s="16"/>
      <c r="Y1589" s="16"/>
      <c r="Z1589" s="16"/>
      <c r="AA1589" s="16"/>
    </row>
    <row r="1590" spans="1:27" s="2" customFormat="1" ht="14">
      <c r="A1590" s="12">
        <v>1304057</v>
      </c>
      <c r="B1590" s="13" t="s">
        <v>62</v>
      </c>
      <c r="C1590" s="13" t="s">
        <v>4440</v>
      </c>
      <c r="D1590" s="13" t="s">
        <v>4441</v>
      </c>
      <c r="E1590" s="13" t="s">
        <v>2585</v>
      </c>
      <c r="F1590" s="14"/>
      <c r="G1590" s="14"/>
      <c r="H1590" s="14"/>
      <c r="I1590" s="14"/>
      <c r="J1590" s="14">
        <f t="shared" si="72"/>
        <v>0</v>
      </c>
      <c r="K1590" s="14">
        <f t="shared" si="73"/>
        <v>0</v>
      </c>
      <c r="L1590" s="17">
        <f t="shared" si="74"/>
        <v>0</v>
      </c>
      <c r="M1590" s="14"/>
      <c r="N1590" s="16"/>
      <c r="O1590" s="16"/>
      <c r="P1590" s="16"/>
      <c r="Q1590" s="16"/>
      <c r="R1590" s="16"/>
      <c r="S1590" s="16"/>
      <c r="T1590" s="16"/>
      <c r="U1590" s="16"/>
      <c r="V1590" s="16"/>
      <c r="W1590" s="16"/>
      <c r="X1590" s="16"/>
      <c r="Y1590" s="16"/>
      <c r="Z1590" s="16"/>
      <c r="AA1590" s="16"/>
    </row>
    <row r="1591" spans="1:27" s="2" customFormat="1" ht="14">
      <c r="A1591" s="12">
        <v>1304088</v>
      </c>
      <c r="B1591" s="13" t="s">
        <v>62</v>
      </c>
      <c r="C1591" s="13" t="s">
        <v>4442</v>
      </c>
      <c r="D1591" s="13" t="s">
        <v>4443</v>
      </c>
      <c r="E1591" s="13" t="s">
        <v>2585</v>
      </c>
      <c r="F1591" s="14"/>
      <c r="G1591" s="14"/>
      <c r="H1591" s="14"/>
      <c r="I1591" s="14"/>
      <c r="J1591" s="14">
        <f t="shared" si="72"/>
        <v>0</v>
      </c>
      <c r="K1591" s="14">
        <f t="shared" si="73"/>
        <v>0</v>
      </c>
      <c r="L1591" s="17">
        <f t="shared" si="74"/>
        <v>0</v>
      </c>
      <c r="M1591" s="14"/>
      <c r="N1591" s="16"/>
      <c r="O1591" s="16"/>
      <c r="P1591" s="16"/>
      <c r="Q1591" s="16"/>
      <c r="R1591" s="16"/>
      <c r="S1591" s="16"/>
      <c r="T1591" s="16"/>
      <c r="U1591" s="16"/>
      <c r="V1591" s="16"/>
      <c r="W1591" s="16"/>
      <c r="X1591" s="16"/>
      <c r="Y1591" s="16"/>
      <c r="Z1591" s="16"/>
      <c r="AA1591" s="16"/>
    </row>
    <row r="1592" spans="1:27" s="2" customFormat="1" ht="14">
      <c r="A1592" s="12">
        <v>1304089</v>
      </c>
      <c r="B1592" s="13" t="s">
        <v>14</v>
      </c>
      <c r="C1592" s="13" t="s">
        <v>4444</v>
      </c>
      <c r="D1592" s="13" t="s">
        <v>4445</v>
      </c>
      <c r="E1592" s="13" t="s">
        <v>3465</v>
      </c>
      <c r="F1592" s="14"/>
      <c r="G1592" s="14"/>
      <c r="H1592" s="14"/>
      <c r="I1592" s="14"/>
      <c r="J1592" s="14">
        <f t="shared" si="72"/>
        <v>0</v>
      </c>
      <c r="K1592" s="14">
        <f t="shared" si="73"/>
        <v>0</v>
      </c>
      <c r="L1592" s="17">
        <f t="shared" si="74"/>
        <v>0</v>
      </c>
      <c r="M1592" s="14"/>
      <c r="N1592" s="16"/>
      <c r="O1592" s="16"/>
      <c r="P1592" s="16"/>
      <c r="Q1592" s="16"/>
      <c r="R1592" s="16"/>
      <c r="S1592" s="16"/>
      <c r="T1592" s="16"/>
      <c r="U1592" s="16"/>
      <c r="V1592" s="16"/>
      <c r="W1592" s="16"/>
      <c r="X1592" s="16"/>
      <c r="Y1592" s="16"/>
      <c r="Z1592" s="16"/>
      <c r="AA1592" s="16"/>
    </row>
    <row r="1593" spans="1:27" s="2" customFormat="1" ht="14">
      <c r="A1593" s="12">
        <v>1307274</v>
      </c>
      <c r="B1593" s="13" t="s">
        <v>62</v>
      </c>
      <c r="C1593" s="13" t="s">
        <v>4446</v>
      </c>
      <c r="D1593" s="13" t="s">
        <v>4447</v>
      </c>
      <c r="E1593" s="13" t="s">
        <v>3509</v>
      </c>
      <c r="F1593" s="14"/>
      <c r="G1593" s="14"/>
      <c r="H1593" s="14"/>
      <c r="I1593" s="14"/>
      <c r="J1593" s="14">
        <f t="shared" si="72"/>
        <v>0</v>
      </c>
      <c r="K1593" s="14">
        <f t="shared" si="73"/>
        <v>0</v>
      </c>
      <c r="L1593" s="17">
        <f t="shared" si="74"/>
        <v>0</v>
      </c>
      <c r="M1593" s="14"/>
      <c r="N1593" s="16"/>
      <c r="O1593" s="16"/>
      <c r="P1593" s="16"/>
      <c r="Q1593" s="16"/>
      <c r="R1593" s="16"/>
      <c r="S1593" s="16"/>
      <c r="T1593" s="16"/>
      <c r="U1593" s="16"/>
      <c r="V1593" s="16"/>
      <c r="W1593" s="16"/>
      <c r="X1593" s="16"/>
      <c r="Y1593" s="16"/>
      <c r="Z1593" s="16"/>
      <c r="AA1593" s="16"/>
    </row>
    <row r="1594" spans="1:27" s="2" customFormat="1" ht="14">
      <c r="A1594" s="12" t="s">
        <v>4448</v>
      </c>
      <c r="B1594" s="13" t="s">
        <v>14</v>
      </c>
      <c r="C1594" s="13" t="s">
        <v>4449</v>
      </c>
      <c r="D1594" s="13" t="s">
        <v>4450</v>
      </c>
      <c r="E1594" s="13" t="s">
        <v>68</v>
      </c>
      <c r="F1594" s="14"/>
      <c r="G1594" s="14"/>
      <c r="H1594" s="14"/>
      <c r="I1594" s="14"/>
      <c r="J1594" s="14">
        <f t="shared" si="72"/>
        <v>0</v>
      </c>
      <c r="K1594" s="14">
        <f t="shared" si="73"/>
        <v>0</v>
      </c>
      <c r="L1594" s="17">
        <f t="shared" si="74"/>
        <v>0</v>
      </c>
      <c r="M1594" s="14"/>
      <c r="N1594" s="16"/>
      <c r="O1594" s="16"/>
      <c r="P1594" s="16"/>
      <c r="Q1594" s="16"/>
      <c r="R1594" s="16"/>
      <c r="S1594" s="16"/>
      <c r="T1594" s="16"/>
      <c r="U1594" s="16"/>
      <c r="V1594" s="16"/>
      <c r="W1594" s="16"/>
      <c r="X1594" s="16"/>
      <c r="Y1594" s="16"/>
      <c r="Z1594" s="16"/>
      <c r="AA1594" s="16"/>
    </row>
    <row r="1595" spans="1:27" s="2" customFormat="1" ht="14">
      <c r="A1595" s="12">
        <v>1307556</v>
      </c>
      <c r="B1595" s="13" t="s">
        <v>62</v>
      </c>
      <c r="C1595" s="13" t="s">
        <v>4451</v>
      </c>
      <c r="D1595" s="13" t="s">
        <v>4452</v>
      </c>
      <c r="E1595" s="13" t="s">
        <v>4453</v>
      </c>
      <c r="F1595" s="14"/>
      <c r="G1595" s="14"/>
      <c r="H1595" s="14"/>
      <c r="I1595" s="14"/>
      <c r="J1595" s="14">
        <f t="shared" si="72"/>
        <v>0</v>
      </c>
      <c r="K1595" s="14">
        <f t="shared" si="73"/>
        <v>0</v>
      </c>
      <c r="L1595" s="17">
        <f t="shared" si="74"/>
        <v>0</v>
      </c>
      <c r="M1595" s="14"/>
      <c r="N1595" s="16"/>
      <c r="O1595" s="16"/>
      <c r="P1595" s="16"/>
      <c r="Q1595" s="16"/>
      <c r="R1595" s="16"/>
      <c r="S1595" s="16"/>
      <c r="T1595" s="16"/>
      <c r="U1595" s="16"/>
      <c r="V1595" s="16"/>
      <c r="W1595" s="16"/>
      <c r="X1595" s="16"/>
      <c r="Y1595" s="16"/>
      <c r="Z1595" s="16"/>
      <c r="AA1595" s="16"/>
    </row>
    <row r="1596" spans="1:27" s="2" customFormat="1" ht="14">
      <c r="A1596" s="12">
        <v>1308647</v>
      </c>
      <c r="B1596" s="13" t="s">
        <v>14</v>
      </c>
      <c r="C1596" s="13" t="s">
        <v>4454</v>
      </c>
      <c r="D1596" s="13" t="s">
        <v>4455</v>
      </c>
      <c r="E1596" s="13" t="s">
        <v>3324</v>
      </c>
      <c r="F1596" s="14"/>
      <c r="G1596" s="14"/>
      <c r="H1596" s="14"/>
      <c r="I1596" s="14"/>
      <c r="J1596" s="14">
        <f t="shared" si="72"/>
        <v>0</v>
      </c>
      <c r="K1596" s="14">
        <f t="shared" si="73"/>
        <v>0</v>
      </c>
      <c r="L1596" s="17">
        <f t="shared" si="74"/>
        <v>0</v>
      </c>
      <c r="M1596" s="14"/>
      <c r="N1596" s="16"/>
      <c r="O1596" s="16"/>
      <c r="P1596" s="16"/>
      <c r="Q1596" s="16"/>
      <c r="R1596" s="16"/>
      <c r="S1596" s="16"/>
      <c r="T1596" s="16"/>
      <c r="U1596" s="16"/>
      <c r="V1596" s="16"/>
      <c r="W1596" s="16"/>
      <c r="X1596" s="16"/>
      <c r="Y1596" s="16"/>
      <c r="Z1596" s="16"/>
      <c r="AA1596" s="16"/>
    </row>
    <row r="1597" spans="1:27" s="2" customFormat="1" ht="14">
      <c r="A1597" s="12">
        <v>1308709</v>
      </c>
      <c r="B1597" s="13" t="s">
        <v>62</v>
      </c>
      <c r="C1597" s="13" t="s">
        <v>4456</v>
      </c>
      <c r="D1597" s="13" t="s">
        <v>4457</v>
      </c>
      <c r="E1597" s="13" t="s">
        <v>1573</v>
      </c>
      <c r="F1597" s="14"/>
      <c r="G1597" s="14"/>
      <c r="H1597" s="14"/>
      <c r="I1597" s="14"/>
      <c r="J1597" s="14">
        <f t="shared" si="72"/>
        <v>0</v>
      </c>
      <c r="K1597" s="14">
        <f t="shared" si="73"/>
        <v>0</v>
      </c>
      <c r="L1597" s="17">
        <f t="shared" si="74"/>
        <v>0</v>
      </c>
      <c r="M1597" s="14"/>
      <c r="N1597" s="16"/>
      <c r="O1597" s="16"/>
      <c r="P1597" s="16"/>
      <c r="Q1597" s="16"/>
      <c r="R1597" s="16"/>
      <c r="S1597" s="16"/>
      <c r="T1597" s="16"/>
      <c r="U1597" s="16"/>
      <c r="V1597" s="16"/>
      <c r="W1597" s="16"/>
      <c r="X1597" s="16"/>
      <c r="Y1597" s="16"/>
      <c r="Z1597" s="16"/>
      <c r="AA1597" s="16"/>
    </row>
    <row r="1598" spans="1:27" s="2" customFormat="1" ht="14">
      <c r="A1598" s="12" t="s">
        <v>4458</v>
      </c>
      <c r="B1598" s="13" t="s">
        <v>14</v>
      </c>
      <c r="C1598" s="13" t="s">
        <v>4459</v>
      </c>
      <c r="D1598" s="13" t="s">
        <v>4460</v>
      </c>
      <c r="E1598" s="13" t="s">
        <v>215</v>
      </c>
      <c r="F1598" s="14"/>
      <c r="G1598" s="14"/>
      <c r="H1598" s="14"/>
      <c r="I1598" s="14"/>
      <c r="J1598" s="14">
        <f t="shared" si="72"/>
        <v>0</v>
      </c>
      <c r="K1598" s="14">
        <f t="shared" si="73"/>
        <v>0</v>
      </c>
      <c r="L1598" s="17">
        <f t="shared" si="74"/>
        <v>0</v>
      </c>
      <c r="M1598" s="14"/>
      <c r="N1598" s="16"/>
      <c r="O1598" s="16"/>
      <c r="P1598" s="16"/>
      <c r="Q1598" s="16"/>
      <c r="R1598" s="16"/>
      <c r="S1598" s="16"/>
      <c r="T1598" s="16"/>
      <c r="U1598" s="16"/>
      <c r="V1598" s="16"/>
      <c r="W1598" s="16"/>
      <c r="X1598" s="16"/>
      <c r="Y1598" s="16"/>
      <c r="Z1598" s="16"/>
      <c r="AA1598" s="16"/>
    </row>
    <row r="1599" spans="1:27" s="2" customFormat="1" ht="14">
      <c r="A1599" s="12" t="s">
        <v>4461</v>
      </c>
      <c r="B1599" s="13" t="s">
        <v>14</v>
      </c>
      <c r="C1599" s="13" t="s">
        <v>4462</v>
      </c>
      <c r="D1599" s="13" t="s">
        <v>4463</v>
      </c>
      <c r="E1599" s="13" t="s">
        <v>2399</v>
      </c>
      <c r="F1599" s="14"/>
      <c r="G1599" s="14"/>
      <c r="H1599" s="14"/>
      <c r="I1599" s="14"/>
      <c r="J1599" s="14">
        <f t="shared" si="72"/>
        <v>0</v>
      </c>
      <c r="K1599" s="14">
        <f t="shared" si="73"/>
        <v>0</v>
      </c>
      <c r="L1599" s="17">
        <f t="shared" si="74"/>
        <v>0</v>
      </c>
      <c r="M1599" s="14"/>
      <c r="N1599" s="16"/>
      <c r="O1599" s="16"/>
      <c r="P1599" s="16"/>
      <c r="Q1599" s="16"/>
      <c r="R1599" s="16"/>
      <c r="S1599" s="16"/>
      <c r="T1599" s="16"/>
      <c r="U1599" s="16"/>
      <c r="V1599" s="16"/>
      <c r="W1599" s="16"/>
      <c r="X1599" s="16"/>
      <c r="Y1599" s="16"/>
      <c r="Z1599" s="16"/>
      <c r="AA1599" s="16"/>
    </row>
    <row r="1600" spans="1:27" s="2" customFormat="1" ht="14">
      <c r="A1600" s="12" t="s">
        <v>4464</v>
      </c>
      <c r="B1600" s="13" t="s">
        <v>62</v>
      </c>
      <c r="C1600" s="13" t="s">
        <v>4465</v>
      </c>
      <c r="D1600" s="13" t="s">
        <v>4466</v>
      </c>
      <c r="E1600" s="13" t="s">
        <v>36</v>
      </c>
      <c r="F1600" s="14"/>
      <c r="G1600" s="14"/>
      <c r="H1600" s="14"/>
      <c r="I1600" s="14"/>
      <c r="J1600" s="14">
        <f t="shared" si="72"/>
        <v>0</v>
      </c>
      <c r="K1600" s="14">
        <f t="shared" si="73"/>
        <v>0</v>
      </c>
      <c r="L1600" s="17">
        <f t="shared" si="74"/>
        <v>0</v>
      </c>
      <c r="M1600" s="14"/>
      <c r="N1600" s="16"/>
      <c r="O1600" s="16"/>
      <c r="P1600" s="16"/>
      <c r="Q1600" s="16"/>
      <c r="R1600" s="16"/>
      <c r="S1600" s="16"/>
      <c r="T1600" s="16"/>
      <c r="U1600" s="16"/>
      <c r="V1600" s="16"/>
      <c r="W1600" s="16"/>
      <c r="X1600" s="16"/>
      <c r="Y1600" s="16"/>
      <c r="Z1600" s="16"/>
      <c r="AA1600" s="16"/>
    </row>
    <row r="1601" spans="1:27" s="2" customFormat="1" ht="14">
      <c r="A1601" s="12">
        <v>1309322</v>
      </c>
      <c r="B1601" s="13" t="s">
        <v>14</v>
      </c>
      <c r="C1601" s="13" t="s">
        <v>4467</v>
      </c>
      <c r="D1601" s="13" t="s">
        <v>4468</v>
      </c>
      <c r="E1601" s="13" t="s">
        <v>4261</v>
      </c>
      <c r="F1601" s="14"/>
      <c r="G1601" s="14"/>
      <c r="H1601" s="14"/>
      <c r="I1601" s="14"/>
      <c r="J1601" s="14">
        <f t="shared" si="72"/>
        <v>0</v>
      </c>
      <c r="K1601" s="14">
        <f t="shared" si="73"/>
        <v>0</v>
      </c>
      <c r="L1601" s="17">
        <f t="shared" si="74"/>
        <v>0</v>
      </c>
      <c r="M1601" s="14"/>
      <c r="N1601" s="16"/>
      <c r="O1601" s="16"/>
      <c r="P1601" s="16"/>
      <c r="Q1601" s="16"/>
      <c r="R1601" s="16"/>
      <c r="S1601" s="16"/>
      <c r="T1601" s="16"/>
      <c r="U1601" s="16"/>
      <c r="V1601" s="16"/>
      <c r="W1601" s="16"/>
      <c r="X1601" s="16"/>
      <c r="Y1601" s="16"/>
      <c r="Z1601" s="16"/>
      <c r="AA1601" s="16"/>
    </row>
    <row r="1602" spans="1:27" s="2" customFormat="1" ht="14">
      <c r="A1602" s="12">
        <v>1310017</v>
      </c>
      <c r="B1602" s="13" t="s">
        <v>62</v>
      </c>
      <c r="C1602" s="13" t="s">
        <v>4469</v>
      </c>
      <c r="D1602" s="13" t="s">
        <v>4470</v>
      </c>
      <c r="E1602" s="13" t="s">
        <v>1573</v>
      </c>
      <c r="F1602" s="14"/>
      <c r="G1602" s="14"/>
      <c r="H1602" s="14"/>
      <c r="I1602" s="14"/>
      <c r="J1602" s="14">
        <f t="shared" ref="J1602:J1665" si="75">IF(G1602&gt;0,1,0)</f>
        <v>0</v>
      </c>
      <c r="K1602" s="14">
        <f t="shared" ref="K1602:K1665" si="76">IF(H1602&gt;0,1,0)</f>
        <v>0</v>
      </c>
      <c r="L1602" s="17">
        <f t="shared" ref="L1602:L1665" si="77">IF(G1602&gt;0,IF(H1602&gt;0,1,0),0)</f>
        <v>0</v>
      </c>
      <c r="M1602" s="14"/>
      <c r="N1602" s="16"/>
      <c r="O1602" s="16"/>
      <c r="P1602" s="16"/>
      <c r="Q1602" s="16"/>
      <c r="R1602" s="16"/>
      <c r="S1602" s="16"/>
      <c r="T1602" s="16"/>
      <c r="U1602" s="16"/>
      <c r="V1602" s="16"/>
      <c r="W1602" s="16"/>
      <c r="X1602" s="16"/>
      <c r="Y1602" s="16"/>
      <c r="Z1602" s="16"/>
      <c r="AA1602" s="16"/>
    </row>
    <row r="1603" spans="1:27" s="2" customFormat="1" ht="14">
      <c r="A1603" s="12">
        <v>1308026</v>
      </c>
      <c r="B1603" s="13" t="s">
        <v>62</v>
      </c>
      <c r="C1603" s="13" t="s">
        <v>4471</v>
      </c>
      <c r="D1603" s="13" t="s">
        <v>4472</v>
      </c>
      <c r="E1603" s="13" t="s">
        <v>3750</v>
      </c>
      <c r="F1603" s="14"/>
      <c r="G1603" s="14"/>
      <c r="H1603" s="14"/>
      <c r="I1603" s="14"/>
      <c r="J1603" s="14">
        <f t="shared" si="75"/>
        <v>0</v>
      </c>
      <c r="K1603" s="14">
        <f t="shared" si="76"/>
        <v>0</v>
      </c>
      <c r="L1603" s="17">
        <f t="shared" si="77"/>
        <v>0</v>
      </c>
      <c r="M1603" s="14"/>
      <c r="N1603" s="16"/>
      <c r="O1603" s="16"/>
      <c r="P1603" s="16"/>
      <c r="Q1603" s="16"/>
      <c r="R1603" s="16"/>
      <c r="S1603" s="16"/>
      <c r="T1603" s="16"/>
      <c r="U1603" s="16"/>
      <c r="V1603" s="16"/>
      <c r="W1603" s="16"/>
      <c r="X1603" s="16"/>
      <c r="Y1603" s="16"/>
      <c r="Z1603" s="16"/>
      <c r="AA1603" s="16"/>
    </row>
    <row r="1604" spans="1:27" s="2" customFormat="1" ht="14">
      <c r="A1604" s="12">
        <v>1310685</v>
      </c>
      <c r="B1604" s="13" t="s">
        <v>14</v>
      </c>
      <c r="C1604" s="13" t="s">
        <v>4473</v>
      </c>
      <c r="D1604" s="13" t="s">
        <v>4474</v>
      </c>
      <c r="E1604" s="13" t="s">
        <v>3327</v>
      </c>
      <c r="F1604" s="14"/>
      <c r="G1604" s="14"/>
      <c r="H1604" s="14"/>
      <c r="I1604" s="14"/>
      <c r="J1604" s="14">
        <f t="shared" si="75"/>
        <v>0</v>
      </c>
      <c r="K1604" s="14">
        <f t="shared" si="76"/>
        <v>0</v>
      </c>
      <c r="L1604" s="17">
        <f t="shared" si="77"/>
        <v>0</v>
      </c>
      <c r="M1604" s="14"/>
      <c r="N1604" s="16"/>
      <c r="O1604" s="16"/>
      <c r="P1604" s="16"/>
      <c r="Q1604" s="16"/>
      <c r="R1604" s="16"/>
      <c r="S1604" s="16"/>
      <c r="T1604" s="16"/>
      <c r="U1604" s="16"/>
      <c r="V1604" s="16"/>
      <c r="W1604" s="16"/>
      <c r="X1604" s="16"/>
      <c r="Y1604" s="16"/>
      <c r="Z1604" s="16"/>
      <c r="AA1604" s="16"/>
    </row>
    <row r="1605" spans="1:27" s="2" customFormat="1" ht="14">
      <c r="A1605" s="12">
        <v>1311288</v>
      </c>
      <c r="B1605" s="13" t="s">
        <v>14</v>
      </c>
      <c r="C1605" s="13" t="s">
        <v>4475</v>
      </c>
      <c r="D1605" s="13" t="s">
        <v>4476</v>
      </c>
      <c r="E1605" s="13" t="s">
        <v>3465</v>
      </c>
      <c r="F1605" s="14"/>
      <c r="G1605" s="14"/>
      <c r="H1605" s="14"/>
      <c r="I1605" s="14"/>
      <c r="J1605" s="14">
        <f t="shared" si="75"/>
        <v>0</v>
      </c>
      <c r="K1605" s="14">
        <f t="shared" si="76"/>
        <v>0</v>
      </c>
      <c r="L1605" s="17">
        <f t="shared" si="77"/>
        <v>0</v>
      </c>
      <c r="M1605" s="14"/>
      <c r="N1605" s="16"/>
      <c r="O1605" s="16"/>
      <c r="P1605" s="16"/>
      <c r="Q1605" s="16"/>
      <c r="R1605" s="16"/>
      <c r="S1605" s="16"/>
      <c r="T1605" s="16"/>
      <c r="U1605" s="16"/>
      <c r="V1605" s="16"/>
      <c r="W1605" s="16"/>
      <c r="X1605" s="16"/>
      <c r="Y1605" s="16"/>
      <c r="Z1605" s="16"/>
      <c r="AA1605" s="16"/>
    </row>
    <row r="1606" spans="1:27" s="2" customFormat="1" ht="14">
      <c r="A1606" s="12">
        <v>1310948</v>
      </c>
      <c r="B1606" s="13" t="s">
        <v>14</v>
      </c>
      <c r="C1606" s="13" t="s">
        <v>4477</v>
      </c>
      <c r="D1606" s="13" t="s">
        <v>4478</v>
      </c>
      <c r="E1606" s="13" t="s">
        <v>1839</v>
      </c>
      <c r="F1606" s="14"/>
      <c r="G1606" s="14"/>
      <c r="H1606" s="14"/>
      <c r="I1606" s="14"/>
      <c r="J1606" s="14">
        <f t="shared" si="75"/>
        <v>0</v>
      </c>
      <c r="K1606" s="14">
        <f t="shared" si="76"/>
        <v>0</v>
      </c>
      <c r="L1606" s="17">
        <f t="shared" si="77"/>
        <v>0</v>
      </c>
      <c r="M1606" s="14"/>
      <c r="N1606" s="16"/>
      <c r="O1606" s="16"/>
      <c r="P1606" s="16"/>
      <c r="Q1606" s="16"/>
      <c r="R1606" s="16"/>
      <c r="S1606" s="16"/>
      <c r="T1606" s="16"/>
      <c r="U1606" s="16"/>
      <c r="V1606" s="16"/>
      <c r="W1606" s="16"/>
      <c r="X1606" s="16"/>
      <c r="Y1606" s="16"/>
      <c r="Z1606" s="16"/>
      <c r="AA1606" s="16"/>
    </row>
    <row r="1607" spans="1:27" s="2" customFormat="1" ht="14">
      <c r="A1607" s="12" t="s">
        <v>4479</v>
      </c>
      <c r="B1607" s="13" t="s">
        <v>14</v>
      </c>
      <c r="C1607" s="13" t="s">
        <v>4480</v>
      </c>
      <c r="D1607" s="13" t="s">
        <v>4481</v>
      </c>
      <c r="E1607" s="13" t="s">
        <v>46</v>
      </c>
      <c r="F1607" s="14"/>
      <c r="G1607" s="14"/>
      <c r="H1607" s="14"/>
      <c r="I1607" s="14"/>
      <c r="J1607" s="14">
        <f t="shared" si="75"/>
        <v>0</v>
      </c>
      <c r="K1607" s="14">
        <f t="shared" si="76"/>
        <v>0</v>
      </c>
      <c r="L1607" s="17">
        <f t="shared" si="77"/>
        <v>0</v>
      </c>
      <c r="M1607" s="14"/>
      <c r="N1607" s="16"/>
      <c r="O1607" s="16"/>
      <c r="P1607" s="16"/>
      <c r="Q1607" s="16"/>
      <c r="R1607" s="16"/>
      <c r="S1607" s="16"/>
      <c r="T1607" s="16"/>
      <c r="U1607" s="16"/>
      <c r="V1607" s="16"/>
      <c r="W1607" s="16"/>
      <c r="X1607" s="16"/>
      <c r="Y1607" s="16"/>
      <c r="Z1607" s="16"/>
      <c r="AA1607" s="16"/>
    </row>
    <row r="1608" spans="1:27" s="2" customFormat="1" ht="14">
      <c r="A1608" s="12">
        <v>1309400</v>
      </c>
      <c r="B1608" s="13" t="s">
        <v>62</v>
      </c>
      <c r="C1608" s="13" t="s">
        <v>4482</v>
      </c>
      <c r="D1608" s="13" t="s">
        <v>4483</v>
      </c>
      <c r="E1608" s="13" t="s">
        <v>3189</v>
      </c>
      <c r="F1608" s="14"/>
      <c r="G1608" s="14"/>
      <c r="H1608" s="14"/>
      <c r="I1608" s="14"/>
      <c r="J1608" s="14">
        <f t="shared" si="75"/>
        <v>0</v>
      </c>
      <c r="K1608" s="14">
        <f t="shared" si="76"/>
        <v>0</v>
      </c>
      <c r="L1608" s="17">
        <f t="shared" si="77"/>
        <v>0</v>
      </c>
      <c r="M1608" s="14"/>
      <c r="N1608" s="16"/>
      <c r="O1608" s="16"/>
      <c r="P1608" s="16"/>
      <c r="Q1608" s="16"/>
      <c r="R1608" s="16"/>
      <c r="S1608" s="16"/>
      <c r="T1608" s="16"/>
      <c r="U1608" s="16"/>
      <c r="V1608" s="16"/>
      <c r="W1608" s="16"/>
      <c r="X1608" s="16"/>
      <c r="Y1608" s="16"/>
      <c r="Z1608" s="16"/>
      <c r="AA1608" s="16"/>
    </row>
    <row r="1609" spans="1:27" s="2" customFormat="1" ht="14">
      <c r="A1609" s="12" t="s">
        <v>4484</v>
      </c>
      <c r="B1609" s="13" t="s">
        <v>14</v>
      </c>
      <c r="C1609" s="13" t="s">
        <v>4485</v>
      </c>
      <c r="D1609" s="13" t="s">
        <v>4486</v>
      </c>
      <c r="E1609" s="13" t="s">
        <v>43</v>
      </c>
      <c r="F1609" s="14"/>
      <c r="G1609" s="14"/>
      <c r="H1609" s="14"/>
      <c r="I1609" s="14"/>
      <c r="J1609" s="14">
        <f t="shared" si="75"/>
        <v>0</v>
      </c>
      <c r="K1609" s="14">
        <f t="shared" si="76"/>
        <v>0</v>
      </c>
      <c r="L1609" s="17">
        <f t="shared" si="77"/>
        <v>0</v>
      </c>
      <c r="M1609" s="14"/>
      <c r="N1609" s="16"/>
      <c r="O1609" s="16"/>
      <c r="P1609" s="16"/>
      <c r="Q1609" s="16"/>
      <c r="R1609" s="16"/>
      <c r="S1609" s="16"/>
      <c r="T1609" s="16"/>
      <c r="U1609" s="16"/>
      <c r="V1609" s="16"/>
      <c r="W1609" s="16"/>
      <c r="X1609" s="16"/>
      <c r="Y1609" s="16"/>
      <c r="Z1609" s="16"/>
      <c r="AA1609" s="16"/>
    </row>
    <row r="1610" spans="1:27" s="2" customFormat="1" ht="14">
      <c r="A1610" s="12">
        <v>1313455</v>
      </c>
      <c r="B1610" s="13" t="s">
        <v>14</v>
      </c>
      <c r="C1610" s="13" t="s">
        <v>4487</v>
      </c>
      <c r="D1610" s="13" t="s">
        <v>4488</v>
      </c>
      <c r="E1610" s="13" t="s">
        <v>3682</v>
      </c>
      <c r="F1610" s="14"/>
      <c r="G1610" s="14"/>
      <c r="H1610" s="14"/>
      <c r="I1610" s="14"/>
      <c r="J1610" s="14">
        <f t="shared" si="75"/>
        <v>0</v>
      </c>
      <c r="K1610" s="14">
        <f t="shared" si="76"/>
        <v>0</v>
      </c>
      <c r="L1610" s="17">
        <f t="shared" si="77"/>
        <v>0</v>
      </c>
      <c r="M1610" s="14"/>
      <c r="N1610" s="16"/>
      <c r="O1610" s="16"/>
      <c r="P1610" s="16"/>
      <c r="Q1610" s="16"/>
      <c r="R1610" s="16"/>
      <c r="S1610" s="16"/>
      <c r="T1610" s="16"/>
      <c r="U1610" s="16"/>
      <c r="V1610" s="16"/>
      <c r="W1610" s="16"/>
      <c r="X1610" s="16"/>
      <c r="Y1610" s="16"/>
      <c r="Z1610" s="16"/>
      <c r="AA1610" s="16"/>
    </row>
    <row r="1611" spans="1:27" s="2" customFormat="1" ht="14">
      <c r="A1611" s="12">
        <v>1313457</v>
      </c>
      <c r="B1611" s="13" t="s">
        <v>14</v>
      </c>
      <c r="C1611" s="13" t="s">
        <v>4489</v>
      </c>
      <c r="D1611" s="13" t="s">
        <v>4490</v>
      </c>
      <c r="E1611" s="13" t="s">
        <v>3533</v>
      </c>
      <c r="F1611" s="14"/>
      <c r="G1611" s="14"/>
      <c r="H1611" s="14"/>
      <c r="I1611" s="14"/>
      <c r="J1611" s="14">
        <f t="shared" si="75"/>
        <v>0</v>
      </c>
      <c r="K1611" s="14">
        <f t="shared" si="76"/>
        <v>0</v>
      </c>
      <c r="L1611" s="17">
        <f t="shared" si="77"/>
        <v>0</v>
      </c>
      <c r="M1611" s="14"/>
      <c r="N1611" s="16"/>
      <c r="O1611" s="16"/>
      <c r="P1611" s="16"/>
      <c r="Q1611" s="16"/>
      <c r="R1611" s="16"/>
      <c r="S1611" s="16"/>
      <c r="T1611" s="16"/>
      <c r="U1611" s="16"/>
      <c r="V1611" s="16"/>
      <c r="W1611" s="16"/>
      <c r="X1611" s="16"/>
      <c r="Y1611" s="16"/>
      <c r="Z1611" s="16"/>
      <c r="AA1611" s="16"/>
    </row>
    <row r="1612" spans="1:27" s="2" customFormat="1" ht="14">
      <c r="A1612" s="12">
        <v>1314225</v>
      </c>
      <c r="B1612" s="13" t="s">
        <v>14</v>
      </c>
      <c r="C1612" s="13" t="s">
        <v>4491</v>
      </c>
      <c r="D1612" s="13" t="s">
        <v>4492</v>
      </c>
      <c r="E1612" s="13" t="s">
        <v>3606</v>
      </c>
      <c r="F1612" s="14"/>
      <c r="G1612" s="14"/>
      <c r="H1612" s="14"/>
      <c r="I1612" s="14"/>
      <c r="J1612" s="14">
        <f t="shared" si="75"/>
        <v>0</v>
      </c>
      <c r="K1612" s="14">
        <f t="shared" si="76"/>
        <v>0</v>
      </c>
      <c r="L1612" s="17">
        <f t="shared" si="77"/>
        <v>0</v>
      </c>
      <c r="M1612" s="14"/>
      <c r="N1612" s="16"/>
      <c r="O1612" s="16"/>
      <c r="P1612" s="16"/>
      <c r="Q1612" s="16"/>
      <c r="R1612" s="16"/>
      <c r="S1612" s="16"/>
      <c r="T1612" s="16"/>
      <c r="U1612" s="16"/>
      <c r="V1612" s="16"/>
      <c r="W1612" s="16"/>
      <c r="X1612" s="16"/>
      <c r="Y1612" s="16"/>
      <c r="Z1612" s="16"/>
      <c r="AA1612" s="16"/>
    </row>
    <row r="1613" spans="1:27" s="2" customFormat="1" ht="14">
      <c r="A1613" s="12">
        <v>1314133</v>
      </c>
      <c r="B1613" s="13" t="s">
        <v>14</v>
      </c>
      <c r="C1613" s="13" t="s">
        <v>4493</v>
      </c>
      <c r="D1613" s="13" t="s">
        <v>4494</v>
      </c>
      <c r="E1613" s="13" t="s">
        <v>3402</v>
      </c>
      <c r="F1613" s="14"/>
      <c r="G1613" s="14"/>
      <c r="H1613" s="14"/>
      <c r="I1613" s="14"/>
      <c r="J1613" s="14">
        <f t="shared" si="75"/>
        <v>0</v>
      </c>
      <c r="K1613" s="14">
        <f t="shared" si="76"/>
        <v>0</v>
      </c>
      <c r="L1613" s="17">
        <f t="shared" si="77"/>
        <v>0</v>
      </c>
      <c r="M1613" s="14"/>
      <c r="N1613" s="16"/>
      <c r="O1613" s="16"/>
      <c r="P1613" s="16"/>
      <c r="Q1613" s="16"/>
      <c r="R1613" s="16"/>
      <c r="S1613" s="16"/>
      <c r="T1613" s="16"/>
      <c r="U1613" s="16"/>
      <c r="V1613" s="16"/>
      <c r="W1613" s="16"/>
      <c r="X1613" s="16"/>
      <c r="Y1613" s="16"/>
      <c r="Z1613" s="16"/>
      <c r="AA1613" s="16"/>
    </row>
    <row r="1614" spans="1:27" s="2" customFormat="1" ht="14">
      <c r="A1614" s="12">
        <v>1314442</v>
      </c>
      <c r="B1614" s="13" t="s">
        <v>14</v>
      </c>
      <c r="C1614" s="13" t="s">
        <v>4495</v>
      </c>
      <c r="D1614" s="13" t="s">
        <v>4496</v>
      </c>
      <c r="E1614" s="13" t="s">
        <v>3189</v>
      </c>
      <c r="F1614" s="14"/>
      <c r="G1614" s="14"/>
      <c r="H1614" s="14"/>
      <c r="I1614" s="14"/>
      <c r="J1614" s="14">
        <f t="shared" si="75"/>
        <v>0</v>
      </c>
      <c r="K1614" s="14">
        <f t="shared" si="76"/>
        <v>0</v>
      </c>
      <c r="L1614" s="17">
        <f t="shared" si="77"/>
        <v>0</v>
      </c>
      <c r="M1614" s="14"/>
      <c r="N1614" s="16"/>
      <c r="O1614" s="16"/>
      <c r="P1614" s="16"/>
      <c r="Q1614" s="16"/>
      <c r="R1614" s="16"/>
      <c r="S1614" s="16"/>
      <c r="T1614" s="16"/>
      <c r="U1614" s="16"/>
      <c r="V1614" s="16"/>
      <c r="W1614" s="16"/>
      <c r="X1614" s="16"/>
      <c r="Y1614" s="16"/>
      <c r="Z1614" s="16"/>
      <c r="AA1614" s="16"/>
    </row>
    <row r="1615" spans="1:27" s="2" customFormat="1" ht="14">
      <c r="A1615" s="12">
        <v>1314487</v>
      </c>
      <c r="B1615" s="13" t="s">
        <v>14</v>
      </c>
      <c r="C1615" s="13" t="s">
        <v>4497</v>
      </c>
      <c r="D1615" s="13" t="s">
        <v>4498</v>
      </c>
      <c r="E1615" s="13" t="s">
        <v>3948</v>
      </c>
      <c r="F1615" s="14"/>
      <c r="G1615" s="14"/>
      <c r="H1615" s="14"/>
      <c r="I1615" s="14"/>
      <c r="J1615" s="14">
        <f t="shared" si="75"/>
        <v>0</v>
      </c>
      <c r="K1615" s="14">
        <f t="shared" si="76"/>
        <v>0</v>
      </c>
      <c r="L1615" s="17">
        <f t="shared" si="77"/>
        <v>0</v>
      </c>
      <c r="M1615" s="14"/>
      <c r="N1615" s="16"/>
      <c r="O1615" s="16"/>
      <c r="P1615" s="16"/>
      <c r="Q1615" s="16"/>
      <c r="R1615" s="16"/>
      <c r="S1615" s="16"/>
      <c r="T1615" s="16"/>
      <c r="U1615" s="16"/>
      <c r="V1615" s="16"/>
      <c r="W1615" s="16"/>
      <c r="X1615" s="16"/>
      <c r="Y1615" s="16"/>
      <c r="Z1615" s="16"/>
      <c r="AA1615" s="16"/>
    </row>
    <row r="1616" spans="1:27" s="2" customFormat="1" ht="14">
      <c r="A1616" s="12">
        <v>1313823</v>
      </c>
      <c r="B1616" s="13" t="s">
        <v>14</v>
      </c>
      <c r="C1616" s="13" t="s">
        <v>4499</v>
      </c>
      <c r="D1616" s="13" t="s">
        <v>4500</v>
      </c>
      <c r="E1616" s="13" t="s">
        <v>1573</v>
      </c>
      <c r="F1616" s="14"/>
      <c r="G1616" s="14"/>
      <c r="H1616" s="14"/>
      <c r="I1616" s="14"/>
      <c r="J1616" s="14">
        <f t="shared" si="75"/>
        <v>0</v>
      </c>
      <c r="K1616" s="14">
        <f t="shared" si="76"/>
        <v>0</v>
      </c>
      <c r="L1616" s="17">
        <f t="shared" si="77"/>
        <v>0</v>
      </c>
      <c r="M1616" s="14"/>
      <c r="N1616" s="16"/>
      <c r="O1616" s="16"/>
      <c r="P1616" s="16"/>
      <c r="Q1616" s="16"/>
      <c r="R1616" s="16"/>
      <c r="S1616" s="16"/>
      <c r="T1616" s="16"/>
      <c r="U1616" s="16"/>
      <c r="V1616" s="16"/>
      <c r="W1616" s="16"/>
      <c r="X1616" s="16"/>
      <c r="Y1616" s="16"/>
      <c r="Z1616" s="16"/>
      <c r="AA1616" s="16"/>
    </row>
    <row r="1617" spans="1:27" s="2" customFormat="1" ht="14">
      <c r="A1617" s="12">
        <v>1313830</v>
      </c>
      <c r="B1617" s="13" t="s">
        <v>14</v>
      </c>
      <c r="C1617" s="13" t="s">
        <v>4501</v>
      </c>
      <c r="D1617" s="13" t="s">
        <v>4502</v>
      </c>
      <c r="E1617" s="13" t="s">
        <v>3327</v>
      </c>
      <c r="F1617" s="14"/>
      <c r="G1617" s="14"/>
      <c r="H1617" s="14"/>
      <c r="I1617" s="14"/>
      <c r="J1617" s="14">
        <f t="shared" si="75"/>
        <v>0</v>
      </c>
      <c r="K1617" s="14">
        <f t="shared" si="76"/>
        <v>0</v>
      </c>
      <c r="L1617" s="17">
        <f t="shared" si="77"/>
        <v>0</v>
      </c>
      <c r="M1617" s="14"/>
      <c r="N1617" s="16"/>
      <c r="O1617" s="16"/>
      <c r="P1617" s="16"/>
      <c r="Q1617" s="16"/>
      <c r="R1617" s="16"/>
      <c r="S1617" s="16"/>
      <c r="T1617" s="16"/>
      <c r="U1617" s="16"/>
      <c r="V1617" s="16"/>
      <c r="W1617" s="16"/>
      <c r="X1617" s="16"/>
      <c r="Y1617" s="16"/>
      <c r="Z1617" s="16"/>
      <c r="AA1617" s="16"/>
    </row>
    <row r="1618" spans="1:27" s="2" customFormat="1" ht="14">
      <c r="A1618" s="12">
        <v>1313833</v>
      </c>
      <c r="B1618" s="13" t="s">
        <v>14</v>
      </c>
      <c r="C1618" s="13" t="s">
        <v>4503</v>
      </c>
      <c r="D1618" s="13" t="s">
        <v>4504</v>
      </c>
      <c r="E1618" s="13" t="s">
        <v>3700</v>
      </c>
      <c r="F1618" s="14"/>
      <c r="G1618" s="14"/>
      <c r="H1618" s="14"/>
      <c r="I1618" s="14"/>
      <c r="J1618" s="14">
        <f t="shared" si="75"/>
        <v>0</v>
      </c>
      <c r="K1618" s="14">
        <f t="shared" si="76"/>
        <v>0</v>
      </c>
      <c r="L1618" s="17">
        <f t="shared" si="77"/>
        <v>0</v>
      </c>
      <c r="M1618" s="14"/>
      <c r="N1618" s="16"/>
      <c r="O1618" s="16"/>
      <c r="P1618" s="16"/>
      <c r="Q1618" s="16"/>
      <c r="R1618" s="16"/>
      <c r="S1618" s="16"/>
      <c r="T1618" s="16"/>
      <c r="U1618" s="16"/>
      <c r="V1618" s="16"/>
      <c r="W1618" s="16"/>
      <c r="X1618" s="16"/>
      <c r="Y1618" s="16"/>
      <c r="Z1618" s="16"/>
      <c r="AA1618" s="16"/>
    </row>
    <row r="1619" spans="1:27" s="2" customFormat="1" ht="14">
      <c r="A1619" s="12">
        <v>1314581</v>
      </c>
      <c r="B1619" s="13" t="s">
        <v>62</v>
      </c>
      <c r="C1619" s="13" t="s">
        <v>4505</v>
      </c>
      <c r="D1619" s="13" t="s">
        <v>4506</v>
      </c>
      <c r="E1619" s="13" t="s">
        <v>4507</v>
      </c>
      <c r="F1619" s="14"/>
      <c r="G1619" s="14"/>
      <c r="H1619" s="14"/>
      <c r="I1619" s="14"/>
      <c r="J1619" s="14">
        <f t="shared" si="75"/>
        <v>0</v>
      </c>
      <c r="K1619" s="14">
        <f t="shared" si="76"/>
        <v>0</v>
      </c>
      <c r="L1619" s="17">
        <f t="shared" si="77"/>
        <v>0</v>
      </c>
      <c r="M1619" s="14"/>
      <c r="N1619" s="16"/>
      <c r="O1619" s="16"/>
      <c r="P1619" s="16"/>
      <c r="Q1619" s="16"/>
      <c r="R1619" s="16"/>
      <c r="S1619" s="16"/>
      <c r="T1619" s="16"/>
      <c r="U1619" s="16"/>
      <c r="V1619" s="16"/>
      <c r="W1619" s="16"/>
      <c r="X1619" s="16"/>
      <c r="Y1619" s="16"/>
      <c r="Z1619" s="16"/>
      <c r="AA1619" s="16"/>
    </row>
    <row r="1620" spans="1:27" s="2" customFormat="1" ht="14">
      <c r="A1620" s="12" t="s">
        <v>4508</v>
      </c>
      <c r="B1620" s="13" t="s">
        <v>14</v>
      </c>
      <c r="C1620" s="13" t="s">
        <v>4509</v>
      </c>
      <c r="D1620" s="13" t="s">
        <v>4510</v>
      </c>
      <c r="E1620" s="13" t="s">
        <v>68</v>
      </c>
      <c r="F1620" s="14"/>
      <c r="G1620" s="14"/>
      <c r="H1620" s="14"/>
      <c r="I1620" s="14"/>
      <c r="J1620" s="14">
        <f t="shared" si="75"/>
        <v>0</v>
      </c>
      <c r="K1620" s="14">
        <f t="shared" si="76"/>
        <v>0</v>
      </c>
      <c r="L1620" s="17">
        <f t="shared" si="77"/>
        <v>0</v>
      </c>
      <c r="M1620" s="14"/>
      <c r="N1620" s="16"/>
      <c r="O1620" s="16"/>
      <c r="P1620" s="16"/>
      <c r="Q1620" s="16"/>
      <c r="R1620" s="16"/>
      <c r="S1620" s="16"/>
      <c r="T1620" s="16"/>
      <c r="U1620" s="16"/>
      <c r="V1620" s="16"/>
      <c r="W1620" s="16"/>
      <c r="X1620" s="16"/>
      <c r="Y1620" s="16"/>
      <c r="Z1620" s="16"/>
      <c r="AA1620" s="16"/>
    </row>
    <row r="1621" spans="1:27" s="2" customFormat="1" ht="14">
      <c r="A1621" s="12">
        <v>1314901</v>
      </c>
      <c r="B1621" s="13" t="s">
        <v>62</v>
      </c>
      <c r="C1621" s="13" t="s">
        <v>4511</v>
      </c>
      <c r="D1621" s="13" t="s">
        <v>4512</v>
      </c>
      <c r="E1621" s="13" t="s">
        <v>1573</v>
      </c>
      <c r="F1621" s="14"/>
      <c r="G1621" s="14"/>
      <c r="H1621" s="14"/>
      <c r="I1621" s="14"/>
      <c r="J1621" s="14">
        <f t="shared" si="75"/>
        <v>0</v>
      </c>
      <c r="K1621" s="14">
        <f t="shared" si="76"/>
        <v>0</v>
      </c>
      <c r="L1621" s="17">
        <f t="shared" si="77"/>
        <v>0</v>
      </c>
      <c r="M1621" s="14"/>
      <c r="N1621" s="16"/>
      <c r="O1621" s="16"/>
      <c r="P1621" s="16"/>
      <c r="Q1621" s="16"/>
      <c r="R1621" s="16"/>
      <c r="S1621" s="16"/>
      <c r="T1621" s="16"/>
      <c r="U1621" s="16"/>
      <c r="V1621" s="16"/>
      <c r="W1621" s="16"/>
      <c r="X1621" s="16"/>
      <c r="Y1621" s="16"/>
      <c r="Z1621" s="16"/>
      <c r="AA1621" s="16"/>
    </row>
    <row r="1622" spans="1:27" s="2" customFormat="1" ht="14">
      <c r="A1622" s="12">
        <v>1314902</v>
      </c>
      <c r="B1622" s="13" t="s">
        <v>62</v>
      </c>
      <c r="C1622" s="13" t="s">
        <v>4513</v>
      </c>
      <c r="D1622" s="13" t="s">
        <v>4514</v>
      </c>
      <c r="E1622" s="13" t="s">
        <v>3530</v>
      </c>
      <c r="F1622" s="14"/>
      <c r="G1622" s="14"/>
      <c r="H1622" s="14"/>
      <c r="I1622" s="14"/>
      <c r="J1622" s="14">
        <f t="shared" si="75"/>
        <v>0</v>
      </c>
      <c r="K1622" s="14">
        <f t="shared" si="76"/>
        <v>0</v>
      </c>
      <c r="L1622" s="17">
        <f t="shared" si="77"/>
        <v>0</v>
      </c>
      <c r="M1622" s="14"/>
      <c r="N1622" s="16"/>
      <c r="O1622" s="16"/>
      <c r="P1622" s="16"/>
      <c r="Q1622" s="16"/>
      <c r="R1622" s="16"/>
      <c r="S1622" s="16"/>
      <c r="T1622" s="16"/>
      <c r="U1622" s="16"/>
      <c r="V1622" s="16"/>
      <c r="W1622" s="16"/>
      <c r="X1622" s="16"/>
      <c r="Y1622" s="16"/>
      <c r="Z1622" s="16"/>
      <c r="AA1622" s="16"/>
    </row>
    <row r="1623" spans="1:27" s="2" customFormat="1" ht="14">
      <c r="A1623" s="12">
        <v>1315305</v>
      </c>
      <c r="B1623" s="13" t="s">
        <v>62</v>
      </c>
      <c r="C1623" s="13" t="s">
        <v>4515</v>
      </c>
      <c r="D1623" s="13" t="s">
        <v>4516</v>
      </c>
      <c r="E1623" s="13" t="s">
        <v>3465</v>
      </c>
      <c r="F1623" s="14"/>
      <c r="G1623" s="14"/>
      <c r="H1623" s="14"/>
      <c r="I1623" s="14"/>
      <c r="J1623" s="14">
        <f t="shared" si="75"/>
        <v>0</v>
      </c>
      <c r="K1623" s="14">
        <f t="shared" si="76"/>
        <v>0</v>
      </c>
      <c r="L1623" s="17">
        <f t="shared" si="77"/>
        <v>0</v>
      </c>
      <c r="M1623" s="14"/>
      <c r="N1623" s="16"/>
      <c r="O1623" s="16"/>
      <c r="P1623" s="16"/>
      <c r="Q1623" s="16"/>
      <c r="R1623" s="16"/>
      <c r="S1623" s="16"/>
      <c r="T1623" s="16"/>
      <c r="U1623" s="16"/>
      <c r="V1623" s="16"/>
      <c r="W1623" s="16"/>
      <c r="X1623" s="16"/>
      <c r="Y1623" s="16"/>
      <c r="Z1623" s="16"/>
      <c r="AA1623" s="16"/>
    </row>
    <row r="1624" spans="1:27" s="2" customFormat="1" ht="14">
      <c r="A1624" s="12">
        <v>1316590</v>
      </c>
      <c r="B1624" s="13" t="s">
        <v>14</v>
      </c>
      <c r="C1624" s="13" t="s">
        <v>4517</v>
      </c>
      <c r="D1624" s="13" t="s">
        <v>4518</v>
      </c>
      <c r="E1624" s="13" t="s">
        <v>3635</v>
      </c>
      <c r="F1624" s="14"/>
      <c r="G1624" s="14"/>
      <c r="H1624" s="14"/>
      <c r="I1624" s="14"/>
      <c r="J1624" s="14">
        <f t="shared" si="75"/>
        <v>0</v>
      </c>
      <c r="K1624" s="14">
        <f t="shared" si="76"/>
        <v>0</v>
      </c>
      <c r="L1624" s="17">
        <f t="shared" si="77"/>
        <v>0</v>
      </c>
      <c r="M1624" s="14"/>
      <c r="N1624" s="16"/>
      <c r="O1624" s="16"/>
      <c r="P1624" s="16"/>
      <c r="Q1624" s="16"/>
      <c r="R1624" s="16"/>
      <c r="S1624" s="16"/>
      <c r="T1624" s="16"/>
      <c r="U1624" s="16"/>
      <c r="V1624" s="16"/>
      <c r="W1624" s="16"/>
      <c r="X1624" s="16"/>
      <c r="Y1624" s="16"/>
      <c r="Z1624" s="16"/>
      <c r="AA1624" s="16"/>
    </row>
    <row r="1625" spans="1:27" s="2" customFormat="1" ht="14">
      <c r="A1625" s="12">
        <v>1316818</v>
      </c>
      <c r="B1625" s="13" t="s">
        <v>14</v>
      </c>
      <c r="C1625" s="13" t="s">
        <v>4519</v>
      </c>
      <c r="D1625" s="13" t="s">
        <v>4520</v>
      </c>
      <c r="E1625" s="13" t="s">
        <v>3327</v>
      </c>
      <c r="F1625" s="14"/>
      <c r="G1625" s="14"/>
      <c r="H1625" s="14"/>
      <c r="I1625" s="14"/>
      <c r="J1625" s="14">
        <f t="shared" si="75"/>
        <v>0</v>
      </c>
      <c r="K1625" s="14">
        <f t="shared" si="76"/>
        <v>0</v>
      </c>
      <c r="L1625" s="17">
        <f t="shared" si="77"/>
        <v>0</v>
      </c>
      <c r="M1625" s="14"/>
      <c r="N1625" s="16"/>
      <c r="O1625" s="16"/>
      <c r="P1625" s="16"/>
      <c r="Q1625" s="16"/>
      <c r="R1625" s="16"/>
      <c r="S1625" s="16"/>
      <c r="T1625" s="16"/>
      <c r="U1625" s="16"/>
      <c r="V1625" s="16"/>
      <c r="W1625" s="16"/>
      <c r="X1625" s="16"/>
      <c r="Y1625" s="16"/>
      <c r="Z1625" s="16"/>
      <c r="AA1625" s="16"/>
    </row>
    <row r="1626" spans="1:27" s="2" customFormat="1" ht="14">
      <c r="A1626" s="12" t="s">
        <v>4521</v>
      </c>
      <c r="B1626" s="13" t="s">
        <v>62</v>
      </c>
      <c r="C1626" s="13" t="s">
        <v>4522</v>
      </c>
      <c r="D1626" s="13" t="s">
        <v>4523</v>
      </c>
      <c r="E1626" s="13" t="s">
        <v>21</v>
      </c>
      <c r="F1626" s="14"/>
      <c r="G1626" s="14"/>
      <c r="H1626" s="14"/>
      <c r="I1626" s="14"/>
      <c r="J1626" s="14">
        <f t="shared" si="75"/>
        <v>0</v>
      </c>
      <c r="K1626" s="14">
        <f t="shared" si="76"/>
        <v>0</v>
      </c>
      <c r="L1626" s="17">
        <f t="shared" si="77"/>
        <v>0</v>
      </c>
      <c r="M1626" s="14"/>
      <c r="N1626" s="16"/>
      <c r="O1626" s="16"/>
      <c r="P1626" s="16"/>
      <c r="Q1626" s="16"/>
      <c r="R1626" s="16"/>
      <c r="S1626" s="16"/>
      <c r="T1626" s="16"/>
      <c r="U1626" s="16"/>
      <c r="V1626" s="16"/>
      <c r="W1626" s="16"/>
      <c r="X1626" s="16"/>
      <c r="Y1626" s="16"/>
      <c r="Z1626" s="16"/>
      <c r="AA1626" s="16"/>
    </row>
    <row r="1627" spans="1:27" s="2" customFormat="1" ht="14">
      <c r="A1627" s="12">
        <v>1316928</v>
      </c>
      <c r="B1627" s="13" t="s">
        <v>14</v>
      </c>
      <c r="C1627" s="13" t="s">
        <v>4524</v>
      </c>
      <c r="D1627" s="13" t="s">
        <v>4525</v>
      </c>
      <c r="E1627" s="13" t="s">
        <v>1839</v>
      </c>
      <c r="F1627" s="14"/>
      <c r="G1627" s="14"/>
      <c r="H1627" s="14"/>
      <c r="I1627" s="14"/>
      <c r="J1627" s="14">
        <f t="shared" si="75"/>
        <v>0</v>
      </c>
      <c r="K1627" s="14">
        <f t="shared" si="76"/>
        <v>0</v>
      </c>
      <c r="L1627" s="17">
        <f t="shared" si="77"/>
        <v>0</v>
      </c>
      <c r="M1627" s="14"/>
      <c r="N1627" s="16"/>
      <c r="O1627" s="16"/>
      <c r="P1627" s="16"/>
      <c r="Q1627" s="16"/>
      <c r="R1627" s="16"/>
      <c r="S1627" s="16"/>
      <c r="T1627" s="16"/>
      <c r="U1627" s="16"/>
      <c r="V1627" s="16"/>
      <c r="W1627" s="16"/>
      <c r="X1627" s="16"/>
      <c r="Y1627" s="16"/>
      <c r="Z1627" s="16"/>
      <c r="AA1627" s="16"/>
    </row>
    <row r="1628" spans="1:27" s="2" customFormat="1" ht="14">
      <c r="A1628" s="12">
        <v>1317531</v>
      </c>
      <c r="B1628" s="13" t="s">
        <v>62</v>
      </c>
      <c r="C1628" s="13" t="s">
        <v>4526</v>
      </c>
      <c r="D1628" s="13" t="s">
        <v>4527</v>
      </c>
      <c r="E1628" s="13" t="s">
        <v>3649</v>
      </c>
      <c r="F1628" s="14"/>
      <c r="G1628" s="14"/>
      <c r="H1628" s="14"/>
      <c r="I1628" s="14"/>
      <c r="J1628" s="14">
        <f t="shared" si="75"/>
        <v>0</v>
      </c>
      <c r="K1628" s="14">
        <f t="shared" si="76"/>
        <v>0</v>
      </c>
      <c r="L1628" s="17">
        <f t="shared" si="77"/>
        <v>0</v>
      </c>
      <c r="M1628" s="14"/>
      <c r="N1628" s="16"/>
      <c r="O1628" s="16"/>
      <c r="P1628" s="16"/>
      <c r="Q1628" s="16"/>
      <c r="R1628" s="16"/>
      <c r="S1628" s="16"/>
      <c r="T1628" s="16"/>
      <c r="U1628" s="16"/>
      <c r="V1628" s="16"/>
      <c r="W1628" s="16"/>
      <c r="X1628" s="16"/>
      <c r="Y1628" s="16"/>
      <c r="Z1628" s="16"/>
      <c r="AA1628" s="16"/>
    </row>
    <row r="1629" spans="1:27" s="2" customFormat="1" ht="14">
      <c r="A1629" s="12">
        <v>1314992</v>
      </c>
      <c r="B1629" s="13" t="s">
        <v>14</v>
      </c>
      <c r="C1629" s="13" t="s">
        <v>4528</v>
      </c>
      <c r="D1629" s="13" t="s">
        <v>4529</v>
      </c>
      <c r="E1629" s="13" t="s">
        <v>3750</v>
      </c>
      <c r="F1629" s="14"/>
      <c r="G1629" s="14"/>
      <c r="H1629" s="14"/>
      <c r="I1629" s="14"/>
      <c r="J1629" s="14">
        <f t="shared" si="75"/>
        <v>0</v>
      </c>
      <c r="K1629" s="14">
        <f t="shared" si="76"/>
        <v>0</v>
      </c>
      <c r="L1629" s="17">
        <f t="shared" si="77"/>
        <v>0</v>
      </c>
      <c r="M1629" s="14"/>
      <c r="N1629" s="16"/>
      <c r="O1629" s="16"/>
      <c r="P1629" s="16"/>
      <c r="Q1629" s="16"/>
      <c r="R1629" s="16"/>
      <c r="S1629" s="16"/>
      <c r="T1629" s="16"/>
      <c r="U1629" s="16"/>
      <c r="V1629" s="16"/>
      <c r="W1629" s="16"/>
      <c r="X1629" s="16"/>
      <c r="Y1629" s="16"/>
      <c r="Z1629" s="16"/>
      <c r="AA1629" s="16"/>
    </row>
    <row r="1630" spans="1:27" s="2" customFormat="1" ht="14">
      <c r="A1630" s="12">
        <v>1318057</v>
      </c>
      <c r="B1630" s="13" t="s">
        <v>14</v>
      </c>
      <c r="C1630" s="13" t="s">
        <v>4530</v>
      </c>
      <c r="D1630" s="13" t="s">
        <v>4531</v>
      </c>
      <c r="E1630" s="13" t="s">
        <v>4453</v>
      </c>
      <c r="F1630" s="14"/>
      <c r="G1630" s="14"/>
      <c r="H1630" s="14"/>
      <c r="I1630" s="14"/>
      <c r="J1630" s="14">
        <f t="shared" si="75"/>
        <v>0</v>
      </c>
      <c r="K1630" s="14">
        <f t="shared" si="76"/>
        <v>0</v>
      </c>
      <c r="L1630" s="17">
        <f t="shared" si="77"/>
        <v>0</v>
      </c>
      <c r="M1630" s="14"/>
      <c r="N1630" s="16"/>
      <c r="O1630" s="16"/>
      <c r="P1630" s="16"/>
      <c r="Q1630" s="16"/>
      <c r="R1630" s="16"/>
      <c r="S1630" s="16"/>
      <c r="T1630" s="16"/>
      <c r="U1630" s="16"/>
      <c r="V1630" s="16"/>
      <c r="W1630" s="16"/>
      <c r="X1630" s="16"/>
      <c r="Y1630" s="16"/>
      <c r="Z1630" s="16"/>
      <c r="AA1630" s="16"/>
    </row>
    <row r="1631" spans="1:27" s="2" customFormat="1" ht="14">
      <c r="A1631" s="12">
        <v>1316115</v>
      </c>
      <c r="B1631" s="13" t="s">
        <v>14</v>
      </c>
      <c r="C1631" s="13" t="s">
        <v>4532</v>
      </c>
      <c r="D1631" s="13" t="s">
        <v>4533</v>
      </c>
      <c r="E1631" s="13" t="s">
        <v>1573</v>
      </c>
      <c r="F1631" s="14"/>
      <c r="G1631" s="14"/>
      <c r="H1631" s="14"/>
      <c r="I1631" s="14"/>
      <c r="J1631" s="14">
        <f t="shared" si="75"/>
        <v>0</v>
      </c>
      <c r="K1631" s="14">
        <f t="shared" si="76"/>
        <v>0</v>
      </c>
      <c r="L1631" s="17">
        <f t="shared" si="77"/>
        <v>0</v>
      </c>
      <c r="M1631" s="14"/>
      <c r="N1631" s="16"/>
      <c r="O1631" s="16"/>
      <c r="P1631" s="16"/>
      <c r="Q1631" s="16"/>
      <c r="R1631" s="16"/>
      <c r="S1631" s="16"/>
      <c r="T1631" s="16"/>
      <c r="U1631" s="16"/>
      <c r="V1631" s="16"/>
      <c r="W1631" s="16"/>
      <c r="X1631" s="16"/>
      <c r="Y1631" s="16"/>
      <c r="Z1631" s="16"/>
      <c r="AA1631" s="16"/>
    </row>
    <row r="1632" spans="1:27" s="2" customFormat="1" ht="14">
      <c r="A1632" s="12" t="s">
        <v>4534</v>
      </c>
      <c r="B1632" s="13" t="s">
        <v>14</v>
      </c>
      <c r="C1632" s="13" t="s">
        <v>4535</v>
      </c>
      <c r="D1632" s="13" t="s">
        <v>4536</v>
      </c>
      <c r="E1632" s="13" t="s">
        <v>68</v>
      </c>
      <c r="F1632" s="14"/>
      <c r="G1632" s="14"/>
      <c r="H1632" s="14"/>
      <c r="I1632" s="14"/>
      <c r="J1632" s="14">
        <f t="shared" si="75"/>
        <v>0</v>
      </c>
      <c r="K1632" s="14">
        <f t="shared" si="76"/>
        <v>0</v>
      </c>
      <c r="L1632" s="17">
        <f t="shared" si="77"/>
        <v>0</v>
      </c>
      <c r="M1632" s="14"/>
      <c r="N1632" s="16"/>
      <c r="O1632" s="16"/>
      <c r="P1632" s="16"/>
      <c r="Q1632" s="16"/>
      <c r="R1632" s="16"/>
      <c r="S1632" s="16"/>
      <c r="T1632" s="16"/>
      <c r="U1632" s="16"/>
      <c r="V1632" s="16"/>
      <c r="W1632" s="16"/>
      <c r="X1632" s="16"/>
      <c r="Y1632" s="16"/>
      <c r="Z1632" s="16"/>
      <c r="AA1632" s="16"/>
    </row>
    <row r="1633" spans="1:27" s="2" customFormat="1" ht="14">
      <c r="A1633" s="12">
        <v>1316208</v>
      </c>
      <c r="B1633" s="13" t="s">
        <v>14</v>
      </c>
      <c r="C1633" s="13" t="s">
        <v>4537</v>
      </c>
      <c r="D1633" s="13" t="s">
        <v>4538</v>
      </c>
      <c r="E1633" s="13" t="s">
        <v>3530</v>
      </c>
      <c r="F1633" s="14"/>
      <c r="G1633" s="14"/>
      <c r="H1633" s="14"/>
      <c r="I1633" s="14"/>
      <c r="J1633" s="14">
        <f t="shared" si="75"/>
        <v>0</v>
      </c>
      <c r="K1633" s="14">
        <f t="shared" si="76"/>
        <v>0</v>
      </c>
      <c r="L1633" s="17">
        <f t="shared" si="77"/>
        <v>0</v>
      </c>
      <c r="M1633" s="14"/>
      <c r="N1633" s="16"/>
      <c r="O1633" s="16"/>
      <c r="P1633" s="16"/>
      <c r="Q1633" s="16"/>
      <c r="R1633" s="16"/>
      <c r="S1633" s="16"/>
      <c r="T1633" s="16"/>
      <c r="U1633" s="16"/>
      <c r="V1633" s="16"/>
      <c r="W1633" s="16"/>
      <c r="X1633" s="16"/>
      <c r="Y1633" s="16"/>
      <c r="Z1633" s="16"/>
      <c r="AA1633" s="16"/>
    </row>
    <row r="1634" spans="1:27" s="2" customFormat="1" ht="14">
      <c r="A1634" s="12">
        <v>1319426</v>
      </c>
      <c r="B1634" s="13" t="s">
        <v>14</v>
      </c>
      <c r="C1634" s="13" t="s">
        <v>4539</v>
      </c>
      <c r="D1634" s="13" t="s">
        <v>4540</v>
      </c>
      <c r="E1634" s="13" t="s">
        <v>3402</v>
      </c>
      <c r="F1634" s="14"/>
      <c r="G1634" s="14"/>
      <c r="H1634" s="14"/>
      <c r="I1634" s="14"/>
      <c r="J1634" s="14">
        <f t="shared" si="75"/>
        <v>0</v>
      </c>
      <c r="K1634" s="14">
        <f t="shared" si="76"/>
        <v>0</v>
      </c>
      <c r="L1634" s="17">
        <f t="shared" si="77"/>
        <v>0</v>
      </c>
      <c r="M1634" s="14"/>
      <c r="N1634" s="16"/>
      <c r="O1634" s="16"/>
      <c r="P1634" s="16"/>
      <c r="Q1634" s="16"/>
      <c r="R1634" s="16"/>
      <c r="S1634" s="16"/>
      <c r="T1634" s="16"/>
      <c r="U1634" s="16"/>
      <c r="V1634" s="16"/>
      <c r="W1634" s="16"/>
      <c r="X1634" s="16"/>
      <c r="Y1634" s="16"/>
      <c r="Z1634" s="16"/>
      <c r="AA1634" s="16"/>
    </row>
    <row r="1635" spans="1:27" s="2" customFormat="1" ht="14">
      <c r="A1635" s="12">
        <v>1319321</v>
      </c>
      <c r="B1635" s="13" t="s">
        <v>14</v>
      </c>
      <c r="C1635" s="13" t="s">
        <v>4541</v>
      </c>
      <c r="D1635" s="13" t="s">
        <v>4542</v>
      </c>
      <c r="E1635" s="13" t="s">
        <v>3682</v>
      </c>
      <c r="F1635" s="14"/>
      <c r="G1635" s="14"/>
      <c r="H1635" s="14"/>
      <c r="I1635" s="14"/>
      <c r="J1635" s="14">
        <f t="shared" si="75"/>
        <v>0</v>
      </c>
      <c r="K1635" s="14">
        <f t="shared" si="76"/>
        <v>0</v>
      </c>
      <c r="L1635" s="17">
        <f t="shared" si="77"/>
        <v>0</v>
      </c>
      <c r="M1635" s="14"/>
      <c r="N1635" s="16"/>
      <c r="O1635" s="16"/>
      <c r="P1635" s="16"/>
      <c r="Q1635" s="16"/>
      <c r="R1635" s="16"/>
      <c r="S1635" s="16"/>
      <c r="T1635" s="16"/>
      <c r="U1635" s="16"/>
      <c r="V1635" s="16"/>
      <c r="W1635" s="16"/>
      <c r="X1635" s="16"/>
      <c r="Y1635" s="16"/>
      <c r="Z1635" s="16"/>
      <c r="AA1635" s="16"/>
    </row>
    <row r="1636" spans="1:27" s="2" customFormat="1" ht="14">
      <c r="A1636" s="12">
        <v>1319325</v>
      </c>
      <c r="B1636" s="13" t="s">
        <v>62</v>
      </c>
      <c r="C1636" s="13" t="s">
        <v>4543</v>
      </c>
      <c r="D1636" s="13" t="s">
        <v>4544</v>
      </c>
      <c r="E1636" s="13" t="s">
        <v>3530</v>
      </c>
      <c r="F1636" s="14"/>
      <c r="G1636" s="14"/>
      <c r="H1636" s="14"/>
      <c r="I1636" s="14"/>
      <c r="J1636" s="14">
        <f t="shared" si="75"/>
        <v>0</v>
      </c>
      <c r="K1636" s="14">
        <f t="shared" si="76"/>
        <v>0</v>
      </c>
      <c r="L1636" s="17">
        <f t="shared" si="77"/>
        <v>0</v>
      </c>
      <c r="M1636" s="14"/>
      <c r="N1636" s="16"/>
      <c r="O1636" s="16"/>
      <c r="P1636" s="16"/>
      <c r="Q1636" s="16"/>
      <c r="R1636" s="16"/>
      <c r="S1636" s="16"/>
      <c r="T1636" s="16"/>
      <c r="U1636" s="16"/>
      <c r="V1636" s="16"/>
      <c r="W1636" s="16"/>
      <c r="X1636" s="16"/>
      <c r="Y1636" s="16"/>
      <c r="Z1636" s="16"/>
      <c r="AA1636" s="16"/>
    </row>
    <row r="1637" spans="1:27" s="2" customFormat="1" ht="14">
      <c r="A1637" s="12">
        <v>1316267</v>
      </c>
      <c r="B1637" s="13" t="s">
        <v>14</v>
      </c>
      <c r="C1637" s="13" t="s">
        <v>4545</v>
      </c>
      <c r="D1637" s="13" t="s">
        <v>4546</v>
      </c>
      <c r="E1637" s="13" t="s">
        <v>3703</v>
      </c>
      <c r="F1637" s="14"/>
      <c r="G1637" s="14"/>
      <c r="H1637" s="14"/>
      <c r="I1637" s="14"/>
      <c r="J1637" s="14">
        <f t="shared" si="75"/>
        <v>0</v>
      </c>
      <c r="K1637" s="14">
        <f t="shared" si="76"/>
        <v>0</v>
      </c>
      <c r="L1637" s="17">
        <f t="shared" si="77"/>
        <v>0</v>
      </c>
      <c r="M1637" s="14"/>
      <c r="N1637" s="16"/>
      <c r="O1637" s="16"/>
      <c r="P1637" s="16"/>
      <c r="Q1637" s="16"/>
      <c r="R1637" s="16"/>
      <c r="S1637" s="16"/>
      <c r="T1637" s="16"/>
      <c r="U1637" s="16"/>
      <c r="V1637" s="16"/>
      <c r="W1637" s="16"/>
      <c r="X1637" s="16"/>
      <c r="Y1637" s="16"/>
      <c r="Z1637" s="16"/>
      <c r="AA1637" s="16"/>
    </row>
    <row r="1638" spans="1:27" s="2" customFormat="1" ht="14">
      <c r="A1638" s="12">
        <v>1321203</v>
      </c>
      <c r="B1638" s="13" t="s">
        <v>14</v>
      </c>
      <c r="C1638" s="13" t="s">
        <v>4547</v>
      </c>
      <c r="D1638" s="13" t="s">
        <v>4548</v>
      </c>
      <c r="E1638" s="13" t="s">
        <v>3848</v>
      </c>
      <c r="F1638" s="14"/>
      <c r="G1638" s="14"/>
      <c r="H1638" s="14"/>
      <c r="I1638" s="14"/>
      <c r="J1638" s="14">
        <f t="shared" si="75"/>
        <v>0</v>
      </c>
      <c r="K1638" s="14">
        <f t="shared" si="76"/>
        <v>0</v>
      </c>
      <c r="L1638" s="17">
        <f t="shared" si="77"/>
        <v>0</v>
      </c>
      <c r="M1638" s="14"/>
      <c r="N1638" s="16"/>
      <c r="O1638" s="16"/>
      <c r="P1638" s="16"/>
      <c r="Q1638" s="16"/>
      <c r="R1638" s="16"/>
      <c r="S1638" s="16"/>
      <c r="T1638" s="16"/>
      <c r="U1638" s="16"/>
      <c r="V1638" s="16"/>
      <c r="W1638" s="16"/>
      <c r="X1638" s="16"/>
      <c r="Y1638" s="16"/>
      <c r="Z1638" s="16"/>
      <c r="AA1638" s="16"/>
    </row>
    <row r="1639" spans="1:27" s="2" customFormat="1" ht="14">
      <c r="A1639" s="12">
        <v>1321409</v>
      </c>
      <c r="B1639" s="13" t="s">
        <v>14</v>
      </c>
      <c r="C1639" s="13" t="s">
        <v>4549</v>
      </c>
      <c r="D1639" s="13" t="s">
        <v>4550</v>
      </c>
      <c r="E1639" s="13" t="s">
        <v>3750</v>
      </c>
      <c r="F1639" s="14"/>
      <c r="G1639" s="14"/>
      <c r="H1639" s="14"/>
      <c r="I1639" s="14"/>
      <c r="J1639" s="14">
        <f t="shared" si="75"/>
        <v>0</v>
      </c>
      <c r="K1639" s="14">
        <f t="shared" si="76"/>
        <v>0</v>
      </c>
      <c r="L1639" s="17">
        <f t="shared" si="77"/>
        <v>0</v>
      </c>
      <c r="M1639" s="14"/>
      <c r="N1639" s="16"/>
      <c r="O1639" s="16"/>
      <c r="P1639" s="16"/>
      <c r="Q1639" s="16"/>
      <c r="R1639" s="16"/>
      <c r="S1639" s="16"/>
      <c r="T1639" s="16"/>
      <c r="U1639" s="16"/>
      <c r="V1639" s="16"/>
      <c r="W1639" s="16"/>
      <c r="X1639" s="16"/>
      <c r="Y1639" s="16"/>
      <c r="Z1639" s="16"/>
      <c r="AA1639" s="16"/>
    </row>
    <row r="1640" spans="1:27" s="2" customFormat="1" ht="14">
      <c r="A1640" s="12">
        <v>1319495</v>
      </c>
      <c r="B1640" s="13" t="s">
        <v>14</v>
      </c>
      <c r="C1640" s="13" t="s">
        <v>4551</v>
      </c>
      <c r="D1640" s="13" t="s">
        <v>4552</v>
      </c>
      <c r="E1640" s="13" t="s">
        <v>3905</v>
      </c>
      <c r="F1640" s="14"/>
      <c r="G1640" s="14"/>
      <c r="H1640" s="14"/>
      <c r="I1640" s="14"/>
      <c r="J1640" s="14">
        <f t="shared" si="75"/>
        <v>0</v>
      </c>
      <c r="K1640" s="14">
        <f t="shared" si="76"/>
        <v>0</v>
      </c>
      <c r="L1640" s="17">
        <f t="shared" si="77"/>
        <v>0</v>
      </c>
      <c r="M1640" s="14"/>
      <c r="N1640" s="16"/>
      <c r="O1640" s="16"/>
      <c r="P1640" s="16"/>
      <c r="Q1640" s="16"/>
      <c r="R1640" s="16"/>
      <c r="S1640" s="16"/>
      <c r="T1640" s="16"/>
      <c r="U1640" s="16"/>
      <c r="V1640" s="16"/>
      <c r="W1640" s="16"/>
      <c r="X1640" s="16"/>
      <c r="Y1640" s="16"/>
      <c r="Z1640" s="16"/>
      <c r="AA1640" s="16"/>
    </row>
    <row r="1641" spans="1:27" s="2" customFormat="1" ht="14">
      <c r="A1641" s="12">
        <v>1321423</v>
      </c>
      <c r="B1641" s="13" t="s">
        <v>14</v>
      </c>
      <c r="C1641" s="13" t="s">
        <v>4553</v>
      </c>
      <c r="D1641" s="13" t="s">
        <v>4554</v>
      </c>
      <c r="E1641" s="13" t="s">
        <v>3530</v>
      </c>
      <c r="F1641" s="14"/>
      <c r="G1641" s="14"/>
      <c r="H1641" s="14"/>
      <c r="I1641" s="14"/>
      <c r="J1641" s="14">
        <f t="shared" si="75"/>
        <v>0</v>
      </c>
      <c r="K1641" s="14">
        <f t="shared" si="76"/>
        <v>0</v>
      </c>
      <c r="L1641" s="17">
        <f t="shared" si="77"/>
        <v>0</v>
      </c>
      <c r="M1641" s="14"/>
      <c r="N1641" s="16"/>
      <c r="O1641" s="16"/>
      <c r="P1641" s="16"/>
      <c r="Q1641" s="16"/>
      <c r="R1641" s="16"/>
      <c r="S1641" s="16"/>
      <c r="T1641" s="16"/>
      <c r="U1641" s="16"/>
      <c r="V1641" s="16"/>
      <c r="W1641" s="16"/>
      <c r="X1641" s="16"/>
      <c r="Y1641" s="16"/>
      <c r="Z1641" s="16"/>
      <c r="AA1641" s="16"/>
    </row>
    <row r="1642" spans="1:27" s="2" customFormat="1" ht="14">
      <c r="A1642" s="12">
        <v>1321079</v>
      </c>
      <c r="B1642" s="13" t="s">
        <v>14</v>
      </c>
      <c r="C1642" s="13" t="s">
        <v>4555</v>
      </c>
      <c r="D1642" s="13" t="s">
        <v>4556</v>
      </c>
      <c r="E1642" s="13" t="s">
        <v>1579</v>
      </c>
      <c r="F1642" s="14"/>
      <c r="G1642" s="14"/>
      <c r="H1642" s="14"/>
      <c r="I1642" s="14"/>
      <c r="J1642" s="14">
        <f t="shared" si="75"/>
        <v>0</v>
      </c>
      <c r="K1642" s="14">
        <f t="shared" si="76"/>
        <v>0</v>
      </c>
      <c r="L1642" s="17">
        <f t="shared" si="77"/>
        <v>0</v>
      </c>
      <c r="M1642" s="14"/>
      <c r="N1642" s="16"/>
      <c r="O1642" s="16"/>
      <c r="P1642" s="16"/>
      <c r="Q1642" s="16"/>
      <c r="R1642" s="16"/>
      <c r="S1642" s="16"/>
      <c r="T1642" s="16"/>
      <c r="U1642" s="16"/>
      <c r="V1642" s="16"/>
      <c r="W1642" s="16"/>
      <c r="X1642" s="16"/>
      <c r="Y1642" s="16"/>
      <c r="Z1642" s="16"/>
      <c r="AA1642" s="16"/>
    </row>
    <row r="1643" spans="1:27" s="2" customFormat="1" ht="14">
      <c r="A1643" s="12">
        <v>1321636</v>
      </c>
      <c r="B1643" s="13" t="s">
        <v>14</v>
      </c>
      <c r="C1643" s="13" t="s">
        <v>4557</v>
      </c>
      <c r="D1643" s="13" t="s">
        <v>4558</v>
      </c>
      <c r="E1643" s="13" t="s">
        <v>3533</v>
      </c>
      <c r="F1643" s="14"/>
      <c r="G1643" s="14"/>
      <c r="H1643" s="14"/>
      <c r="I1643" s="14"/>
      <c r="J1643" s="14">
        <f t="shared" si="75"/>
        <v>0</v>
      </c>
      <c r="K1643" s="14">
        <f t="shared" si="76"/>
        <v>0</v>
      </c>
      <c r="L1643" s="17">
        <f t="shared" si="77"/>
        <v>0</v>
      </c>
      <c r="M1643" s="14"/>
      <c r="N1643" s="16"/>
      <c r="O1643" s="16"/>
      <c r="P1643" s="16"/>
      <c r="Q1643" s="16"/>
      <c r="R1643" s="16"/>
      <c r="S1643" s="16"/>
      <c r="T1643" s="16"/>
      <c r="U1643" s="16"/>
      <c r="V1643" s="16"/>
      <c r="W1643" s="16"/>
      <c r="X1643" s="16"/>
      <c r="Y1643" s="16"/>
      <c r="Z1643" s="16"/>
      <c r="AA1643" s="16"/>
    </row>
    <row r="1644" spans="1:27" s="2" customFormat="1" ht="14">
      <c r="A1644" s="12">
        <v>1321666</v>
      </c>
      <c r="B1644" s="13" t="s">
        <v>14</v>
      </c>
      <c r="C1644" s="13" t="s">
        <v>4559</v>
      </c>
      <c r="D1644" s="13" t="s">
        <v>4560</v>
      </c>
      <c r="E1644" s="13" t="s">
        <v>3848</v>
      </c>
      <c r="F1644" s="14"/>
      <c r="G1644" s="14"/>
      <c r="H1644" s="14"/>
      <c r="I1644" s="14"/>
      <c r="J1644" s="14">
        <f t="shared" si="75"/>
        <v>0</v>
      </c>
      <c r="K1644" s="14">
        <f t="shared" si="76"/>
        <v>0</v>
      </c>
      <c r="L1644" s="17">
        <f t="shared" si="77"/>
        <v>0</v>
      </c>
      <c r="M1644" s="14"/>
      <c r="N1644" s="16"/>
      <c r="O1644" s="16"/>
      <c r="P1644" s="16"/>
      <c r="Q1644" s="16"/>
      <c r="R1644" s="16"/>
      <c r="S1644" s="16"/>
      <c r="T1644" s="16"/>
      <c r="U1644" s="16"/>
      <c r="V1644" s="16"/>
      <c r="W1644" s="16"/>
      <c r="X1644" s="16"/>
      <c r="Y1644" s="16"/>
      <c r="Z1644" s="16"/>
      <c r="AA1644" s="16"/>
    </row>
    <row r="1645" spans="1:27" s="2" customFormat="1" ht="14">
      <c r="A1645" s="12">
        <v>1321667</v>
      </c>
      <c r="B1645" s="13" t="s">
        <v>14</v>
      </c>
      <c r="C1645" s="13" t="s">
        <v>4561</v>
      </c>
      <c r="D1645" s="13" t="s">
        <v>4562</v>
      </c>
      <c r="E1645" s="13" t="s">
        <v>3703</v>
      </c>
      <c r="F1645" s="14"/>
      <c r="G1645" s="14"/>
      <c r="H1645" s="14"/>
      <c r="I1645" s="14"/>
      <c r="J1645" s="14">
        <f t="shared" si="75"/>
        <v>0</v>
      </c>
      <c r="K1645" s="14">
        <f t="shared" si="76"/>
        <v>0</v>
      </c>
      <c r="L1645" s="17">
        <f t="shared" si="77"/>
        <v>0</v>
      </c>
      <c r="M1645" s="14"/>
      <c r="N1645" s="16"/>
      <c r="O1645" s="16"/>
      <c r="P1645" s="16"/>
      <c r="Q1645" s="16"/>
      <c r="R1645" s="16"/>
      <c r="S1645" s="16"/>
      <c r="T1645" s="16"/>
      <c r="U1645" s="16"/>
      <c r="V1645" s="16"/>
      <c r="W1645" s="16"/>
      <c r="X1645" s="16"/>
      <c r="Y1645" s="16"/>
      <c r="Z1645" s="16"/>
      <c r="AA1645" s="16"/>
    </row>
    <row r="1646" spans="1:27" s="2" customFormat="1" ht="14">
      <c r="A1646" s="12">
        <v>1320022</v>
      </c>
      <c r="B1646" s="13" t="s">
        <v>62</v>
      </c>
      <c r="C1646" s="13" t="s">
        <v>4563</v>
      </c>
      <c r="D1646" s="13" t="s">
        <v>4564</v>
      </c>
      <c r="E1646" s="13" t="s">
        <v>3465</v>
      </c>
      <c r="F1646" s="14"/>
      <c r="G1646" s="14"/>
      <c r="H1646" s="14"/>
      <c r="I1646" s="14"/>
      <c r="J1646" s="14">
        <f t="shared" si="75"/>
        <v>0</v>
      </c>
      <c r="K1646" s="14">
        <f t="shared" si="76"/>
        <v>0</v>
      </c>
      <c r="L1646" s="17">
        <f t="shared" si="77"/>
        <v>0</v>
      </c>
      <c r="M1646" s="14"/>
      <c r="N1646" s="16"/>
      <c r="O1646" s="16"/>
      <c r="P1646" s="16"/>
      <c r="Q1646" s="16"/>
      <c r="R1646" s="16"/>
      <c r="S1646" s="16"/>
      <c r="T1646" s="16"/>
      <c r="U1646" s="16"/>
      <c r="V1646" s="16"/>
      <c r="W1646" s="16"/>
      <c r="X1646" s="16"/>
      <c r="Y1646" s="16"/>
      <c r="Z1646" s="16"/>
      <c r="AA1646" s="16"/>
    </row>
    <row r="1647" spans="1:27" s="2" customFormat="1" ht="14">
      <c r="A1647" s="12">
        <v>1321872</v>
      </c>
      <c r="B1647" s="13" t="s">
        <v>14</v>
      </c>
      <c r="C1647" s="13" t="s">
        <v>4565</v>
      </c>
      <c r="D1647" s="13" t="s">
        <v>4566</v>
      </c>
      <c r="E1647" s="13" t="s">
        <v>1579</v>
      </c>
      <c r="F1647" s="14"/>
      <c r="G1647" s="14"/>
      <c r="H1647" s="14"/>
      <c r="I1647" s="14"/>
      <c r="J1647" s="14">
        <f t="shared" si="75"/>
        <v>0</v>
      </c>
      <c r="K1647" s="14">
        <f t="shared" si="76"/>
        <v>0</v>
      </c>
      <c r="L1647" s="17">
        <f t="shared" si="77"/>
        <v>0</v>
      </c>
      <c r="M1647" s="14"/>
      <c r="N1647" s="16"/>
      <c r="O1647" s="16"/>
      <c r="P1647" s="16"/>
      <c r="Q1647" s="16"/>
      <c r="R1647" s="16"/>
      <c r="S1647" s="16"/>
      <c r="T1647" s="16"/>
      <c r="U1647" s="16"/>
      <c r="V1647" s="16"/>
      <c r="W1647" s="16"/>
      <c r="X1647" s="16"/>
      <c r="Y1647" s="16"/>
      <c r="Z1647" s="16"/>
      <c r="AA1647" s="16"/>
    </row>
    <row r="1648" spans="1:27" s="2" customFormat="1" ht="14">
      <c r="A1648" s="12">
        <v>1322748</v>
      </c>
      <c r="B1648" s="13" t="s">
        <v>14</v>
      </c>
      <c r="C1648" s="13" t="s">
        <v>4567</v>
      </c>
      <c r="D1648" s="13" t="s">
        <v>4568</v>
      </c>
      <c r="E1648" s="13" t="s">
        <v>3530</v>
      </c>
      <c r="F1648" s="14"/>
      <c r="G1648" s="14"/>
      <c r="H1648" s="14"/>
      <c r="I1648" s="14"/>
      <c r="J1648" s="14">
        <f t="shared" si="75"/>
        <v>0</v>
      </c>
      <c r="K1648" s="14">
        <f t="shared" si="76"/>
        <v>0</v>
      </c>
      <c r="L1648" s="17">
        <f t="shared" si="77"/>
        <v>0</v>
      </c>
      <c r="M1648" s="14"/>
      <c r="N1648" s="16"/>
      <c r="O1648" s="16"/>
      <c r="P1648" s="16"/>
      <c r="Q1648" s="16"/>
      <c r="R1648" s="16"/>
      <c r="S1648" s="16"/>
      <c r="T1648" s="16"/>
      <c r="U1648" s="16"/>
      <c r="V1648" s="16"/>
      <c r="W1648" s="16"/>
      <c r="X1648" s="16"/>
      <c r="Y1648" s="16"/>
      <c r="Z1648" s="16"/>
      <c r="AA1648" s="16"/>
    </row>
    <row r="1649" spans="1:27" s="2" customFormat="1" ht="14">
      <c r="A1649" s="12">
        <v>1323093</v>
      </c>
      <c r="B1649" s="13" t="s">
        <v>14</v>
      </c>
      <c r="C1649" s="13" t="s">
        <v>4569</v>
      </c>
      <c r="D1649" s="13" t="s">
        <v>4570</v>
      </c>
      <c r="E1649" s="13" t="s">
        <v>3905</v>
      </c>
      <c r="F1649" s="14"/>
      <c r="G1649" s="14"/>
      <c r="H1649" s="14"/>
      <c r="I1649" s="14"/>
      <c r="J1649" s="14">
        <f t="shared" si="75"/>
        <v>0</v>
      </c>
      <c r="K1649" s="14">
        <f t="shared" si="76"/>
        <v>0</v>
      </c>
      <c r="L1649" s="17">
        <f t="shared" si="77"/>
        <v>0</v>
      </c>
      <c r="M1649" s="14"/>
      <c r="N1649" s="16"/>
      <c r="O1649" s="16"/>
      <c r="P1649" s="16"/>
      <c r="Q1649" s="16"/>
      <c r="R1649" s="16"/>
      <c r="S1649" s="16"/>
      <c r="T1649" s="16"/>
      <c r="U1649" s="16"/>
      <c r="V1649" s="16"/>
      <c r="W1649" s="16"/>
      <c r="X1649" s="16"/>
      <c r="Y1649" s="16"/>
      <c r="Z1649" s="16"/>
      <c r="AA1649" s="16"/>
    </row>
    <row r="1650" spans="1:27" s="2" customFormat="1" ht="14">
      <c r="A1650" s="12">
        <v>1323818</v>
      </c>
      <c r="B1650" s="13" t="s">
        <v>14</v>
      </c>
      <c r="C1650" s="13" t="s">
        <v>4571</v>
      </c>
      <c r="D1650" s="13" t="s">
        <v>4572</v>
      </c>
      <c r="E1650" s="13" t="s">
        <v>3905</v>
      </c>
      <c r="F1650" s="14"/>
      <c r="G1650" s="14"/>
      <c r="H1650" s="14"/>
      <c r="I1650" s="14"/>
      <c r="J1650" s="14">
        <f t="shared" si="75"/>
        <v>0</v>
      </c>
      <c r="K1650" s="14">
        <f t="shared" si="76"/>
        <v>0</v>
      </c>
      <c r="L1650" s="17">
        <f t="shared" si="77"/>
        <v>0</v>
      </c>
      <c r="M1650" s="14"/>
      <c r="N1650" s="16"/>
      <c r="O1650" s="16"/>
      <c r="P1650" s="16"/>
      <c r="Q1650" s="16"/>
      <c r="R1650" s="16"/>
      <c r="S1650" s="16"/>
      <c r="T1650" s="16"/>
      <c r="U1650" s="16"/>
      <c r="V1650" s="16"/>
      <c r="W1650" s="16"/>
      <c r="X1650" s="16"/>
      <c r="Y1650" s="16"/>
      <c r="Z1650" s="16"/>
      <c r="AA1650" s="16"/>
    </row>
    <row r="1651" spans="1:27" s="2" customFormat="1" ht="14">
      <c r="A1651" s="12">
        <v>1323287</v>
      </c>
      <c r="B1651" s="13" t="s">
        <v>14</v>
      </c>
      <c r="C1651" s="13" t="s">
        <v>4573</v>
      </c>
      <c r="D1651" s="13" t="s">
        <v>4574</v>
      </c>
      <c r="E1651" s="13" t="s">
        <v>3509</v>
      </c>
      <c r="F1651" s="14"/>
      <c r="G1651" s="14"/>
      <c r="H1651" s="14"/>
      <c r="I1651" s="14"/>
      <c r="J1651" s="14">
        <f t="shared" si="75"/>
        <v>0</v>
      </c>
      <c r="K1651" s="14">
        <f t="shared" si="76"/>
        <v>0</v>
      </c>
      <c r="L1651" s="17">
        <f t="shared" si="77"/>
        <v>0</v>
      </c>
      <c r="M1651" s="14"/>
      <c r="N1651" s="16"/>
      <c r="O1651" s="16"/>
      <c r="P1651" s="16"/>
      <c r="Q1651" s="16"/>
      <c r="R1651" s="16"/>
      <c r="S1651" s="16"/>
      <c r="T1651" s="16"/>
      <c r="U1651" s="16"/>
      <c r="V1651" s="16"/>
      <c r="W1651" s="16"/>
      <c r="X1651" s="16"/>
      <c r="Y1651" s="16"/>
      <c r="Z1651" s="16"/>
      <c r="AA1651" s="16"/>
    </row>
    <row r="1652" spans="1:27" s="2" customFormat="1" ht="14">
      <c r="A1652" s="12">
        <v>1323463</v>
      </c>
      <c r="B1652" s="13" t="s">
        <v>62</v>
      </c>
      <c r="C1652" s="13" t="s">
        <v>4575</v>
      </c>
      <c r="D1652" s="13" t="s">
        <v>4576</v>
      </c>
      <c r="E1652" s="13" t="s">
        <v>3703</v>
      </c>
      <c r="F1652" s="14"/>
      <c r="G1652" s="14"/>
      <c r="H1652" s="14"/>
      <c r="I1652" s="14"/>
      <c r="J1652" s="14">
        <f t="shared" si="75"/>
        <v>0</v>
      </c>
      <c r="K1652" s="14">
        <f t="shared" si="76"/>
        <v>0</v>
      </c>
      <c r="L1652" s="17">
        <f t="shared" si="77"/>
        <v>0</v>
      </c>
      <c r="M1652" s="14"/>
      <c r="N1652" s="16"/>
      <c r="O1652" s="16"/>
      <c r="P1652" s="16"/>
      <c r="Q1652" s="16"/>
      <c r="R1652" s="16"/>
      <c r="S1652" s="16"/>
      <c r="T1652" s="16"/>
      <c r="U1652" s="16"/>
      <c r="V1652" s="16"/>
      <c r="W1652" s="16"/>
      <c r="X1652" s="16"/>
      <c r="Y1652" s="16"/>
      <c r="Z1652" s="16"/>
      <c r="AA1652" s="16"/>
    </row>
    <row r="1653" spans="1:27" s="2" customFormat="1" ht="14">
      <c r="A1653" s="12" t="s">
        <v>4577</v>
      </c>
      <c r="B1653" s="13" t="s">
        <v>14</v>
      </c>
      <c r="C1653" s="13" t="s">
        <v>4578</v>
      </c>
      <c r="D1653" s="13" t="s">
        <v>4579</v>
      </c>
      <c r="E1653" s="13" t="s">
        <v>68</v>
      </c>
      <c r="F1653" s="14"/>
      <c r="G1653" s="14"/>
      <c r="H1653" s="14"/>
      <c r="I1653" s="14"/>
      <c r="J1653" s="14">
        <f t="shared" si="75"/>
        <v>0</v>
      </c>
      <c r="K1653" s="14">
        <f t="shared" si="76"/>
        <v>0</v>
      </c>
      <c r="L1653" s="17">
        <f t="shared" si="77"/>
        <v>0</v>
      </c>
      <c r="M1653" s="14"/>
      <c r="N1653" s="16"/>
      <c r="O1653" s="16"/>
      <c r="P1653" s="16"/>
      <c r="Q1653" s="16"/>
      <c r="R1653" s="16"/>
      <c r="S1653" s="16"/>
      <c r="T1653" s="16"/>
      <c r="U1653" s="16"/>
      <c r="V1653" s="16"/>
      <c r="W1653" s="16"/>
      <c r="X1653" s="16"/>
      <c r="Y1653" s="16"/>
      <c r="Z1653" s="16"/>
      <c r="AA1653" s="16"/>
    </row>
    <row r="1654" spans="1:27" s="2" customFormat="1" ht="14">
      <c r="A1654" s="12">
        <v>1321536</v>
      </c>
      <c r="B1654" s="13" t="s">
        <v>14</v>
      </c>
      <c r="C1654" s="13" t="s">
        <v>4580</v>
      </c>
      <c r="D1654" s="13" t="s">
        <v>4581</v>
      </c>
      <c r="E1654" s="13" t="s">
        <v>1579</v>
      </c>
      <c r="F1654" s="14"/>
      <c r="G1654" s="14"/>
      <c r="H1654" s="14"/>
      <c r="I1654" s="14"/>
      <c r="J1654" s="14">
        <f t="shared" si="75"/>
        <v>0</v>
      </c>
      <c r="K1654" s="14">
        <f t="shared" si="76"/>
        <v>0</v>
      </c>
      <c r="L1654" s="17">
        <f t="shared" si="77"/>
        <v>0</v>
      </c>
      <c r="M1654" s="14"/>
      <c r="N1654" s="16"/>
      <c r="O1654" s="16"/>
      <c r="P1654" s="16"/>
      <c r="Q1654" s="16"/>
      <c r="R1654" s="16"/>
      <c r="S1654" s="16"/>
      <c r="T1654" s="16"/>
      <c r="U1654" s="16"/>
      <c r="V1654" s="16"/>
      <c r="W1654" s="16"/>
      <c r="X1654" s="16"/>
      <c r="Y1654" s="16"/>
      <c r="Z1654" s="16"/>
      <c r="AA1654" s="16"/>
    </row>
    <row r="1655" spans="1:27" s="2" customFormat="1" ht="14">
      <c r="A1655" s="12">
        <v>1321570</v>
      </c>
      <c r="B1655" s="13" t="s">
        <v>14</v>
      </c>
      <c r="C1655" s="13" t="s">
        <v>4582</v>
      </c>
      <c r="D1655" s="13" t="s">
        <v>4583</v>
      </c>
      <c r="E1655" s="13" t="s">
        <v>3682</v>
      </c>
      <c r="F1655" s="14"/>
      <c r="G1655" s="14"/>
      <c r="H1655" s="14"/>
      <c r="I1655" s="14"/>
      <c r="J1655" s="14">
        <f t="shared" si="75"/>
        <v>0</v>
      </c>
      <c r="K1655" s="14">
        <f t="shared" si="76"/>
        <v>0</v>
      </c>
      <c r="L1655" s="17">
        <f t="shared" si="77"/>
        <v>0</v>
      </c>
      <c r="M1655" s="14"/>
      <c r="N1655" s="16"/>
      <c r="O1655" s="16"/>
      <c r="P1655" s="16"/>
      <c r="Q1655" s="16"/>
      <c r="R1655" s="16"/>
      <c r="S1655" s="16"/>
      <c r="T1655" s="16"/>
      <c r="U1655" s="16"/>
      <c r="V1655" s="16"/>
      <c r="W1655" s="16"/>
      <c r="X1655" s="16"/>
      <c r="Y1655" s="16"/>
      <c r="Z1655" s="16"/>
      <c r="AA1655" s="16"/>
    </row>
    <row r="1656" spans="1:27" s="2" customFormat="1" ht="14">
      <c r="A1656" s="12">
        <v>1321584</v>
      </c>
      <c r="B1656" s="13" t="s">
        <v>62</v>
      </c>
      <c r="C1656" s="13" t="s">
        <v>4584</v>
      </c>
      <c r="D1656" s="13" t="s">
        <v>4585</v>
      </c>
      <c r="E1656" s="13" t="s">
        <v>3862</v>
      </c>
      <c r="F1656" s="14"/>
      <c r="G1656" s="14"/>
      <c r="H1656" s="14"/>
      <c r="I1656" s="14"/>
      <c r="J1656" s="14">
        <f t="shared" si="75"/>
        <v>0</v>
      </c>
      <c r="K1656" s="14">
        <f t="shared" si="76"/>
        <v>0</v>
      </c>
      <c r="L1656" s="17">
        <f t="shared" si="77"/>
        <v>0</v>
      </c>
      <c r="M1656" s="14"/>
      <c r="N1656" s="16"/>
      <c r="O1656" s="16"/>
      <c r="P1656" s="16"/>
      <c r="Q1656" s="16"/>
      <c r="R1656" s="16"/>
      <c r="S1656" s="16"/>
      <c r="T1656" s="16"/>
      <c r="U1656" s="16"/>
      <c r="V1656" s="16"/>
      <c r="W1656" s="16"/>
      <c r="X1656" s="16"/>
      <c r="Y1656" s="16"/>
      <c r="Z1656" s="16"/>
      <c r="AA1656" s="16"/>
    </row>
    <row r="1657" spans="1:27" s="2" customFormat="1" ht="14">
      <c r="A1657" s="12" t="s">
        <v>4586</v>
      </c>
      <c r="B1657" s="13" t="s">
        <v>14</v>
      </c>
      <c r="C1657" s="13" t="s">
        <v>4587</v>
      </c>
      <c r="D1657" s="13" t="s">
        <v>4588</v>
      </c>
      <c r="E1657" s="13" t="s">
        <v>402</v>
      </c>
      <c r="F1657" s="14"/>
      <c r="G1657" s="14"/>
      <c r="H1657" s="14"/>
      <c r="I1657" s="14"/>
      <c r="J1657" s="14">
        <f t="shared" si="75"/>
        <v>0</v>
      </c>
      <c r="K1657" s="14">
        <f t="shared" si="76"/>
        <v>0</v>
      </c>
      <c r="L1657" s="17">
        <f t="shared" si="77"/>
        <v>0</v>
      </c>
      <c r="M1657" s="14"/>
      <c r="N1657" s="16"/>
      <c r="O1657" s="16"/>
      <c r="P1657" s="16"/>
      <c r="Q1657" s="16"/>
      <c r="R1657" s="16"/>
      <c r="S1657" s="16"/>
      <c r="T1657" s="16"/>
      <c r="U1657" s="16"/>
      <c r="V1657" s="16"/>
      <c r="W1657" s="16"/>
      <c r="X1657" s="16"/>
      <c r="Y1657" s="16"/>
      <c r="Z1657" s="16"/>
      <c r="AA1657" s="16"/>
    </row>
    <row r="1658" spans="1:27" s="2" customFormat="1" ht="14">
      <c r="A1658" s="12" t="s">
        <v>4589</v>
      </c>
      <c r="B1658" s="13" t="s">
        <v>62</v>
      </c>
      <c r="C1658" s="13" t="s">
        <v>4590</v>
      </c>
      <c r="D1658" s="13" t="s">
        <v>4591</v>
      </c>
      <c r="E1658" s="13" t="s">
        <v>201</v>
      </c>
      <c r="F1658" s="14"/>
      <c r="G1658" s="14"/>
      <c r="H1658" s="14"/>
      <c r="I1658" s="14"/>
      <c r="J1658" s="14">
        <f t="shared" si="75"/>
        <v>0</v>
      </c>
      <c r="K1658" s="14">
        <f t="shared" si="76"/>
        <v>0</v>
      </c>
      <c r="L1658" s="17">
        <f t="shared" si="77"/>
        <v>0</v>
      </c>
      <c r="M1658" s="14"/>
      <c r="N1658" s="16"/>
      <c r="O1658" s="16"/>
      <c r="P1658" s="16"/>
      <c r="Q1658" s="16"/>
      <c r="R1658" s="16"/>
      <c r="S1658" s="16"/>
      <c r="T1658" s="16"/>
      <c r="U1658" s="16"/>
      <c r="V1658" s="16"/>
      <c r="W1658" s="16"/>
      <c r="X1658" s="16"/>
      <c r="Y1658" s="16"/>
      <c r="Z1658" s="16"/>
      <c r="AA1658" s="16"/>
    </row>
    <row r="1659" spans="1:27" s="2" customFormat="1" ht="14">
      <c r="A1659" s="12">
        <v>1324324</v>
      </c>
      <c r="B1659" s="13" t="s">
        <v>62</v>
      </c>
      <c r="C1659" s="13" t="s">
        <v>4592</v>
      </c>
      <c r="D1659" s="13" t="s">
        <v>4593</v>
      </c>
      <c r="E1659" s="13" t="s">
        <v>1573</v>
      </c>
      <c r="F1659" s="14"/>
      <c r="G1659" s="14"/>
      <c r="H1659" s="14"/>
      <c r="I1659" s="14"/>
      <c r="J1659" s="14">
        <f t="shared" si="75"/>
        <v>0</v>
      </c>
      <c r="K1659" s="14">
        <f t="shared" si="76"/>
        <v>0</v>
      </c>
      <c r="L1659" s="17">
        <f t="shared" si="77"/>
        <v>0</v>
      </c>
      <c r="M1659" s="14"/>
      <c r="N1659" s="16"/>
      <c r="O1659" s="16"/>
      <c r="P1659" s="16"/>
      <c r="Q1659" s="16"/>
      <c r="R1659" s="16"/>
      <c r="S1659" s="16"/>
      <c r="T1659" s="16"/>
      <c r="U1659" s="16"/>
      <c r="V1659" s="16"/>
      <c r="W1659" s="16"/>
      <c r="X1659" s="16"/>
      <c r="Y1659" s="16"/>
      <c r="Z1659" s="16"/>
      <c r="AA1659" s="16"/>
    </row>
    <row r="1660" spans="1:27" s="2" customFormat="1" ht="14">
      <c r="A1660" s="12">
        <v>1322097</v>
      </c>
      <c r="B1660" s="13" t="s">
        <v>14</v>
      </c>
      <c r="C1660" s="13" t="s">
        <v>4594</v>
      </c>
      <c r="D1660" s="13" t="s">
        <v>4595</v>
      </c>
      <c r="E1660" s="13" t="s">
        <v>3530</v>
      </c>
      <c r="F1660" s="14"/>
      <c r="G1660" s="14"/>
      <c r="H1660" s="14"/>
      <c r="I1660" s="14"/>
      <c r="J1660" s="14">
        <f t="shared" si="75"/>
        <v>0</v>
      </c>
      <c r="K1660" s="14">
        <f t="shared" si="76"/>
        <v>0</v>
      </c>
      <c r="L1660" s="17">
        <f t="shared" si="77"/>
        <v>0</v>
      </c>
      <c r="M1660" s="14"/>
      <c r="N1660" s="16"/>
      <c r="O1660" s="16"/>
      <c r="P1660" s="16"/>
      <c r="Q1660" s="16"/>
      <c r="R1660" s="16"/>
      <c r="S1660" s="16"/>
      <c r="T1660" s="16"/>
      <c r="U1660" s="16"/>
      <c r="V1660" s="16"/>
      <c r="W1660" s="16"/>
      <c r="X1660" s="16"/>
      <c r="Y1660" s="16"/>
      <c r="Z1660" s="16"/>
      <c r="AA1660" s="16"/>
    </row>
    <row r="1661" spans="1:27" s="2" customFormat="1" ht="14">
      <c r="A1661" s="12">
        <v>1322119</v>
      </c>
      <c r="B1661" s="13" t="s">
        <v>14</v>
      </c>
      <c r="C1661" s="13" t="s">
        <v>4596</v>
      </c>
      <c r="D1661" s="13" t="s">
        <v>4597</v>
      </c>
      <c r="E1661" s="13" t="s">
        <v>3576</v>
      </c>
      <c r="F1661" s="14"/>
      <c r="G1661" s="14"/>
      <c r="H1661" s="14"/>
      <c r="I1661" s="14"/>
      <c r="J1661" s="14">
        <f t="shared" si="75"/>
        <v>0</v>
      </c>
      <c r="K1661" s="14">
        <f t="shared" si="76"/>
        <v>0</v>
      </c>
      <c r="L1661" s="17">
        <f t="shared" si="77"/>
        <v>0</v>
      </c>
      <c r="M1661" s="14"/>
      <c r="N1661" s="16"/>
      <c r="O1661" s="16"/>
      <c r="P1661" s="16"/>
      <c r="Q1661" s="16"/>
      <c r="R1661" s="16"/>
      <c r="S1661" s="16"/>
      <c r="T1661" s="16"/>
      <c r="U1661" s="16"/>
      <c r="V1661" s="16"/>
      <c r="W1661" s="16"/>
      <c r="X1661" s="16"/>
      <c r="Y1661" s="16"/>
      <c r="Z1661" s="16"/>
      <c r="AA1661" s="16"/>
    </row>
    <row r="1662" spans="1:27" s="2" customFormat="1" ht="14">
      <c r="A1662" s="12">
        <v>1322149</v>
      </c>
      <c r="B1662" s="13" t="s">
        <v>14</v>
      </c>
      <c r="C1662" s="13" t="s">
        <v>4598</v>
      </c>
      <c r="D1662" s="13" t="s">
        <v>4599</v>
      </c>
      <c r="E1662" s="13" t="s">
        <v>3703</v>
      </c>
      <c r="F1662" s="14"/>
      <c r="G1662" s="14"/>
      <c r="H1662" s="14"/>
      <c r="I1662" s="14"/>
      <c r="J1662" s="14">
        <f t="shared" si="75"/>
        <v>0</v>
      </c>
      <c r="K1662" s="14">
        <f t="shared" si="76"/>
        <v>0</v>
      </c>
      <c r="L1662" s="17">
        <f t="shared" si="77"/>
        <v>0</v>
      </c>
      <c r="M1662" s="14"/>
      <c r="N1662" s="16"/>
      <c r="O1662" s="16"/>
      <c r="P1662" s="16"/>
      <c r="Q1662" s="16"/>
      <c r="R1662" s="16"/>
      <c r="S1662" s="16"/>
      <c r="T1662" s="16"/>
      <c r="U1662" s="16"/>
      <c r="V1662" s="16"/>
      <c r="W1662" s="16"/>
      <c r="X1662" s="16"/>
      <c r="Y1662" s="16"/>
      <c r="Z1662" s="16"/>
      <c r="AA1662" s="16"/>
    </row>
    <row r="1663" spans="1:27" s="2" customFormat="1" ht="14">
      <c r="A1663" s="12">
        <v>1324575</v>
      </c>
      <c r="B1663" s="13" t="s">
        <v>14</v>
      </c>
      <c r="C1663" s="13" t="s">
        <v>4600</v>
      </c>
      <c r="D1663" s="13" t="s">
        <v>4601</v>
      </c>
      <c r="E1663" s="13" t="s">
        <v>3402</v>
      </c>
      <c r="F1663" s="14"/>
      <c r="G1663" s="14"/>
      <c r="H1663" s="14"/>
      <c r="I1663" s="14"/>
      <c r="J1663" s="14">
        <f t="shared" si="75"/>
        <v>0</v>
      </c>
      <c r="K1663" s="14">
        <f t="shared" si="76"/>
        <v>0</v>
      </c>
      <c r="L1663" s="17">
        <f t="shared" si="77"/>
        <v>0</v>
      </c>
      <c r="M1663" s="14"/>
      <c r="N1663" s="16"/>
      <c r="O1663" s="16"/>
      <c r="P1663" s="16"/>
      <c r="Q1663" s="16"/>
      <c r="R1663" s="16"/>
      <c r="S1663" s="16"/>
      <c r="T1663" s="16"/>
      <c r="U1663" s="16"/>
      <c r="V1663" s="16"/>
      <c r="W1663" s="16"/>
      <c r="X1663" s="16"/>
      <c r="Y1663" s="16"/>
      <c r="Z1663" s="16"/>
      <c r="AA1663" s="16"/>
    </row>
    <row r="1664" spans="1:27" s="2" customFormat="1" ht="14">
      <c r="A1664" s="12">
        <v>1324592</v>
      </c>
      <c r="B1664" s="13" t="s">
        <v>62</v>
      </c>
      <c r="C1664" s="13" t="s">
        <v>4602</v>
      </c>
      <c r="D1664" s="13" t="s">
        <v>4603</v>
      </c>
      <c r="E1664" s="13" t="s">
        <v>3530</v>
      </c>
      <c r="F1664" s="14"/>
      <c r="G1664" s="14"/>
      <c r="H1664" s="14"/>
      <c r="I1664" s="14"/>
      <c r="J1664" s="14">
        <f t="shared" si="75"/>
        <v>0</v>
      </c>
      <c r="K1664" s="14">
        <f t="shared" si="76"/>
        <v>0</v>
      </c>
      <c r="L1664" s="17">
        <f t="shared" si="77"/>
        <v>0</v>
      </c>
      <c r="M1664" s="14"/>
      <c r="N1664" s="16"/>
      <c r="O1664" s="16"/>
      <c r="P1664" s="16"/>
      <c r="Q1664" s="16"/>
      <c r="R1664" s="16"/>
      <c r="S1664" s="16"/>
      <c r="T1664" s="16"/>
      <c r="U1664" s="16"/>
      <c r="V1664" s="16"/>
      <c r="W1664" s="16"/>
      <c r="X1664" s="16"/>
      <c r="Y1664" s="16"/>
      <c r="Z1664" s="16"/>
      <c r="AA1664" s="16"/>
    </row>
    <row r="1665" spans="1:27" s="2" customFormat="1" ht="14">
      <c r="A1665" s="12">
        <v>1324658</v>
      </c>
      <c r="B1665" s="13" t="s">
        <v>14</v>
      </c>
      <c r="C1665" s="13" t="s">
        <v>4604</v>
      </c>
      <c r="D1665" s="13" t="s">
        <v>4605</v>
      </c>
      <c r="E1665" s="13" t="s">
        <v>3606</v>
      </c>
      <c r="F1665" s="14"/>
      <c r="G1665" s="14"/>
      <c r="H1665" s="14"/>
      <c r="I1665" s="14"/>
      <c r="J1665" s="14">
        <f t="shared" si="75"/>
        <v>0</v>
      </c>
      <c r="K1665" s="14">
        <f t="shared" si="76"/>
        <v>0</v>
      </c>
      <c r="L1665" s="17">
        <f t="shared" si="77"/>
        <v>0</v>
      </c>
      <c r="M1665" s="14"/>
      <c r="N1665" s="16"/>
      <c r="O1665" s="16"/>
      <c r="P1665" s="16"/>
      <c r="Q1665" s="16"/>
      <c r="R1665" s="16"/>
      <c r="S1665" s="16"/>
      <c r="T1665" s="16"/>
      <c r="U1665" s="16"/>
      <c r="V1665" s="16"/>
      <c r="W1665" s="16"/>
      <c r="X1665" s="16"/>
      <c r="Y1665" s="16"/>
      <c r="Z1665" s="16"/>
      <c r="AA1665" s="16"/>
    </row>
    <row r="1666" spans="1:27" s="2" customFormat="1" ht="14">
      <c r="A1666" s="12">
        <v>1324792</v>
      </c>
      <c r="B1666" s="13" t="s">
        <v>62</v>
      </c>
      <c r="C1666" s="13" t="s">
        <v>4606</v>
      </c>
      <c r="D1666" s="13" t="s">
        <v>4607</v>
      </c>
      <c r="E1666" s="13" t="s">
        <v>3327</v>
      </c>
      <c r="F1666" s="14"/>
      <c r="G1666" s="14"/>
      <c r="H1666" s="14"/>
      <c r="I1666" s="14"/>
      <c r="J1666" s="14">
        <f t="shared" ref="J1666:J1729" si="78">IF(G1666&gt;0,1,0)</f>
        <v>0</v>
      </c>
      <c r="K1666" s="14">
        <f t="shared" ref="K1666:K1729" si="79">IF(H1666&gt;0,1,0)</f>
        <v>0</v>
      </c>
      <c r="L1666" s="17">
        <f t="shared" ref="L1666:L1729" si="80">IF(G1666&gt;0,IF(H1666&gt;0,1,0),0)</f>
        <v>0</v>
      </c>
      <c r="M1666" s="14"/>
      <c r="N1666" s="16"/>
      <c r="O1666" s="16"/>
      <c r="P1666" s="16"/>
      <c r="Q1666" s="16"/>
      <c r="R1666" s="16"/>
      <c r="S1666" s="16"/>
      <c r="T1666" s="16"/>
      <c r="U1666" s="16"/>
      <c r="V1666" s="16"/>
      <c r="W1666" s="16"/>
      <c r="X1666" s="16"/>
      <c r="Y1666" s="16"/>
      <c r="Z1666" s="16"/>
      <c r="AA1666" s="16"/>
    </row>
    <row r="1667" spans="1:27" s="2" customFormat="1" ht="14">
      <c r="A1667" s="12">
        <v>1322253</v>
      </c>
      <c r="B1667" s="13" t="s">
        <v>14</v>
      </c>
      <c r="C1667" s="13" t="s">
        <v>4608</v>
      </c>
      <c r="D1667" s="13" t="s">
        <v>4609</v>
      </c>
      <c r="E1667" s="13" t="s">
        <v>4049</v>
      </c>
      <c r="F1667" s="14"/>
      <c r="G1667" s="14"/>
      <c r="H1667" s="14"/>
      <c r="I1667" s="14"/>
      <c r="J1667" s="14">
        <f t="shared" si="78"/>
        <v>0</v>
      </c>
      <c r="K1667" s="14">
        <f t="shared" si="79"/>
        <v>0</v>
      </c>
      <c r="L1667" s="17">
        <f t="shared" si="80"/>
        <v>0</v>
      </c>
      <c r="M1667" s="14"/>
      <c r="N1667" s="16"/>
      <c r="O1667" s="16"/>
      <c r="P1667" s="16"/>
      <c r="Q1667" s="16"/>
      <c r="R1667" s="16"/>
      <c r="S1667" s="16"/>
      <c r="T1667" s="16"/>
      <c r="U1667" s="16"/>
      <c r="V1667" s="16"/>
      <c r="W1667" s="16"/>
      <c r="X1667" s="16"/>
      <c r="Y1667" s="16"/>
      <c r="Z1667" s="16"/>
      <c r="AA1667" s="16"/>
    </row>
    <row r="1668" spans="1:27" s="2" customFormat="1" ht="14">
      <c r="A1668" s="12">
        <v>1325094</v>
      </c>
      <c r="B1668" s="13" t="s">
        <v>14</v>
      </c>
      <c r="C1668" s="13" t="s">
        <v>4610</v>
      </c>
      <c r="D1668" s="13" t="s">
        <v>4611</v>
      </c>
      <c r="E1668" s="13" t="s">
        <v>4049</v>
      </c>
      <c r="F1668" s="14"/>
      <c r="G1668" s="14"/>
      <c r="H1668" s="14"/>
      <c r="I1668" s="14"/>
      <c r="J1668" s="14">
        <f t="shared" si="78"/>
        <v>0</v>
      </c>
      <c r="K1668" s="14">
        <f t="shared" si="79"/>
        <v>0</v>
      </c>
      <c r="L1668" s="17">
        <f t="shared" si="80"/>
        <v>0</v>
      </c>
      <c r="M1668" s="14"/>
      <c r="N1668" s="16"/>
      <c r="O1668" s="16"/>
      <c r="P1668" s="16"/>
      <c r="Q1668" s="16"/>
      <c r="R1668" s="16"/>
      <c r="S1668" s="16"/>
      <c r="T1668" s="16"/>
      <c r="U1668" s="16"/>
      <c r="V1668" s="16"/>
      <c r="W1668" s="16"/>
      <c r="X1668" s="16"/>
      <c r="Y1668" s="16"/>
      <c r="Z1668" s="16"/>
      <c r="AA1668" s="16"/>
    </row>
    <row r="1669" spans="1:27" s="2" customFormat="1" ht="14">
      <c r="A1669" s="12">
        <v>1325242</v>
      </c>
      <c r="B1669" s="13" t="s">
        <v>14</v>
      </c>
      <c r="C1669" s="13" t="s">
        <v>4612</v>
      </c>
      <c r="D1669" s="13" t="s">
        <v>4613</v>
      </c>
      <c r="E1669" s="13" t="s">
        <v>3512</v>
      </c>
      <c r="F1669" s="14"/>
      <c r="G1669" s="14"/>
      <c r="H1669" s="14"/>
      <c r="I1669" s="14"/>
      <c r="J1669" s="14">
        <f t="shared" si="78"/>
        <v>0</v>
      </c>
      <c r="K1669" s="14">
        <f t="shared" si="79"/>
        <v>0</v>
      </c>
      <c r="L1669" s="17">
        <f t="shared" si="80"/>
        <v>0</v>
      </c>
      <c r="M1669" s="14"/>
      <c r="N1669" s="16"/>
      <c r="O1669" s="16"/>
      <c r="P1669" s="16"/>
      <c r="Q1669" s="16"/>
      <c r="R1669" s="16"/>
      <c r="S1669" s="16"/>
      <c r="T1669" s="16"/>
      <c r="U1669" s="16"/>
      <c r="V1669" s="16"/>
      <c r="W1669" s="16"/>
      <c r="X1669" s="16"/>
      <c r="Y1669" s="16"/>
      <c r="Z1669" s="16"/>
      <c r="AA1669" s="16"/>
    </row>
    <row r="1670" spans="1:27" s="2" customFormat="1" ht="14">
      <c r="A1670" s="12">
        <v>1325563</v>
      </c>
      <c r="B1670" s="13" t="s">
        <v>62</v>
      </c>
      <c r="C1670" s="13" t="s">
        <v>4614</v>
      </c>
      <c r="D1670" s="13" t="s">
        <v>4615</v>
      </c>
      <c r="E1670" s="13" t="s">
        <v>3606</v>
      </c>
      <c r="F1670" s="14"/>
      <c r="G1670" s="14"/>
      <c r="H1670" s="14"/>
      <c r="I1670" s="14"/>
      <c r="J1670" s="14">
        <f t="shared" si="78"/>
        <v>0</v>
      </c>
      <c r="K1670" s="14">
        <f t="shared" si="79"/>
        <v>0</v>
      </c>
      <c r="L1670" s="17">
        <f t="shared" si="80"/>
        <v>0</v>
      </c>
      <c r="M1670" s="14"/>
      <c r="N1670" s="16"/>
      <c r="O1670" s="16"/>
      <c r="P1670" s="16"/>
      <c r="Q1670" s="16"/>
      <c r="R1670" s="16"/>
      <c r="S1670" s="16"/>
      <c r="T1670" s="16"/>
      <c r="U1670" s="16"/>
      <c r="V1670" s="16"/>
      <c r="W1670" s="16"/>
      <c r="X1670" s="16"/>
      <c r="Y1670" s="16"/>
      <c r="Z1670" s="16"/>
      <c r="AA1670" s="16"/>
    </row>
    <row r="1671" spans="1:27" s="2" customFormat="1" ht="14">
      <c r="A1671" s="12" t="s">
        <v>4616</v>
      </c>
      <c r="B1671" s="13" t="s">
        <v>14</v>
      </c>
      <c r="C1671" s="13" t="s">
        <v>4617</v>
      </c>
      <c r="D1671" s="13" t="s">
        <v>4618</v>
      </c>
      <c r="E1671" s="13" t="s">
        <v>21</v>
      </c>
      <c r="F1671" s="14"/>
      <c r="G1671" s="14"/>
      <c r="H1671" s="14"/>
      <c r="I1671" s="14"/>
      <c r="J1671" s="14">
        <f t="shared" si="78"/>
        <v>0</v>
      </c>
      <c r="K1671" s="14">
        <f t="shared" si="79"/>
        <v>0</v>
      </c>
      <c r="L1671" s="17">
        <f t="shared" si="80"/>
        <v>0</v>
      </c>
      <c r="M1671" s="14"/>
      <c r="N1671" s="16"/>
      <c r="O1671" s="16"/>
      <c r="P1671" s="16"/>
      <c r="Q1671" s="16"/>
      <c r="R1671" s="16"/>
      <c r="S1671" s="16"/>
      <c r="T1671" s="16"/>
      <c r="U1671" s="16"/>
      <c r="V1671" s="16"/>
      <c r="W1671" s="16"/>
      <c r="X1671" s="16"/>
      <c r="Y1671" s="16"/>
      <c r="Z1671" s="16"/>
      <c r="AA1671" s="16"/>
    </row>
    <row r="1672" spans="1:27" s="2" customFormat="1" ht="14">
      <c r="A1672" s="12">
        <v>1324891</v>
      </c>
      <c r="B1672" s="13" t="s">
        <v>14</v>
      </c>
      <c r="C1672" s="13" t="s">
        <v>4619</v>
      </c>
      <c r="D1672" s="13" t="s">
        <v>4620</v>
      </c>
      <c r="E1672" s="13" t="s">
        <v>3402</v>
      </c>
      <c r="F1672" s="14"/>
      <c r="G1672" s="14"/>
      <c r="H1672" s="14"/>
      <c r="I1672" s="14"/>
      <c r="J1672" s="14">
        <f t="shared" si="78"/>
        <v>0</v>
      </c>
      <c r="K1672" s="14">
        <f t="shared" si="79"/>
        <v>0</v>
      </c>
      <c r="L1672" s="17">
        <f t="shared" si="80"/>
        <v>0</v>
      </c>
      <c r="M1672" s="14"/>
      <c r="N1672" s="16"/>
      <c r="O1672" s="16"/>
      <c r="P1672" s="16"/>
      <c r="Q1672" s="16"/>
      <c r="R1672" s="16"/>
      <c r="S1672" s="16"/>
      <c r="T1672" s="16"/>
      <c r="U1672" s="16"/>
      <c r="V1672" s="16"/>
      <c r="W1672" s="16"/>
      <c r="X1672" s="16"/>
      <c r="Y1672" s="16"/>
      <c r="Z1672" s="16"/>
      <c r="AA1672" s="16"/>
    </row>
    <row r="1673" spans="1:27" s="2" customFormat="1" ht="14">
      <c r="A1673" s="12">
        <v>1326361</v>
      </c>
      <c r="B1673" s="13" t="s">
        <v>14</v>
      </c>
      <c r="C1673" s="13" t="s">
        <v>4621</v>
      </c>
      <c r="D1673" s="13" t="s">
        <v>4622</v>
      </c>
      <c r="E1673" s="13" t="s">
        <v>3327</v>
      </c>
      <c r="F1673" s="14"/>
      <c r="G1673" s="14"/>
      <c r="H1673" s="14"/>
      <c r="I1673" s="14"/>
      <c r="J1673" s="14">
        <f t="shared" si="78"/>
        <v>0</v>
      </c>
      <c r="K1673" s="14">
        <f t="shared" si="79"/>
        <v>0</v>
      </c>
      <c r="L1673" s="17">
        <f t="shared" si="80"/>
        <v>0</v>
      </c>
      <c r="M1673" s="14"/>
      <c r="N1673" s="16"/>
      <c r="O1673" s="16"/>
      <c r="P1673" s="16"/>
      <c r="Q1673" s="16"/>
      <c r="R1673" s="16"/>
      <c r="S1673" s="16"/>
      <c r="T1673" s="16"/>
      <c r="U1673" s="16"/>
      <c r="V1673" s="16"/>
      <c r="W1673" s="16"/>
      <c r="X1673" s="16"/>
      <c r="Y1673" s="16"/>
      <c r="Z1673" s="16"/>
      <c r="AA1673" s="16"/>
    </row>
    <row r="1674" spans="1:27" s="2" customFormat="1" ht="14">
      <c r="A1674" s="12">
        <v>1326562</v>
      </c>
      <c r="B1674" s="13" t="s">
        <v>14</v>
      </c>
      <c r="C1674" s="13" t="s">
        <v>4623</v>
      </c>
      <c r="D1674" s="13" t="s">
        <v>4624</v>
      </c>
      <c r="E1674" s="13" t="s">
        <v>3848</v>
      </c>
      <c r="F1674" s="14"/>
      <c r="G1674" s="14"/>
      <c r="H1674" s="14"/>
      <c r="I1674" s="14"/>
      <c r="J1674" s="14">
        <f t="shared" si="78"/>
        <v>0</v>
      </c>
      <c r="K1674" s="14">
        <f t="shared" si="79"/>
        <v>0</v>
      </c>
      <c r="L1674" s="17">
        <f t="shared" si="80"/>
        <v>0</v>
      </c>
      <c r="M1674" s="14"/>
      <c r="N1674" s="16"/>
      <c r="O1674" s="16"/>
      <c r="P1674" s="16"/>
      <c r="Q1674" s="16"/>
      <c r="R1674" s="16"/>
      <c r="S1674" s="16"/>
      <c r="T1674" s="16"/>
      <c r="U1674" s="16"/>
      <c r="V1674" s="16"/>
      <c r="W1674" s="16"/>
      <c r="X1674" s="16"/>
      <c r="Y1674" s="16"/>
      <c r="Z1674" s="16"/>
      <c r="AA1674" s="16"/>
    </row>
    <row r="1675" spans="1:27" s="2" customFormat="1" ht="14">
      <c r="A1675" s="12">
        <v>1326566</v>
      </c>
      <c r="B1675" s="13" t="s">
        <v>62</v>
      </c>
      <c r="C1675" s="13" t="s">
        <v>4625</v>
      </c>
      <c r="D1675" s="13" t="s">
        <v>4626</v>
      </c>
      <c r="E1675" s="13" t="s">
        <v>3402</v>
      </c>
      <c r="F1675" s="14"/>
      <c r="G1675" s="14"/>
      <c r="H1675" s="14"/>
      <c r="I1675" s="14"/>
      <c r="J1675" s="14">
        <f t="shared" si="78"/>
        <v>0</v>
      </c>
      <c r="K1675" s="14">
        <f t="shared" si="79"/>
        <v>0</v>
      </c>
      <c r="L1675" s="17">
        <f t="shared" si="80"/>
        <v>0</v>
      </c>
      <c r="M1675" s="14"/>
      <c r="N1675" s="16"/>
      <c r="O1675" s="16"/>
      <c r="P1675" s="16"/>
      <c r="Q1675" s="16"/>
      <c r="R1675" s="16"/>
      <c r="S1675" s="16"/>
      <c r="T1675" s="16"/>
      <c r="U1675" s="16"/>
      <c r="V1675" s="16"/>
      <c r="W1675" s="16"/>
      <c r="X1675" s="16"/>
      <c r="Y1675" s="16"/>
      <c r="Z1675" s="16"/>
      <c r="AA1675" s="16"/>
    </row>
    <row r="1676" spans="1:27" s="2" customFormat="1" ht="14">
      <c r="A1676" s="12">
        <v>1322472</v>
      </c>
      <c r="B1676" s="13" t="s">
        <v>62</v>
      </c>
      <c r="C1676" s="13" t="s">
        <v>4627</v>
      </c>
      <c r="D1676" s="13" t="s">
        <v>4628</v>
      </c>
      <c r="E1676" s="13" t="s">
        <v>3862</v>
      </c>
      <c r="F1676" s="14"/>
      <c r="G1676" s="14"/>
      <c r="H1676" s="14"/>
      <c r="I1676" s="14"/>
      <c r="J1676" s="14">
        <f t="shared" si="78"/>
        <v>0</v>
      </c>
      <c r="K1676" s="14">
        <f t="shared" si="79"/>
        <v>0</v>
      </c>
      <c r="L1676" s="17">
        <f t="shared" si="80"/>
        <v>0</v>
      </c>
      <c r="M1676" s="14"/>
      <c r="N1676" s="16"/>
      <c r="O1676" s="16"/>
      <c r="P1676" s="16"/>
      <c r="Q1676" s="16"/>
      <c r="R1676" s="16"/>
      <c r="S1676" s="16"/>
      <c r="T1676" s="16"/>
      <c r="U1676" s="16"/>
      <c r="V1676" s="16"/>
      <c r="W1676" s="16"/>
      <c r="X1676" s="16"/>
      <c r="Y1676" s="16"/>
      <c r="Z1676" s="16"/>
      <c r="AA1676" s="16"/>
    </row>
    <row r="1677" spans="1:27" s="2" customFormat="1" ht="14">
      <c r="A1677" s="12">
        <v>1327326</v>
      </c>
      <c r="B1677" s="13" t="s">
        <v>14</v>
      </c>
      <c r="C1677" s="13" t="s">
        <v>4629</v>
      </c>
      <c r="D1677" s="13" t="s">
        <v>4630</v>
      </c>
      <c r="E1677" s="13" t="s">
        <v>3703</v>
      </c>
      <c r="F1677" s="14"/>
      <c r="G1677" s="14"/>
      <c r="H1677" s="14"/>
      <c r="I1677" s="14"/>
      <c r="J1677" s="14">
        <f t="shared" si="78"/>
        <v>0</v>
      </c>
      <c r="K1677" s="14">
        <f t="shared" si="79"/>
        <v>0</v>
      </c>
      <c r="L1677" s="17">
        <f t="shared" si="80"/>
        <v>0</v>
      </c>
      <c r="M1677" s="14"/>
      <c r="N1677" s="16"/>
      <c r="O1677" s="16"/>
      <c r="P1677" s="16"/>
      <c r="Q1677" s="16"/>
      <c r="R1677" s="16"/>
      <c r="S1677" s="16"/>
      <c r="T1677" s="16"/>
      <c r="U1677" s="16"/>
      <c r="V1677" s="16"/>
      <c r="W1677" s="16"/>
      <c r="X1677" s="16"/>
      <c r="Y1677" s="16"/>
      <c r="Z1677" s="16"/>
      <c r="AA1677" s="16"/>
    </row>
    <row r="1678" spans="1:27" s="2" customFormat="1" ht="14">
      <c r="A1678" s="12">
        <v>1327450</v>
      </c>
      <c r="B1678" s="13" t="s">
        <v>14</v>
      </c>
      <c r="C1678" s="13" t="s">
        <v>4631</v>
      </c>
      <c r="D1678" s="13" t="s">
        <v>4632</v>
      </c>
      <c r="E1678" s="13" t="s">
        <v>3509</v>
      </c>
      <c r="F1678" s="14"/>
      <c r="G1678" s="14"/>
      <c r="H1678" s="14"/>
      <c r="I1678" s="14"/>
      <c r="J1678" s="14">
        <f t="shared" si="78"/>
        <v>0</v>
      </c>
      <c r="K1678" s="14">
        <f t="shared" si="79"/>
        <v>0</v>
      </c>
      <c r="L1678" s="17">
        <f t="shared" si="80"/>
        <v>0</v>
      </c>
      <c r="M1678" s="14"/>
      <c r="N1678" s="16"/>
      <c r="O1678" s="16"/>
      <c r="P1678" s="16"/>
      <c r="Q1678" s="16"/>
      <c r="R1678" s="16"/>
      <c r="S1678" s="16"/>
      <c r="T1678" s="16"/>
      <c r="U1678" s="16"/>
      <c r="V1678" s="16"/>
      <c r="W1678" s="16"/>
      <c r="X1678" s="16"/>
      <c r="Y1678" s="16"/>
      <c r="Z1678" s="16"/>
      <c r="AA1678" s="16"/>
    </row>
    <row r="1679" spans="1:27" s="2" customFormat="1" ht="14">
      <c r="A1679" s="12">
        <v>1327690</v>
      </c>
      <c r="B1679" s="13" t="s">
        <v>14</v>
      </c>
      <c r="C1679" s="13" t="s">
        <v>4633</v>
      </c>
      <c r="D1679" s="13" t="s">
        <v>4634</v>
      </c>
      <c r="E1679" s="13" t="s">
        <v>4049</v>
      </c>
      <c r="F1679" s="14"/>
      <c r="G1679" s="14"/>
      <c r="H1679" s="14"/>
      <c r="I1679" s="14"/>
      <c r="J1679" s="14">
        <f t="shared" si="78"/>
        <v>0</v>
      </c>
      <c r="K1679" s="14">
        <f t="shared" si="79"/>
        <v>0</v>
      </c>
      <c r="L1679" s="17">
        <f t="shared" si="80"/>
        <v>0</v>
      </c>
      <c r="M1679" s="14"/>
      <c r="N1679" s="16"/>
      <c r="O1679" s="16"/>
      <c r="P1679" s="16"/>
      <c r="Q1679" s="16"/>
      <c r="R1679" s="16"/>
      <c r="S1679" s="16"/>
      <c r="T1679" s="16"/>
      <c r="U1679" s="16"/>
      <c r="V1679" s="16"/>
      <c r="W1679" s="16"/>
      <c r="X1679" s="16"/>
      <c r="Y1679" s="16"/>
      <c r="Z1679" s="16"/>
      <c r="AA1679" s="16"/>
    </row>
    <row r="1680" spans="1:27" s="2" customFormat="1" ht="14">
      <c r="A1680" s="12">
        <v>1327785</v>
      </c>
      <c r="B1680" s="13" t="s">
        <v>14</v>
      </c>
      <c r="C1680" s="13" t="s">
        <v>4635</v>
      </c>
      <c r="D1680" s="13" t="s">
        <v>4636</v>
      </c>
      <c r="E1680" s="13" t="s">
        <v>4049</v>
      </c>
      <c r="F1680" s="14"/>
      <c r="G1680" s="14"/>
      <c r="H1680" s="14"/>
      <c r="I1680" s="14"/>
      <c r="J1680" s="14">
        <f t="shared" si="78"/>
        <v>0</v>
      </c>
      <c r="K1680" s="14">
        <f t="shared" si="79"/>
        <v>0</v>
      </c>
      <c r="L1680" s="17">
        <f t="shared" si="80"/>
        <v>0</v>
      </c>
      <c r="M1680" s="14"/>
      <c r="N1680" s="16"/>
      <c r="O1680" s="16"/>
      <c r="P1680" s="16"/>
      <c r="Q1680" s="16"/>
      <c r="R1680" s="16"/>
      <c r="S1680" s="16"/>
      <c r="T1680" s="16"/>
      <c r="U1680" s="16"/>
      <c r="V1680" s="16"/>
      <c r="W1680" s="16"/>
      <c r="X1680" s="16"/>
      <c r="Y1680" s="16"/>
      <c r="Z1680" s="16"/>
      <c r="AA1680" s="16"/>
    </row>
    <row r="1681" spans="1:27" s="2" customFormat="1" ht="14">
      <c r="A1681" s="12">
        <v>1327978</v>
      </c>
      <c r="B1681" s="13" t="s">
        <v>14</v>
      </c>
      <c r="C1681" s="13" t="s">
        <v>4637</v>
      </c>
      <c r="D1681" s="13" t="s">
        <v>4638</v>
      </c>
      <c r="E1681" s="13" t="s">
        <v>3682</v>
      </c>
      <c r="F1681" s="14"/>
      <c r="G1681" s="14"/>
      <c r="H1681" s="14"/>
      <c r="I1681" s="14"/>
      <c r="J1681" s="14">
        <f t="shared" si="78"/>
        <v>0</v>
      </c>
      <c r="K1681" s="14">
        <f t="shared" si="79"/>
        <v>0</v>
      </c>
      <c r="L1681" s="17">
        <f t="shared" si="80"/>
        <v>0</v>
      </c>
      <c r="M1681" s="14"/>
      <c r="N1681" s="16"/>
      <c r="O1681" s="16"/>
      <c r="P1681" s="16"/>
      <c r="Q1681" s="16"/>
      <c r="R1681" s="16"/>
      <c r="S1681" s="16"/>
      <c r="T1681" s="16"/>
      <c r="U1681" s="16"/>
      <c r="V1681" s="16"/>
      <c r="W1681" s="16"/>
      <c r="X1681" s="16"/>
      <c r="Y1681" s="16"/>
      <c r="Z1681" s="16"/>
      <c r="AA1681" s="16"/>
    </row>
    <row r="1682" spans="1:27" s="2" customFormat="1" ht="14">
      <c r="A1682" s="12">
        <v>1327983</v>
      </c>
      <c r="B1682" s="13" t="s">
        <v>14</v>
      </c>
      <c r="C1682" s="13" t="s">
        <v>4639</v>
      </c>
      <c r="D1682" s="13" t="s">
        <v>4640</v>
      </c>
      <c r="E1682" s="13" t="s">
        <v>837</v>
      </c>
      <c r="F1682" s="14"/>
      <c r="G1682" s="14"/>
      <c r="H1682" s="14"/>
      <c r="I1682" s="14"/>
      <c r="J1682" s="14">
        <f t="shared" si="78"/>
        <v>0</v>
      </c>
      <c r="K1682" s="14">
        <f t="shared" si="79"/>
        <v>0</v>
      </c>
      <c r="L1682" s="17">
        <f t="shared" si="80"/>
        <v>0</v>
      </c>
      <c r="M1682" s="14"/>
      <c r="N1682" s="16"/>
      <c r="O1682" s="16"/>
      <c r="P1682" s="16"/>
      <c r="Q1682" s="16"/>
      <c r="R1682" s="16"/>
      <c r="S1682" s="16"/>
      <c r="T1682" s="16"/>
      <c r="U1682" s="16"/>
      <c r="V1682" s="16"/>
      <c r="W1682" s="16"/>
      <c r="X1682" s="16"/>
      <c r="Y1682" s="16"/>
      <c r="Z1682" s="16"/>
      <c r="AA1682" s="16"/>
    </row>
    <row r="1683" spans="1:27" s="2" customFormat="1" ht="14">
      <c r="A1683" s="12">
        <v>1351886</v>
      </c>
      <c r="B1683" s="13" t="s">
        <v>14</v>
      </c>
      <c r="C1683" s="13" t="s">
        <v>4641</v>
      </c>
      <c r="D1683" s="13" t="s">
        <v>4642</v>
      </c>
      <c r="E1683" s="13" t="s">
        <v>3730</v>
      </c>
      <c r="F1683" s="14"/>
      <c r="G1683" s="14"/>
      <c r="H1683" s="14"/>
      <c r="I1683" s="14"/>
      <c r="J1683" s="14">
        <f t="shared" si="78"/>
        <v>0</v>
      </c>
      <c r="K1683" s="14">
        <f t="shared" si="79"/>
        <v>0</v>
      </c>
      <c r="L1683" s="17">
        <f t="shared" si="80"/>
        <v>0</v>
      </c>
      <c r="M1683" s="14"/>
      <c r="N1683" s="16"/>
      <c r="O1683" s="16"/>
      <c r="P1683" s="16"/>
      <c r="Q1683" s="16"/>
      <c r="R1683" s="16"/>
      <c r="S1683" s="16"/>
      <c r="T1683" s="16"/>
      <c r="U1683" s="16"/>
      <c r="V1683" s="16"/>
      <c r="W1683" s="16"/>
      <c r="X1683" s="16"/>
      <c r="Y1683" s="16"/>
      <c r="Z1683" s="16"/>
      <c r="AA1683" s="16"/>
    </row>
    <row r="1684" spans="1:27" s="2" customFormat="1" ht="14">
      <c r="A1684" s="12">
        <v>1352260</v>
      </c>
      <c r="B1684" s="13" t="s">
        <v>62</v>
      </c>
      <c r="C1684" s="13" t="s">
        <v>4643</v>
      </c>
      <c r="D1684" s="13" t="s">
        <v>4644</v>
      </c>
      <c r="E1684" s="13" t="s">
        <v>1573</v>
      </c>
      <c r="F1684" s="14"/>
      <c r="G1684" s="14"/>
      <c r="H1684" s="14"/>
      <c r="I1684" s="14"/>
      <c r="J1684" s="14">
        <f t="shared" si="78"/>
        <v>0</v>
      </c>
      <c r="K1684" s="14">
        <f t="shared" si="79"/>
        <v>0</v>
      </c>
      <c r="L1684" s="17">
        <f t="shared" si="80"/>
        <v>0</v>
      </c>
      <c r="M1684" s="14"/>
      <c r="N1684" s="16"/>
      <c r="O1684" s="16"/>
      <c r="P1684" s="16"/>
      <c r="Q1684" s="16"/>
      <c r="R1684" s="16"/>
      <c r="S1684" s="16"/>
      <c r="T1684" s="16"/>
      <c r="U1684" s="16"/>
      <c r="V1684" s="16"/>
      <c r="W1684" s="16"/>
      <c r="X1684" s="16"/>
      <c r="Y1684" s="16"/>
      <c r="Z1684" s="16"/>
      <c r="AA1684" s="16"/>
    </row>
    <row r="1685" spans="1:27" s="2" customFormat="1" ht="14">
      <c r="A1685" s="12">
        <v>1351914</v>
      </c>
      <c r="B1685" s="13" t="s">
        <v>14</v>
      </c>
      <c r="C1685" s="13" t="s">
        <v>4645</v>
      </c>
      <c r="D1685" s="13" t="s">
        <v>4646</v>
      </c>
      <c r="E1685" s="13" t="s">
        <v>3576</v>
      </c>
      <c r="F1685" s="14"/>
      <c r="G1685" s="14"/>
      <c r="H1685" s="14"/>
      <c r="I1685" s="14"/>
      <c r="J1685" s="14">
        <f t="shared" si="78"/>
        <v>0</v>
      </c>
      <c r="K1685" s="14">
        <f t="shared" si="79"/>
        <v>0</v>
      </c>
      <c r="L1685" s="17">
        <f t="shared" si="80"/>
        <v>0</v>
      </c>
      <c r="M1685" s="14"/>
      <c r="N1685" s="16"/>
      <c r="O1685" s="16"/>
      <c r="P1685" s="16"/>
      <c r="Q1685" s="16"/>
      <c r="R1685" s="16"/>
      <c r="S1685" s="16"/>
      <c r="T1685" s="16"/>
      <c r="U1685" s="16"/>
      <c r="V1685" s="16"/>
      <c r="W1685" s="16"/>
      <c r="X1685" s="16"/>
      <c r="Y1685" s="16"/>
      <c r="Z1685" s="16"/>
      <c r="AA1685" s="16"/>
    </row>
    <row r="1686" spans="1:27" s="2" customFormat="1" ht="14">
      <c r="A1686" s="12">
        <v>1352364</v>
      </c>
      <c r="B1686" s="13" t="s">
        <v>14</v>
      </c>
      <c r="C1686" s="13" t="s">
        <v>4647</v>
      </c>
      <c r="D1686" s="13" t="s">
        <v>4648</v>
      </c>
      <c r="E1686" s="13" t="s">
        <v>3848</v>
      </c>
      <c r="F1686" s="14"/>
      <c r="G1686" s="14"/>
      <c r="H1686" s="14"/>
      <c r="I1686" s="14"/>
      <c r="J1686" s="14">
        <f t="shared" si="78"/>
        <v>0</v>
      </c>
      <c r="K1686" s="14">
        <f t="shared" si="79"/>
        <v>0</v>
      </c>
      <c r="L1686" s="17">
        <f t="shared" si="80"/>
        <v>0</v>
      </c>
      <c r="M1686" s="14"/>
      <c r="N1686" s="16"/>
      <c r="O1686" s="16"/>
      <c r="P1686" s="16"/>
      <c r="Q1686" s="16"/>
      <c r="R1686" s="16"/>
      <c r="S1686" s="16"/>
      <c r="T1686" s="16"/>
      <c r="U1686" s="16"/>
      <c r="V1686" s="16"/>
      <c r="W1686" s="16"/>
      <c r="X1686" s="16"/>
      <c r="Y1686" s="16"/>
      <c r="Z1686" s="16"/>
      <c r="AA1686" s="16"/>
    </row>
    <row r="1687" spans="1:27" s="2" customFormat="1" ht="14">
      <c r="A1687" s="12">
        <v>2092403</v>
      </c>
      <c r="B1687" s="13" t="s">
        <v>62</v>
      </c>
      <c r="C1687" s="13" t="s">
        <v>4649</v>
      </c>
      <c r="D1687" s="13" t="s">
        <v>4650</v>
      </c>
      <c r="E1687" s="13" t="s">
        <v>3635</v>
      </c>
      <c r="F1687" s="14"/>
      <c r="G1687" s="14"/>
      <c r="H1687" s="14"/>
      <c r="I1687" s="14"/>
      <c r="J1687" s="14">
        <f t="shared" si="78"/>
        <v>0</v>
      </c>
      <c r="K1687" s="14">
        <f t="shared" si="79"/>
        <v>0</v>
      </c>
      <c r="L1687" s="17">
        <f t="shared" si="80"/>
        <v>0</v>
      </c>
      <c r="M1687" s="14"/>
      <c r="N1687" s="16"/>
      <c r="O1687" s="16"/>
      <c r="P1687" s="16"/>
      <c r="Q1687" s="16"/>
      <c r="R1687" s="16"/>
      <c r="S1687" s="16"/>
      <c r="T1687" s="16"/>
      <c r="U1687" s="16"/>
      <c r="V1687" s="16"/>
      <c r="W1687" s="16"/>
      <c r="X1687" s="16"/>
      <c r="Y1687" s="16"/>
      <c r="Z1687" s="16"/>
      <c r="AA1687" s="16"/>
    </row>
    <row r="1688" spans="1:27" s="2" customFormat="1" ht="14">
      <c r="A1688" s="12">
        <v>1351739</v>
      </c>
      <c r="B1688" s="13" t="s">
        <v>14</v>
      </c>
      <c r="C1688" s="13" t="s">
        <v>4651</v>
      </c>
      <c r="D1688" s="13" t="s">
        <v>4652</v>
      </c>
      <c r="E1688" s="13" t="s">
        <v>3327</v>
      </c>
      <c r="F1688" s="14"/>
      <c r="G1688" s="14"/>
      <c r="H1688" s="14"/>
      <c r="I1688" s="14"/>
      <c r="J1688" s="14">
        <f t="shared" si="78"/>
        <v>0</v>
      </c>
      <c r="K1688" s="14">
        <f t="shared" si="79"/>
        <v>0</v>
      </c>
      <c r="L1688" s="17">
        <f t="shared" si="80"/>
        <v>0</v>
      </c>
      <c r="M1688" s="14"/>
      <c r="N1688" s="16"/>
      <c r="O1688" s="16"/>
      <c r="P1688" s="16"/>
      <c r="Q1688" s="16"/>
      <c r="R1688" s="16"/>
      <c r="S1688" s="16"/>
      <c r="T1688" s="16"/>
      <c r="U1688" s="16"/>
      <c r="V1688" s="16"/>
      <c r="W1688" s="16"/>
      <c r="X1688" s="16"/>
      <c r="Y1688" s="16"/>
      <c r="Z1688" s="16"/>
      <c r="AA1688" s="16"/>
    </row>
    <row r="1689" spans="1:27" s="2" customFormat="1" ht="14">
      <c r="A1689" s="12">
        <v>1351742</v>
      </c>
      <c r="B1689" s="13" t="s">
        <v>14</v>
      </c>
      <c r="C1689" s="13" t="s">
        <v>4653</v>
      </c>
      <c r="D1689" s="13" t="s">
        <v>4654</v>
      </c>
      <c r="E1689" s="13" t="s">
        <v>1998</v>
      </c>
      <c r="F1689" s="14"/>
      <c r="G1689" s="14"/>
      <c r="H1689" s="14"/>
      <c r="I1689" s="14"/>
      <c r="J1689" s="14">
        <f t="shared" si="78"/>
        <v>0</v>
      </c>
      <c r="K1689" s="14">
        <f t="shared" si="79"/>
        <v>0</v>
      </c>
      <c r="L1689" s="17">
        <f t="shared" si="80"/>
        <v>0</v>
      </c>
      <c r="M1689" s="14"/>
      <c r="N1689" s="16"/>
      <c r="O1689" s="16"/>
      <c r="P1689" s="16"/>
      <c r="Q1689" s="16"/>
      <c r="R1689" s="16"/>
      <c r="S1689" s="16"/>
      <c r="T1689" s="16"/>
      <c r="U1689" s="16"/>
      <c r="V1689" s="16"/>
      <c r="W1689" s="16"/>
      <c r="X1689" s="16"/>
      <c r="Y1689" s="16"/>
      <c r="Z1689" s="16"/>
      <c r="AA1689" s="16"/>
    </row>
    <row r="1690" spans="1:27" s="2" customFormat="1" ht="14">
      <c r="A1690" s="12">
        <v>1326230</v>
      </c>
      <c r="B1690" s="13" t="s">
        <v>62</v>
      </c>
      <c r="C1690" s="13" t="s">
        <v>4655</v>
      </c>
      <c r="D1690" s="13" t="s">
        <v>4656</v>
      </c>
      <c r="E1690" s="13" t="s">
        <v>3189</v>
      </c>
      <c r="F1690" s="14"/>
      <c r="G1690" s="14"/>
      <c r="H1690" s="14"/>
      <c r="I1690" s="14"/>
      <c r="J1690" s="14">
        <f t="shared" si="78"/>
        <v>0</v>
      </c>
      <c r="K1690" s="14">
        <f t="shared" si="79"/>
        <v>0</v>
      </c>
      <c r="L1690" s="17">
        <f t="shared" si="80"/>
        <v>0</v>
      </c>
      <c r="M1690" s="14"/>
      <c r="N1690" s="16"/>
      <c r="O1690" s="16"/>
      <c r="P1690" s="16"/>
      <c r="Q1690" s="16"/>
      <c r="R1690" s="16"/>
      <c r="S1690" s="16"/>
      <c r="T1690" s="16"/>
      <c r="U1690" s="16"/>
      <c r="V1690" s="16"/>
      <c r="W1690" s="16"/>
      <c r="X1690" s="16"/>
      <c r="Y1690" s="16"/>
      <c r="Z1690" s="16"/>
      <c r="AA1690" s="16"/>
    </row>
    <row r="1691" spans="1:27" s="2" customFormat="1" ht="14">
      <c r="A1691" s="12">
        <v>1326241</v>
      </c>
      <c r="B1691" s="13" t="s">
        <v>14</v>
      </c>
      <c r="C1691" s="13" t="s">
        <v>4657</v>
      </c>
      <c r="D1691" s="13" t="s">
        <v>4658</v>
      </c>
      <c r="E1691" s="13" t="s">
        <v>1579</v>
      </c>
      <c r="F1691" s="14"/>
      <c r="G1691" s="14"/>
      <c r="H1691" s="14"/>
      <c r="I1691" s="14"/>
      <c r="J1691" s="14">
        <f t="shared" si="78"/>
        <v>0</v>
      </c>
      <c r="K1691" s="14">
        <f t="shared" si="79"/>
        <v>0</v>
      </c>
      <c r="L1691" s="17">
        <f t="shared" si="80"/>
        <v>0</v>
      </c>
      <c r="M1691" s="14"/>
      <c r="N1691" s="16"/>
      <c r="O1691" s="16"/>
      <c r="P1691" s="16"/>
      <c r="Q1691" s="16"/>
      <c r="R1691" s="16"/>
      <c r="S1691" s="16"/>
      <c r="T1691" s="16"/>
      <c r="U1691" s="16"/>
      <c r="V1691" s="16"/>
      <c r="W1691" s="16"/>
      <c r="X1691" s="16"/>
      <c r="Y1691" s="16"/>
      <c r="Z1691" s="16"/>
      <c r="AA1691" s="16"/>
    </row>
    <row r="1692" spans="1:27" s="2" customFormat="1" ht="14">
      <c r="A1692" s="12" t="s">
        <v>4659</v>
      </c>
      <c r="B1692" s="13" t="s">
        <v>62</v>
      </c>
      <c r="C1692" s="13" t="s">
        <v>4660</v>
      </c>
      <c r="D1692" s="13" t="s">
        <v>4661</v>
      </c>
      <c r="E1692" s="13" t="s">
        <v>443</v>
      </c>
      <c r="F1692" s="14"/>
      <c r="G1692" s="14"/>
      <c r="H1692" s="14"/>
      <c r="I1692" s="14"/>
      <c r="J1692" s="14">
        <f t="shared" si="78"/>
        <v>0</v>
      </c>
      <c r="K1692" s="14">
        <f t="shared" si="79"/>
        <v>0</v>
      </c>
      <c r="L1692" s="17">
        <f t="shared" si="80"/>
        <v>0</v>
      </c>
      <c r="M1692" s="14"/>
      <c r="N1692" s="16"/>
      <c r="O1692" s="16"/>
      <c r="P1692" s="16"/>
      <c r="Q1692" s="16"/>
      <c r="R1692" s="16"/>
      <c r="S1692" s="16"/>
      <c r="T1692" s="16"/>
      <c r="U1692" s="16"/>
      <c r="V1692" s="16"/>
      <c r="W1692" s="16"/>
      <c r="X1692" s="16"/>
      <c r="Y1692" s="16"/>
      <c r="Z1692" s="16"/>
      <c r="AA1692" s="16"/>
    </row>
    <row r="1693" spans="1:27" s="2" customFormat="1" ht="14">
      <c r="A1693" s="12">
        <v>1351819</v>
      </c>
      <c r="B1693" s="13" t="s">
        <v>14</v>
      </c>
      <c r="C1693" s="13" t="s">
        <v>4662</v>
      </c>
      <c r="D1693" s="13" t="s">
        <v>4663</v>
      </c>
      <c r="E1693" s="13" t="s">
        <v>1573</v>
      </c>
      <c r="F1693" s="14"/>
      <c r="G1693" s="14"/>
      <c r="H1693" s="14"/>
      <c r="I1693" s="14"/>
      <c r="J1693" s="14">
        <f t="shared" si="78"/>
        <v>0</v>
      </c>
      <c r="K1693" s="14">
        <f t="shared" si="79"/>
        <v>0</v>
      </c>
      <c r="L1693" s="17">
        <f t="shared" si="80"/>
        <v>0</v>
      </c>
      <c r="M1693" s="14"/>
      <c r="N1693" s="16"/>
      <c r="O1693" s="16"/>
      <c r="P1693" s="16"/>
      <c r="Q1693" s="16"/>
      <c r="R1693" s="16"/>
      <c r="S1693" s="16"/>
      <c r="T1693" s="16"/>
      <c r="U1693" s="16"/>
      <c r="V1693" s="16"/>
      <c r="W1693" s="16"/>
      <c r="X1693" s="16"/>
      <c r="Y1693" s="16"/>
      <c r="Z1693" s="16"/>
      <c r="AA1693" s="16"/>
    </row>
    <row r="1694" spans="1:27" s="2" customFormat="1" ht="14">
      <c r="A1694" s="12">
        <v>1348887</v>
      </c>
      <c r="B1694" s="13" t="s">
        <v>62</v>
      </c>
      <c r="C1694" s="13" t="s">
        <v>4664</v>
      </c>
      <c r="D1694" s="13" t="s">
        <v>4665</v>
      </c>
      <c r="E1694" s="13" t="s">
        <v>3682</v>
      </c>
      <c r="F1694" s="14"/>
      <c r="G1694" s="14"/>
      <c r="H1694" s="14"/>
      <c r="I1694" s="14"/>
      <c r="J1694" s="14">
        <f t="shared" si="78"/>
        <v>0</v>
      </c>
      <c r="K1694" s="14">
        <f t="shared" si="79"/>
        <v>0</v>
      </c>
      <c r="L1694" s="17">
        <f t="shared" si="80"/>
        <v>0</v>
      </c>
      <c r="M1694" s="14"/>
      <c r="N1694" s="16"/>
      <c r="O1694" s="16"/>
      <c r="P1694" s="16"/>
      <c r="Q1694" s="16"/>
      <c r="R1694" s="16"/>
      <c r="S1694" s="16"/>
      <c r="T1694" s="16"/>
      <c r="U1694" s="16"/>
      <c r="V1694" s="16"/>
      <c r="W1694" s="16"/>
      <c r="X1694" s="16"/>
      <c r="Y1694" s="16"/>
      <c r="Z1694" s="16"/>
      <c r="AA1694" s="16"/>
    </row>
    <row r="1695" spans="1:27" s="2" customFormat="1" ht="14">
      <c r="A1695" s="12" t="s">
        <v>4666</v>
      </c>
      <c r="B1695" s="13" t="s">
        <v>14</v>
      </c>
      <c r="C1695" s="13" t="s">
        <v>4667</v>
      </c>
      <c r="D1695" s="13" t="s">
        <v>4668</v>
      </c>
      <c r="E1695" s="13" t="s">
        <v>319</v>
      </c>
      <c r="F1695" s="14"/>
      <c r="G1695" s="14"/>
      <c r="H1695" s="14"/>
      <c r="I1695" s="14"/>
      <c r="J1695" s="14">
        <f t="shared" si="78"/>
        <v>0</v>
      </c>
      <c r="K1695" s="14">
        <f t="shared" si="79"/>
        <v>0</v>
      </c>
      <c r="L1695" s="17">
        <f t="shared" si="80"/>
        <v>0</v>
      </c>
      <c r="M1695" s="14"/>
      <c r="N1695" s="16"/>
      <c r="O1695" s="16"/>
      <c r="P1695" s="16"/>
      <c r="Q1695" s="16"/>
      <c r="R1695" s="16"/>
      <c r="S1695" s="16"/>
      <c r="T1695" s="16"/>
      <c r="U1695" s="16"/>
      <c r="V1695" s="16"/>
      <c r="W1695" s="16"/>
      <c r="X1695" s="16"/>
      <c r="Y1695" s="16"/>
      <c r="Z1695" s="16"/>
      <c r="AA1695" s="16"/>
    </row>
    <row r="1696" spans="1:27" s="2" customFormat="1" ht="14">
      <c r="A1696" s="12">
        <v>1349647</v>
      </c>
      <c r="B1696" s="13" t="s">
        <v>14</v>
      </c>
      <c r="C1696" s="13" t="s">
        <v>4669</v>
      </c>
      <c r="D1696" s="13" t="s">
        <v>4670</v>
      </c>
      <c r="E1696" s="13" t="s">
        <v>3509</v>
      </c>
      <c r="F1696" s="14"/>
      <c r="G1696" s="14"/>
      <c r="H1696" s="14"/>
      <c r="I1696" s="14"/>
      <c r="J1696" s="14">
        <f t="shared" si="78"/>
        <v>0</v>
      </c>
      <c r="K1696" s="14">
        <f t="shared" si="79"/>
        <v>0</v>
      </c>
      <c r="L1696" s="17">
        <f t="shared" si="80"/>
        <v>0</v>
      </c>
      <c r="M1696" s="14"/>
      <c r="N1696" s="16"/>
      <c r="O1696" s="16"/>
      <c r="P1696" s="16"/>
      <c r="Q1696" s="16"/>
      <c r="R1696" s="16"/>
      <c r="S1696" s="16"/>
      <c r="T1696" s="16"/>
      <c r="U1696" s="16"/>
      <c r="V1696" s="16"/>
      <c r="W1696" s="16"/>
      <c r="X1696" s="16"/>
      <c r="Y1696" s="16"/>
      <c r="Z1696" s="16"/>
      <c r="AA1696" s="16"/>
    </row>
    <row r="1697" spans="1:27" s="2" customFormat="1" ht="14">
      <c r="A1697" s="12">
        <v>1349648</v>
      </c>
      <c r="B1697" s="13" t="s">
        <v>14</v>
      </c>
      <c r="C1697" s="13" t="s">
        <v>4671</v>
      </c>
      <c r="D1697" s="13" t="s">
        <v>4672</v>
      </c>
      <c r="E1697" s="13" t="s">
        <v>3848</v>
      </c>
      <c r="F1697" s="14"/>
      <c r="G1697" s="14"/>
      <c r="H1697" s="14"/>
      <c r="I1697" s="14"/>
      <c r="J1697" s="14">
        <f t="shared" si="78"/>
        <v>0</v>
      </c>
      <c r="K1697" s="14">
        <f t="shared" si="79"/>
        <v>0</v>
      </c>
      <c r="L1697" s="17">
        <f t="shared" si="80"/>
        <v>0</v>
      </c>
      <c r="M1697" s="14"/>
      <c r="N1697" s="16"/>
      <c r="O1697" s="16"/>
      <c r="P1697" s="16"/>
      <c r="Q1697" s="16"/>
      <c r="R1697" s="16"/>
      <c r="S1697" s="16"/>
      <c r="T1697" s="16"/>
      <c r="U1697" s="16"/>
      <c r="V1697" s="16"/>
      <c r="W1697" s="16"/>
      <c r="X1697" s="16"/>
      <c r="Y1697" s="16"/>
      <c r="Z1697" s="16"/>
      <c r="AA1697" s="16"/>
    </row>
    <row r="1698" spans="1:27" s="2" customFormat="1" ht="14">
      <c r="A1698" s="12">
        <v>1349662</v>
      </c>
      <c r="B1698" s="13" t="s">
        <v>14</v>
      </c>
      <c r="C1698" s="13" t="s">
        <v>4673</v>
      </c>
      <c r="D1698" s="13" t="s">
        <v>4674</v>
      </c>
      <c r="E1698" s="13" t="s">
        <v>1839</v>
      </c>
      <c r="F1698" s="14"/>
      <c r="G1698" s="14"/>
      <c r="H1698" s="14"/>
      <c r="I1698" s="14"/>
      <c r="J1698" s="14">
        <f t="shared" si="78"/>
        <v>0</v>
      </c>
      <c r="K1698" s="14">
        <f t="shared" si="79"/>
        <v>0</v>
      </c>
      <c r="L1698" s="17">
        <f t="shared" si="80"/>
        <v>0</v>
      </c>
      <c r="M1698" s="14"/>
      <c r="N1698" s="16"/>
      <c r="O1698" s="16"/>
      <c r="P1698" s="16"/>
      <c r="Q1698" s="16"/>
      <c r="R1698" s="16"/>
      <c r="S1698" s="16"/>
      <c r="T1698" s="16"/>
      <c r="U1698" s="16"/>
      <c r="V1698" s="16"/>
      <c r="W1698" s="16"/>
      <c r="X1698" s="16"/>
      <c r="Y1698" s="16"/>
      <c r="Z1698" s="16"/>
      <c r="AA1698" s="16"/>
    </row>
    <row r="1699" spans="1:27" s="2" customFormat="1" ht="14">
      <c r="A1699" s="12">
        <v>1349663</v>
      </c>
      <c r="B1699" s="13" t="s">
        <v>62</v>
      </c>
      <c r="C1699" s="13" t="s">
        <v>4675</v>
      </c>
      <c r="D1699" s="13" t="s">
        <v>4676</v>
      </c>
      <c r="E1699" s="13" t="s">
        <v>3606</v>
      </c>
      <c r="F1699" s="14"/>
      <c r="G1699" s="14"/>
      <c r="H1699" s="14"/>
      <c r="I1699" s="14"/>
      <c r="J1699" s="14">
        <f t="shared" si="78"/>
        <v>0</v>
      </c>
      <c r="K1699" s="14">
        <f t="shared" si="79"/>
        <v>0</v>
      </c>
      <c r="L1699" s="17">
        <f t="shared" si="80"/>
        <v>0</v>
      </c>
      <c r="M1699" s="14"/>
      <c r="N1699" s="16"/>
      <c r="O1699" s="16"/>
      <c r="P1699" s="16"/>
      <c r="Q1699" s="16"/>
      <c r="R1699" s="16"/>
      <c r="S1699" s="16"/>
      <c r="T1699" s="16"/>
      <c r="U1699" s="16"/>
      <c r="V1699" s="16"/>
      <c r="W1699" s="16"/>
      <c r="X1699" s="16"/>
      <c r="Y1699" s="16"/>
      <c r="Z1699" s="16"/>
      <c r="AA1699" s="16"/>
    </row>
    <row r="1700" spans="1:27" s="2" customFormat="1" ht="14">
      <c r="A1700" s="12">
        <v>1349680</v>
      </c>
      <c r="B1700" s="13" t="s">
        <v>14</v>
      </c>
      <c r="C1700" s="13" t="s">
        <v>4677</v>
      </c>
      <c r="D1700" s="13" t="s">
        <v>4678</v>
      </c>
      <c r="E1700" s="13" t="s">
        <v>3509</v>
      </c>
      <c r="F1700" s="14"/>
      <c r="G1700" s="14"/>
      <c r="H1700" s="14"/>
      <c r="I1700" s="14"/>
      <c r="J1700" s="14">
        <f t="shared" si="78"/>
        <v>0</v>
      </c>
      <c r="K1700" s="14">
        <f t="shared" si="79"/>
        <v>0</v>
      </c>
      <c r="L1700" s="17">
        <f t="shared" si="80"/>
        <v>0</v>
      </c>
      <c r="M1700" s="14"/>
      <c r="N1700" s="16"/>
      <c r="O1700" s="16"/>
      <c r="P1700" s="16"/>
      <c r="Q1700" s="16"/>
      <c r="R1700" s="16"/>
      <c r="S1700" s="16"/>
      <c r="T1700" s="16"/>
      <c r="U1700" s="16"/>
      <c r="V1700" s="16"/>
      <c r="W1700" s="16"/>
      <c r="X1700" s="16"/>
      <c r="Y1700" s="16"/>
      <c r="Z1700" s="16"/>
      <c r="AA1700" s="16"/>
    </row>
    <row r="1701" spans="1:27" s="2" customFormat="1" ht="14">
      <c r="A1701" s="12">
        <v>1349681</v>
      </c>
      <c r="B1701" s="13" t="s">
        <v>14</v>
      </c>
      <c r="C1701" s="13" t="s">
        <v>4679</v>
      </c>
      <c r="D1701" s="13" t="s">
        <v>4680</v>
      </c>
      <c r="E1701" s="13" t="s">
        <v>3948</v>
      </c>
      <c r="F1701" s="14"/>
      <c r="G1701" s="14"/>
      <c r="H1701" s="14"/>
      <c r="I1701" s="14"/>
      <c r="J1701" s="14">
        <f t="shared" si="78"/>
        <v>0</v>
      </c>
      <c r="K1701" s="14">
        <f t="shared" si="79"/>
        <v>0</v>
      </c>
      <c r="L1701" s="17">
        <f t="shared" si="80"/>
        <v>0</v>
      </c>
      <c r="M1701" s="14"/>
      <c r="N1701" s="16"/>
      <c r="O1701" s="16"/>
      <c r="P1701" s="16"/>
      <c r="Q1701" s="16"/>
      <c r="R1701" s="16"/>
      <c r="S1701" s="16"/>
      <c r="T1701" s="16"/>
      <c r="U1701" s="16"/>
      <c r="V1701" s="16"/>
      <c r="W1701" s="16"/>
      <c r="X1701" s="16"/>
      <c r="Y1701" s="16"/>
      <c r="Z1701" s="16"/>
      <c r="AA1701" s="16"/>
    </row>
    <row r="1702" spans="1:27" s="2" customFormat="1" ht="14">
      <c r="A1702" s="12">
        <v>1349062</v>
      </c>
      <c r="B1702" s="13" t="s">
        <v>14</v>
      </c>
      <c r="C1702" s="13" t="s">
        <v>4681</v>
      </c>
      <c r="D1702" s="13" t="s">
        <v>4682</v>
      </c>
      <c r="E1702" s="13" t="s">
        <v>3509</v>
      </c>
      <c r="F1702" s="14"/>
      <c r="G1702" s="14"/>
      <c r="H1702" s="14"/>
      <c r="I1702" s="14"/>
      <c r="J1702" s="14">
        <f t="shared" si="78"/>
        <v>0</v>
      </c>
      <c r="K1702" s="14">
        <f t="shared" si="79"/>
        <v>0</v>
      </c>
      <c r="L1702" s="17">
        <f t="shared" si="80"/>
        <v>0</v>
      </c>
      <c r="M1702" s="14"/>
      <c r="N1702" s="16"/>
      <c r="O1702" s="16"/>
      <c r="P1702" s="16"/>
      <c r="Q1702" s="16"/>
      <c r="R1702" s="16"/>
      <c r="S1702" s="16"/>
      <c r="T1702" s="16"/>
      <c r="U1702" s="16"/>
      <c r="V1702" s="16"/>
      <c r="W1702" s="16"/>
      <c r="X1702" s="16"/>
      <c r="Y1702" s="16"/>
      <c r="Z1702" s="16"/>
      <c r="AA1702" s="16"/>
    </row>
    <row r="1703" spans="1:27" s="2" customFormat="1" ht="14">
      <c r="A1703" s="12">
        <v>1350252</v>
      </c>
      <c r="B1703" s="13" t="s">
        <v>62</v>
      </c>
      <c r="C1703" s="13" t="s">
        <v>4683</v>
      </c>
      <c r="D1703" s="13" t="s">
        <v>4684</v>
      </c>
      <c r="E1703" s="13" t="s">
        <v>1839</v>
      </c>
      <c r="F1703" s="14"/>
      <c r="G1703" s="14"/>
      <c r="H1703" s="14"/>
      <c r="I1703" s="14"/>
      <c r="J1703" s="14">
        <f t="shared" si="78"/>
        <v>0</v>
      </c>
      <c r="K1703" s="14">
        <f t="shared" si="79"/>
        <v>0</v>
      </c>
      <c r="L1703" s="17">
        <f t="shared" si="80"/>
        <v>0</v>
      </c>
      <c r="M1703" s="14"/>
      <c r="N1703" s="16"/>
      <c r="O1703" s="16"/>
      <c r="P1703" s="16"/>
      <c r="Q1703" s="16"/>
      <c r="R1703" s="16"/>
      <c r="S1703" s="16"/>
      <c r="T1703" s="16"/>
      <c r="U1703" s="16"/>
      <c r="V1703" s="16"/>
      <c r="W1703" s="16"/>
      <c r="X1703" s="16"/>
      <c r="Y1703" s="16"/>
      <c r="Z1703" s="16"/>
      <c r="AA1703" s="16"/>
    </row>
    <row r="1704" spans="1:27" s="2" customFormat="1" ht="14">
      <c r="A1704" s="12">
        <v>1350076</v>
      </c>
      <c r="B1704" s="13" t="s">
        <v>14</v>
      </c>
      <c r="C1704" s="13" t="s">
        <v>4685</v>
      </c>
      <c r="D1704" s="13" t="s">
        <v>4686</v>
      </c>
      <c r="E1704" s="13" t="s">
        <v>3327</v>
      </c>
      <c r="F1704" s="14"/>
      <c r="G1704" s="14"/>
      <c r="H1704" s="14"/>
      <c r="I1704" s="14"/>
      <c r="J1704" s="14">
        <f t="shared" si="78"/>
        <v>0</v>
      </c>
      <c r="K1704" s="14">
        <f t="shared" si="79"/>
        <v>0</v>
      </c>
      <c r="L1704" s="17">
        <f t="shared" si="80"/>
        <v>0</v>
      </c>
      <c r="M1704" s="14"/>
      <c r="N1704" s="16"/>
      <c r="O1704" s="16"/>
      <c r="P1704" s="16"/>
      <c r="Q1704" s="16"/>
      <c r="R1704" s="16"/>
      <c r="S1704" s="16"/>
      <c r="T1704" s="16"/>
      <c r="U1704" s="16"/>
      <c r="V1704" s="16"/>
      <c r="W1704" s="16"/>
      <c r="X1704" s="16"/>
      <c r="Y1704" s="16"/>
      <c r="Z1704" s="16"/>
      <c r="AA1704" s="16"/>
    </row>
    <row r="1705" spans="1:27" s="2" customFormat="1" ht="14">
      <c r="A1705" s="12">
        <v>1349116</v>
      </c>
      <c r="B1705" s="13" t="s">
        <v>14</v>
      </c>
      <c r="C1705" s="13" t="s">
        <v>4687</v>
      </c>
      <c r="D1705" s="13" t="s">
        <v>4688</v>
      </c>
      <c r="E1705" s="13" t="s">
        <v>3635</v>
      </c>
      <c r="F1705" s="14"/>
      <c r="G1705" s="14"/>
      <c r="H1705" s="14"/>
      <c r="I1705" s="14"/>
      <c r="J1705" s="14">
        <f t="shared" si="78"/>
        <v>0</v>
      </c>
      <c r="K1705" s="14">
        <f t="shared" si="79"/>
        <v>0</v>
      </c>
      <c r="L1705" s="17">
        <f t="shared" si="80"/>
        <v>0</v>
      </c>
      <c r="M1705" s="14"/>
      <c r="N1705" s="16"/>
      <c r="O1705" s="16"/>
      <c r="P1705" s="16"/>
      <c r="Q1705" s="16"/>
      <c r="R1705" s="16"/>
      <c r="S1705" s="16"/>
      <c r="T1705" s="16"/>
      <c r="U1705" s="16"/>
      <c r="V1705" s="16"/>
      <c r="W1705" s="16"/>
      <c r="X1705" s="16"/>
      <c r="Y1705" s="16"/>
      <c r="Z1705" s="16"/>
      <c r="AA1705" s="16"/>
    </row>
    <row r="1706" spans="1:27" s="2" customFormat="1" ht="14">
      <c r="A1706" s="12">
        <v>1350291</v>
      </c>
      <c r="B1706" s="13" t="s">
        <v>14</v>
      </c>
      <c r="C1706" s="13" t="s">
        <v>4689</v>
      </c>
      <c r="D1706" s="13" t="s">
        <v>4690</v>
      </c>
      <c r="E1706" s="13" t="s">
        <v>3509</v>
      </c>
      <c r="F1706" s="14"/>
      <c r="G1706" s="14"/>
      <c r="H1706" s="14"/>
      <c r="I1706" s="14"/>
      <c r="J1706" s="14">
        <f t="shared" si="78"/>
        <v>0</v>
      </c>
      <c r="K1706" s="14">
        <f t="shared" si="79"/>
        <v>0</v>
      </c>
      <c r="L1706" s="17">
        <f t="shared" si="80"/>
        <v>0</v>
      </c>
      <c r="M1706" s="14"/>
      <c r="N1706" s="16"/>
      <c r="O1706" s="16"/>
      <c r="P1706" s="16"/>
      <c r="Q1706" s="16"/>
      <c r="R1706" s="16"/>
      <c r="S1706" s="16"/>
      <c r="T1706" s="16"/>
      <c r="U1706" s="16"/>
      <c r="V1706" s="16"/>
      <c r="W1706" s="16"/>
      <c r="X1706" s="16"/>
      <c r="Y1706" s="16"/>
      <c r="Z1706" s="16"/>
      <c r="AA1706" s="16"/>
    </row>
    <row r="1707" spans="1:27" s="2" customFormat="1" ht="14">
      <c r="A1707" s="12">
        <v>1328823</v>
      </c>
      <c r="B1707" s="13" t="s">
        <v>62</v>
      </c>
      <c r="C1707" s="13" t="s">
        <v>4691</v>
      </c>
      <c r="D1707" s="13" t="s">
        <v>4692</v>
      </c>
      <c r="E1707" s="13" t="s">
        <v>3533</v>
      </c>
      <c r="F1707" s="14"/>
      <c r="G1707" s="14"/>
      <c r="H1707" s="14"/>
      <c r="I1707" s="14"/>
      <c r="J1707" s="14">
        <f t="shared" si="78"/>
        <v>0</v>
      </c>
      <c r="K1707" s="14">
        <f t="shared" si="79"/>
        <v>0</v>
      </c>
      <c r="L1707" s="17">
        <f t="shared" si="80"/>
        <v>0</v>
      </c>
      <c r="M1707" s="14"/>
      <c r="N1707" s="16"/>
      <c r="O1707" s="16"/>
      <c r="P1707" s="16"/>
      <c r="Q1707" s="16"/>
      <c r="R1707" s="16"/>
      <c r="S1707" s="16"/>
      <c r="T1707" s="16"/>
      <c r="U1707" s="16"/>
      <c r="V1707" s="16"/>
      <c r="W1707" s="16"/>
      <c r="X1707" s="16"/>
      <c r="Y1707" s="16"/>
      <c r="Z1707" s="16"/>
      <c r="AA1707" s="16"/>
    </row>
    <row r="1708" spans="1:27" s="2" customFormat="1" ht="14">
      <c r="A1708" s="12">
        <v>1330511</v>
      </c>
      <c r="B1708" s="13" t="s">
        <v>62</v>
      </c>
      <c r="C1708" s="13" t="s">
        <v>4693</v>
      </c>
      <c r="D1708" s="13" t="s">
        <v>4694</v>
      </c>
      <c r="E1708" s="13" t="s">
        <v>4049</v>
      </c>
      <c r="F1708" s="14"/>
      <c r="G1708" s="14"/>
      <c r="H1708" s="14"/>
      <c r="I1708" s="14"/>
      <c r="J1708" s="14">
        <f t="shared" si="78"/>
        <v>0</v>
      </c>
      <c r="K1708" s="14">
        <f t="shared" si="79"/>
        <v>0</v>
      </c>
      <c r="L1708" s="17">
        <f t="shared" si="80"/>
        <v>0</v>
      </c>
      <c r="M1708" s="14"/>
      <c r="N1708" s="16"/>
      <c r="O1708" s="16"/>
      <c r="P1708" s="16"/>
      <c r="Q1708" s="16"/>
      <c r="R1708" s="16"/>
      <c r="S1708" s="16"/>
      <c r="T1708" s="16"/>
      <c r="U1708" s="16"/>
      <c r="V1708" s="16"/>
      <c r="W1708" s="16"/>
      <c r="X1708" s="16"/>
      <c r="Y1708" s="16"/>
      <c r="Z1708" s="16"/>
      <c r="AA1708" s="16"/>
    </row>
    <row r="1709" spans="1:27" s="2" customFormat="1" ht="14">
      <c r="A1709" s="12">
        <v>1349524</v>
      </c>
      <c r="B1709" s="13" t="s">
        <v>14</v>
      </c>
      <c r="C1709" s="13" t="s">
        <v>4695</v>
      </c>
      <c r="D1709" s="13" t="s">
        <v>4696</v>
      </c>
      <c r="E1709" s="13" t="s">
        <v>3402</v>
      </c>
      <c r="F1709" s="14"/>
      <c r="G1709" s="14"/>
      <c r="H1709" s="14"/>
      <c r="I1709" s="14"/>
      <c r="J1709" s="14">
        <f t="shared" si="78"/>
        <v>0</v>
      </c>
      <c r="K1709" s="14">
        <f t="shared" si="79"/>
        <v>0</v>
      </c>
      <c r="L1709" s="17">
        <f t="shared" si="80"/>
        <v>0</v>
      </c>
      <c r="M1709" s="14"/>
      <c r="N1709" s="16"/>
      <c r="O1709" s="16"/>
      <c r="P1709" s="16"/>
      <c r="Q1709" s="16"/>
      <c r="R1709" s="16"/>
      <c r="S1709" s="16"/>
      <c r="T1709" s="16"/>
      <c r="U1709" s="16"/>
      <c r="V1709" s="16"/>
      <c r="W1709" s="16"/>
      <c r="X1709" s="16"/>
      <c r="Y1709" s="16"/>
      <c r="Z1709" s="16"/>
      <c r="AA1709" s="16"/>
    </row>
    <row r="1710" spans="1:27" s="2" customFormat="1" ht="14">
      <c r="A1710" s="12">
        <v>1328887</v>
      </c>
      <c r="B1710" s="13" t="s">
        <v>62</v>
      </c>
      <c r="C1710" s="13" t="s">
        <v>4697</v>
      </c>
      <c r="D1710" s="13" t="s">
        <v>4698</v>
      </c>
      <c r="E1710" s="13" t="s">
        <v>3862</v>
      </c>
      <c r="F1710" s="14"/>
      <c r="G1710" s="14"/>
      <c r="H1710" s="14"/>
      <c r="I1710" s="14"/>
      <c r="J1710" s="14">
        <f t="shared" si="78"/>
        <v>0</v>
      </c>
      <c r="K1710" s="14">
        <f t="shared" si="79"/>
        <v>0</v>
      </c>
      <c r="L1710" s="17">
        <f t="shared" si="80"/>
        <v>0</v>
      </c>
      <c r="M1710" s="14"/>
      <c r="N1710" s="16"/>
      <c r="O1710" s="16"/>
      <c r="P1710" s="16"/>
      <c r="Q1710" s="16"/>
      <c r="R1710" s="16"/>
      <c r="S1710" s="16"/>
      <c r="T1710" s="16"/>
      <c r="U1710" s="16"/>
      <c r="V1710" s="16"/>
      <c r="W1710" s="16"/>
      <c r="X1710" s="16"/>
      <c r="Y1710" s="16"/>
      <c r="Z1710" s="16"/>
      <c r="AA1710" s="16"/>
    </row>
    <row r="1711" spans="1:27" s="2" customFormat="1" ht="14">
      <c r="A1711" s="12">
        <v>1350498</v>
      </c>
      <c r="B1711" s="13" t="s">
        <v>14</v>
      </c>
      <c r="C1711" s="13" t="s">
        <v>4699</v>
      </c>
      <c r="D1711" s="13" t="s">
        <v>4700</v>
      </c>
      <c r="E1711" s="13" t="s">
        <v>1573</v>
      </c>
      <c r="F1711" s="14"/>
      <c r="G1711" s="14"/>
      <c r="H1711" s="14"/>
      <c r="I1711" s="14"/>
      <c r="J1711" s="14">
        <f t="shared" si="78"/>
        <v>0</v>
      </c>
      <c r="K1711" s="14">
        <f t="shared" si="79"/>
        <v>0</v>
      </c>
      <c r="L1711" s="17">
        <f t="shared" si="80"/>
        <v>0</v>
      </c>
      <c r="M1711" s="14"/>
      <c r="N1711" s="16"/>
      <c r="O1711" s="16"/>
      <c r="P1711" s="16"/>
      <c r="Q1711" s="16"/>
      <c r="R1711" s="16"/>
      <c r="S1711" s="16"/>
      <c r="T1711" s="16"/>
      <c r="U1711" s="16"/>
      <c r="V1711" s="16"/>
      <c r="W1711" s="16"/>
      <c r="X1711" s="16"/>
      <c r="Y1711" s="16"/>
      <c r="Z1711" s="16"/>
      <c r="AA1711" s="16"/>
    </row>
    <row r="1712" spans="1:27" s="2" customFormat="1" ht="14">
      <c r="A1712" s="12">
        <v>1329197</v>
      </c>
      <c r="B1712" s="13" t="s">
        <v>14</v>
      </c>
      <c r="C1712" s="13" t="s">
        <v>4701</v>
      </c>
      <c r="D1712" s="13" t="s">
        <v>4702</v>
      </c>
      <c r="E1712" s="13" t="s">
        <v>3606</v>
      </c>
      <c r="F1712" s="14"/>
      <c r="G1712" s="14"/>
      <c r="H1712" s="14"/>
      <c r="I1712" s="14"/>
      <c r="J1712" s="14">
        <f t="shared" si="78"/>
        <v>0</v>
      </c>
      <c r="K1712" s="14">
        <f t="shared" si="79"/>
        <v>0</v>
      </c>
      <c r="L1712" s="17">
        <f t="shared" si="80"/>
        <v>0</v>
      </c>
      <c r="M1712" s="14"/>
      <c r="N1712" s="16"/>
      <c r="O1712" s="16"/>
      <c r="P1712" s="16"/>
      <c r="Q1712" s="16"/>
      <c r="R1712" s="16"/>
      <c r="S1712" s="16"/>
      <c r="T1712" s="16"/>
      <c r="U1712" s="16"/>
      <c r="V1712" s="16"/>
      <c r="W1712" s="16"/>
      <c r="X1712" s="16"/>
      <c r="Y1712" s="16"/>
      <c r="Z1712" s="16"/>
      <c r="AA1712" s="16"/>
    </row>
    <row r="1713" spans="1:27" s="2" customFormat="1" ht="14">
      <c r="A1713" s="12">
        <v>1329208</v>
      </c>
      <c r="B1713" s="13" t="s">
        <v>14</v>
      </c>
      <c r="C1713" s="13" t="s">
        <v>4703</v>
      </c>
      <c r="D1713" s="13" t="s">
        <v>4704</v>
      </c>
      <c r="E1713" s="13" t="s">
        <v>3506</v>
      </c>
      <c r="F1713" s="14"/>
      <c r="G1713" s="14"/>
      <c r="H1713" s="14"/>
      <c r="I1713" s="14"/>
      <c r="J1713" s="14">
        <f t="shared" si="78"/>
        <v>0</v>
      </c>
      <c r="K1713" s="14">
        <f t="shared" si="79"/>
        <v>0</v>
      </c>
      <c r="L1713" s="17">
        <f t="shared" si="80"/>
        <v>0</v>
      </c>
      <c r="M1713" s="14"/>
      <c r="N1713" s="16"/>
      <c r="O1713" s="16"/>
      <c r="P1713" s="16"/>
      <c r="Q1713" s="16"/>
      <c r="R1713" s="16"/>
      <c r="S1713" s="16"/>
      <c r="T1713" s="16"/>
      <c r="U1713" s="16"/>
      <c r="V1713" s="16"/>
      <c r="W1713" s="16"/>
      <c r="X1713" s="16"/>
      <c r="Y1713" s="16"/>
      <c r="Z1713" s="16"/>
      <c r="AA1713" s="16"/>
    </row>
    <row r="1714" spans="1:27" s="2" customFormat="1" ht="14">
      <c r="A1714" s="12">
        <v>1349450</v>
      </c>
      <c r="B1714" s="13" t="s">
        <v>14</v>
      </c>
      <c r="C1714" s="13" t="s">
        <v>4705</v>
      </c>
      <c r="D1714" s="13" t="s">
        <v>4706</v>
      </c>
      <c r="E1714" s="13" t="s">
        <v>3465</v>
      </c>
      <c r="F1714" s="14"/>
      <c r="G1714" s="14"/>
      <c r="H1714" s="14"/>
      <c r="I1714" s="14"/>
      <c r="J1714" s="14">
        <f t="shared" si="78"/>
        <v>0</v>
      </c>
      <c r="K1714" s="14">
        <f t="shared" si="79"/>
        <v>0</v>
      </c>
      <c r="L1714" s="17">
        <f t="shared" si="80"/>
        <v>0</v>
      </c>
      <c r="M1714" s="14"/>
      <c r="N1714" s="16"/>
      <c r="O1714" s="16"/>
      <c r="P1714" s="16"/>
      <c r="Q1714" s="16"/>
      <c r="R1714" s="16"/>
      <c r="S1714" s="16"/>
      <c r="T1714" s="16"/>
      <c r="U1714" s="16"/>
      <c r="V1714" s="16"/>
      <c r="W1714" s="16"/>
      <c r="X1714" s="16"/>
      <c r="Y1714" s="16"/>
      <c r="Z1714" s="16"/>
      <c r="AA1714" s="16"/>
    </row>
    <row r="1715" spans="1:27" s="2" customFormat="1" ht="14">
      <c r="A1715" s="12" t="s">
        <v>4707</v>
      </c>
      <c r="B1715" s="13" t="s">
        <v>14</v>
      </c>
      <c r="C1715" s="13" t="s">
        <v>4708</v>
      </c>
      <c r="D1715" s="13" t="s">
        <v>4709</v>
      </c>
      <c r="E1715" s="13" t="s">
        <v>156</v>
      </c>
      <c r="F1715" s="14"/>
      <c r="G1715" s="14"/>
      <c r="H1715" s="14"/>
      <c r="I1715" s="14"/>
      <c r="J1715" s="14">
        <f t="shared" si="78"/>
        <v>0</v>
      </c>
      <c r="K1715" s="14">
        <f t="shared" si="79"/>
        <v>0</v>
      </c>
      <c r="L1715" s="17">
        <f t="shared" si="80"/>
        <v>0</v>
      </c>
      <c r="M1715" s="14"/>
      <c r="N1715" s="16"/>
      <c r="O1715" s="16"/>
      <c r="P1715" s="16"/>
      <c r="Q1715" s="16"/>
      <c r="R1715" s="16"/>
      <c r="S1715" s="16"/>
      <c r="T1715" s="16"/>
      <c r="U1715" s="16"/>
      <c r="V1715" s="16"/>
      <c r="W1715" s="16"/>
      <c r="X1715" s="16"/>
      <c r="Y1715" s="16"/>
      <c r="Z1715" s="16"/>
      <c r="AA1715" s="16"/>
    </row>
    <row r="1716" spans="1:27" s="2" customFormat="1" ht="14">
      <c r="A1716" s="12">
        <v>1349472</v>
      </c>
      <c r="B1716" s="13" t="s">
        <v>14</v>
      </c>
      <c r="C1716" s="13" t="s">
        <v>4710</v>
      </c>
      <c r="D1716" s="13" t="s">
        <v>4711</v>
      </c>
      <c r="E1716" s="13" t="s">
        <v>3606</v>
      </c>
      <c r="F1716" s="14"/>
      <c r="G1716" s="14"/>
      <c r="H1716" s="14"/>
      <c r="I1716" s="14"/>
      <c r="J1716" s="14">
        <f t="shared" si="78"/>
        <v>0</v>
      </c>
      <c r="K1716" s="14">
        <f t="shared" si="79"/>
        <v>0</v>
      </c>
      <c r="L1716" s="17">
        <f t="shared" si="80"/>
        <v>0</v>
      </c>
      <c r="M1716" s="14"/>
      <c r="N1716" s="16"/>
      <c r="O1716" s="16"/>
      <c r="P1716" s="16"/>
      <c r="Q1716" s="16"/>
      <c r="R1716" s="16"/>
      <c r="S1716" s="16"/>
      <c r="T1716" s="16"/>
      <c r="U1716" s="16"/>
      <c r="V1716" s="16"/>
      <c r="W1716" s="16"/>
      <c r="X1716" s="16"/>
      <c r="Y1716" s="16"/>
      <c r="Z1716" s="16"/>
      <c r="AA1716" s="16"/>
    </row>
    <row r="1717" spans="1:27" s="2" customFormat="1" ht="14">
      <c r="A1717" s="12">
        <v>1349473</v>
      </c>
      <c r="B1717" s="13" t="s">
        <v>62</v>
      </c>
      <c r="C1717" s="13" t="s">
        <v>4712</v>
      </c>
      <c r="D1717" s="13" t="s">
        <v>4713</v>
      </c>
      <c r="E1717" s="13" t="s">
        <v>3905</v>
      </c>
      <c r="F1717" s="14"/>
      <c r="G1717" s="14"/>
      <c r="H1717" s="14"/>
      <c r="I1717" s="14"/>
      <c r="J1717" s="14">
        <f t="shared" si="78"/>
        <v>0</v>
      </c>
      <c r="K1717" s="14">
        <f t="shared" si="79"/>
        <v>0</v>
      </c>
      <c r="L1717" s="17">
        <f t="shared" si="80"/>
        <v>0</v>
      </c>
      <c r="M1717" s="14"/>
      <c r="N1717" s="16"/>
      <c r="O1717" s="16"/>
      <c r="P1717" s="16"/>
      <c r="Q1717" s="16"/>
      <c r="R1717" s="16"/>
      <c r="S1717" s="16"/>
      <c r="T1717" s="16"/>
      <c r="U1717" s="16"/>
      <c r="V1717" s="16"/>
      <c r="W1717" s="16"/>
      <c r="X1717" s="16"/>
      <c r="Y1717" s="16"/>
      <c r="Z1717" s="16"/>
      <c r="AA1717" s="16"/>
    </row>
    <row r="1718" spans="1:27" s="2" customFormat="1" ht="14">
      <c r="A1718" s="12">
        <v>1328097</v>
      </c>
      <c r="B1718" s="13" t="s">
        <v>62</v>
      </c>
      <c r="C1718" s="13" t="s">
        <v>4714</v>
      </c>
      <c r="D1718" s="13" t="s">
        <v>4715</v>
      </c>
      <c r="E1718" s="13" t="s">
        <v>3533</v>
      </c>
      <c r="F1718" s="14"/>
      <c r="G1718" s="14"/>
      <c r="H1718" s="14"/>
      <c r="I1718" s="14"/>
      <c r="J1718" s="14">
        <f t="shared" si="78"/>
        <v>0</v>
      </c>
      <c r="K1718" s="14">
        <f t="shared" si="79"/>
        <v>0</v>
      </c>
      <c r="L1718" s="17">
        <f t="shared" si="80"/>
        <v>0</v>
      </c>
      <c r="M1718" s="14"/>
      <c r="N1718" s="16"/>
      <c r="O1718" s="16"/>
      <c r="P1718" s="16"/>
      <c r="Q1718" s="16"/>
      <c r="R1718" s="16"/>
      <c r="S1718" s="16"/>
      <c r="T1718" s="16"/>
      <c r="U1718" s="16"/>
      <c r="V1718" s="16"/>
      <c r="W1718" s="16"/>
      <c r="X1718" s="16"/>
      <c r="Y1718" s="16"/>
      <c r="Z1718" s="16"/>
      <c r="AA1718" s="16"/>
    </row>
    <row r="1719" spans="1:27" s="2" customFormat="1" ht="14">
      <c r="A1719" s="12">
        <v>1330471</v>
      </c>
      <c r="B1719" s="13" t="s">
        <v>62</v>
      </c>
      <c r="C1719" s="13" t="s">
        <v>4716</v>
      </c>
      <c r="D1719" s="13" t="s">
        <v>4717</v>
      </c>
      <c r="E1719" s="13" t="s">
        <v>3872</v>
      </c>
      <c r="F1719" s="14"/>
      <c r="G1719" s="14"/>
      <c r="H1719" s="14"/>
      <c r="I1719" s="14"/>
      <c r="J1719" s="14">
        <f t="shared" si="78"/>
        <v>0</v>
      </c>
      <c r="K1719" s="14">
        <f t="shared" si="79"/>
        <v>0</v>
      </c>
      <c r="L1719" s="17">
        <f t="shared" si="80"/>
        <v>0</v>
      </c>
      <c r="M1719" s="14"/>
      <c r="N1719" s="16"/>
      <c r="O1719" s="16"/>
      <c r="P1719" s="16"/>
      <c r="Q1719" s="16"/>
      <c r="R1719" s="16"/>
      <c r="S1719" s="16"/>
      <c r="T1719" s="16"/>
      <c r="U1719" s="16"/>
      <c r="V1719" s="16"/>
      <c r="W1719" s="16"/>
      <c r="X1719" s="16"/>
      <c r="Y1719" s="16"/>
      <c r="Z1719" s="16"/>
      <c r="AA1719" s="16"/>
    </row>
    <row r="1720" spans="1:27" s="2" customFormat="1" ht="14">
      <c r="A1720" s="12">
        <v>1330698</v>
      </c>
      <c r="B1720" s="13" t="s">
        <v>14</v>
      </c>
      <c r="C1720" s="13" t="s">
        <v>4718</v>
      </c>
      <c r="D1720" s="13" t="s">
        <v>4719</v>
      </c>
      <c r="E1720" s="13" t="s">
        <v>3509</v>
      </c>
      <c r="F1720" s="14"/>
      <c r="G1720" s="14"/>
      <c r="H1720" s="14"/>
      <c r="I1720" s="14"/>
      <c r="J1720" s="14">
        <f t="shared" si="78"/>
        <v>0</v>
      </c>
      <c r="K1720" s="14">
        <f t="shared" si="79"/>
        <v>0</v>
      </c>
      <c r="L1720" s="17">
        <f t="shared" si="80"/>
        <v>0</v>
      </c>
      <c r="M1720" s="14"/>
      <c r="N1720" s="16"/>
      <c r="O1720" s="16"/>
      <c r="P1720" s="16"/>
      <c r="Q1720" s="16"/>
      <c r="R1720" s="16"/>
      <c r="S1720" s="16"/>
      <c r="T1720" s="16"/>
      <c r="U1720" s="16"/>
      <c r="V1720" s="16"/>
      <c r="W1720" s="16"/>
      <c r="X1720" s="16"/>
      <c r="Y1720" s="16"/>
      <c r="Z1720" s="16"/>
      <c r="AA1720" s="16"/>
    </row>
    <row r="1721" spans="1:27" s="2" customFormat="1" ht="14">
      <c r="A1721" s="12">
        <v>1331372</v>
      </c>
      <c r="B1721" s="13" t="s">
        <v>62</v>
      </c>
      <c r="C1721" s="13" t="s">
        <v>4720</v>
      </c>
      <c r="D1721" s="13" t="s">
        <v>4721</v>
      </c>
      <c r="E1721" s="13" t="s">
        <v>3862</v>
      </c>
      <c r="F1721" s="14"/>
      <c r="G1721" s="14"/>
      <c r="H1721" s="14"/>
      <c r="I1721" s="14"/>
      <c r="J1721" s="14">
        <f t="shared" si="78"/>
        <v>0</v>
      </c>
      <c r="K1721" s="14">
        <f t="shared" si="79"/>
        <v>0</v>
      </c>
      <c r="L1721" s="17">
        <f t="shared" si="80"/>
        <v>0</v>
      </c>
      <c r="M1721" s="14"/>
      <c r="N1721" s="16"/>
      <c r="O1721" s="16"/>
      <c r="P1721" s="16"/>
      <c r="Q1721" s="16"/>
      <c r="R1721" s="16"/>
      <c r="S1721" s="16"/>
      <c r="T1721" s="16"/>
      <c r="U1721" s="16"/>
      <c r="V1721" s="16"/>
      <c r="W1721" s="16"/>
      <c r="X1721" s="16"/>
      <c r="Y1721" s="16"/>
      <c r="Z1721" s="16"/>
      <c r="AA1721" s="16"/>
    </row>
    <row r="1722" spans="1:27" s="2" customFormat="1" ht="14">
      <c r="A1722" s="12" t="s">
        <v>4722</v>
      </c>
      <c r="B1722" s="13" t="s">
        <v>14</v>
      </c>
      <c r="C1722" s="13" t="s">
        <v>4723</v>
      </c>
      <c r="D1722" s="13" t="s">
        <v>4724</v>
      </c>
      <c r="E1722" s="13" t="s">
        <v>72</v>
      </c>
      <c r="F1722" s="14"/>
      <c r="G1722" s="14"/>
      <c r="H1722" s="14"/>
      <c r="I1722" s="14"/>
      <c r="J1722" s="14">
        <f t="shared" si="78"/>
        <v>0</v>
      </c>
      <c r="K1722" s="14">
        <f t="shared" si="79"/>
        <v>0</v>
      </c>
      <c r="L1722" s="17">
        <f t="shared" si="80"/>
        <v>0</v>
      </c>
      <c r="M1722" s="14"/>
      <c r="N1722" s="16"/>
      <c r="O1722" s="16"/>
      <c r="P1722" s="16"/>
      <c r="Q1722" s="16"/>
      <c r="R1722" s="16"/>
      <c r="S1722" s="16"/>
      <c r="T1722" s="16"/>
      <c r="U1722" s="16"/>
      <c r="V1722" s="16"/>
      <c r="W1722" s="16"/>
      <c r="X1722" s="16"/>
      <c r="Y1722" s="16"/>
      <c r="Z1722" s="16"/>
      <c r="AA1722" s="16"/>
    </row>
    <row r="1723" spans="1:27" s="2" customFormat="1" ht="14">
      <c r="A1723" s="12" t="s">
        <v>4725</v>
      </c>
      <c r="B1723" s="13" t="s">
        <v>62</v>
      </c>
      <c r="C1723" s="13" t="s">
        <v>4726</v>
      </c>
      <c r="D1723" s="13" t="s">
        <v>4727</v>
      </c>
      <c r="E1723" s="13" t="s">
        <v>114</v>
      </c>
      <c r="F1723" s="14"/>
      <c r="G1723" s="14"/>
      <c r="H1723" s="14"/>
      <c r="I1723" s="14"/>
      <c r="J1723" s="14">
        <f t="shared" si="78"/>
        <v>0</v>
      </c>
      <c r="K1723" s="14">
        <f t="shared" si="79"/>
        <v>0</v>
      </c>
      <c r="L1723" s="17">
        <f t="shared" si="80"/>
        <v>0</v>
      </c>
      <c r="M1723" s="14"/>
      <c r="N1723" s="16"/>
      <c r="O1723" s="16"/>
      <c r="P1723" s="16"/>
      <c r="Q1723" s="16"/>
      <c r="R1723" s="16"/>
      <c r="S1723" s="16"/>
      <c r="T1723" s="16"/>
      <c r="U1723" s="16"/>
      <c r="V1723" s="16"/>
      <c r="W1723" s="16"/>
      <c r="X1723" s="16"/>
      <c r="Y1723" s="16"/>
      <c r="Z1723" s="16"/>
      <c r="AA1723" s="16"/>
    </row>
    <row r="1724" spans="1:27" s="2" customFormat="1" ht="14">
      <c r="A1724" s="12" t="s">
        <v>4728</v>
      </c>
      <c r="B1724" s="13" t="s">
        <v>14</v>
      </c>
      <c r="C1724" s="13" t="s">
        <v>4729</v>
      </c>
      <c r="D1724" s="13" t="s">
        <v>4730</v>
      </c>
      <c r="E1724" s="13" t="s">
        <v>488</v>
      </c>
      <c r="F1724" s="14"/>
      <c r="G1724" s="14"/>
      <c r="H1724" s="14"/>
      <c r="I1724" s="14"/>
      <c r="J1724" s="14">
        <f t="shared" si="78"/>
        <v>0</v>
      </c>
      <c r="K1724" s="14">
        <f t="shared" si="79"/>
        <v>0</v>
      </c>
      <c r="L1724" s="17">
        <f t="shared" si="80"/>
        <v>0</v>
      </c>
      <c r="M1724" s="14"/>
      <c r="N1724" s="16"/>
      <c r="O1724" s="16"/>
      <c r="P1724" s="16"/>
      <c r="Q1724" s="16"/>
      <c r="R1724" s="16"/>
      <c r="S1724" s="16"/>
      <c r="T1724" s="16"/>
      <c r="U1724" s="16"/>
      <c r="V1724" s="16"/>
      <c r="W1724" s="16"/>
      <c r="X1724" s="16"/>
      <c r="Y1724" s="16"/>
      <c r="Z1724" s="16"/>
      <c r="AA1724" s="16"/>
    </row>
    <row r="1725" spans="1:27" s="2" customFormat="1" ht="14">
      <c r="A1725" s="12" t="s">
        <v>4731</v>
      </c>
      <c r="B1725" s="13" t="s">
        <v>14</v>
      </c>
      <c r="C1725" s="13" t="s">
        <v>4732</v>
      </c>
      <c r="D1725" s="13" t="s">
        <v>4733</v>
      </c>
      <c r="E1725" s="13" t="s">
        <v>201</v>
      </c>
      <c r="F1725" s="14"/>
      <c r="G1725" s="14"/>
      <c r="H1725" s="14"/>
      <c r="I1725" s="14"/>
      <c r="J1725" s="14">
        <f t="shared" si="78"/>
        <v>0</v>
      </c>
      <c r="K1725" s="14">
        <f t="shared" si="79"/>
        <v>0</v>
      </c>
      <c r="L1725" s="17">
        <f t="shared" si="80"/>
        <v>0</v>
      </c>
      <c r="M1725" s="14"/>
      <c r="N1725" s="16"/>
      <c r="O1725" s="16"/>
      <c r="P1725" s="16"/>
      <c r="Q1725" s="16"/>
      <c r="R1725" s="16"/>
      <c r="S1725" s="16"/>
      <c r="T1725" s="16"/>
      <c r="U1725" s="16"/>
      <c r="V1725" s="16"/>
      <c r="W1725" s="16"/>
      <c r="X1725" s="16"/>
      <c r="Y1725" s="16"/>
      <c r="Z1725" s="16"/>
      <c r="AA1725" s="16"/>
    </row>
    <row r="1726" spans="1:27" s="2" customFormat="1" ht="14">
      <c r="A1726" s="12" t="s">
        <v>4734</v>
      </c>
      <c r="B1726" s="13" t="s">
        <v>14</v>
      </c>
      <c r="C1726" s="13" t="s">
        <v>4735</v>
      </c>
      <c r="D1726" s="13" t="s">
        <v>4736</v>
      </c>
      <c r="E1726" s="13" t="s">
        <v>220</v>
      </c>
      <c r="F1726" s="14"/>
      <c r="G1726" s="14"/>
      <c r="H1726" s="14"/>
      <c r="I1726" s="14"/>
      <c r="J1726" s="14">
        <f t="shared" si="78"/>
        <v>0</v>
      </c>
      <c r="K1726" s="14">
        <f t="shared" si="79"/>
        <v>0</v>
      </c>
      <c r="L1726" s="17">
        <f t="shared" si="80"/>
        <v>0</v>
      </c>
      <c r="M1726" s="14"/>
      <c r="N1726" s="16"/>
      <c r="O1726" s="16"/>
      <c r="P1726" s="16"/>
      <c r="Q1726" s="16"/>
      <c r="R1726" s="16"/>
      <c r="S1726" s="16"/>
      <c r="T1726" s="16"/>
      <c r="U1726" s="16"/>
      <c r="V1726" s="16"/>
      <c r="W1726" s="16"/>
      <c r="X1726" s="16"/>
      <c r="Y1726" s="16"/>
      <c r="Z1726" s="16"/>
      <c r="AA1726" s="16"/>
    </row>
    <row r="1727" spans="1:27" s="2" customFormat="1" ht="14">
      <c r="A1727" s="12" t="s">
        <v>4737</v>
      </c>
      <c r="B1727" s="13" t="s">
        <v>62</v>
      </c>
      <c r="C1727" s="13" t="s">
        <v>4738</v>
      </c>
      <c r="D1727" s="13" t="s">
        <v>4739</v>
      </c>
      <c r="E1727" s="13" t="s">
        <v>220</v>
      </c>
      <c r="F1727" s="14"/>
      <c r="G1727" s="14"/>
      <c r="H1727" s="14"/>
      <c r="I1727" s="14"/>
      <c r="J1727" s="14">
        <f t="shared" si="78"/>
        <v>0</v>
      </c>
      <c r="K1727" s="14">
        <f t="shared" si="79"/>
        <v>0</v>
      </c>
      <c r="L1727" s="17">
        <f t="shared" si="80"/>
        <v>0</v>
      </c>
      <c r="M1727" s="14"/>
      <c r="N1727" s="16"/>
      <c r="O1727" s="16"/>
      <c r="P1727" s="16"/>
      <c r="Q1727" s="16"/>
      <c r="R1727" s="16"/>
      <c r="S1727" s="16"/>
      <c r="T1727" s="16"/>
      <c r="U1727" s="16"/>
      <c r="V1727" s="16"/>
      <c r="W1727" s="16"/>
      <c r="X1727" s="16"/>
      <c r="Y1727" s="16"/>
      <c r="Z1727" s="16"/>
      <c r="AA1727" s="16"/>
    </row>
    <row r="1728" spans="1:27" s="2" customFormat="1" ht="14">
      <c r="A1728" s="12" t="s">
        <v>4740</v>
      </c>
      <c r="B1728" s="13" t="s">
        <v>14</v>
      </c>
      <c r="C1728" s="13" t="s">
        <v>4741</v>
      </c>
      <c r="D1728" s="13" t="s">
        <v>4742</v>
      </c>
      <c r="E1728" s="13" t="s">
        <v>79</v>
      </c>
      <c r="F1728" s="14"/>
      <c r="G1728" s="14"/>
      <c r="H1728" s="14"/>
      <c r="I1728" s="14"/>
      <c r="J1728" s="14">
        <f t="shared" si="78"/>
        <v>0</v>
      </c>
      <c r="K1728" s="14">
        <f t="shared" si="79"/>
        <v>0</v>
      </c>
      <c r="L1728" s="17">
        <f t="shared" si="80"/>
        <v>0</v>
      </c>
      <c r="M1728" s="14"/>
      <c r="N1728" s="16"/>
      <c r="O1728" s="16"/>
      <c r="P1728" s="16"/>
      <c r="Q1728" s="16"/>
      <c r="R1728" s="16"/>
      <c r="S1728" s="16"/>
      <c r="T1728" s="16"/>
      <c r="U1728" s="16"/>
      <c r="V1728" s="16"/>
      <c r="W1728" s="16"/>
      <c r="X1728" s="16"/>
      <c r="Y1728" s="16"/>
      <c r="Z1728" s="16"/>
      <c r="AA1728" s="16"/>
    </row>
    <row r="1729" spans="1:27" s="2" customFormat="1" ht="14">
      <c r="A1729" s="12">
        <v>1330044</v>
      </c>
      <c r="B1729" s="13" t="s">
        <v>14</v>
      </c>
      <c r="C1729" s="13" t="s">
        <v>4743</v>
      </c>
      <c r="D1729" s="13" t="s">
        <v>4744</v>
      </c>
      <c r="E1729" s="13" t="s">
        <v>3512</v>
      </c>
      <c r="F1729" s="14"/>
      <c r="G1729" s="14"/>
      <c r="H1729" s="14"/>
      <c r="I1729" s="14"/>
      <c r="J1729" s="14">
        <f t="shared" si="78"/>
        <v>0</v>
      </c>
      <c r="K1729" s="14">
        <f t="shared" si="79"/>
        <v>0</v>
      </c>
      <c r="L1729" s="17">
        <f t="shared" si="80"/>
        <v>0</v>
      </c>
      <c r="M1729" s="14"/>
      <c r="N1729" s="16"/>
      <c r="O1729" s="16"/>
      <c r="P1729" s="16"/>
      <c r="Q1729" s="16"/>
      <c r="R1729" s="16"/>
      <c r="S1729" s="16"/>
      <c r="T1729" s="16"/>
      <c r="U1729" s="16"/>
      <c r="V1729" s="16"/>
      <c r="W1729" s="16"/>
      <c r="X1729" s="16"/>
      <c r="Y1729" s="16"/>
      <c r="Z1729" s="16"/>
      <c r="AA1729" s="16"/>
    </row>
    <row r="1730" spans="1:27" s="2" customFormat="1" ht="14">
      <c r="A1730" s="12">
        <v>1333178</v>
      </c>
      <c r="B1730" s="13" t="s">
        <v>62</v>
      </c>
      <c r="C1730" s="13" t="s">
        <v>4745</v>
      </c>
      <c r="D1730" s="13" t="s">
        <v>4746</v>
      </c>
      <c r="E1730" s="13" t="s">
        <v>4747</v>
      </c>
      <c r="F1730" s="14"/>
      <c r="G1730" s="14"/>
      <c r="H1730" s="14"/>
      <c r="I1730" s="14"/>
      <c r="J1730" s="14">
        <f t="shared" ref="J1730:J1793" si="81">IF(G1730&gt;0,1,0)</f>
        <v>0</v>
      </c>
      <c r="K1730" s="14">
        <f t="shared" ref="K1730:K1793" si="82">IF(H1730&gt;0,1,0)</f>
        <v>0</v>
      </c>
      <c r="L1730" s="17">
        <f t="shared" ref="L1730:L1793" si="83">IF(G1730&gt;0,IF(H1730&gt;0,1,0),0)</f>
        <v>0</v>
      </c>
      <c r="M1730" s="14"/>
      <c r="N1730" s="16"/>
      <c r="O1730" s="16"/>
      <c r="P1730" s="16"/>
      <c r="Q1730" s="16"/>
      <c r="R1730" s="16"/>
      <c r="S1730" s="16"/>
      <c r="T1730" s="16"/>
      <c r="U1730" s="16"/>
      <c r="V1730" s="16"/>
      <c r="W1730" s="16"/>
      <c r="X1730" s="16"/>
      <c r="Y1730" s="16"/>
      <c r="Z1730" s="16"/>
      <c r="AA1730" s="16"/>
    </row>
    <row r="1731" spans="1:27" s="2" customFormat="1" ht="14">
      <c r="A1731" s="12">
        <v>1333185</v>
      </c>
      <c r="B1731" s="13" t="s">
        <v>14</v>
      </c>
      <c r="C1731" s="13" t="s">
        <v>4748</v>
      </c>
      <c r="D1731" s="13" t="s">
        <v>4749</v>
      </c>
      <c r="E1731" s="13" t="s">
        <v>3189</v>
      </c>
      <c r="F1731" s="14"/>
      <c r="G1731" s="14"/>
      <c r="H1731" s="14"/>
      <c r="I1731" s="14"/>
      <c r="J1731" s="14">
        <f t="shared" si="81"/>
        <v>0</v>
      </c>
      <c r="K1731" s="14">
        <f t="shared" si="82"/>
        <v>0</v>
      </c>
      <c r="L1731" s="17">
        <f t="shared" si="83"/>
        <v>0</v>
      </c>
      <c r="M1731" s="14"/>
      <c r="N1731" s="16"/>
      <c r="O1731" s="16"/>
      <c r="P1731" s="16"/>
      <c r="Q1731" s="16"/>
      <c r="R1731" s="16"/>
      <c r="S1731" s="16"/>
      <c r="T1731" s="16"/>
      <c r="U1731" s="16"/>
      <c r="V1731" s="16"/>
      <c r="W1731" s="16"/>
      <c r="X1731" s="16"/>
      <c r="Y1731" s="16"/>
      <c r="Z1731" s="16"/>
      <c r="AA1731" s="16"/>
    </row>
    <row r="1732" spans="1:27" s="2" customFormat="1" ht="14">
      <c r="A1732" s="12">
        <v>1333915</v>
      </c>
      <c r="B1732" s="13" t="s">
        <v>14</v>
      </c>
      <c r="C1732" s="13" t="s">
        <v>4750</v>
      </c>
      <c r="D1732" s="13" t="s">
        <v>4751</v>
      </c>
      <c r="E1732" s="13" t="s">
        <v>3730</v>
      </c>
      <c r="F1732" s="14"/>
      <c r="G1732" s="14"/>
      <c r="H1732" s="14"/>
      <c r="I1732" s="14"/>
      <c r="J1732" s="14">
        <f t="shared" si="81"/>
        <v>0</v>
      </c>
      <c r="K1732" s="14">
        <f t="shared" si="82"/>
        <v>0</v>
      </c>
      <c r="L1732" s="17">
        <f t="shared" si="83"/>
        <v>0</v>
      </c>
      <c r="M1732" s="14"/>
      <c r="N1732" s="16"/>
      <c r="O1732" s="16"/>
      <c r="P1732" s="16"/>
      <c r="Q1732" s="16"/>
      <c r="R1732" s="16"/>
      <c r="S1732" s="16"/>
      <c r="T1732" s="16"/>
      <c r="U1732" s="16"/>
      <c r="V1732" s="16"/>
      <c r="W1732" s="16"/>
      <c r="X1732" s="16"/>
      <c r="Y1732" s="16"/>
      <c r="Z1732" s="16"/>
      <c r="AA1732" s="16"/>
    </row>
    <row r="1733" spans="1:27" s="2" customFormat="1" ht="14">
      <c r="A1733" s="12" t="s">
        <v>4752</v>
      </c>
      <c r="B1733" s="13" t="s">
        <v>62</v>
      </c>
      <c r="C1733" s="13" t="s">
        <v>4753</v>
      </c>
      <c r="D1733" s="13" t="s">
        <v>4754</v>
      </c>
      <c r="E1733" s="13" t="s">
        <v>25</v>
      </c>
      <c r="F1733" s="14"/>
      <c r="G1733" s="14"/>
      <c r="H1733" s="14"/>
      <c r="I1733" s="14"/>
      <c r="J1733" s="14">
        <f t="shared" si="81"/>
        <v>0</v>
      </c>
      <c r="K1733" s="14">
        <f t="shared" si="82"/>
        <v>0</v>
      </c>
      <c r="L1733" s="17">
        <f t="shared" si="83"/>
        <v>0</v>
      </c>
      <c r="M1733" s="14"/>
      <c r="N1733" s="16"/>
      <c r="O1733" s="16"/>
      <c r="P1733" s="16"/>
      <c r="Q1733" s="16"/>
      <c r="R1733" s="16"/>
      <c r="S1733" s="16"/>
      <c r="T1733" s="16"/>
      <c r="U1733" s="16"/>
      <c r="V1733" s="16"/>
      <c r="W1733" s="16"/>
      <c r="X1733" s="16"/>
      <c r="Y1733" s="16"/>
      <c r="Z1733" s="16"/>
      <c r="AA1733" s="16"/>
    </row>
    <row r="1734" spans="1:27" s="2" customFormat="1" ht="14">
      <c r="A1734" s="12">
        <v>1333927</v>
      </c>
      <c r="B1734" s="13" t="s">
        <v>14</v>
      </c>
      <c r="C1734" s="13" t="s">
        <v>4755</v>
      </c>
      <c r="D1734" s="13" t="s">
        <v>4756</v>
      </c>
      <c r="E1734" s="13" t="s">
        <v>3465</v>
      </c>
      <c r="F1734" s="14"/>
      <c r="G1734" s="14"/>
      <c r="H1734" s="14"/>
      <c r="I1734" s="14"/>
      <c r="J1734" s="14">
        <f t="shared" si="81"/>
        <v>0</v>
      </c>
      <c r="K1734" s="14">
        <f t="shared" si="82"/>
        <v>0</v>
      </c>
      <c r="L1734" s="17">
        <f t="shared" si="83"/>
        <v>0</v>
      </c>
      <c r="M1734" s="14"/>
      <c r="N1734" s="16"/>
      <c r="O1734" s="16"/>
      <c r="P1734" s="16"/>
      <c r="Q1734" s="16"/>
      <c r="R1734" s="16"/>
      <c r="S1734" s="16"/>
      <c r="T1734" s="16"/>
      <c r="U1734" s="16"/>
      <c r="V1734" s="16"/>
      <c r="W1734" s="16"/>
      <c r="X1734" s="16"/>
      <c r="Y1734" s="16"/>
      <c r="Z1734" s="16"/>
      <c r="AA1734" s="16"/>
    </row>
    <row r="1735" spans="1:27" s="2" customFormat="1" ht="14">
      <c r="A1735" s="12" t="s">
        <v>4757</v>
      </c>
      <c r="B1735" s="13" t="s">
        <v>14</v>
      </c>
      <c r="C1735" s="13" t="s">
        <v>4758</v>
      </c>
      <c r="D1735" s="13" t="s">
        <v>4759</v>
      </c>
      <c r="E1735" s="13" t="s">
        <v>43</v>
      </c>
      <c r="F1735" s="14"/>
      <c r="G1735" s="14"/>
      <c r="H1735" s="14"/>
      <c r="I1735" s="14"/>
      <c r="J1735" s="14">
        <f t="shared" si="81"/>
        <v>0</v>
      </c>
      <c r="K1735" s="14">
        <f t="shared" si="82"/>
        <v>0</v>
      </c>
      <c r="L1735" s="17">
        <f t="shared" si="83"/>
        <v>0</v>
      </c>
      <c r="M1735" s="14"/>
      <c r="N1735" s="16"/>
      <c r="O1735" s="16"/>
      <c r="P1735" s="16"/>
      <c r="Q1735" s="16"/>
      <c r="R1735" s="16"/>
      <c r="S1735" s="16"/>
      <c r="T1735" s="16"/>
      <c r="U1735" s="16"/>
      <c r="V1735" s="16"/>
      <c r="W1735" s="16"/>
      <c r="X1735" s="16"/>
      <c r="Y1735" s="16"/>
      <c r="Z1735" s="16"/>
      <c r="AA1735" s="16"/>
    </row>
    <row r="1736" spans="1:27" s="2" customFormat="1" ht="14">
      <c r="A1736" s="12" t="s">
        <v>4760</v>
      </c>
      <c r="B1736" s="13" t="s">
        <v>62</v>
      </c>
      <c r="C1736" s="13" t="s">
        <v>4761</v>
      </c>
      <c r="D1736" s="13" t="s">
        <v>4762</v>
      </c>
      <c r="E1736" s="13" t="s">
        <v>267</v>
      </c>
      <c r="F1736" s="14"/>
      <c r="G1736" s="14"/>
      <c r="H1736" s="14"/>
      <c r="I1736" s="14"/>
      <c r="J1736" s="14">
        <f t="shared" si="81"/>
        <v>0</v>
      </c>
      <c r="K1736" s="14">
        <f t="shared" si="82"/>
        <v>0</v>
      </c>
      <c r="L1736" s="17">
        <f t="shared" si="83"/>
        <v>0</v>
      </c>
      <c r="M1736" s="14"/>
      <c r="N1736" s="16"/>
      <c r="O1736" s="16"/>
      <c r="P1736" s="16"/>
      <c r="Q1736" s="16"/>
      <c r="R1736" s="16"/>
      <c r="S1736" s="16"/>
      <c r="T1736" s="16"/>
      <c r="U1736" s="16"/>
      <c r="V1736" s="16"/>
      <c r="W1736" s="16"/>
      <c r="X1736" s="16"/>
      <c r="Y1736" s="16"/>
      <c r="Z1736" s="16"/>
      <c r="AA1736" s="16"/>
    </row>
    <row r="1737" spans="1:27" s="2" customFormat="1" ht="14">
      <c r="A1737" s="12">
        <v>1330236</v>
      </c>
      <c r="B1737" s="13" t="s">
        <v>14</v>
      </c>
      <c r="C1737" s="13" t="s">
        <v>4763</v>
      </c>
      <c r="D1737" s="13" t="s">
        <v>4764</v>
      </c>
      <c r="E1737" s="13" t="s">
        <v>3848</v>
      </c>
      <c r="F1737" s="14"/>
      <c r="G1737" s="14"/>
      <c r="H1737" s="14"/>
      <c r="I1737" s="14"/>
      <c r="J1737" s="14">
        <f t="shared" si="81"/>
        <v>0</v>
      </c>
      <c r="K1737" s="14">
        <f t="shared" si="82"/>
        <v>0</v>
      </c>
      <c r="L1737" s="17">
        <f t="shared" si="83"/>
        <v>0</v>
      </c>
      <c r="M1737" s="14"/>
      <c r="N1737" s="16"/>
      <c r="O1737" s="16"/>
      <c r="P1737" s="16"/>
      <c r="Q1737" s="16"/>
      <c r="R1737" s="16"/>
      <c r="S1737" s="16"/>
      <c r="T1737" s="16"/>
      <c r="U1737" s="16"/>
      <c r="V1737" s="16"/>
      <c r="W1737" s="16"/>
      <c r="X1737" s="16"/>
      <c r="Y1737" s="16"/>
      <c r="Z1737" s="16"/>
      <c r="AA1737" s="16"/>
    </row>
    <row r="1738" spans="1:27" s="2" customFormat="1" ht="14">
      <c r="A1738" s="12">
        <v>1335010</v>
      </c>
      <c r="B1738" s="13" t="s">
        <v>14</v>
      </c>
      <c r="C1738" s="13" t="s">
        <v>4765</v>
      </c>
      <c r="D1738" s="13" t="s">
        <v>4766</v>
      </c>
      <c r="E1738" s="13" t="s">
        <v>3750</v>
      </c>
      <c r="F1738" s="14"/>
      <c r="G1738" s="14"/>
      <c r="H1738" s="14"/>
      <c r="I1738" s="14"/>
      <c r="J1738" s="14">
        <f t="shared" si="81"/>
        <v>0</v>
      </c>
      <c r="K1738" s="14">
        <f t="shared" si="82"/>
        <v>0</v>
      </c>
      <c r="L1738" s="17">
        <f t="shared" si="83"/>
        <v>0</v>
      </c>
      <c r="M1738" s="14"/>
      <c r="N1738" s="16"/>
      <c r="O1738" s="16"/>
      <c r="P1738" s="16"/>
      <c r="Q1738" s="16"/>
      <c r="R1738" s="16"/>
      <c r="S1738" s="16"/>
      <c r="T1738" s="16"/>
      <c r="U1738" s="16"/>
      <c r="V1738" s="16"/>
      <c r="W1738" s="16"/>
      <c r="X1738" s="16"/>
      <c r="Y1738" s="16"/>
      <c r="Z1738" s="16"/>
      <c r="AA1738" s="16"/>
    </row>
    <row r="1739" spans="1:27" s="2" customFormat="1" ht="14">
      <c r="A1739" s="12">
        <v>1335063</v>
      </c>
      <c r="B1739" s="13" t="s">
        <v>62</v>
      </c>
      <c r="C1739" s="13" t="s">
        <v>4767</v>
      </c>
      <c r="D1739" s="13" t="s">
        <v>4768</v>
      </c>
      <c r="E1739" s="13" t="s">
        <v>4049</v>
      </c>
      <c r="F1739" s="14"/>
      <c r="G1739" s="14"/>
      <c r="H1739" s="14"/>
      <c r="I1739" s="14"/>
      <c r="J1739" s="14">
        <f t="shared" si="81"/>
        <v>0</v>
      </c>
      <c r="K1739" s="14">
        <f t="shared" si="82"/>
        <v>0</v>
      </c>
      <c r="L1739" s="17">
        <f t="shared" si="83"/>
        <v>0</v>
      </c>
      <c r="M1739" s="14"/>
      <c r="N1739" s="16"/>
      <c r="O1739" s="16"/>
      <c r="P1739" s="16"/>
      <c r="Q1739" s="16"/>
      <c r="R1739" s="16"/>
      <c r="S1739" s="16"/>
      <c r="T1739" s="16"/>
      <c r="U1739" s="16"/>
      <c r="V1739" s="16"/>
      <c r="W1739" s="16"/>
      <c r="X1739" s="16"/>
      <c r="Y1739" s="16"/>
      <c r="Z1739" s="16"/>
      <c r="AA1739" s="16"/>
    </row>
    <row r="1740" spans="1:27" s="2" customFormat="1" ht="14">
      <c r="A1740" s="12">
        <v>1335552</v>
      </c>
      <c r="B1740" s="13" t="s">
        <v>14</v>
      </c>
      <c r="C1740" s="13" t="s">
        <v>4769</v>
      </c>
      <c r="D1740" s="13" t="s">
        <v>4770</v>
      </c>
      <c r="E1740" s="13" t="s">
        <v>3576</v>
      </c>
      <c r="F1740" s="14"/>
      <c r="G1740" s="14"/>
      <c r="H1740" s="14"/>
      <c r="I1740" s="14"/>
      <c r="J1740" s="14">
        <f t="shared" si="81"/>
        <v>0</v>
      </c>
      <c r="K1740" s="14">
        <f t="shared" si="82"/>
        <v>0</v>
      </c>
      <c r="L1740" s="17">
        <f t="shared" si="83"/>
        <v>0</v>
      </c>
      <c r="M1740" s="14"/>
      <c r="N1740" s="16"/>
      <c r="O1740" s="16"/>
      <c r="P1740" s="16"/>
      <c r="Q1740" s="16"/>
      <c r="R1740" s="16"/>
      <c r="S1740" s="16"/>
      <c r="T1740" s="16"/>
      <c r="U1740" s="16"/>
      <c r="V1740" s="16"/>
      <c r="W1740" s="16"/>
      <c r="X1740" s="16"/>
      <c r="Y1740" s="16"/>
      <c r="Z1740" s="16"/>
      <c r="AA1740" s="16"/>
    </row>
    <row r="1741" spans="1:27" s="2" customFormat="1" ht="14">
      <c r="A1741" s="12">
        <v>1335889</v>
      </c>
      <c r="B1741" s="13" t="s">
        <v>14</v>
      </c>
      <c r="C1741" s="13" t="s">
        <v>4771</v>
      </c>
      <c r="D1741" s="13" t="s">
        <v>4772</v>
      </c>
      <c r="E1741" s="13" t="s">
        <v>3848</v>
      </c>
      <c r="F1741" s="14"/>
      <c r="G1741" s="14"/>
      <c r="H1741" s="14"/>
      <c r="I1741" s="14"/>
      <c r="J1741" s="14">
        <f t="shared" si="81"/>
        <v>0</v>
      </c>
      <c r="K1741" s="14">
        <f t="shared" si="82"/>
        <v>0</v>
      </c>
      <c r="L1741" s="17">
        <f t="shared" si="83"/>
        <v>0</v>
      </c>
      <c r="M1741" s="14"/>
      <c r="N1741" s="16"/>
      <c r="O1741" s="16"/>
      <c r="P1741" s="16"/>
      <c r="Q1741" s="16"/>
      <c r="R1741" s="16"/>
      <c r="S1741" s="16"/>
      <c r="T1741" s="16"/>
      <c r="U1741" s="16"/>
      <c r="V1741" s="16"/>
      <c r="W1741" s="16"/>
      <c r="X1741" s="16"/>
      <c r="Y1741" s="16"/>
      <c r="Z1741" s="16"/>
      <c r="AA1741" s="16"/>
    </row>
    <row r="1742" spans="1:27" s="2" customFormat="1" ht="14">
      <c r="A1742" s="12" t="s">
        <v>4773</v>
      </c>
      <c r="B1742" s="13" t="s">
        <v>14</v>
      </c>
      <c r="C1742" s="13" t="s">
        <v>4774</v>
      </c>
      <c r="D1742" s="13" t="s">
        <v>4775</v>
      </c>
      <c r="E1742" s="13" t="s">
        <v>215</v>
      </c>
      <c r="F1742" s="14"/>
      <c r="G1742" s="14"/>
      <c r="H1742" s="14"/>
      <c r="I1742" s="14"/>
      <c r="J1742" s="14">
        <f t="shared" si="81"/>
        <v>0</v>
      </c>
      <c r="K1742" s="14">
        <f t="shared" si="82"/>
        <v>0</v>
      </c>
      <c r="L1742" s="17">
        <f t="shared" si="83"/>
        <v>0</v>
      </c>
      <c r="M1742" s="14"/>
      <c r="N1742" s="16"/>
      <c r="O1742" s="16"/>
      <c r="P1742" s="16"/>
      <c r="Q1742" s="16"/>
      <c r="R1742" s="16"/>
      <c r="S1742" s="16"/>
      <c r="T1742" s="16"/>
      <c r="U1742" s="16"/>
      <c r="V1742" s="16"/>
      <c r="W1742" s="16"/>
      <c r="X1742" s="16"/>
      <c r="Y1742" s="16"/>
      <c r="Z1742" s="16"/>
      <c r="AA1742" s="16"/>
    </row>
    <row r="1743" spans="1:27" s="2" customFormat="1" ht="14">
      <c r="A1743" s="12">
        <v>1335916</v>
      </c>
      <c r="B1743" s="13" t="s">
        <v>62</v>
      </c>
      <c r="C1743" s="13" t="s">
        <v>4776</v>
      </c>
      <c r="D1743" s="13" t="s">
        <v>4777</v>
      </c>
      <c r="E1743" s="13" t="s">
        <v>3533</v>
      </c>
      <c r="F1743" s="14"/>
      <c r="G1743" s="14"/>
      <c r="H1743" s="14"/>
      <c r="I1743" s="14"/>
      <c r="J1743" s="14">
        <f t="shared" si="81"/>
        <v>0</v>
      </c>
      <c r="K1743" s="14">
        <f t="shared" si="82"/>
        <v>0</v>
      </c>
      <c r="L1743" s="17">
        <f t="shared" si="83"/>
        <v>0</v>
      </c>
      <c r="M1743" s="14"/>
      <c r="N1743" s="16"/>
      <c r="O1743" s="16"/>
      <c r="P1743" s="16"/>
      <c r="Q1743" s="16"/>
      <c r="R1743" s="16"/>
      <c r="S1743" s="16"/>
      <c r="T1743" s="16"/>
      <c r="U1743" s="16"/>
      <c r="V1743" s="16"/>
      <c r="W1743" s="16"/>
      <c r="X1743" s="16"/>
      <c r="Y1743" s="16"/>
      <c r="Z1743" s="16"/>
      <c r="AA1743" s="16"/>
    </row>
    <row r="1744" spans="1:27" s="2" customFormat="1" ht="14">
      <c r="A1744" s="12">
        <v>1333465</v>
      </c>
      <c r="B1744" s="13" t="s">
        <v>62</v>
      </c>
      <c r="C1744" s="13" t="s">
        <v>4778</v>
      </c>
      <c r="D1744" s="13" t="s">
        <v>4779</v>
      </c>
      <c r="E1744" s="13" t="s">
        <v>3948</v>
      </c>
      <c r="F1744" s="14"/>
      <c r="G1744" s="14"/>
      <c r="H1744" s="14"/>
      <c r="I1744" s="14"/>
      <c r="J1744" s="14">
        <f t="shared" si="81"/>
        <v>0</v>
      </c>
      <c r="K1744" s="14">
        <f t="shared" si="82"/>
        <v>0</v>
      </c>
      <c r="L1744" s="17">
        <f t="shared" si="83"/>
        <v>0</v>
      </c>
      <c r="M1744" s="14"/>
      <c r="N1744" s="16"/>
      <c r="O1744" s="16"/>
      <c r="P1744" s="16"/>
      <c r="Q1744" s="16"/>
      <c r="R1744" s="16"/>
      <c r="S1744" s="16"/>
      <c r="T1744" s="16"/>
      <c r="U1744" s="16"/>
      <c r="V1744" s="16"/>
      <c r="W1744" s="16"/>
      <c r="X1744" s="16"/>
      <c r="Y1744" s="16"/>
      <c r="Z1744" s="16"/>
      <c r="AA1744" s="16"/>
    </row>
    <row r="1745" spans="1:27" s="2" customFormat="1" ht="14">
      <c r="A1745" s="12" t="s">
        <v>4780</v>
      </c>
      <c r="B1745" s="13" t="s">
        <v>14</v>
      </c>
      <c r="C1745" s="13" t="s">
        <v>4781</v>
      </c>
      <c r="D1745" s="13" t="s">
        <v>4782</v>
      </c>
      <c r="E1745" s="13" t="s">
        <v>354</v>
      </c>
      <c r="F1745" s="14"/>
      <c r="G1745" s="14"/>
      <c r="H1745" s="14"/>
      <c r="I1745" s="14"/>
      <c r="J1745" s="14">
        <f t="shared" si="81"/>
        <v>0</v>
      </c>
      <c r="K1745" s="14">
        <f t="shared" si="82"/>
        <v>0</v>
      </c>
      <c r="L1745" s="17">
        <f t="shared" si="83"/>
        <v>0</v>
      </c>
      <c r="M1745" s="14"/>
      <c r="N1745" s="16"/>
      <c r="O1745" s="16"/>
      <c r="P1745" s="16"/>
      <c r="Q1745" s="16"/>
      <c r="R1745" s="16"/>
      <c r="S1745" s="16"/>
      <c r="T1745" s="16"/>
      <c r="U1745" s="16"/>
      <c r="V1745" s="16"/>
      <c r="W1745" s="16"/>
      <c r="X1745" s="16"/>
      <c r="Y1745" s="16"/>
      <c r="Z1745" s="16"/>
      <c r="AA1745" s="16"/>
    </row>
    <row r="1746" spans="1:27" s="2" customFormat="1" ht="14">
      <c r="A1746" s="12">
        <v>1333468</v>
      </c>
      <c r="B1746" s="13" t="s">
        <v>14</v>
      </c>
      <c r="C1746" s="13" t="s">
        <v>4783</v>
      </c>
      <c r="D1746" s="13" t="s">
        <v>4784</v>
      </c>
      <c r="E1746" s="13" t="s">
        <v>3635</v>
      </c>
      <c r="F1746" s="14"/>
      <c r="G1746" s="14"/>
      <c r="H1746" s="14"/>
      <c r="I1746" s="14"/>
      <c r="J1746" s="14">
        <f t="shared" si="81"/>
        <v>0</v>
      </c>
      <c r="K1746" s="14">
        <f t="shared" si="82"/>
        <v>0</v>
      </c>
      <c r="L1746" s="17">
        <f t="shared" si="83"/>
        <v>0</v>
      </c>
      <c r="M1746" s="14"/>
      <c r="N1746" s="16"/>
      <c r="O1746" s="16"/>
      <c r="P1746" s="16"/>
      <c r="Q1746" s="16"/>
      <c r="R1746" s="16"/>
      <c r="S1746" s="16"/>
      <c r="T1746" s="16"/>
      <c r="U1746" s="16"/>
      <c r="V1746" s="16"/>
      <c r="W1746" s="16"/>
      <c r="X1746" s="16"/>
      <c r="Y1746" s="16"/>
      <c r="Z1746" s="16"/>
      <c r="AA1746" s="16"/>
    </row>
    <row r="1747" spans="1:27" s="2" customFormat="1" ht="14">
      <c r="A1747" s="12">
        <v>1335665</v>
      </c>
      <c r="B1747" s="13" t="s">
        <v>14</v>
      </c>
      <c r="C1747" s="13" t="s">
        <v>4785</v>
      </c>
      <c r="D1747" s="13" t="s">
        <v>4786</v>
      </c>
      <c r="E1747" s="13" t="s">
        <v>3981</v>
      </c>
      <c r="F1747" s="14"/>
      <c r="G1747" s="14"/>
      <c r="H1747" s="14"/>
      <c r="I1747" s="14"/>
      <c r="J1747" s="14">
        <f t="shared" si="81"/>
        <v>0</v>
      </c>
      <c r="K1747" s="14">
        <f t="shared" si="82"/>
        <v>0</v>
      </c>
      <c r="L1747" s="17">
        <f t="shared" si="83"/>
        <v>0</v>
      </c>
      <c r="M1747" s="14"/>
      <c r="N1747" s="16"/>
      <c r="O1747" s="16"/>
      <c r="P1747" s="16"/>
      <c r="Q1747" s="16"/>
      <c r="R1747" s="16"/>
      <c r="S1747" s="16"/>
      <c r="T1747" s="16"/>
      <c r="U1747" s="16"/>
      <c r="V1747" s="16"/>
      <c r="W1747" s="16"/>
      <c r="X1747" s="16"/>
      <c r="Y1747" s="16"/>
      <c r="Z1747" s="16"/>
      <c r="AA1747" s="16"/>
    </row>
    <row r="1748" spans="1:27" s="2" customFormat="1" ht="14">
      <c r="A1748" s="12">
        <v>1335778</v>
      </c>
      <c r="B1748" s="13" t="s">
        <v>62</v>
      </c>
      <c r="C1748" s="13" t="s">
        <v>4787</v>
      </c>
      <c r="D1748" s="13" t="s">
        <v>4788</v>
      </c>
      <c r="E1748" s="13" t="s">
        <v>3730</v>
      </c>
      <c r="F1748" s="14"/>
      <c r="G1748" s="14"/>
      <c r="H1748" s="14"/>
      <c r="I1748" s="14"/>
      <c r="J1748" s="14">
        <f t="shared" si="81"/>
        <v>0</v>
      </c>
      <c r="K1748" s="14">
        <f t="shared" si="82"/>
        <v>0</v>
      </c>
      <c r="L1748" s="17">
        <f t="shared" si="83"/>
        <v>0</v>
      </c>
      <c r="M1748" s="14"/>
      <c r="N1748" s="16"/>
      <c r="O1748" s="16"/>
      <c r="P1748" s="16"/>
      <c r="Q1748" s="16"/>
      <c r="R1748" s="16"/>
      <c r="S1748" s="16"/>
      <c r="T1748" s="16"/>
      <c r="U1748" s="16"/>
      <c r="V1748" s="16"/>
      <c r="W1748" s="16"/>
      <c r="X1748" s="16"/>
      <c r="Y1748" s="16"/>
      <c r="Z1748" s="16"/>
      <c r="AA1748" s="16"/>
    </row>
    <row r="1749" spans="1:27" s="2" customFormat="1" ht="14">
      <c r="A1749" s="12">
        <v>1335432</v>
      </c>
      <c r="B1749" s="13" t="s">
        <v>14</v>
      </c>
      <c r="C1749" s="13" t="s">
        <v>4789</v>
      </c>
      <c r="D1749" s="13" t="s">
        <v>4790</v>
      </c>
      <c r="E1749" s="13" t="s">
        <v>3986</v>
      </c>
      <c r="F1749" s="14"/>
      <c r="G1749" s="14"/>
      <c r="H1749" s="14"/>
      <c r="I1749" s="14"/>
      <c r="J1749" s="14">
        <f t="shared" si="81"/>
        <v>0</v>
      </c>
      <c r="K1749" s="14">
        <f t="shared" si="82"/>
        <v>0</v>
      </c>
      <c r="L1749" s="17">
        <f t="shared" si="83"/>
        <v>0</v>
      </c>
      <c r="M1749" s="14"/>
      <c r="N1749" s="16"/>
      <c r="O1749" s="16"/>
      <c r="P1749" s="16"/>
      <c r="Q1749" s="16"/>
      <c r="R1749" s="16"/>
      <c r="S1749" s="16"/>
      <c r="T1749" s="16"/>
      <c r="U1749" s="16"/>
      <c r="V1749" s="16"/>
      <c r="W1749" s="16"/>
      <c r="X1749" s="16"/>
      <c r="Y1749" s="16"/>
      <c r="Z1749" s="16"/>
      <c r="AA1749" s="16"/>
    </row>
    <row r="1750" spans="1:27" s="2" customFormat="1" ht="14">
      <c r="A1750" s="12">
        <v>1336011</v>
      </c>
      <c r="B1750" s="13" t="s">
        <v>14</v>
      </c>
      <c r="C1750" s="13" t="s">
        <v>4791</v>
      </c>
      <c r="D1750" s="13" t="s">
        <v>4792</v>
      </c>
      <c r="E1750" s="13" t="s">
        <v>3189</v>
      </c>
      <c r="F1750" s="14"/>
      <c r="G1750" s="14"/>
      <c r="H1750" s="14"/>
      <c r="I1750" s="14"/>
      <c r="J1750" s="14">
        <f t="shared" si="81"/>
        <v>0</v>
      </c>
      <c r="K1750" s="14">
        <f t="shared" si="82"/>
        <v>0</v>
      </c>
      <c r="L1750" s="17">
        <f t="shared" si="83"/>
        <v>0</v>
      </c>
      <c r="M1750" s="14"/>
      <c r="N1750" s="16"/>
      <c r="O1750" s="16"/>
      <c r="P1750" s="16"/>
      <c r="Q1750" s="16"/>
      <c r="R1750" s="16"/>
      <c r="S1750" s="16"/>
      <c r="T1750" s="16"/>
      <c r="U1750" s="16"/>
      <c r="V1750" s="16"/>
      <c r="W1750" s="16"/>
      <c r="X1750" s="16"/>
      <c r="Y1750" s="16"/>
      <c r="Z1750" s="16"/>
      <c r="AA1750" s="16"/>
    </row>
    <row r="1751" spans="1:27" s="2" customFormat="1" ht="14">
      <c r="A1751" s="12">
        <v>1336301</v>
      </c>
      <c r="B1751" s="13" t="s">
        <v>62</v>
      </c>
      <c r="C1751" s="13" t="s">
        <v>4793</v>
      </c>
      <c r="D1751" s="13" t="s">
        <v>4794</v>
      </c>
      <c r="E1751" s="13" t="s">
        <v>3948</v>
      </c>
      <c r="F1751" s="14"/>
      <c r="G1751" s="14"/>
      <c r="H1751" s="14"/>
      <c r="I1751" s="14"/>
      <c r="J1751" s="14">
        <f t="shared" si="81"/>
        <v>0</v>
      </c>
      <c r="K1751" s="14">
        <f t="shared" si="82"/>
        <v>0</v>
      </c>
      <c r="L1751" s="17">
        <f t="shared" si="83"/>
        <v>0</v>
      </c>
      <c r="M1751" s="14"/>
      <c r="N1751" s="16"/>
      <c r="O1751" s="16"/>
      <c r="P1751" s="16"/>
      <c r="Q1751" s="16"/>
      <c r="R1751" s="16"/>
      <c r="S1751" s="16"/>
      <c r="T1751" s="16"/>
      <c r="U1751" s="16"/>
      <c r="V1751" s="16"/>
      <c r="W1751" s="16"/>
      <c r="X1751" s="16"/>
      <c r="Y1751" s="16"/>
      <c r="Z1751" s="16"/>
      <c r="AA1751" s="16"/>
    </row>
    <row r="1752" spans="1:27" s="2" customFormat="1" ht="14">
      <c r="A1752" s="12">
        <v>1336390</v>
      </c>
      <c r="B1752" s="13" t="s">
        <v>14</v>
      </c>
      <c r="C1752" s="13" t="s">
        <v>4795</v>
      </c>
      <c r="D1752" s="13" t="s">
        <v>4796</v>
      </c>
      <c r="E1752" s="13" t="s">
        <v>1998</v>
      </c>
      <c r="F1752" s="14"/>
      <c r="G1752" s="14"/>
      <c r="H1752" s="14"/>
      <c r="I1752" s="14"/>
      <c r="J1752" s="14">
        <f t="shared" si="81"/>
        <v>0</v>
      </c>
      <c r="K1752" s="14">
        <f t="shared" si="82"/>
        <v>0</v>
      </c>
      <c r="L1752" s="17">
        <f t="shared" si="83"/>
        <v>0</v>
      </c>
      <c r="M1752" s="14"/>
      <c r="N1752" s="16"/>
      <c r="O1752" s="16"/>
      <c r="P1752" s="16"/>
      <c r="Q1752" s="16"/>
      <c r="R1752" s="16"/>
      <c r="S1752" s="16"/>
      <c r="T1752" s="16"/>
      <c r="U1752" s="16"/>
      <c r="V1752" s="16"/>
      <c r="W1752" s="16"/>
      <c r="X1752" s="16"/>
      <c r="Y1752" s="16"/>
      <c r="Z1752" s="16"/>
      <c r="AA1752" s="16"/>
    </row>
    <row r="1753" spans="1:27" s="2" customFormat="1" ht="14">
      <c r="A1753" s="12">
        <v>1336872</v>
      </c>
      <c r="B1753" s="13" t="s">
        <v>14</v>
      </c>
      <c r="C1753" s="13" t="s">
        <v>4797</v>
      </c>
      <c r="D1753" s="13" t="s">
        <v>4798</v>
      </c>
      <c r="E1753" s="13" t="s">
        <v>3465</v>
      </c>
      <c r="F1753" s="14"/>
      <c r="G1753" s="14"/>
      <c r="H1753" s="14"/>
      <c r="I1753" s="14"/>
      <c r="J1753" s="14">
        <f t="shared" si="81"/>
        <v>0</v>
      </c>
      <c r="K1753" s="14">
        <f t="shared" si="82"/>
        <v>0</v>
      </c>
      <c r="L1753" s="17">
        <f t="shared" si="83"/>
        <v>0</v>
      </c>
      <c r="M1753" s="14"/>
      <c r="N1753" s="16"/>
      <c r="O1753" s="16"/>
      <c r="P1753" s="16"/>
      <c r="Q1753" s="16"/>
      <c r="R1753" s="16"/>
      <c r="S1753" s="16"/>
      <c r="T1753" s="16"/>
      <c r="U1753" s="16"/>
      <c r="V1753" s="16"/>
      <c r="W1753" s="16"/>
      <c r="X1753" s="16"/>
      <c r="Y1753" s="16"/>
      <c r="Z1753" s="16"/>
      <c r="AA1753" s="16"/>
    </row>
    <row r="1754" spans="1:27" s="2" customFormat="1" ht="14">
      <c r="A1754" s="12">
        <v>1337825</v>
      </c>
      <c r="B1754" s="13" t="s">
        <v>62</v>
      </c>
      <c r="C1754" s="13" t="s">
        <v>4799</v>
      </c>
      <c r="D1754" s="13" t="s">
        <v>4800</v>
      </c>
      <c r="E1754" s="13" t="s">
        <v>3533</v>
      </c>
      <c r="F1754" s="14"/>
      <c r="G1754" s="14"/>
      <c r="H1754" s="14"/>
      <c r="I1754" s="14"/>
      <c r="J1754" s="14">
        <f t="shared" si="81"/>
        <v>0</v>
      </c>
      <c r="K1754" s="14">
        <f t="shared" si="82"/>
        <v>0</v>
      </c>
      <c r="L1754" s="17">
        <f t="shared" si="83"/>
        <v>0</v>
      </c>
      <c r="M1754" s="14"/>
      <c r="N1754" s="16"/>
      <c r="O1754" s="16"/>
      <c r="P1754" s="16"/>
      <c r="Q1754" s="16"/>
      <c r="R1754" s="16"/>
      <c r="S1754" s="16"/>
      <c r="T1754" s="16"/>
      <c r="U1754" s="16"/>
      <c r="V1754" s="16"/>
      <c r="W1754" s="16"/>
      <c r="X1754" s="16"/>
      <c r="Y1754" s="16"/>
      <c r="Z1754" s="16"/>
      <c r="AA1754" s="16"/>
    </row>
    <row r="1755" spans="1:27" s="2" customFormat="1" ht="14">
      <c r="A1755" s="12">
        <v>1337007</v>
      </c>
      <c r="B1755" s="13" t="s">
        <v>14</v>
      </c>
      <c r="C1755" s="13" t="s">
        <v>4801</v>
      </c>
      <c r="D1755" s="13" t="s">
        <v>4802</v>
      </c>
      <c r="E1755" s="13" t="s">
        <v>3750</v>
      </c>
      <c r="F1755" s="14"/>
      <c r="G1755" s="14"/>
      <c r="H1755" s="14"/>
      <c r="I1755" s="14"/>
      <c r="J1755" s="14">
        <f t="shared" si="81"/>
        <v>0</v>
      </c>
      <c r="K1755" s="14">
        <f t="shared" si="82"/>
        <v>0</v>
      </c>
      <c r="L1755" s="17">
        <f t="shared" si="83"/>
        <v>0</v>
      </c>
      <c r="M1755" s="14"/>
      <c r="N1755" s="16"/>
      <c r="O1755" s="16"/>
      <c r="P1755" s="16"/>
      <c r="Q1755" s="16"/>
      <c r="R1755" s="16"/>
      <c r="S1755" s="16"/>
      <c r="T1755" s="16"/>
      <c r="U1755" s="16"/>
      <c r="V1755" s="16"/>
      <c r="W1755" s="16"/>
      <c r="X1755" s="16"/>
      <c r="Y1755" s="16"/>
      <c r="Z1755" s="16"/>
      <c r="AA1755" s="16"/>
    </row>
    <row r="1756" spans="1:27" s="2" customFormat="1" ht="14">
      <c r="A1756" s="12">
        <v>1337837</v>
      </c>
      <c r="B1756" s="13" t="s">
        <v>62</v>
      </c>
      <c r="C1756" s="13" t="s">
        <v>4803</v>
      </c>
      <c r="D1756" s="13" t="s">
        <v>4804</v>
      </c>
      <c r="E1756" s="13" t="s">
        <v>3649</v>
      </c>
      <c r="F1756" s="14"/>
      <c r="G1756" s="14"/>
      <c r="H1756" s="14"/>
      <c r="I1756" s="14"/>
      <c r="J1756" s="14">
        <f t="shared" si="81"/>
        <v>0</v>
      </c>
      <c r="K1756" s="14">
        <f t="shared" si="82"/>
        <v>0</v>
      </c>
      <c r="L1756" s="17">
        <f t="shared" si="83"/>
        <v>0</v>
      </c>
      <c r="M1756" s="14"/>
      <c r="N1756" s="16"/>
      <c r="O1756" s="16"/>
      <c r="P1756" s="16"/>
      <c r="Q1756" s="16"/>
      <c r="R1756" s="16"/>
      <c r="S1756" s="16"/>
      <c r="T1756" s="16"/>
      <c r="U1756" s="16"/>
      <c r="V1756" s="16"/>
      <c r="W1756" s="16"/>
      <c r="X1756" s="16"/>
      <c r="Y1756" s="16"/>
      <c r="Z1756" s="16"/>
      <c r="AA1756" s="16"/>
    </row>
    <row r="1757" spans="1:27" s="2" customFormat="1" ht="14">
      <c r="A1757" s="12">
        <v>1333715</v>
      </c>
      <c r="B1757" s="13" t="s">
        <v>62</v>
      </c>
      <c r="C1757" s="13" t="s">
        <v>4805</v>
      </c>
      <c r="D1757" s="13" t="s">
        <v>4806</v>
      </c>
      <c r="E1757" s="13" t="s">
        <v>3324</v>
      </c>
      <c r="F1757" s="14"/>
      <c r="G1757" s="14"/>
      <c r="H1757" s="14"/>
      <c r="I1757" s="14"/>
      <c r="J1757" s="14">
        <f t="shared" si="81"/>
        <v>0</v>
      </c>
      <c r="K1757" s="14">
        <f t="shared" si="82"/>
        <v>0</v>
      </c>
      <c r="L1757" s="17">
        <f t="shared" si="83"/>
        <v>0</v>
      </c>
      <c r="M1757" s="14"/>
      <c r="N1757" s="16"/>
      <c r="O1757" s="16"/>
      <c r="P1757" s="16"/>
      <c r="Q1757" s="16"/>
      <c r="R1757" s="16"/>
      <c r="S1757" s="16"/>
      <c r="T1757" s="16"/>
      <c r="U1757" s="16"/>
      <c r="V1757" s="16"/>
      <c r="W1757" s="16"/>
      <c r="X1757" s="16"/>
      <c r="Y1757" s="16"/>
      <c r="Z1757" s="16"/>
      <c r="AA1757" s="16"/>
    </row>
    <row r="1758" spans="1:27" s="2" customFormat="1" ht="14">
      <c r="A1758" s="12">
        <v>1335998</v>
      </c>
      <c r="B1758" s="13" t="s">
        <v>14</v>
      </c>
      <c r="C1758" s="13" t="s">
        <v>4807</v>
      </c>
      <c r="D1758" s="13" t="s">
        <v>4808</v>
      </c>
      <c r="E1758" s="13" t="s">
        <v>3635</v>
      </c>
      <c r="F1758" s="14"/>
      <c r="G1758" s="14"/>
      <c r="H1758" s="14"/>
      <c r="I1758" s="14"/>
      <c r="J1758" s="14">
        <f t="shared" si="81"/>
        <v>0</v>
      </c>
      <c r="K1758" s="14">
        <f t="shared" si="82"/>
        <v>0</v>
      </c>
      <c r="L1758" s="17">
        <f t="shared" si="83"/>
        <v>0</v>
      </c>
      <c r="M1758" s="14"/>
      <c r="N1758" s="16"/>
      <c r="O1758" s="16"/>
      <c r="P1758" s="16"/>
      <c r="Q1758" s="16"/>
      <c r="R1758" s="16"/>
      <c r="S1758" s="16"/>
      <c r="T1758" s="16"/>
      <c r="U1758" s="16"/>
      <c r="V1758" s="16"/>
      <c r="W1758" s="16"/>
      <c r="X1758" s="16"/>
      <c r="Y1758" s="16"/>
      <c r="Z1758" s="16"/>
      <c r="AA1758" s="16"/>
    </row>
    <row r="1759" spans="1:27" s="2" customFormat="1" ht="14">
      <c r="A1759" s="12" t="s">
        <v>4809</v>
      </c>
      <c r="B1759" s="13" t="s">
        <v>14</v>
      </c>
      <c r="C1759" s="13" t="s">
        <v>4810</v>
      </c>
      <c r="D1759" s="13" t="s">
        <v>4811</v>
      </c>
      <c r="E1759" s="13" t="s">
        <v>36</v>
      </c>
      <c r="F1759" s="14"/>
      <c r="G1759" s="14"/>
      <c r="H1759" s="14"/>
      <c r="I1759" s="14"/>
      <c r="J1759" s="14">
        <f t="shared" si="81"/>
        <v>0</v>
      </c>
      <c r="K1759" s="14">
        <f t="shared" si="82"/>
        <v>0</v>
      </c>
      <c r="L1759" s="17">
        <f t="shared" si="83"/>
        <v>0</v>
      </c>
      <c r="M1759" s="14"/>
      <c r="N1759" s="16"/>
      <c r="O1759" s="16"/>
      <c r="P1759" s="16"/>
      <c r="Q1759" s="16"/>
      <c r="R1759" s="16"/>
      <c r="S1759" s="16"/>
      <c r="T1759" s="16"/>
      <c r="U1759" s="16"/>
      <c r="V1759" s="16"/>
      <c r="W1759" s="16"/>
      <c r="X1759" s="16"/>
      <c r="Y1759" s="16"/>
      <c r="Z1759" s="16"/>
      <c r="AA1759" s="16"/>
    </row>
    <row r="1760" spans="1:27" s="2" customFormat="1" ht="14">
      <c r="A1760" s="12">
        <v>1338318</v>
      </c>
      <c r="B1760" s="13" t="s">
        <v>14</v>
      </c>
      <c r="C1760" s="13" t="s">
        <v>4812</v>
      </c>
      <c r="D1760" s="13" t="s">
        <v>4813</v>
      </c>
      <c r="E1760" s="13" t="s">
        <v>3848</v>
      </c>
      <c r="F1760" s="14"/>
      <c r="G1760" s="14"/>
      <c r="H1760" s="14"/>
      <c r="I1760" s="14"/>
      <c r="J1760" s="14">
        <f t="shared" si="81"/>
        <v>0</v>
      </c>
      <c r="K1760" s="14">
        <f t="shared" si="82"/>
        <v>0</v>
      </c>
      <c r="L1760" s="17">
        <f t="shared" si="83"/>
        <v>0</v>
      </c>
      <c r="M1760" s="14"/>
      <c r="N1760" s="16"/>
      <c r="O1760" s="16"/>
      <c r="P1760" s="16"/>
      <c r="Q1760" s="16"/>
      <c r="R1760" s="16"/>
      <c r="S1760" s="16"/>
      <c r="T1760" s="16"/>
      <c r="U1760" s="16"/>
      <c r="V1760" s="16"/>
      <c r="W1760" s="16"/>
      <c r="X1760" s="16"/>
      <c r="Y1760" s="16"/>
      <c r="Z1760" s="16"/>
      <c r="AA1760" s="16"/>
    </row>
    <row r="1761" spans="1:27" s="2" customFormat="1" ht="14">
      <c r="A1761" s="12">
        <v>1338319</v>
      </c>
      <c r="B1761" s="13" t="s">
        <v>14</v>
      </c>
      <c r="C1761" s="13" t="s">
        <v>4814</v>
      </c>
      <c r="D1761" s="13" t="s">
        <v>4815</v>
      </c>
      <c r="E1761" s="13" t="s">
        <v>3465</v>
      </c>
      <c r="F1761" s="14"/>
      <c r="G1761" s="14"/>
      <c r="H1761" s="14"/>
      <c r="I1761" s="14"/>
      <c r="J1761" s="14">
        <f t="shared" si="81"/>
        <v>0</v>
      </c>
      <c r="K1761" s="14">
        <f t="shared" si="82"/>
        <v>0</v>
      </c>
      <c r="L1761" s="17">
        <f t="shared" si="83"/>
        <v>0</v>
      </c>
      <c r="M1761" s="14"/>
      <c r="N1761" s="16"/>
      <c r="O1761" s="16"/>
      <c r="P1761" s="16"/>
      <c r="Q1761" s="16"/>
      <c r="R1761" s="16"/>
      <c r="S1761" s="16"/>
      <c r="T1761" s="16"/>
      <c r="U1761" s="16"/>
      <c r="V1761" s="16"/>
      <c r="W1761" s="16"/>
      <c r="X1761" s="16"/>
      <c r="Y1761" s="16"/>
      <c r="Z1761" s="16"/>
      <c r="AA1761" s="16"/>
    </row>
    <row r="1762" spans="1:27" s="2" customFormat="1" ht="14">
      <c r="A1762" s="12">
        <v>1338347</v>
      </c>
      <c r="B1762" s="13" t="s">
        <v>14</v>
      </c>
      <c r="C1762" s="13" t="s">
        <v>4816</v>
      </c>
      <c r="D1762" s="13" t="s">
        <v>4817</v>
      </c>
      <c r="E1762" s="13" t="s">
        <v>3703</v>
      </c>
      <c r="F1762" s="14"/>
      <c r="G1762" s="14"/>
      <c r="H1762" s="14"/>
      <c r="I1762" s="14"/>
      <c r="J1762" s="14">
        <f t="shared" si="81"/>
        <v>0</v>
      </c>
      <c r="K1762" s="14">
        <f t="shared" si="82"/>
        <v>0</v>
      </c>
      <c r="L1762" s="17">
        <f t="shared" si="83"/>
        <v>0</v>
      </c>
      <c r="M1762" s="14"/>
      <c r="N1762" s="16"/>
      <c r="O1762" s="16"/>
      <c r="P1762" s="16"/>
      <c r="Q1762" s="16"/>
      <c r="R1762" s="16"/>
      <c r="S1762" s="16"/>
      <c r="T1762" s="16"/>
      <c r="U1762" s="16"/>
      <c r="V1762" s="16"/>
      <c r="W1762" s="16"/>
      <c r="X1762" s="16"/>
      <c r="Y1762" s="16"/>
      <c r="Z1762" s="16"/>
      <c r="AA1762" s="16"/>
    </row>
    <row r="1763" spans="1:27" s="2" customFormat="1" ht="14">
      <c r="A1763" s="12">
        <v>1338358</v>
      </c>
      <c r="B1763" s="13" t="s">
        <v>14</v>
      </c>
      <c r="C1763" s="13" t="s">
        <v>4818</v>
      </c>
      <c r="D1763" s="13" t="s">
        <v>4819</v>
      </c>
      <c r="E1763" s="13" t="s">
        <v>3986</v>
      </c>
      <c r="F1763" s="14"/>
      <c r="G1763" s="14"/>
      <c r="H1763" s="14"/>
      <c r="I1763" s="14"/>
      <c r="J1763" s="14">
        <f t="shared" si="81"/>
        <v>0</v>
      </c>
      <c r="K1763" s="14">
        <f t="shared" si="82"/>
        <v>0</v>
      </c>
      <c r="L1763" s="17">
        <f t="shared" si="83"/>
        <v>0</v>
      </c>
      <c r="M1763" s="14"/>
      <c r="N1763" s="16"/>
      <c r="O1763" s="16"/>
      <c r="P1763" s="16"/>
      <c r="Q1763" s="16"/>
      <c r="R1763" s="16"/>
      <c r="S1763" s="16"/>
      <c r="T1763" s="16"/>
      <c r="U1763" s="16"/>
      <c r="V1763" s="16"/>
      <c r="W1763" s="16"/>
      <c r="X1763" s="16"/>
      <c r="Y1763" s="16"/>
      <c r="Z1763" s="16"/>
      <c r="AA1763" s="16"/>
    </row>
    <row r="1764" spans="1:27" s="2" customFormat="1" ht="14">
      <c r="A1764" s="12">
        <v>1333776</v>
      </c>
      <c r="B1764" s="13" t="s">
        <v>62</v>
      </c>
      <c r="C1764" s="13" t="s">
        <v>4820</v>
      </c>
      <c r="D1764" s="13" t="s">
        <v>4821</v>
      </c>
      <c r="E1764" s="13" t="s">
        <v>3465</v>
      </c>
      <c r="F1764" s="14"/>
      <c r="G1764" s="14"/>
      <c r="H1764" s="14"/>
      <c r="I1764" s="14"/>
      <c r="J1764" s="14">
        <f t="shared" si="81"/>
        <v>0</v>
      </c>
      <c r="K1764" s="14">
        <f t="shared" si="82"/>
        <v>0</v>
      </c>
      <c r="L1764" s="17">
        <f t="shared" si="83"/>
        <v>0</v>
      </c>
      <c r="M1764" s="14"/>
      <c r="N1764" s="16"/>
      <c r="O1764" s="16"/>
      <c r="P1764" s="16"/>
      <c r="Q1764" s="16"/>
      <c r="R1764" s="16"/>
      <c r="S1764" s="16"/>
      <c r="T1764" s="16"/>
      <c r="U1764" s="16"/>
      <c r="V1764" s="16"/>
      <c r="W1764" s="16"/>
      <c r="X1764" s="16"/>
      <c r="Y1764" s="16"/>
      <c r="Z1764" s="16"/>
      <c r="AA1764" s="16"/>
    </row>
    <row r="1765" spans="1:27" s="2" customFormat="1" ht="14">
      <c r="A1765" s="12">
        <v>1333802</v>
      </c>
      <c r="B1765" s="13" t="s">
        <v>14</v>
      </c>
      <c r="C1765" s="13" t="s">
        <v>4822</v>
      </c>
      <c r="D1765" s="13" t="s">
        <v>4823</v>
      </c>
      <c r="E1765" s="13" t="s">
        <v>3533</v>
      </c>
      <c r="F1765" s="14"/>
      <c r="G1765" s="14"/>
      <c r="H1765" s="14"/>
      <c r="I1765" s="14"/>
      <c r="J1765" s="14">
        <f t="shared" si="81"/>
        <v>0</v>
      </c>
      <c r="K1765" s="14">
        <f t="shared" si="82"/>
        <v>0</v>
      </c>
      <c r="L1765" s="17">
        <f t="shared" si="83"/>
        <v>0</v>
      </c>
      <c r="M1765" s="14"/>
      <c r="N1765" s="16"/>
      <c r="O1765" s="16"/>
      <c r="P1765" s="16"/>
      <c r="Q1765" s="16"/>
      <c r="R1765" s="16"/>
      <c r="S1765" s="16"/>
      <c r="T1765" s="16"/>
      <c r="U1765" s="16"/>
      <c r="V1765" s="16"/>
      <c r="W1765" s="16"/>
      <c r="X1765" s="16"/>
      <c r="Y1765" s="16"/>
      <c r="Z1765" s="16"/>
      <c r="AA1765" s="16"/>
    </row>
    <row r="1766" spans="1:27" s="2" customFormat="1" ht="14">
      <c r="A1766" s="12">
        <v>1338431</v>
      </c>
      <c r="B1766" s="13" t="s">
        <v>62</v>
      </c>
      <c r="C1766" s="13" t="s">
        <v>4824</v>
      </c>
      <c r="D1766" s="13" t="s">
        <v>4825</v>
      </c>
      <c r="E1766" s="13" t="s">
        <v>3730</v>
      </c>
      <c r="F1766" s="14"/>
      <c r="G1766" s="14"/>
      <c r="H1766" s="14"/>
      <c r="I1766" s="14"/>
      <c r="J1766" s="14">
        <f t="shared" si="81"/>
        <v>0</v>
      </c>
      <c r="K1766" s="14">
        <f t="shared" si="82"/>
        <v>0</v>
      </c>
      <c r="L1766" s="17">
        <f t="shared" si="83"/>
        <v>0</v>
      </c>
      <c r="M1766" s="14"/>
      <c r="N1766" s="16"/>
      <c r="O1766" s="16"/>
      <c r="P1766" s="16"/>
      <c r="Q1766" s="16"/>
      <c r="R1766" s="16"/>
      <c r="S1766" s="16"/>
      <c r="T1766" s="16"/>
      <c r="U1766" s="16"/>
      <c r="V1766" s="16"/>
      <c r="W1766" s="16"/>
      <c r="X1766" s="16"/>
      <c r="Y1766" s="16"/>
      <c r="Z1766" s="16"/>
      <c r="AA1766" s="16"/>
    </row>
    <row r="1767" spans="1:27" s="2" customFormat="1" ht="14">
      <c r="A1767" s="12">
        <v>1338540</v>
      </c>
      <c r="B1767" s="13" t="s">
        <v>62</v>
      </c>
      <c r="C1767" s="13" t="s">
        <v>4826</v>
      </c>
      <c r="D1767" s="13" t="s">
        <v>4827</v>
      </c>
      <c r="E1767" s="13" t="s">
        <v>3632</v>
      </c>
      <c r="F1767" s="14"/>
      <c r="G1767" s="14"/>
      <c r="H1767" s="14"/>
      <c r="I1767" s="14"/>
      <c r="J1767" s="14">
        <f t="shared" si="81"/>
        <v>0</v>
      </c>
      <c r="K1767" s="14">
        <f t="shared" si="82"/>
        <v>0</v>
      </c>
      <c r="L1767" s="17">
        <f t="shared" si="83"/>
        <v>0</v>
      </c>
      <c r="M1767" s="14"/>
      <c r="N1767" s="16"/>
      <c r="O1767" s="16"/>
      <c r="P1767" s="16"/>
      <c r="Q1767" s="16"/>
      <c r="R1767" s="16"/>
      <c r="S1767" s="16"/>
      <c r="T1767" s="16"/>
      <c r="U1767" s="16"/>
      <c r="V1767" s="16"/>
      <c r="W1767" s="16"/>
      <c r="X1767" s="16"/>
      <c r="Y1767" s="16"/>
      <c r="Z1767" s="16"/>
      <c r="AA1767" s="16"/>
    </row>
    <row r="1768" spans="1:27" s="2" customFormat="1" ht="14">
      <c r="A1768" s="12">
        <v>1337966</v>
      </c>
      <c r="B1768" s="13" t="s">
        <v>14</v>
      </c>
      <c r="C1768" s="13" t="s">
        <v>4828</v>
      </c>
      <c r="D1768" s="13" t="s">
        <v>4829</v>
      </c>
      <c r="E1768" s="13" t="s">
        <v>3986</v>
      </c>
      <c r="F1768" s="14"/>
      <c r="G1768" s="14"/>
      <c r="H1768" s="14"/>
      <c r="I1768" s="14"/>
      <c r="J1768" s="14">
        <f t="shared" si="81"/>
        <v>0</v>
      </c>
      <c r="K1768" s="14">
        <f t="shared" si="82"/>
        <v>0</v>
      </c>
      <c r="L1768" s="17">
        <f t="shared" si="83"/>
        <v>0</v>
      </c>
      <c r="M1768" s="14"/>
      <c r="N1768" s="16"/>
      <c r="O1768" s="16"/>
      <c r="P1768" s="16"/>
      <c r="Q1768" s="16"/>
      <c r="R1768" s="16"/>
      <c r="S1768" s="16"/>
      <c r="T1768" s="16"/>
      <c r="U1768" s="16"/>
      <c r="V1768" s="16"/>
      <c r="W1768" s="16"/>
      <c r="X1768" s="16"/>
      <c r="Y1768" s="16"/>
      <c r="Z1768" s="16"/>
      <c r="AA1768" s="16"/>
    </row>
    <row r="1769" spans="1:27" s="2" customFormat="1" ht="14">
      <c r="A1769" s="12">
        <v>1338572</v>
      </c>
      <c r="B1769" s="13" t="s">
        <v>14</v>
      </c>
      <c r="C1769" s="13" t="s">
        <v>4830</v>
      </c>
      <c r="D1769" s="13" t="s">
        <v>4831</v>
      </c>
      <c r="E1769" s="13" t="s">
        <v>3986</v>
      </c>
      <c r="F1769" s="14"/>
      <c r="G1769" s="14"/>
      <c r="H1769" s="14"/>
      <c r="I1769" s="14"/>
      <c r="J1769" s="14">
        <f t="shared" si="81"/>
        <v>0</v>
      </c>
      <c r="K1769" s="14">
        <f t="shared" si="82"/>
        <v>0</v>
      </c>
      <c r="L1769" s="17">
        <f t="shared" si="83"/>
        <v>0</v>
      </c>
      <c r="M1769" s="14"/>
      <c r="N1769" s="16"/>
      <c r="O1769" s="16"/>
      <c r="P1769" s="16"/>
      <c r="Q1769" s="16"/>
      <c r="R1769" s="16"/>
      <c r="S1769" s="16"/>
      <c r="T1769" s="16"/>
      <c r="U1769" s="16"/>
      <c r="V1769" s="16"/>
      <c r="W1769" s="16"/>
      <c r="X1769" s="16"/>
      <c r="Y1769" s="16"/>
      <c r="Z1769" s="16"/>
      <c r="AA1769" s="16"/>
    </row>
    <row r="1770" spans="1:27" s="2" customFormat="1" ht="14">
      <c r="A1770" s="12">
        <v>1338372</v>
      </c>
      <c r="B1770" s="13" t="s">
        <v>62</v>
      </c>
      <c r="C1770" s="13" t="s">
        <v>4832</v>
      </c>
      <c r="D1770" s="13" t="s">
        <v>4833</v>
      </c>
      <c r="E1770" s="13" t="s">
        <v>3530</v>
      </c>
      <c r="F1770" s="14"/>
      <c r="G1770" s="14"/>
      <c r="H1770" s="14"/>
      <c r="I1770" s="14"/>
      <c r="J1770" s="14">
        <f t="shared" si="81"/>
        <v>0</v>
      </c>
      <c r="K1770" s="14">
        <f t="shared" si="82"/>
        <v>0</v>
      </c>
      <c r="L1770" s="17">
        <f t="shared" si="83"/>
        <v>0</v>
      </c>
      <c r="M1770" s="14"/>
      <c r="N1770" s="16"/>
      <c r="O1770" s="16"/>
      <c r="P1770" s="16"/>
      <c r="Q1770" s="16"/>
      <c r="R1770" s="16"/>
      <c r="S1770" s="16"/>
      <c r="T1770" s="16"/>
      <c r="U1770" s="16"/>
      <c r="V1770" s="16"/>
      <c r="W1770" s="16"/>
      <c r="X1770" s="16"/>
      <c r="Y1770" s="16"/>
      <c r="Z1770" s="16"/>
      <c r="AA1770" s="16"/>
    </row>
    <row r="1771" spans="1:27" s="2" customFormat="1" ht="14">
      <c r="A1771" s="12">
        <v>1338754</v>
      </c>
      <c r="B1771" s="13" t="s">
        <v>62</v>
      </c>
      <c r="C1771" s="13" t="s">
        <v>4834</v>
      </c>
      <c r="D1771" s="13" t="s">
        <v>4835</v>
      </c>
      <c r="E1771" s="13" t="s">
        <v>3324</v>
      </c>
      <c r="F1771" s="14"/>
      <c r="G1771" s="14"/>
      <c r="H1771" s="14"/>
      <c r="I1771" s="14"/>
      <c r="J1771" s="14">
        <f t="shared" si="81"/>
        <v>0</v>
      </c>
      <c r="K1771" s="14">
        <f t="shared" si="82"/>
        <v>0</v>
      </c>
      <c r="L1771" s="17">
        <f t="shared" si="83"/>
        <v>0</v>
      </c>
      <c r="M1771" s="14"/>
      <c r="N1771" s="16"/>
      <c r="O1771" s="16"/>
      <c r="P1771" s="16"/>
      <c r="Q1771" s="16"/>
      <c r="R1771" s="16"/>
      <c r="S1771" s="16"/>
      <c r="T1771" s="16"/>
      <c r="U1771" s="16"/>
      <c r="V1771" s="16"/>
      <c r="W1771" s="16"/>
      <c r="X1771" s="16"/>
      <c r="Y1771" s="16"/>
      <c r="Z1771" s="16"/>
      <c r="AA1771" s="16"/>
    </row>
    <row r="1772" spans="1:27" s="2" customFormat="1" ht="14">
      <c r="A1772" s="12">
        <v>1339521</v>
      </c>
      <c r="B1772" s="13" t="s">
        <v>14</v>
      </c>
      <c r="C1772" s="13" t="s">
        <v>4836</v>
      </c>
      <c r="D1772" s="13" t="s">
        <v>4837</v>
      </c>
      <c r="E1772" s="13" t="s">
        <v>3533</v>
      </c>
      <c r="F1772" s="14"/>
      <c r="G1772" s="14"/>
      <c r="H1772" s="14"/>
      <c r="I1772" s="14"/>
      <c r="J1772" s="14">
        <f t="shared" si="81"/>
        <v>0</v>
      </c>
      <c r="K1772" s="14">
        <f t="shared" si="82"/>
        <v>0</v>
      </c>
      <c r="L1772" s="17">
        <f t="shared" si="83"/>
        <v>0</v>
      </c>
      <c r="M1772" s="14"/>
      <c r="N1772" s="16"/>
      <c r="O1772" s="16"/>
      <c r="P1772" s="16"/>
      <c r="Q1772" s="16"/>
      <c r="R1772" s="16"/>
      <c r="S1772" s="16"/>
      <c r="T1772" s="16"/>
      <c r="U1772" s="16"/>
      <c r="V1772" s="16"/>
      <c r="W1772" s="16"/>
      <c r="X1772" s="16"/>
      <c r="Y1772" s="16"/>
      <c r="Z1772" s="16"/>
      <c r="AA1772" s="16"/>
    </row>
    <row r="1773" spans="1:27" s="2" customFormat="1" ht="14">
      <c r="A1773" s="12" t="s">
        <v>4838</v>
      </c>
      <c r="B1773" s="13" t="s">
        <v>14</v>
      </c>
      <c r="C1773" s="13" t="s">
        <v>4839</v>
      </c>
      <c r="D1773" s="13" t="s">
        <v>4840</v>
      </c>
      <c r="E1773" s="13" t="s">
        <v>43</v>
      </c>
      <c r="F1773" s="14"/>
      <c r="G1773" s="14"/>
      <c r="H1773" s="14"/>
      <c r="I1773" s="14"/>
      <c r="J1773" s="14">
        <f t="shared" si="81"/>
        <v>0</v>
      </c>
      <c r="K1773" s="14">
        <f t="shared" si="82"/>
        <v>0</v>
      </c>
      <c r="L1773" s="17">
        <f t="shared" si="83"/>
        <v>0</v>
      </c>
      <c r="M1773" s="14"/>
      <c r="N1773" s="16"/>
      <c r="O1773" s="16"/>
      <c r="P1773" s="16"/>
      <c r="Q1773" s="16"/>
      <c r="R1773" s="16"/>
      <c r="S1773" s="16"/>
      <c r="T1773" s="16"/>
      <c r="U1773" s="16"/>
      <c r="V1773" s="16"/>
      <c r="W1773" s="16"/>
      <c r="X1773" s="16"/>
      <c r="Y1773" s="16"/>
      <c r="Z1773" s="16"/>
      <c r="AA1773" s="16"/>
    </row>
    <row r="1774" spans="1:27" s="2" customFormat="1" ht="14">
      <c r="A1774" s="12" t="s">
        <v>4841</v>
      </c>
      <c r="B1774" s="13" t="s">
        <v>14</v>
      </c>
      <c r="C1774" s="13" t="s">
        <v>4842</v>
      </c>
      <c r="D1774" s="13" t="s">
        <v>4843</v>
      </c>
      <c r="E1774" s="13" t="s">
        <v>136</v>
      </c>
      <c r="F1774" s="14"/>
      <c r="G1774" s="14"/>
      <c r="H1774" s="14"/>
      <c r="I1774" s="14"/>
      <c r="J1774" s="14">
        <f t="shared" si="81"/>
        <v>0</v>
      </c>
      <c r="K1774" s="14">
        <f t="shared" si="82"/>
        <v>0</v>
      </c>
      <c r="L1774" s="17">
        <f t="shared" si="83"/>
        <v>0</v>
      </c>
      <c r="M1774" s="14"/>
      <c r="N1774" s="16"/>
      <c r="O1774" s="16"/>
      <c r="P1774" s="16"/>
      <c r="Q1774" s="16"/>
      <c r="R1774" s="16"/>
      <c r="S1774" s="16"/>
      <c r="T1774" s="16"/>
      <c r="U1774" s="16"/>
      <c r="V1774" s="16"/>
      <c r="W1774" s="16"/>
      <c r="X1774" s="16"/>
      <c r="Y1774" s="16"/>
      <c r="Z1774" s="16"/>
      <c r="AA1774" s="16"/>
    </row>
    <row r="1775" spans="1:27" s="2" customFormat="1" ht="14">
      <c r="A1775" s="12">
        <v>1339390</v>
      </c>
      <c r="B1775" s="13" t="s">
        <v>14</v>
      </c>
      <c r="C1775" s="13" t="s">
        <v>4844</v>
      </c>
      <c r="D1775" s="13" t="s">
        <v>4845</v>
      </c>
      <c r="E1775" s="13" t="s">
        <v>3327</v>
      </c>
      <c r="F1775" s="14"/>
      <c r="G1775" s="14"/>
      <c r="H1775" s="14"/>
      <c r="I1775" s="14"/>
      <c r="J1775" s="14">
        <f t="shared" si="81"/>
        <v>0</v>
      </c>
      <c r="K1775" s="14">
        <f t="shared" si="82"/>
        <v>0</v>
      </c>
      <c r="L1775" s="17">
        <f t="shared" si="83"/>
        <v>0</v>
      </c>
      <c r="M1775" s="14"/>
      <c r="N1775" s="16"/>
      <c r="O1775" s="16"/>
      <c r="P1775" s="16"/>
      <c r="Q1775" s="16"/>
      <c r="R1775" s="16"/>
      <c r="S1775" s="16"/>
      <c r="T1775" s="16"/>
      <c r="U1775" s="16"/>
      <c r="V1775" s="16"/>
      <c r="W1775" s="16"/>
      <c r="X1775" s="16"/>
      <c r="Y1775" s="16"/>
      <c r="Z1775" s="16"/>
      <c r="AA1775" s="16"/>
    </row>
    <row r="1776" spans="1:27" s="2" customFormat="1" ht="14">
      <c r="A1776" s="12">
        <v>1339406</v>
      </c>
      <c r="B1776" s="13" t="s">
        <v>14</v>
      </c>
      <c r="C1776" s="13" t="s">
        <v>4846</v>
      </c>
      <c r="D1776" s="13" t="s">
        <v>4847</v>
      </c>
      <c r="E1776" s="13" t="s">
        <v>3189</v>
      </c>
      <c r="F1776" s="14"/>
      <c r="G1776" s="14"/>
      <c r="H1776" s="14"/>
      <c r="I1776" s="14"/>
      <c r="J1776" s="14">
        <f t="shared" si="81"/>
        <v>0</v>
      </c>
      <c r="K1776" s="14">
        <f t="shared" si="82"/>
        <v>0</v>
      </c>
      <c r="L1776" s="17">
        <f t="shared" si="83"/>
        <v>0</v>
      </c>
      <c r="M1776" s="14"/>
      <c r="N1776" s="16"/>
      <c r="O1776" s="16"/>
      <c r="P1776" s="16"/>
      <c r="Q1776" s="16"/>
      <c r="R1776" s="16"/>
      <c r="S1776" s="16"/>
      <c r="T1776" s="16"/>
      <c r="U1776" s="16"/>
      <c r="V1776" s="16"/>
      <c r="W1776" s="16"/>
      <c r="X1776" s="16"/>
      <c r="Y1776" s="16"/>
      <c r="Z1776" s="16"/>
      <c r="AA1776" s="16"/>
    </row>
    <row r="1777" spans="1:27" s="2" customFormat="1" ht="14">
      <c r="A1777" s="12">
        <v>1337298</v>
      </c>
      <c r="B1777" s="13" t="s">
        <v>14</v>
      </c>
      <c r="C1777" s="13" t="s">
        <v>4848</v>
      </c>
      <c r="D1777" s="13" t="s">
        <v>4849</v>
      </c>
      <c r="E1777" s="13" t="s">
        <v>1573</v>
      </c>
      <c r="F1777" s="14"/>
      <c r="G1777" s="14"/>
      <c r="H1777" s="14"/>
      <c r="I1777" s="14"/>
      <c r="J1777" s="14">
        <f t="shared" si="81"/>
        <v>0</v>
      </c>
      <c r="K1777" s="14">
        <f t="shared" si="82"/>
        <v>0</v>
      </c>
      <c r="L1777" s="17">
        <f t="shared" si="83"/>
        <v>0</v>
      </c>
      <c r="M1777" s="14"/>
      <c r="N1777" s="16"/>
      <c r="O1777" s="16"/>
      <c r="P1777" s="16"/>
      <c r="Q1777" s="16"/>
      <c r="R1777" s="16"/>
      <c r="S1777" s="16"/>
      <c r="T1777" s="16"/>
      <c r="U1777" s="16"/>
      <c r="V1777" s="16"/>
      <c r="W1777" s="16"/>
      <c r="X1777" s="16"/>
      <c r="Y1777" s="16"/>
      <c r="Z1777" s="16"/>
      <c r="AA1777" s="16"/>
    </row>
    <row r="1778" spans="1:27" s="2" customFormat="1" ht="14">
      <c r="A1778" s="12" t="s">
        <v>4850</v>
      </c>
      <c r="B1778" s="13" t="s">
        <v>14</v>
      </c>
      <c r="C1778" s="13" t="s">
        <v>4851</v>
      </c>
      <c r="D1778" s="13" t="s">
        <v>4852</v>
      </c>
      <c r="E1778" s="13" t="s">
        <v>285</v>
      </c>
      <c r="F1778" s="14"/>
      <c r="G1778" s="14"/>
      <c r="H1778" s="14"/>
      <c r="I1778" s="14"/>
      <c r="J1778" s="14">
        <f t="shared" si="81"/>
        <v>0</v>
      </c>
      <c r="K1778" s="14">
        <f t="shared" si="82"/>
        <v>0</v>
      </c>
      <c r="L1778" s="17">
        <f t="shared" si="83"/>
        <v>0</v>
      </c>
      <c r="M1778" s="14"/>
      <c r="N1778" s="16"/>
      <c r="O1778" s="16"/>
      <c r="P1778" s="16"/>
      <c r="Q1778" s="16"/>
      <c r="R1778" s="16"/>
      <c r="S1778" s="16"/>
      <c r="T1778" s="16"/>
      <c r="U1778" s="16"/>
      <c r="V1778" s="16"/>
      <c r="W1778" s="16"/>
      <c r="X1778" s="16"/>
      <c r="Y1778" s="16"/>
      <c r="Z1778" s="16"/>
      <c r="AA1778" s="16"/>
    </row>
    <row r="1779" spans="1:27" s="2" customFormat="1" ht="14">
      <c r="A1779" s="12">
        <v>1339992</v>
      </c>
      <c r="B1779" s="13" t="s">
        <v>14</v>
      </c>
      <c r="C1779" s="13" t="s">
        <v>4853</v>
      </c>
      <c r="D1779" s="13" t="s">
        <v>4854</v>
      </c>
      <c r="E1779" s="13" t="s">
        <v>3703</v>
      </c>
      <c r="F1779" s="14"/>
      <c r="G1779" s="14"/>
      <c r="H1779" s="14"/>
      <c r="I1779" s="14"/>
      <c r="J1779" s="14">
        <f t="shared" si="81"/>
        <v>0</v>
      </c>
      <c r="K1779" s="14">
        <f t="shared" si="82"/>
        <v>0</v>
      </c>
      <c r="L1779" s="17">
        <f t="shared" si="83"/>
        <v>0</v>
      </c>
      <c r="M1779" s="14"/>
      <c r="N1779" s="16"/>
      <c r="O1779" s="16"/>
      <c r="P1779" s="16"/>
      <c r="Q1779" s="16"/>
      <c r="R1779" s="16"/>
      <c r="S1779" s="16"/>
      <c r="T1779" s="16"/>
      <c r="U1779" s="16"/>
      <c r="V1779" s="16"/>
      <c r="W1779" s="16"/>
      <c r="X1779" s="16"/>
      <c r="Y1779" s="16"/>
      <c r="Z1779" s="16"/>
      <c r="AA1779" s="16"/>
    </row>
    <row r="1780" spans="1:27" s="2" customFormat="1" ht="14">
      <c r="A1780" s="12">
        <v>1340132</v>
      </c>
      <c r="B1780" s="13" t="s">
        <v>62</v>
      </c>
      <c r="C1780" s="13" t="s">
        <v>4855</v>
      </c>
      <c r="D1780" s="13" t="s">
        <v>4856</v>
      </c>
      <c r="E1780" s="13" t="s">
        <v>3509</v>
      </c>
      <c r="F1780" s="14"/>
      <c r="G1780" s="14"/>
      <c r="H1780" s="14"/>
      <c r="I1780" s="14"/>
      <c r="J1780" s="14">
        <f t="shared" si="81"/>
        <v>0</v>
      </c>
      <c r="K1780" s="14">
        <f t="shared" si="82"/>
        <v>0</v>
      </c>
      <c r="L1780" s="17">
        <f t="shared" si="83"/>
        <v>0</v>
      </c>
      <c r="M1780" s="14"/>
      <c r="N1780" s="16"/>
      <c r="O1780" s="16"/>
      <c r="P1780" s="16"/>
      <c r="Q1780" s="16"/>
      <c r="R1780" s="16"/>
      <c r="S1780" s="16"/>
      <c r="T1780" s="16"/>
      <c r="U1780" s="16"/>
      <c r="V1780" s="16"/>
      <c r="W1780" s="16"/>
      <c r="X1780" s="16"/>
      <c r="Y1780" s="16"/>
      <c r="Z1780" s="16"/>
      <c r="AA1780" s="16"/>
    </row>
    <row r="1781" spans="1:27" s="2" customFormat="1" ht="14">
      <c r="A1781" s="12" t="s">
        <v>4857</v>
      </c>
      <c r="B1781" s="13" t="s">
        <v>62</v>
      </c>
      <c r="C1781" s="13" t="s">
        <v>4858</v>
      </c>
      <c r="D1781" s="13" t="s">
        <v>4859</v>
      </c>
      <c r="E1781" s="13" t="s">
        <v>201</v>
      </c>
      <c r="F1781" s="14"/>
      <c r="G1781" s="14"/>
      <c r="H1781" s="14"/>
      <c r="I1781" s="14"/>
      <c r="J1781" s="14">
        <f t="shared" si="81"/>
        <v>0</v>
      </c>
      <c r="K1781" s="14">
        <f t="shared" si="82"/>
        <v>0</v>
      </c>
      <c r="L1781" s="17">
        <f t="shared" si="83"/>
        <v>0</v>
      </c>
      <c r="M1781" s="14"/>
      <c r="N1781" s="16"/>
      <c r="O1781" s="16"/>
      <c r="P1781" s="16"/>
      <c r="Q1781" s="16"/>
      <c r="R1781" s="16"/>
      <c r="S1781" s="16"/>
      <c r="T1781" s="16"/>
      <c r="U1781" s="16"/>
      <c r="V1781" s="16"/>
      <c r="W1781" s="16"/>
      <c r="X1781" s="16"/>
      <c r="Y1781" s="16"/>
      <c r="Z1781" s="16"/>
      <c r="AA1781" s="16"/>
    </row>
    <row r="1782" spans="1:27" s="2" customFormat="1" ht="14">
      <c r="A1782" s="12">
        <v>1337349</v>
      </c>
      <c r="B1782" s="13" t="s">
        <v>14</v>
      </c>
      <c r="C1782" s="13" t="s">
        <v>4860</v>
      </c>
      <c r="D1782" s="13" t="s">
        <v>4861</v>
      </c>
      <c r="E1782" s="13" t="s">
        <v>1579</v>
      </c>
      <c r="F1782" s="14"/>
      <c r="G1782" s="14"/>
      <c r="H1782" s="14"/>
      <c r="I1782" s="14"/>
      <c r="J1782" s="14">
        <f t="shared" si="81"/>
        <v>0</v>
      </c>
      <c r="K1782" s="14">
        <f t="shared" si="82"/>
        <v>0</v>
      </c>
      <c r="L1782" s="17">
        <f t="shared" si="83"/>
        <v>0</v>
      </c>
      <c r="M1782" s="14"/>
      <c r="N1782" s="16"/>
      <c r="O1782" s="16"/>
      <c r="P1782" s="16"/>
      <c r="Q1782" s="16"/>
      <c r="R1782" s="16"/>
      <c r="S1782" s="16"/>
      <c r="T1782" s="16"/>
      <c r="U1782" s="16"/>
      <c r="V1782" s="16"/>
      <c r="W1782" s="16"/>
      <c r="X1782" s="16"/>
      <c r="Y1782" s="16"/>
      <c r="Z1782" s="16"/>
      <c r="AA1782" s="16"/>
    </row>
    <row r="1783" spans="1:27" s="2" customFormat="1" ht="14">
      <c r="A1783" s="12">
        <v>1337402</v>
      </c>
      <c r="B1783" s="13" t="s">
        <v>14</v>
      </c>
      <c r="C1783" s="13" t="s">
        <v>4862</v>
      </c>
      <c r="D1783" s="13" t="s">
        <v>4863</v>
      </c>
      <c r="E1783" s="13" t="s">
        <v>3402</v>
      </c>
      <c r="F1783" s="14"/>
      <c r="G1783" s="14"/>
      <c r="H1783" s="14"/>
      <c r="I1783" s="14"/>
      <c r="J1783" s="14">
        <f t="shared" si="81"/>
        <v>0</v>
      </c>
      <c r="K1783" s="14">
        <f t="shared" si="82"/>
        <v>0</v>
      </c>
      <c r="L1783" s="17">
        <f t="shared" si="83"/>
        <v>0</v>
      </c>
      <c r="M1783" s="14"/>
      <c r="N1783" s="16"/>
      <c r="O1783" s="16"/>
      <c r="P1783" s="16"/>
      <c r="Q1783" s="16"/>
      <c r="R1783" s="16"/>
      <c r="S1783" s="16"/>
      <c r="T1783" s="16"/>
      <c r="U1783" s="16"/>
      <c r="V1783" s="16"/>
      <c r="W1783" s="16"/>
      <c r="X1783" s="16"/>
      <c r="Y1783" s="16"/>
      <c r="Z1783" s="16"/>
      <c r="AA1783" s="16"/>
    </row>
    <row r="1784" spans="1:27" s="2" customFormat="1" ht="14">
      <c r="A1784" s="12">
        <v>1340946</v>
      </c>
      <c r="B1784" s="13" t="s">
        <v>62</v>
      </c>
      <c r="C1784" s="13" t="s">
        <v>4864</v>
      </c>
      <c r="D1784" s="13" t="s">
        <v>4865</v>
      </c>
      <c r="E1784" s="13" t="s">
        <v>3533</v>
      </c>
      <c r="F1784" s="14"/>
      <c r="G1784" s="14"/>
      <c r="H1784" s="14"/>
      <c r="I1784" s="14"/>
      <c r="J1784" s="14">
        <f t="shared" si="81"/>
        <v>0</v>
      </c>
      <c r="K1784" s="14">
        <f t="shared" si="82"/>
        <v>0</v>
      </c>
      <c r="L1784" s="17">
        <f t="shared" si="83"/>
        <v>0</v>
      </c>
      <c r="M1784" s="14"/>
      <c r="N1784" s="16"/>
      <c r="O1784" s="16"/>
      <c r="P1784" s="16"/>
      <c r="Q1784" s="16"/>
      <c r="R1784" s="16"/>
      <c r="S1784" s="16"/>
      <c r="T1784" s="16"/>
      <c r="U1784" s="16"/>
      <c r="V1784" s="16"/>
      <c r="W1784" s="16"/>
      <c r="X1784" s="16"/>
      <c r="Y1784" s="16"/>
      <c r="Z1784" s="16"/>
      <c r="AA1784" s="16"/>
    </row>
    <row r="1785" spans="1:27" s="2" customFormat="1" ht="14">
      <c r="A1785" s="12">
        <v>1340417</v>
      </c>
      <c r="B1785" s="13" t="s">
        <v>14</v>
      </c>
      <c r="C1785" s="13" t="s">
        <v>4866</v>
      </c>
      <c r="D1785" s="13" t="s">
        <v>4867</v>
      </c>
      <c r="E1785" s="13" t="s">
        <v>3606</v>
      </c>
      <c r="F1785" s="14"/>
      <c r="G1785" s="14"/>
      <c r="H1785" s="14"/>
      <c r="I1785" s="14"/>
      <c r="J1785" s="14">
        <f t="shared" si="81"/>
        <v>0</v>
      </c>
      <c r="K1785" s="14">
        <f t="shared" si="82"/>
        <v>0</v>
      </c>
      <c r="L1785" s="17">
        <f t="shared" si="83"/>
        <v>0</v>
      </c>
      <c r="M1785" s="14"/>
      <c r="N1785" s="16"/>
      <c r="O1785" s="16"/>
      <c r="P1785" s="16"/>
      <c r="Q1785" s="16"/>
      <c r="R1785" s="16"/>
      <c r="S1785" s="16"/>
      <c r="T1785" s="16"/>
      <c r="U1785" s="16"/>
      <c r="V1785" s="16"/>
      <c r="W1785" s="16"/>
      <c r="X1785" s="16"/>
      <c r="Y1785" s="16"/>
      <c r="Z1785" s="16"/>
      <c r="AA1785" s="16"/>
    </row>
    <row r="1786" spans="1:27" s="2" customFormat="1" ht="14">
      <c r="A1786" s="12">
        <v>1340967</v>
      </c>
      <c r="B1786" s="13" t="s">
        <v>14</v>
      </c>
      <c r="C1786" s="13" t="s">
        <v>4868</v>
      </c>
      <c r="D1786" s="13" t="s">
        <v>4869</v>
      </c>
      <c r="E1786" s="13" t="s">
        <v>3506</v>
      </c>
      <c r="F1786" s="14"/>
      <c r="G1786" s="14"/>
      <c r="H1786" s="14"/>
      <c r="I1786" s="14"/>
      <c r="J1786" s="14">
        <f t="shared" si="81"/>
        <v>0</v>
      </c>
      <c r="K1786" s="14">
        <f t="shared" si="82"/>
        <v>0</v>
      </c>
      <c r="L1786" s="17">
        <f t="shared" si="83"/>
        <v>0</v>
      </c>
      <c r="M1786" s="14"/>
      <c r="N1786" s="16"/>
      <c r="O1786" s="16"/>
      <c r="P1786" s="16"/>
      <c r="Q1786" s="16"/>
      <c r="R1786" s="16"/>
      <c r="S1786" s="16"/>
      <c r="T1786" s="16"/>
      <c r="U1786" s="16"/>
      <c r="V1786" s="16"/>
      <c r="W1786" s="16"/>
      <c r="X1786" s="16"/>
      <c r="Y1786" s="16"/>
      <c r="Z1786" s="16"/>
      <c r="AA1786" s="16"/>
    </row>
    <row r="1787" spans="1:27" s="2" customFormat="1" ht="14">
      <c r="A1787" s="12" t="s">
        <v>4870</v>
      </c>
      <c r="B1787" s="13" t="s">
        <v>14</v>
      </c>
      <c r="C1787" s="13" t="s">
        <v>4871</v>
      </c>
      <c r="D1787" s="13" t="s">
        <v>4872</v>
      </c>
      <c r="E1787" s="13" t="s">
        <v>446</v>
      </c>
      <c r="F1787" s="14"/>
      <c r="G1787" s="14"/>
      <c r="H1787" s="14"/>
      <c r="I1787" s="14"/>
      <c r="J1787" s="14">
        <f t="shared" si="81"/>
        <v>0</v>
      </c>
      <c r="K1787" s="14">
        <f t="shared" si="82"/>
        <v>0</v>
      </c>
      <c r="L1787" s="17">
        <f t="shared" si="83"/>
        <v>0</v>
      </c>
      <c r="M1787" s="14"/>
      <c r="N1787" s="16"/>
      <c r="O1787" s="16"/>
      <c r="P1787" s="16"/>
      <c r="Q1787" s="16"/>
      <c r="R1787" s="16"/>
      <c r="S1787" s="16"/>
      <c r="T1787" s="16"/>
      <c r="U1787" s="16"/>
      <c r="V1787" s="16"/>
      <c r="W1787" s="16"/>
      <c r="X1787" s="16"/>
      <c r="Y1787" s="16"/>
      <c r="Z1787" s="16"/>
      <c r="AA1787" s="16"/>
    </row>
    <row r="1788" spans="1:27" s="2" customFormat="1" ht="14">
      <c r="A1788" s="12">
        <v>1341622</v>
      </c>
      <c r="B1788" s="13" t="s">
        <v>14</v>
      </c>
      <c r="C1788" s="13" t="s">
        <v>4873</v>
      </c>
      <c r="D1788" s="13" t="s">
        <v>4874</v>
      </c>
      <c r="E1788" s="13" t="s">
        <v>3465</v>
      </c>
      <c r="F1788" s="14"/>
      <c r="G1788" s="14"/>
      <c r="H1788" s="14"/>
      <c r="I1788" s="14"/>
      <c r="J1788" s="14">
        <f t="shared" si="81"/>
        <v>0</v>
      </c>
      <c r="K1788" s="14">
        <f t="shared" si="82"/>
        <v>0</v>
      </c>
      <c r="L1788" s="17">
        <f t="shared" si="83"/>
        <v>0</v>
      </c>
      <c r="M1788" s="14"/>
      <c r="N1788" s="16"/>
      <c r="O1788" s="16"/>
      <c r="P1788" s="16"/>
      <c r="Q1788" s="16"/>
      <c r="R1788" s="16"/>
      <c r="S1788" s="16"/>
      <c r="T1788" s="16"/>
      <c r="U1788" s="16"/>
      <c r="V1788" s="16"/>
      <c r="W1788" s="16"/>
      <c r="X1788" s="16"/>
      <c r="Y1788" s="16"/>
      <c r="Z1788" s="16"/>
      <c r="AA1788" s="16"/>
    </row>
    <row r="1789" spans="1:27" s="2" customFormat="1" ht="14">
      <c r="A1789" s="12">
        <v>1342125</v>
      </c>
      <c r="B1789" s="13" t="s">
        <v>14</v>
      </c>
      <c r="C1789" s="13" t="s">
        <v>4875</v>
      </c>
      <c r="D1789" s="13" t="s">
        <v>4876</v>
      </c>
      <c r="E1789" s="13" t="s">
        <v>3576</v>
      </c>
      <c r="F1789" s="14"/>
      <c r="G1789" s="14"/>
      <c r="H1789" s="14"/>
      <c r="I1789" s="14"/>
      <c r="J1789" s="14">
        <f t="shared" si="81"/>
        <v>0</v>
      </c>
      <c r="K1789" s="14">
        <f t="shared" si="82"/>
        <v>0</v>
      </c>
      <c r="L1789" s="17">
        <f t="shared" si="83"/>
        <v>0</v>
      </c>
      <c r="M1789" s="14"/>
      <c r="N1789" s="16"/>
      <c r="O1789" s="16"/>
      <c r="P1789" s="16"/>
      <c r="Q1789" s="16"/>
      <c r="R1789" s="16"/>
      <c r="S1789" s="16"/>
      <c r="T1789" s="16"/>
      <c r="U1789" s="16"/>
      <c r="V1789" s="16"/>
      <c r="W1789" s="16"/>
      <c r="X1789" s="16"/>
      <c r="Y1789" s="16"/>
      <c r="Z1789" s="16"/>
      <c r="AA1789" s="16"/>
    </row>
    <row r="1790" spans="1:27" s="2" customFormat="1" ht="14">
      <c r="A1790" s="12">
        <v>1342315</v>
      </c>
      <c r="B1790" s="13" t="s">
        <v>14</v>
      </c>
      <c r="C1790" s="13" t="s">
        <v>4877</v>
      </c>
      <c r="D1790" s="13" t="s">
        <v>4878</v>
      </c>
      <c r="E1790" s="13" t="s">
        <v>3530</v>
      </c>
      <c r="F1790" s="14"/>
      <c r="G1790" s="14"/>
      <c r="H1790" s="14"/>
      <c r="I1790" s="14"/>
      <c r="J1790" s="14">
        <f t="shared" si="81"/>
        <v>0</v>
      </c>
      <c r="K1790" s="14">
        <f t="shared" si="82"/>
        <v>0</v>
      </c>
      <c r="L1790" s="17">
        <f t="shared" si="83"/>
        <v>0</v>
      </c>
      <c r="M1790" s="14"/>
      <c r="N1790" s="16"/>
      <c r="O1790" s="16"/>
      <c r="P1790" s="16"/>
      <c r="Q1790" s="16"/>
      <c r="R1790" s="16"/>
      <c r="S1790" s="16"/>
      <c r="T1790" s="16"/>
      <c r="U1790" s="16"/>
      <c r="V1790" s="16"/>
      <c r="W1790" s="16"/>
      <c r="X1790" s="16"/>
      <c r="Y1790" s="16"/>
      <c r="Z1790" s="16"/>
      <c r="AA1790" s="16"/>
    </row>
    <row r="1791" spans="1:27" s="2" customFormat="1" ht="14">
      <c r="A1791" s="12">
        <v>1342337</v>
      </c>
      <c r="B1791" s="13" t="s">
        <v>14</v>
      </c>
      <c r="C1791" s="13" t="s">
        <v>4879</v>
      </c>
      <c r="D1791" s="13" t="s">
        <v>4880</v>
      </c>
      <c r="E1791" s="13" t="s">
        <v>4881</v>
      </c>
      <c r="F1791" s="14"/>
      <c r="G1791" s="14"/>
      <c r="H1791" s="14"/>
      <c r="I1791" s="14"/>
      <c r="J1791" s="14">
        <f t="shared" si="81"/>
        <v>0</v>
      </c>
      <c r="K1791" s="14">
        <f t="shared" si="82"/>
        <v>0</v>
      </c>
      <c r="L1791" s="17">
        <f t="shared" si="83"/>
        <v>0</v>
      </c>
      <c r="M1791" s="14"/>
      <c r="N1791" s="16"/>
      <c r="O1791" s="16"/>
      <c r="P1791" s="16"/>
      <c r="Q1791" s="16"/>
      <c r="R1791" s="16"/>
      <c r="S1791" s="16"/>
      <c r="T1791" s="16"/>
      <c r="U1791" s="16"/>
      <c r="V1791" s="16"/>
      <c r="W1791" s="16"/>
      <c r="X1791" s="16"/>
      <c r="Y1791" s="16"/>
      <c r="Z1791" s="16"/>
      <c r="AA1791" s="16"/>
    </row>
    <row r="1792" spans="1:27" s="2" customFormat="1" ht="14">
      <c r="A1792" s="12">
        <v>1342351</v>
      </c>
      <c r="B1792" s="13" t="s">
        <v>14</v>
      </c>
      <c r="C1792" s="13" t="s">
        <v>4882</v>
      </c>
      <c r="D1792" s="13" t="s">
        <v>4883</v>
      </c>
      <c r="E1792" s="13" t="s">
        <v>3796</v>
      </c>
      <c r="F1792" s="14"/>
      <c r="G1792" s="14"/>
      <c r="H1792" s="14"/>
      <c r="I1792" s="14"/>
      <c r="J1792" s="14">
        <f t="shared" si="81"/>
        <v>0</v>
      </c>
      <c r="K1792" s="14">
        <f t="shared" si="82"/>
        <v>0</v>
      </c>
      <c r="L1792" s="17">
        <f t="shared" si="83"/>
        <v>0</v>
      </c>
      <c r="M1792" s="14"/>
      <c r="N1792" s="16"/>
      <c r="O1792" s="16"/>
      <c r="P1792" s="16"/>
      <c r="Q1792" s="16"/>
      <c r="R1792" s="16"/>
      <c r="S1792" s="16"/>
      <c r="T1792" s="16"/>
      <c r="U1792" s="16"/>
      <c r="V1792" s="16"/>
      <c r="W1792" s="16"/>
      <c r="X1792" s="16"/>
      <c r="Y1792" s="16"/>
      <c r="Z1792" s="16"/>
      <c r="AA1792" s="16"/>
    </row>
    <row r="1793" spans="1:27" s="2" customFormat="1" ht="14">
      <c r="A1793" s="12" t="s">
        <v>4884</v>
      </c>
      <c r="B1793" s="13" t="s">
        <v>14</v>
      </c>
      <c r="C1793" s="13" t="s">
        <v>4885</v>
      </c>
      <c r="D1793" s="13" t="s">
        <v>4886</v>
      </c>
      <c r="E1793" s="13" t="s">
        <v>220</v>
      </c>
      <c r="F1793" s="14"/>
      <c r="G1793" s="14"/>
      <c r="H1793" s="14"/>
      <c r="I1793" s="14"/>
      <c r="J1793" s="14">
        <f t="shared" si="81"/>
        <v>0</v>
      </c>
      <c r="K1793" s="14">
        <f t="shared" si="82"/>
        <v>0</v>
      </c>
      <c r="L1793" s="17">
        <f t="shared" si="83"/>
        <v>0</v>
      </c>
      <c r="M1793" s="14"/>
      <c r="N1793" s="16"/>
      <c r="O1793" s="16"/>
      <c r="P1793" s="16"/>
      <c r="Q1793" s="16"/>
      <c r="R1793" s="16"/>
      <c r="S1793" s="16"/>
      <c r="T1793" s="16"/>
      <c r="U1793" s="16"/>
      <c r="V1793" s="16"/>
      <c r="W1793" s="16"/>
      <c r="X1793" s="16"/>
      <c r="Y1793" s="16"/>
      <c r="Z1793" s="16"/>
      <c r="AA1793" s="16"/>
    </row>
    <row r="1794" spans="1:27" s="2" customFormat="1" ht="14">
      <c r="A1794" s="12" t="s">
        <v>4887</v>
      </c>
      <c r="B1794" s="13" t="s">
        <v>14</v>
      </c>
      <c r="C1794" s="13" t="s">
        <v>4888</v>
      </c>
      <c r="D1794" s="13" t="s">
        <v>4889</v>
      </c>
      <c r="E1794" s="13" t="s">
        <v>72</v>
      </c>
      <c r="F1794" s="14"/>
      <c r="G1794" s="14"/>
      <c r="H1794" s="14"/>
      <c r="I1794" s="14"/>
      <c r="J1794" s="14">
        <f t="shared" ref="J1794:J1857" si="84">IF(G1794&gt;0,1,0)</f>
        <v>0</v>
      </c>
      <c r="K1794" s="14">
        <f t="shared" ref="K1794:K1857" si="85">IF(H1794&gt;0,1,0)</f>
        <v>0</v>
      </c>
      <c r="L1794" s="17">
        <f t="shared" ref="L1794:L1857" si="86">IF(G1794&gt;0,IF(H1794&gt;0,1,0),0)</f>
        <v>0</v>
      </c>
      <c r="M1794" s="14"/>
      <c r="N1794" s="16"/>
      <c r="O1794" s="16"/>
      <c r="P1794" s="16"/>
      <c r="Q1794" s="16"/>
      <c r="R1794" s="16"/>
      <c r="S1794" s="16"/>
      <c r="T1794" s="16"/>
      <c r="U1794" s="16"/>
      <c r="V1794" s="16"/>
      <c r="W1794" s="16"/>
      <c r="X1794" s="16"/>
      <c r="Y1794" s="16"/>
      <c r="Z1794" s="16"/>
      <c r="AA1794" s="16"/>
    </row>
    <row r="1795" spans="1:27" s="2" customFormat="1" ht="14">
      <c r="A1795" s="12" t="s">
        <v>4890</v>
      </c>
      <c r="B1795" s="13" t="s">
        <v>14</v>
      </c>
      <c r="C1795" s="13" t="s">
        <v>4891</v>
      </c>
      <c r="D1795" s="13" t="s">
        <v>4892</v>
      </c>
      <c r="E1795" s="13" t="s">
        <v>114</v>
      </c>
      <c r="F1795" s="14"/>
      <c r="G1795" s="14"/>
      <c r="H1795" s="14"/>
      <c r="I1795" s="14"/>
      <c r="J1795" s="14">
        <f t="shared" si="84"/>
        <v>0</v>
      </c>
      <c r="K1795" s="14">
        <f t="shared" si="85"/>
        <v>0</v>
      </c>
      <c r="L1795" s="17">
        <f t="shared" si="86"/>
        <v>0</v>
      </c>
      <c r="M1795" s="14"/>
      <c r="N1795" s="16"/>
      <c r="O1795" s="16"/>
      <c r="P1795" s="16"/>
      <c r="Q1795" s="16"/>
      <c r="R1795" s="16"/>
      <c r="S1795" s="16"/>
      <c r="T1795" s="16"/>
      <c r="U1795" s="16"/>
      <c r="V1795" s="16"/>
      <c r="W1795" s="16"/>
      <c r="X1795" s="16"/>
      <c r="Y1795" s="16"/>
      <c r="Z1795" s="16"/>
      <c r="AA1795" s="16"/>
    </row>
    <row r="1796" spans="1:27" s="2" customFormat="1" ht="14">
      <c r="A1796" s="12">
        <v>1341010</v>
      </c>
      <c r="B1796" s="13" t="s">
        <v>62</v>
      </c>
      <c r="C1796" s="13" t="s">
        <v>4893</v>
      </c>
      <c r="D1796" s="13" t="s">
        <v>4894</v>
      </c>
      <c r="E1796" s="13" t="s">
        <v>3948</v>
      </c>
      <c r="F1796" s="14"/>
      <c r="G1796" s="14"/>
      <c r="H1796" s="14"/>
      <c r="I1796" s="14"/>
      <c r="J1796" s="14">
        <f t="shared" si="84"/>
        <v>0</v>
      </c>
      <c r="K1796" s="14">
        <f t="shared" si="85"/>
        <v>0</v>
      </c>
      <c r="L1796" s="17">
        <f t="shared" si="86"/>
        <v>0</v>
      </c>
      <c r="M1796" s="14"/>
      <c r="N1796" s="16"/>
      <c r="O1796" s="16"/>
      <c r="P1796" s="16"/>
      <c r="Q1796" s="16"/>
      <c r="R1796" s="16"/>
      <c r="S1796" s="16"/>
      <c r="T1796" s="16"/>
      <c r="U1796" s="16"/>
      <c r="V1796" s="16"/>
      <c r="W1796" s="16"/>
      <c r="X1796" s="16"/>
      <c r="Y1796" s="16"/>
      <c r="Z1796" s="16"/>
      <c r="AA1796" s="16"/>
    </row>
    <row r="1797" spans="1:27" s="2" customFormat="1" ht="14">
      <c r="A1797" s="12">
        <v>1341026</v>
      </c>
      <c r="B1797" s="13" t="s">
        <v>14</v>
      </c>
      <c r="C1797" s="13" t="s">
        <v>4895</v>
      </c>
      <c r="D1797" s="13" t="s">
        <v>4896</v>
      </c>
      <c r="E1797" s="13" t="s">
        <v>1573</v>
      </c>
      <c r="F1797" s="14"/>
      <c r="G1797" s="14"/>
      <c r="H1797" s="14"/>
      <c r="I1797" s="14"/>
      <c r="J1797" s="14">
        <f t="shared" si="84"/>
        <v>0</v>
      </c>
      <c r="K1797" s="14">
        <f t="shared" si="85"/>
        <v>0</v>
      </c>
      <c r="L1797" s="17">
        <f t="shared" si="86"/>
        <v>0</v>
      </c>
      <c r="M1797" s="14"/>
      <c r="N1797" s="16"/>
      <c r="O1797" s="16"/>
      <c r="P1797" s="16"/>
      <c r="Q1797" s="16"/>
      <c r="R1797" s="16"/>
      <c r="S1797" s="16"/>
      <c r="T1797" s="16"/>
      <c r="U1797" s="16"/>
      <c r="V1797" s="16"/>
      <c r="W1797" s="16"/>
      <c r="X1797" s="16"/>
      <c r="Y1797" s="16"/>
      <c r="Z1797" s="16"/>
      <c r="AA1797" s="16"/>
    </row>
    <row r="1798" spans="1:27" s="2" customFormat="1" ht="14">
      <c r="A1798" s="12">
        <v>1342866</v>
      </c>
      <c r="B1798" s="13" t="s">
        <v>14</v>
      </c>
      <c r="C1798" s="13" t="s">
        <v>4897</v>
      </c>
      <c r="D1798" s="13" t="s">
        <v>4898</v>
      </c>
      <c r="E1798" s="13" t="s">
        <v>3189</v>
      </c>
      <c r="F1798" s="14"/>
      <c r="G1798" s="14"/>
      <c r="H1798" s="14"/>
      <c r="I1798" s="14"/>
      <c r="J1798" s="14">
        <f t="shared" si="84"/>
        <v>0</v>
      </c>
      <c r="K1798" s="14">
        <f t="shared" si="85"/>
        <v>0</v>
      </c>
      <c r="L1798" s="17">
        <f t="shared" si="86"/>
        <v>0</v>
      </c>
      <c r="M1798" s="14"/>
      <c r="N1798" s="16"/>
      <c r="O1798" s="16"/>
      <c r="P1798" s="16"/>
      <c r="Q1798" s="16"/>
      <c r="R1798" s="16"/>
      <c r="S1798" s="16"/>
      <c r="T1798" s="16"/>
      <c r="U1798" s="16"/>
      <c r="V1798" s="16"/>
      <c r="W1798" s="16"/>
      <c r="X1798" s="16"/>
      <c r="Y1798" s="16"/>
      <c r="Z1798" s="16"/>
      <c r="AA1798" s="16"/>
    </row>
    <row r="1799" spans="1:27" s="2" customFormat="1" ht="14">
      <c r="A1799" s="12">
        <v>1342920</v>
      </c>
      <c r="B1799" s="13" t="s">
        <v>14</v>
      </c>
      <c r="C1799" s="13" t="s">
        <v>4899</v>
      </c>
      <c r="D1799" s="13" t="s">
        <v>4900</v>
      </c>
      <c r="E1799" s="13" t="s">
        <v>4203</v>
      </c>
      <c r="F1799" s="14"/>
      <c r="G1799" s="14"/>
      <c r="H1799" s="14"/>
      <c r="I1799" s="14"/>
      <c r="J1799" s="14">
        <f t="shared" si="84"/>
        <v>0</v>
      </c>
      <c r="K1799" s="14">
        <f t="shared" si="85"/>
        <v>0</v>
      </c>
      <c r="L1799" s="17">
        <f t="shared" si="86"/>
        <v>0</v>
      </c>
      <c r="M1799" s="14"/>
      <c r="N1799" s="16"/>
      <c r="O1799" s="16"/>
      <c r="P1799" s="16"/>
      <c r="Q1799" s="16"/>
      <c r="R1799" s="16"/>
      <c r="S1799" s="16"/>
      <c r="T1799" s="16"/>
      <c r="U1799" s="16"/>
      <c r="V1799" s="16"/>
      <c r="W1799" s="16"/>
      <c r="X1799" s="16"/>
      <c r="Y1799" s="16"/>
      <c r="Z1799" s="16"/>
      <c r="AA1799" s="16"/>
    </row>
    <row r="1800" spans="1:27" s="2" customFormat="1" ht="14">
      <c r="A1800" s="12">
        <v>1342944</v>
      </c>
      <c r="B1800" s="13" t="s">
        <v>62</v>
      </c>
      <c r="C1800" s="13" t="s">
        <v>4901</v>
      </c>
      <c r="D1800" s="13" t="s">
        <v>4902</v>
      </c>
      <c r="E1800" s="13" t="s">
        <v>1998</v>
      </c>
      <c r="F1800" s="14"/>
      <c r="G1800" s="14"/>
      <c r="H1800" s="14"/>
      <c r="I1800" s="14"/>
      <c r="J1800" s="14">
        <f t="shared" si="84"/>
        <v>0</v>
      </c>
      <c r="K1800" s="14">
        <f t="shared" si="85"/>
        <v>0</v>
      </c>
      <c r="L1800" s="17">
        <f t="shared" si="86"/>
        <v>0</v>
      </c>
      <c r="M1800" s="14"/>
      <c r="N1800" s="16"/>
      <c r="O1800" s="16"/>
      <c r="P1800" s="16"/>
      <c r="Q1800" s="16"/>
      <c r="R1800" s="16"/>
      <c r="S1800" s="16"/>
      <c r="T1800" s="16"/>
      <c r="U1800" s="16"/>
      <c r="V1800" s="16"/>
      <c r="W1800" s="16"/>
      <c r="X1800" s="16"/>
      <c r="Y1800" s="16"/>
      <c r="Z1800" s="16"/>
      <c r="AA1800" s="16"/>
    </row>
    <row r="1801" spans="1:27" s="2" customFormat="1" ht="14">
      <c r="A1801" s="12">
        <v>1343031</v>
      </c>
      <c r="B1801" s="13" t="s">
        <v>14</v>
      </c>
      <c r="C1801" s="13" t="s">
        <v>4903</v>
      </c>
      <c r="D1801" s="13" t="s">
        <v>4904</v>
      </c>
      <c r="E1801" s="13" t="s">
        <v>3402</v>
      </c>
      <c r="F1801" s="14"/>
      <c r="G1801" s="14"/>
      <c r="H1801" s="14"/>
      <c r="I1801" s="14"/>
      <c r="J1801" s="14">
        <f t="shared" si="84"/>
        <v>0</v>
      </c>
      <c r="K1801" s="14">
        <f t="shared" si="85"/>
        <v>0</v>
      </c>
      <c r="L1801" s="17">
        <f t="shared" si="86"/>
        <v>0</v>
      </c>
      <c r="M1801" s="14"/>
      <c r="N1801" s="16"/>
      <c r="O1801" s="16"/>
      <c r="P1801" s="16"/>
      <c r="Q1801" s="16"/>
      <c r="R1801" s="16"/>
      <c r="S1801" s="16"/>
      <c r="T1801" s="16"/>
      <c r="U1801" s="16"/>
      <c r="V1801" s="16"/>
      <c r="W1801" s="16"/>
      <c r="X1801" s="16"/>
      <c r="Y1801" s="16"/>
      <c r="Z1801" s="16"/>
      <c r="AA1801" s="16"/>
    </row>
    <row r="1802" spans="1:27" s="2" customFormat="1" ht="14">
      <c r="A1802" s="12">
        <v>1343036</v>
      </c>
      <c r="B1802" s="13" t="s">
        <v>14</v>
      </c>
      <c r="C1802" s="13" t="s">
        <v>4905</v>
      </c>
      <c r="D1802" s="13" t="s">
        <v>4906</v>
      </c>
      <c r="E1802" s="13" t="s">
        <v>3606</v>
      </c>
      <c r="F1802" s="14"/>
      <c r="G1802" s="14"/>
      <c r="H1802" s="14"/>
      <c r="I1802" s="14"/>
      <c r="J1802" s="14">
        <f t="shared" si="84"/>
        <v>0</v>
      </c>
      <c r="K1802" s="14">
        <f t="shared" si="85"/>
        <v>0</v>
      </c>
      <c r="L1802" s="17">
        <f t="shared" si="86"/>
        <v>0</v>
      </c>
      <c r="M1802" s="14"/>
      <c r="N1802" s="16"/>
      <c r="O1802" s="16"/>
      <c r="P1802" s="16"/>
      <c r="Q1802" s="16"/>
      <c r="R1802" s="16"/>
      <c r="S1802" s="16"/>
      <c r="T1802" s="16"/>
      <c r="U1802" s="16"/>
      <c r="V1802" s="16"/>
      <c r="W1802" s="16"/>
      <c r="X1802" s="16"/>
      <c r="Y1802" s="16"/>
      <c r="Z1802" s="16"/>
      <c r="AA1802" s="16"/>
    </row>
    <row r="1803" spans="1:27" s="2" customFormat="1" ht="14">
      <c r="A1803" s="12">
        <v>1341117</v>
      </c>
      <c r="B1803" s="13" t="s">
        <v>14</v>
      </c>
      <c r="C1803" s="13" t="s">
        <v>4907</v>
      </c>
      <c r="D1803" s="13" t="s">
        <v>4908</v>
      </c>
      <c r="E1803" s="13" t="s">
        <v>3506</v>
      </c>
      <c r="F1803" s="14"/>
      <c r="G1803" s="14"/>
      <c r="H1803" s="14"/>
      <c r="I1803" s="14"/>
      <c r="J1803" s="14">
        <f t="shared" si="84"/>
        <v>0</v>
      </c>
      <c r="K1803" s="14">
        <f t="shared" si="85"/>
        <v>0</v>
      </c>
      <c r="L1803" s="17">
        <f t="shared" si="86"/>
        <v>0</v>
      </c>
      <c r="M1803" s="14"/>
      <c r="N1803" s="16"/>
      <c r="O1803" s="16"/>
      <c r="P1803" s="16"/>
      <c r="Q1803" s="16"/>
      <c r="R1803" s="16"/>
      <c r="S1803" s="16"/>
      <c r="T1803" s="16"/>
      <c r="U1803" s="16"/>
      <c r="V1803" s="16"/>
      <c r="W1803" s="16"/>
      <c r="X1803" s="16"/>
      <c r="Y1803" s="16"/>
      <c r="Z1803" s="16"/>
      <c r="AA1803" s="16"/>
    </row>
    <row r="1804" spans="1:27" s="2" customFormat="1" ht="14">
      <c r="A1804" s="12">
        <v>1342768</v>
      </c>
      <c r="B1804" s="13" t="s">
        <v>14</v>
      </c>
      <c r="C1804" s="13" t="s">
        <v>4909</v>
      </c>
      <c r="D1804" s="13" t="s">
        <v>4910</v>
      </c>
      <c r="E1804" s="13" t="s">
        <v>3905</v>
      </c>
      <c r="F1804" s="14"/>
      <c r="G1804" s="14"/>
      <c r="H1804" s="14"/>
      <c r="I1804" s="14"/>
      <c r="J1804" s="14">
        <f t="shared" si="84"/>
        <v>0</v>
      </c>
      <c r="K1804" s="14">
        <f t="shared" si="85"/>
        <v>0</v>
      </c>
      <c r="L1804" s="17">
        <f t="shared" si="86"/>
        <v>0</v>
      </c>
      <c r="M1804" s="14"/>
      <c r="N1804" s="16"/>
      <c r="O1804" s="16"/>
      <c r="P1804" s="16"/>
      <c r="Q1804" s="16"/>
      <c r="R1804" s="16"/>
      <c r="S1804" s="16"/>
      <c r="T1804" s="16"/>
      <c r="U1804" s="16"/>
      <c r="V1804" s="16"/>
      <c r="W1804" s="16"/>
      <c r="X1804" s="16"/>
      <c r="Y1804" s="16"/>
      <c r="Z1804" s="16"/>
      <c r="AA1804" s="16"/>
    </row>
    <row r="1805" spans="1:27" s="2" customFormat="1" ht="14">
      <c r="A1805" s="12">
        <v>1342769</v>
      </c>
      <c r="B1805" s="13" t="s">
        <v>62</v>
      </c>
      <c r="C1805" s="13" t="s">
        <v>4911</v>
      </c>
      <c r="D1805" s="13" t="s">
        <v>4912</v>
      </c>
      <c r="E1805" s="13" t="s">
        <v>3649</v>
      </c>
      <c r="F1805" s="14"/>
      <c r="G1805" s="14"/>
      <c r="H1805" s="14"/>
      <c r="I1805" s="14"/>
      <c r="J1805" s="14">
        <f t="shared" si="84"/>
        <v>0</v>
      </c>
      <c r="K1805" s="14">
        <f t="shared" si="85"/>
        <v>0</v>
      </c>
      <c r="L1805" s="17">
        <f t="shared" si="86"/>
        <v>0</v>
      </c>
      <c r="M1805" s="14"/>
      <c r="N1805" s="16"/>
      <c r="O1805" s="16"/>
      <c r="P1805" s="16"/>
      <c r="Q1805" s="16"/>
      <c r="R1805" s="16"/>
      <c r="S1805" s="16"/>
      <c r="T1805" s="16"/>
      <c r="U1805" s="16"/>
      <c r="V1805" s="16"/>
      <c r="W1805" s="16"/>
      <c r="X1805" s="16"/>
      <c r="Y1805" s="16"/>
      <c r="Z1805" s="16"/>
      <c r="AA1805" s="16"/>
    </row>
    <row r="1806" spans="1:27" s="2" customFormat="1" ht="14">
      <c r="A1806" s="12" t="s">
        <v>4913</v>
      </c>
      <c r="B1806" s="13" t="s">
        <v>14</v>
      </c>
      <c r="C1806" s="13" t="s">
        <v>4914</v>
      </c>
      <c r="D1806" s="13" t="s">
        <v>4915</v>
      </c>
      <c r="E1806" s="13" t="s">
        <v>76</v>
      </c>
      <c r="F1806" s="14"/>
      <c r="G1806" s="14"/>
      <c r="H1806" s="14"/>
      <c r="I1806" s="14"/>
      <c r="J1806" s="14">
        <f t="shared" si="84"/>
        <v>0</v>
      </c>
      <c r="K1806" s="14">
        <f t="shared" si="85"/>
        <v>0</v>
      </c>
      <c r="L1806" s="17">
        <f t="shared" si="86"/>
        <v>0</v>
      </c>
      <c r="M1806" s="14"/>
      <c r="N1806" s="16"/>
      <c r="O1806" s="16"/>
      <c r="P1806" s="16"/>
      <c r="Q1806" s="16"/>
      <c r="R1806" s="16"/>
      <c r="S1806" s="16"/>
      <c r="T1806" s="16"/>
      <c r="U1806" s="16"/>
      <c r="V1806" s="16"/>
      <c r="W1806" s="16"/>
      <c r="X1806" s="16"/>
      <c r="Y1806" s="16"/>
      <c r="Z1806" s="16"/>
      <c r="AA1806" s="16"/>
    </row>
    <row r="1807" spans="1:27" s="2" customFormat="1" ht="14">
      <c r="A1807" s="12">
        <v>1342783</v>
      </c>
      <c r="B1807" s="13" t="s">
        <v>14</v>
      </c>
      <c r="C1807" s="13" t="s">
        <v>4916</v>
      </c>
      <c r="D1807" s="13" t="s">
        <v>4917</v>
      </c>
      <c r="E1807" s="13" t="s">
        <v>3533</v>
      </c>
      <c r="F1807" s="14"/>
      <c r="G1807" s="14"/>
      <c r="H1807" s="14"/>
      <c r="I1807" s="14"/>
      <c r="J1807" s="14">
        <f t="shared" si="84"/>
        <v>0</v>
      </c>
      <c r="K1807" s="14">
        <f t="shared" si="85"/>
        <v>0</v>
      </c>
      <c r="L1807" s="17">
        <f t="shared" si="86"/>
        <v>0</v>
      </c>
      <c r="M1807" s="14"/>
      <c r="N1807" s="16"/>
      <c r="O1807" s="16"/>
      <c r="P1807" s="16"/>
      <c r="Q1807" s="16"/>
      <c r="R1807" s="16"/>
      <c r="S1807" s="16"/>
      <c r="T1807" s="16"/>
      <c r="U1807" s="16"/>
      <c r="V1807" s="16"/>
      <c r="W1807" s="16"/>
      <c r="X1807" s="16"/>
      <c r="Y1807" s="16"/>
      <c r="Z1807" s="16"/>
      <c r="AA1807" s="16"/>
    </row>
    <row r="1808" spans="1:27" s="2" customFormat="1" ht="14">
      <c r="A1808" s="12" t="s">
        <v>4918</v>
      </c>
      <c r="B1808" s="13" t="s">
        <v>62</v>
      </c>
      <c r="C1808" s="13" t="s">
        <v>4919</v>
      </c>
      <c r="D1808" s="13" t="s">
        <v>4920</v>
      </c>
      <c r="E1808" s="13" t="s">
        <v>114</v>
      </c>
      <c r="F1808" s="14"/>
      <c r="G1808" s="14"/>
      <c r="H1808" s="14"/>
      <c r="I1808" s="14"/>
      <c r="J1808" s="14">
        <f t="shared" si="84"/>
        <v>0</v>
      </c>
      <c r="K1808" s="14">
        <f t="shared" si="85"/>
        <v>0</v>
      </c>
      <c r="L1808" s="17">
        <f t="shared" si="86"/>
        <v>0</v>
      </c>
      <c r="M1808" s="14"/>
      <c r="N1808" s="16"/>
      <c r="O1808" s="16"/>
      <c r="P1808" s="16"/>
      <c r="Q1808" s="16"/>
      <c r="R1808" s="16"/>
      <c r="S1808" s="16"/>
      <c r="T1808" s="16"/>
      <c r="U1808" s="16"/>
      <c r="V1808" s="16"/>
      <c r="W1808" s="16"/>
      <c r="X1808" s="16"/>
      <c r="Y1808" s="16"/>
      <c r="Z1808" s="16"/>
      <c r="AA1808" s="16"/>
    </row>
    <row r="1809" spans="1:27" s="2" customFormat="1" ht="14">
      <c r="A1809" s="12" t="s">
        <v>4921</v>
      </c>
      <c r="B1809" s="13" t="s">
        <v>14</v>
      </c>
      <c r="C1809" s="13" t="s">
        <v>4922</v>
      </c>
      <c r="D1809" s="13" t="s">
        <v>4923</v>
      </c>
      <c r="E1809" s="13" t="s">
        <v>72</v>
      </c>
      <c r="F1809" s="14"/>
      <c r="G1809" s="14"/>
      <c r="H1809" s="14"/>
      <c r="I1809" s="14"/>
      <c r="J1809" s="14">
        <f t="shared" si="84"/>
        <v>0</v>
      </c>
      <c r="K1809" s="14">
        <f t="shared" si="85"/>
        <v>0</v>
      </c>
      <c r="L1809" s="17">
        <f t="shared" si="86"/>
        <v>0</v>
      </c>
      <c r="M1809" s="14"/>
      <c r="N1809" s="16"/>
      <c r="O1809" s="16"/>
      <c r="P1809" s="16"/>
      <c r="Q1809" s="16"/>
      <c r="R1809" s="16"/>
      <c r="S1809" s="16"/>
      <c r="T1809" s="16"/>
      <c r="U1809" s="16"/>
      <c r="V1809" s="16"/>
      <c r="W1809" s="16"/>
      <c r="X1809" s="16"/>
      <c r="Y1809" s="16"/>
      <c r="Z1809" s="16"/>
      <c r="AA1809" s="16"/>
    </row>
    <row r="1810" spans="1:27" s="2" customFormat="1" ht="14">
      <c r="A1810" s="12">
        <v>1344320</v>
      </c>
      <c r="B1810" s="13" t="s">
        <v>62</v>
      </c>
      <c r="C1810" s="13" t="s">
        <v>4924</v>
      </c>
      <c r="D1810" s="13" t="s">
        <v>4925</v>
      </c>
      <c r="E1810" s="13" t="s">
        <v>3862</v>
      </c>
      <c r="F1810" s="14"/>
      <c r="G1810" s="14"/>
      <c r="H1810" s="14"/>
      <c r="I1810" s="14"/>
      <c r="J1810" s="14">
        <f t="shared" si="84"/>
        <v>0</v>
      </c>
      <c r="K1810" s="14">
        <f t="shared" si="85"/>
        <v>0</v>
      </c>
      <c r="L1810" s="17">
        <f t="shared" si="86"/>
        <v>0</v>
      </c>
      <c r="M1810" s="14"/>
      <c r="N1810" s="16"/>
      <c r="O1810" s="16"/>
      <c r="P1810" s="16"/>
      <c r="Q1810" s="16"/>
      <c r="R1810" s="16"/>
      <c r="S1810" s="16"/>
      <c r="T1810" s="16"/>
      <c r="U1810" s="16"/>
      <c r="V1810" s="16"/>
      <c r="W1810" s="16"/>
      <c r="X1810" s="16"/>
      <c r="Y1810" s="16"/>
      <c r="Z1810" s="16"/>
      <c r="AA1810" s="16"/>
    </row>
    <row r="1811" spans="1:27" s="2" customFormat="1" ht="14">
      <c r="A1811" s="12" t="s">
        <v>4926</v>
      </c>
      <c r="B1811" s="13" t="s">
        <v>14</v>
      </c>
      <c r="C1811" s="13" t="s">
        <v>4927</v>
      </c>
      <c r="D1811" s="13" t="s">
        <v>4928</v>
      </c>
      <c r="E1811" s="13" t="s">
        <v>285</v>
      </c>
      <c r="F1811" s="14"/>
      <c r="G1811" s="14"/>
      <c r="H1811" s="14"/>
      <c r="I1811" s="14"/>
      <c r="J1811" s="14">
        <f t="shared" si="84"/>
        <v>0</v>
      </c>
      <c r="K1811" s="14">
        <f t="shared" si="85"/>
        <v>0</v>
      </c>
      <c r="L1811" s="17">
        <f t="shared" si="86"/>
        <v>0</v>
      </c>
      <c r="M1811" s="14"/>
      <c r="N1811" s="16"/>
      <c r="O1811" s="16"/>
      <c r="P1811" s="16"/>
      <c r="Q1811" s="16"/>
      <c r="R1811" s="16"/>
      <c r="S1811" s="16"/>
      <c r="T1811" s="16"/>
      <c r="U1811" s="16"/>
      <c r="V1811" s="16"/>
      <c r="W1811" s="16"/>
      <c r="X1811" s="16"/>
      <c r="Y1811" s="16"/>
      <c r="Z1811" s="16"/>
      <c r="AA1811" s="16"/>
    </row>
    <row r="1812" spans="1:27" s="2" customFormat="1" ht="14">
      <c r="A1812" s="12">
        <v>1344961</v>
      </c>
      <c r="B1812" s="13" t="s">
        <v>14</v>
      </c>
      <c r="C1812" s="13" t="s">
        <v>4929</v>
      </c>
      <c r="D1812" s="13" t="s">
        <v>4930</v>
      </c>
      <c r="E1812" s="13" t="s">
        <v>3189</v>
      </c>
      <c r="F1812" s="14"/>
      <c r="G1812" s="14"/>
      <c r="H1812" s="14"/>
      <c r="I1812" s="14"/>
      <c r="J1812" s="14">
        <f t="shared" si="84"/>
        <v>0</v>
      </c>
      <c r="K1812" s="14">
        <f t="shared" si="85"/>
        <v>0</v>
      </c>
      <c r="L1812" s="17">
        <f t="shared" si="86"/>
        <v>0</v>
      </c>
      <c r="M1812" s="14"/>
      <c r="N1812" s="16"/>
      <c r="O1812" s="16"/>
      <c r="P1812" s="16"/>
      <c r="Q1812" s="16"/>
      <c r="R1812" s="16"/>
      <c r="S1812" s="16"/>
      <c r="T1812" s="16"/>
      <c r="U1812" s="16"/>
      <c r="V1812" s="16"/>
      <c r="W1812" s="16"/>
      <c r="X1812" s="16"/>
      <c r="Y1812" s="16"/>
      <c r="Z1812" s="16"/>
      <c r="AA1812" s="16"/>
    </row>
    <row r="1813" spans="1:27" s="2" customFormat="1" ht="14">
      <c r="A1813" s="12">
        <v>1344971</v>
      </c>
      <c r="B1813" s="13" t="s">
        <v>14</v>
      </c>
      <c r="C1813" s="13" t="s">
        <v>4931</v>
      </c>
      <c r="D1813" s="13" t="s">
        <v>4932</v>
      </c>
      <c r="E1813" s="13" t="s">
        <v>3703</v>
      </c>
      <c r="F1813" s="14"/>
      <c r="G1813" s="14"/>
      <c r="H1813" s="14"/>
      <c r="I1813" s="14"/>
      <c r="J1813" s="14">
        <f t="shared" si="84"/>
        <v>0</v>
      </c>
      <c r="K1813" s="14">
        <f t="shared" si="85"/>
        <v>0</v>
      </c>
      <c r="L1813" s="17">
        <f t="shared" si="86"/>
        <v>0</v>
      </c>
      <c r="M1813" s="14"/>
      <c r="N1813" s="16"/>
      <c r="O1813" s="16"/>
      <c r="P1813" s="16"/>
      <c r="Q1813" s="16"/>
      <c r="R1813" s="16"/>
      <c r="S1813" s="16"/>
      <c r="T1813" s="16"/>
      <c r="U1813" s="16"/>
      <c r="V1813" s="16"/>
      <c r="W1813" s="16"/>
      <c r="X1813" s="16"/>
      <c r="Y1813" s="16"/>
      <c r="Z1813" s="16"/>
      <c r="AA1813" s="16"/>
    </row>
    <row r="1814" spans="1:27" s="2" customFormat="1" ht="14">
      <c r="A1814" s="12">
        <v>1346147</v>
      </c>
      <c r="B1814" s="13" t="s">
        <v>14</v>
      </c>
      <c r="C1814" s="13" t="s">
        <v>4933</v>
      </c>
      <c r="D1814" s="13" t="s">
        <v>4934</v>
      </c>
      <c r="E1814" s="13" t="s">
        <v>3632</v>
      </c>
      <c r="F1814" s="14"/>
      <c r="G1814" s="14"/>
      <c r="H1814" s="14"/>
      <c r="I1814" s="14"/>
      <c r="J1814" s="14">
        <f t="shared" si="84"/>
        <v>0</v>
      </c>
      <c r="K1814" s="14">
        <f t="shared" si="85"/>
        <v>0</v>
      </c>
      <c r="L1814" s="17">
        <f t="shared" si="86"/>
        <v>0</v>
      </c>
      <c r="M1814" s="14"/>
      <c r="N1814" s="16"/>
      <c r="O1814" s="16"/>
      <c r="P1814" s="16"/>
      <c r="Q1814" s="16"/>
      <c r="R1814" s="16"/>
      <c r="S1814" s="16"/>
      <c r="T1814" s="16"/>
      <c r="U1814" s="16"/>
      <c r="V1814" s="16"/>
      <c r="W1814" s="16"/>
      <c r="X1814" s="16"/>
      <c r="Y1814" s="16"/>
      <c r="Z1814" s="16"/>
      <c r="AA1814" s="16"/>
    </row>
    <row r="1815" spans="1:27" s="2" customFormat="1" ht="14">
      <c r="A1815" s="12" t="s">
        <v>4935</v>
      </c>
      <c r="B1815" s="13" t="s">
        <v>14</v>
      </c>
      <c r="C1815" s="13" t="s">
        <v>4936</v>
      </c>
      <c r="D1815" s="13" t="s">
        <v>4937</v>
      </c>
      <c r="E1815" s="13" t="s">
        <v>201</v>
      </c>
      <c r="F1815" s="14"/>
      <c r="G1815" s="14"/>
      <c r="H1815" s="14"/>
      <c r="I1815" s="14"/>
      <c r="J1815" s="14">
        <f t="shared" si="84"/>
        <v>0</v>
      </c>
      <c r="K1815" s="14">
        <f t="shared" si="85"/>
        <v>0</v>
      </c>
      <c r="L1815" s="17">
        <f t="shared" si="86"/>
        <v>0</v>
      </c>
      <c r="M1815" s="14"/>
      <c r="N1815" s="16"/>
      <c r="O1815" s="16"/>
      <c r="P1815" s="16"/>
      <c r="Q1815" s="16"/>
      <c r="R1815" s="16"/>
      <c r="S1815" s="16"/>
      <c r="T1815" s="16"/>
      <c r="U1815" s="16"/>
      <c r="V1815" s="16"/>
      <c r="W1815" s="16"/>
      <c r="X1815" s="16"/>
      <c r="Y1815" s="16"/>
      <c r="Z1815" s="16"/>
      <c r="AA1815" s="16"/>
    </row>
    <row r="1816" spans="1:27" s="2" customFormat="1" ht="14">
      <c r="A1816" s="12">
        <v>1345598</v>
      </c>
      <c r="B1816" s="13" t="s">
        <v>14</v>
      </c>
      <c r="C1816" s="13" t="s">
        <v>4938</v>
      </c>
      <c r="D1816" s="13" t="s">
        <v>4939</v>
      </c>
      <c r="E1816" s="13" t="s">
        <v>1573</v>
      </c>
      <c r="F1816" s="14"/>
      <c r="G1816" s="14"/>
      <c r="H1816" s="14"/>
      <c r="I1816" s="14"/>
      <c r="J1816" s="14">
        <f t="shared" si="84"/>
        <v>0</v>
      </c>
      <c r="K1816" s="14">
        <f t="shared" si="85"/>
        <v>0</v>
      </c>
      <c r="L1816" s="17">
        <f t="shared" si="86"/>
        <v>0</v>
      </c>
      <c r="M1816" s="14"/>
      <c r="N1816" s="16"/>
      <c r="O1816" s="16"/>
      <c r="P1816" s="16"/>
      <c r="Q1816" s="16"/>
      <c r="R1816" s="16"/>
      <c r="S1816" s="16"/>
      <c r="T1816" s="16"/>
      <c r="U1816" s="16"/>
      <c r="V1816" s="16"/>
      <c r="W1816" s="16"/>
      <c r="X1816" s="16"/>
      <c r="Y1816" s="16"/>
      <c r="Z1816" s="16"/>
      <c r="AA1816" s="16"/>
    </row>
    <row r="1817" spans="1:27" s="2" customFormat="1" ht="14">
      <c r="A1817" s="12">
        <v>1346266</v>
      </c>
      <c r="B1817" s="13" t="s">
        <v>14</v>
      </c>
      <c r="C1817" s="13" t="s">
        <v>4940</v>
      </c>
      <c r="D1817" s="13" t="s">
        <v>4941</v>
      </c>
      <c r="E1817" s="13" t="s">
        <v>3509</v>
      </c>
      <c r="F1817" s="14"/>
      <c r="G1817" s="14"/>
      <c r="H1817" s="14"/>
      <c r="I1817" s="14"/>
      <c r="J1817" s="14">
        <f t="shared" si="84"/>
        <v>0</v>
      </c>
      <c r="K1817" s="14">
        <f t="shared" si="85"/>
        <v>0</v>
      </c>
      <c r="L1817" s="17">
        <f t="shared" si="86"/>
        <v>0</v>
      </c>
      <c r="M1817" s="14"/>
      <c r="N1817" s="16"/>
      <c r="O1817" s="16"/>
      <c r="P1817" s="16"/>
      <c r="Q1817" s="16"/>
      <c r="R1817" s="16"/>
      <c r="S1817" s="16"/>
      <c r="T1817" s="16"/>
      <c r="U1817" s="16"/>
      <c r="V1817" s="16"/>
      <c r="W1817" s="16"/>
      <c r="X1817" s="16"/>
      <c r="Y1817" s="16"/>
      <c r="Z1817" s="16"/>
      <c r="AA1817" s="16"/>
    </row>
    <row r="1818" spans="1:27" s="2" customFormat="1" ht="14">
      <c r="A1818" s="12">
        <v>1347437</v>
      </c>
      <c r="B1818" s="13" t="s">
        <v>14</v>
      </c>
      <c r="C1818" s="13" t="s">
        <v>4942</v>
      </c>
      <c r="D1818" s="13" t="s">
        <v>4943</v>
      </c>
      <c r="E1818" s="13" t="s">
        <v>1573</v>
      </c>
      <c r="F1818" s="14"/>
      <c r="G1818" s="14"/>
      <c r="H1818" s="14"/>
      <c r="I1818" s="14"/>
      <c r="J1818" s="14">
        <f t="shared" si="84"/>
        <v>0</v>
      </c>
      <c r="K1818" s="14">
        <f t="shared" si="85"/>
        <v>0</v>
      </c>
      <c r="L1818" s="17">
        <f t="shared" si="86"/>
        <v>0</v>
      </c>
      <c r="M1818" s="14"/>
      <c r="N1818" s="16"/>
      <c r="O1818" s="16"/>
      <c r="P1818" s="16"/>
      <c r="Q1818" s="16"/>
      <c r="R1818" s="16"/>
      <c r="S1818" s="16"/>
      <c r="T1818" s="16"/>
      <c r="U1818" s="16"/>
      <c r="V1818" s="16"/>
      <c r="W1818" s="16"/>
      <c r="X1818" s="16"/>
      <c r="Y1818" s="16"/>
      <c r="Z1818" s="16"/>
      <c r="AA1818" s="16"/>
    </row>
    <row r="1819" spans="1:27" s="2" customFormat="1" ht="14">
      <c r="A1819" s="12">
        <v>1347278</v>
      </c>
      <c r="B1819" s="13" t="s">
        <v>14</v>
      </c>
      <c r="C1819" s="13" t="s">
        <v>4944</v>
      </c>
      <c r="D1819" s="13" t="s">
        <v>4945</v>
      </c>
      <c r="E1819" s="13" t="s">
        <v>3533</v>
      </c>
      <c r="F1819" s="14"/>
      <c r="G1819" s="14"/>
      <c r="H1819" s="14"/>
      <c r="I1819" s="14"/>
      <c r="J1819" s="14">
        <f t="shared" si="84"/>
        <v>0</v>
      </c>
      <c r="K1819" s="14">
        <f t="shared" si="85"/>
        <v>0</v>
      </c>
      <c r="L1819" s="17">
        <f t="shared" si="86"/>
        <v>0</v>
      </c>
      <c r="M1819" s="14"/>
      <c r="N1819" s="16"/>
      <c r="O1819" s="16"/>
      <c r="P1819" s="16"/>
      <c r="Q1819" s="16"/>
      <c r="R1819" s="16"/>
      <c r="S1819" s="16"/>
      <c r="T1819" s="16"/>
      <c r="U1819" s="16"/>
      <c r="V1819" s="16"/>
      <c r="W1819" s="16"/>
      <c r="X1819" s="16"/>
      <c r="Y1819" s="16"/>
      <c r="Z1819" s="16"/>
      <c r="AA1819" s="16"/>
    </row>
    <row r="1820" spans="1:27" s="2" customFormat="1" ht="14">
      <c r="A1820" s="12">
        <v>1347474</v>
      </c>
      <c r="B1820" s="13" t="s">
        <v>14</v>
      </c>
      <c r="C1820" s="13" t="s">
        <v>4946</v>
      </c>
      <c r="D1820" s="13" t="s">
        <v>4947</v>
      </c>
      <c r="E1820" s="13" t="s">
        <v>3533</v>
      </c>
      <c r="F1820" s="14"/>
      <c r="G1820" s="14"/>
      <c r="H1820" s="14"/>
      <c r="I1820" s="14"/>
      <c r="J1820" s="14">
        <f t="shared" si="84"/>
        <v>0</v>
      </c>
      <c r="K1820" s="14">
        <f t="shared" si="85"/>
        <v>0</v>
      </c>
      <c r="L1820" s="17">
        <f t="shared" si="86"/>
        <v>0</v>
      </c>
      <c r="M1820" s="14"/>
      <c r="N1820" s="16"/>
      <c r="O1820" s="16"/>
      <c r="P1820" s="16"/>
      <c r="Q1820" s="16"/>
      <c r="R1820" s="16"/>
      <c r="S1820" s="16"/>
      <c r="T1820" s="16"/>
      <c r="U1820" s="16"/>
      <c r="V1820" s="16"/>
      <c r="W1820" s="16"/>
      <c r="X1820" s="16"/>
      <c r="Y1820" s="16"/>
      <c r="Z1820" s="16"/>
      <c r="AA1820" s="16"/>
    </row>
    <row r="1821" spans="1:27" s="2" customFormat="1" ht="14">
      <c r="A1821" s="12">
        <v>1347477</v>
      </c>
      <c r="B1821" s="13" t="s">
        <v>14</v>
      </c>
      <c r="C1821" s="13" t="s">
        <v>4948</v>
      </c>
      <c r="D1821" s="13" t="s">
        <v>4949</v>
      </c>
      <c r="E1821" s="13" t="s">
        <v>837</v>
      </c>
      <c r="F1821" s="14"/>
      <c r="G1821" s="14"/>
      <c r="H1821" s="14"/>
      <c r="I1821" s="14"/>
      <c r="J1821" s="14">
        <f t="shared" si="84"/>
        <v>0</v>
      </c>
      <c r="K1821" s="14">
        <f t="shared" si="85"/>
        <v>0</v>
      </c>
      <c r="L1821" s="17">
        <f t="shared" si="86"/>
        <v>0</v>
      </c>
      <c r="M1821" s="14"/>
      <c r="N1821" s="16"/>
      <c r="O1821" s="16"/>
      <c r="P1821" s="16"/>
      <c r="Q1821" s="16"/>
      <c r="R1821" s="16"/>
      <c r="S1821" s="16"/>
      <c r="T1821" s="16"/>
      <c r="U1821" s="16"/>
      <c r="V1821" s="16"/>
      <c r="W1821" s="16"/>
      <c r="X1821" s="16"/>
      <c r="Y1821" s="16"/>
      <c r="Z1821" s="16"/>
      <c r="AA1821" s="16"/>
    </row>
    <row r="1822" spans="1:27" s="2" customFormat="1" ht="14">
      <c r="A1822" s="12">
        <v>1347304</v>
      </c>
      <c r="B1822" s="13" t="s">
        <v>14</v>
      </c>
      <c r="C1822" s="13" t="s">
        <v>4950</v>
      </c>
      <c r="D1822" s="13" t="s">
        <v>4951</v>
      </c>
      <c r="E1822" s="13" t="s">
        <v>3327</v>
      </c>
      <c r="F1822" s="14"/>
      <c r="G1822" s="14"/>
      <c r="H1822" s="14"/>
      <c r="I1822" s="14"/>
      <c r="J1822" s="14">
        <f t="shared" si="84"/>
        <v>0</v>
      </c>
      <c r="K1822" s="14">
        <f t="shared" si="85"/>
        <v>0</v>
      </c>
      <c r="L1822" s="17">
        <f t="shared" si="86"/>
        <v>0</v>
      </c>
      <c r="M1822" s="14"/>
      <c r="N1822" s="16"/>
      <c r="O1822" s="16"/>
      <c r="P1822" s="16"/>
      <c r="Q1822" s="16"/>
      <c r="R1822" s="16"/>
      <c r="S1822" s="16"/>
      <c r="T1822" s="16"/>
      <c r="U1822" s="16"/>
      <c r="V1822" s="16"/>
      <c r="W1822" s="16"/>
      <c r="X1822" s="16"/>
      <c r="Y1822" s="16"/>
      <c r="Z1822" s="16"/>
      <c r="AA1822" s="16"/>
    </row>
    <row r="1823" spans="1:27" s="2" customFormat="1" ht="14">
      <c r="A1823" s="12">
        <v>1347315</v>
      </c>
      <c r="B1823" s="13" t="s">
        <v>14</v>
      </c>
      <c r="C1823" s="13" t="s">
        <v>4952</v>
      </c>
      <c r="D1823" s="13" t="s">
        <v>4953</v>
      </c>
      <c r="E1823" s="13" t="s">
        <v>3189</v>
      </c>
      <c r="F1823" s="14"/>
      <c r="G1823" s="14"/>
      <c r="H1823" s="14"/>
      <c r="I1823" s="14"/>
      <c r="J1823" s="14">
        <f t="shared" si="84"/>
        <v>0</v>
      </c>
      <c r="K1823" s="14">
        <f t="shared" si="85"/>
        <v>0</v>
      </c>
      <c r="L1823" s="17">
        <f t="shared" si="86"/>
        <v>0</v>
      </c>
      <c r="M1823" s="14"/>
      <c r="N1823" s="16"/>
      <c r="O1823" s="16"/>
      <c r="P1823" s="16"/>
      <c r="Q1823" s="16"/>
      <c r="R1823" s="16"/>
      <c r="S1823" s="16"/>
      <c r="T1823" s="16"/>
      <c r="U1823" s="16"/>
      <c r="V1823" s="16"/>
      <c r="W1823" s="16"/>
      <c r="X1823" s="16"/>
      <c r="Y1823" s="16"/>
      <c r="Z1823" s="16"/>
      <c r="AA1823" s="16"/>
    </row>
    <row r="1824" spans="1:27" s="2" customFormat="1" ht="14">
      <c r="A1824" s="12">
        <v>1345350</v>
      </c>
      <c r="B1824" s="13" t="s">
        <v>14</v>
      </c>
      <c r="C1824" s="13" t="s">
        <v>4954</v>
      </c>
      <c r="D1824" s="13" t="s">
        <v>4955</v>
      </c>
      <c r="E1824" s="13" t="s">
        <v>3862</v>
      </c>
      <c r="F1824" s="14"/>
      <c r="G1824" s="14"/>
      <c r="H1824" s="14"/>
      <c r="I1824" s="14"/>
      <c r="J1824" s="14">
        <f t="shared" si="84"/>
        <v>0</v>
      </c>
      <c r="K1824" s="14">
        <f t="shared" si="85"/>
        <v>0</v>
      </c>
      <c r="L1824" s="17">
        <f t="shared" si="86"/>
        <v>0</v>
      </c>
      <c r="M1824" s="14"/>
      <c r="N1824" s="16"/>
      <c r="O1824" s="16"/>
      <c r="P1824" s="16"/>
      <c r="Q1824" s="16"/>
      <c r="R1824" s="16"/>
      <c r="S1824" s="16"/>
      <c r="T1824" s="16"/>
      <c r="U1824" s="16"/>
      <c r="V1824" s="16"/>
      <c r="W1824" s="16"/>
      <c r="X1824" s="16"/>
      <c r="Y1824" s="16"/>
      <c r="Z1824" s="16"/>
      <c r="AA1824" s="16"/>
    </row>
    <row r="1825" spans="1:27" s="2" customFormat="1" ht="14">
      <c r="A1825" s="12">
        <v>1345398</v>
      </c>
      <c r="B1825" s="13" t="s">
        <v>14</v>
      </c>
      <c r="C1825" s="13" t="s">
        <v>4956</v>
      </c>
      <c r="D1825" s="13" t="s">
        <v>4957</v>
      </c>
      <c r="E1825" s="13" t="s">
        <v>4049</v>
      </c>
      <c r="F1825" s="14"/>
      <c r="G1825" s="14"/>
      <c r="H1825" s="14"/>
      <c r="I1825" s="14"/>
      <c r="J1825" s="14">
        <f t="shared" si="84"/>
        <v>0</v>
      </c>
      <c r="K1825" s="14">
        <f t="shared" si="85"/>
        <v>0</v>
      </c>
      <c r="L1825" s="17">
        <f t="shared" si="86"/>
        <v>0</v>
      </c>
      <c r="M1825" s="14"/>
      <c r="N1825" s="16"/>
      <c r="O1825" s="16"/>
      <c r="P1825" s="16"/>
      <c r="Q1825" s="16"/>
      <c r="R1825" s="16"/>
      <c r="S1825" s="16"/>
      <c r="T1825" s="16"/>
      <c r="U1825" s="16"/>
      <c r="V1825" s="16"/>
      <c r="W1825" s="16"/>
      <c r="X1825" s="16"/>
      <c r="Y1825" s="16"/>
      <c r="Z1825" s="16"/>
      <c r="AA1825" s="16"/>
    </row>
    <row r="1826" spans="1:27" s="2" customFormat="1" ht="14">
      <c r="A1826" s="12" t="s">
        <v>4958</v>
      </c>
      <c r="B1826" s="13" t="s">
        <v>14</v>
      </c>
      <c r="C1826" s="13" t="s">
        <v>4959</v>
      </c>
      <c r="D1826" s="13" t="s">
        <v>4960</v>
      </c>
      <c r="E1826" s="13" t="s">
        <v>446</v>
      </c>
      <c r="F1826" s="14"/>
      <c r="G1826" s="14"/>
      <c r="H1826" s="14"/>
      <c r="I1826" s="14"/>
      <c r="J1826" s="14">
        <f t="shared" si="84"/>
        <v>0</v>
      </c>
      <c r="K1826" s="14">
        <f t="shared" si="85"/>
        <v>0</v>
      </c>
      <c r="L1826" s="17">
        <f t="shared" si="86"/>
        <v>0</v>
      </c>
      <c r="M1826" s="14"/>
      <c r="N1826" s="16"/>
      <c r="O1826" s="16"/>
      <c r="P1826" s="16"/>
      <c r="Q1826" s="16"/>
      <c r="R1826" s="16"/>
      <c r="S1826" s="16"/>
      <c r="T1826" s="16"/>
      <c r="U1826" s="16"/>
      <c r="V1826" s="16"/>
      <c r="W1826" s="16"/>
      <c r="X1826" s="16"/>
      <c r="Y1826" s="16"/>
      <c r="Z1826" s="16"/>
      <c r="AA1826" s="16"/>
    </row>
    <row r="1827" spans="1:27" s="2" customFormat="1" ht="14">
      <c r="A1827" s="12">
        <v>1345430</v>
      </c>
      <c r="B1827" s="13" t="s">
        <v>14</v>
      </c>
      <c r="C1827" s="13" t="s">
        <v>4961</v>
      </c>
      <c r="D1827" s="13" t="s">
        <v>4962</v>
      </c>
      <c r="E1827" s="13" t="s">
        <v>3533</v>
      </c>
      <c r="F1827" s="14"/>
      <c r="G1827" s="14"/>
      <c r="H1827" s="14"/>
      <c r="I1827" s="14"/>
      <c r="J1827" s="14">
        <f t="shared" si="84"/>
        <v>0</v>
      </c>
      <c r="K1827" s="14">
        <f t="shared" si="85"/>
        <v>0</v>
      </c>
      <c r="L1827" s="17">
        <f t="shared" si="86"/>
        <v>0</v>
      </c>
      <c r="M1827" s="14"/>
      <c r="N1827" s="16"/>
      <c r="O1827" s="16"/>
      <c r="P1827" s="16"/>
      <c r="Q1827" s="16"/>
      <c r="R1827" s="16"/>
      <c r="S1827" s="16"/>
      <c r="T1827" s="16"/>
      <c r="U1827" s="16"/>
      <c r="V1827" s="16"/>
      <c r="W1827" s="16"/>
      <c r="X1827" s="16"/>
      <c r="Y1827" s="16"/>
      <c r="Z1827" s="16"/>
      <c r="AA1827" s="16"/>
    </row>
    <row r="1828" spans="1:27" s="2" customFormat="1" ht="14">
      <c r="A1828" s="12">
        <v>1345443</v>
      </c>
      <c r="B1828" s="13" t="s">
        <v>62</v>
      </c>
      <c r="C1828" s="13" t="s">
        <v>4963</v>
      </c>
      <c r="D1828" s="13" t="s">
        <v>4964</v>
      </c>
      <c r="E1828" s="13" t="s">
        <v>1998</v>
      </c>
      <c r="F1828" s="14"/>
      <c r="G1828" s="14"/>
      <c r="H1828" s="14"/>
      <c r="I1828" s="14"/>
      <c r="J1828" s="14">
        <f t="shared" si="84"/>
        <v>0</v>
      </c>
      <c r="K1828" s="14">
        <f t="shared" si="85"/>
        <v>0</v>
      </c>
      <c r="L1828" s="17">
        <f t="shared" si="86"/>
        <v>0</v>
      </c>
      <c r="M1828" s="14"/>
      <c r="N1828" s="16"/>
      <c r="O1828" s="16"/>
      <c r="P1828" s="16"/>
      <c r="Q1828" s="16"/>
      <c r="R1828" s="16"/>
      <c r="S1828" s="16"/>
      <c r="T1828" s="16"/>
      <c r="U1828" s="16"/>
      <c r="V1828" s="16"/>
      <c r="W1828" s="16"/>
      <c r="X1828" s="16"/>
      <c r="Y1828" s="16"/>
      <c r="Z1828" s="16"/>
      <c r="AA1828" s="16"/>
    </row>
    <row r="1829" spans="1:27" s="2" customFormat="1" ht="14">
      <c r="A1829" s="12">
        <v>1347708</v>
      </c>
      <c r="B1829" s="13" t="s">
        <v>14</v>
      </c>
      <c r="C1829" s="13" t="s">
        <v>4965</v>
      </c>
      <c r="D1829" s="13" t="s">
        <v>4966</v>
      </c>
      <c r="E1829" s="13" t="s">
        <v>3324</v>
      </c>
      <c r="F1829" s="14"/>
      <c r="G1829" s="14"/>
      <c r="H1829" s="14"/>
      <c r="I1829" s="14"/>
      <c r="J1829" s="14">
        <f t="shared" si="84"/>
        <v>0</v>
      </c>
      <c r="K1829" s="14">
        <f t="shared" si="85"/>
        <v>0</v>
      </c>
      <c r="L1829" s="17">
        <f t="shared" si="86"/>
        <v>0</v>
      </c>
      <c r="M1829" s="14"/>
      <c r="N1829" s="16"/>
      <c r="O1829" s="16"/>
      <c r="P1829" s="16"/>
      <c r="Q1829" s="16"/>
      <c r="R1829" s="16"/>
      <c r="S1829" s="16"/>
      <c r="T1829" s="16"/>
      <c r="U1829" s="16"/>
      <c r="V1829" s="16"/>
      <c r="W1829" s="16"/>
      <c r="X1829" s="16"/>
      <c r="Y1829" s="16"/>
      <c r="Z1829" s="16"/>
      <c r="AA1829" s="16"/>
    </row>
    <row r="1830" spans="1:27" s="2" customFormat="1" ht="14">
      <c r="A1830" s="12" t="s">
        <v>4967</v>
      </c>
      <c r="B1830" s="13" t="s">
        <v>14</v>
      </c>
      <c r="C1830" s="13" t="s">
        <v>4968</v>
      </c>
      <c r="D1830" s="13" t="s">
        <v>4969</v>
      </c>
      <c r="E1830" s="13" t="s">
        <v>97</v>
      </c>
      <c r="F1830" s="14"/>
      <c r="G1830" s="14"/>
      <c r="H1830" s="14"/>
      <c r="I1830" s="14"/>
      <c r="J1830" s="14">
        <f t="shared" si="84"/>
        <v>0</v>
      </c>
      <c r="K1830" s="14">
        <f t="shared" si="85"/>
        <v>0</v>
      </c>
      <c r="L1830" s="17">
        <f t="shared" si="86"/>
        <v>0</v>
      </c>
      <c r="M1830" s="14"/>
      <c r="N1830" s="16"/>
      <c r="O1830" s="16"/>
      <c r="P1830" s="16"/>
      <c r="Q1830" s="16"/>
      <c r="R1830" s="16"/>
      <c r="S1830" s="16"/>
      <c r="T1830" s="16"/>
      <c r="U1830" s="16"/>
      <c r="V1830" s="16"/>
      <c r="W1830" s="16"/>
      <c r="X1830" s="16"/>
      <c r="Y1830" s="16"/>
      <c r="Z1830" s="16"/>
      <c r="AA1830" s="16"/>
    </row>
    <row r="1831" spans="1:27" s="2" customFormat="1" ht="14">
      <c r="A1831" s="12" t="s">
        <v>4970</v>
      </c>
      <c r="B1831" s="13" t="s">
        <v>14</v>
      </c>
      <c r="C1831" s="13" t="s">
        <v>4971</v>
      </c>
      <c r="D1831" s="13" t="s">
        <v>4972</v>
      </c>
      <c r="E1831" s="13" t="s">
        <v>247</v>
      </c>
      <c r="F1831" s="14"/>
      <c r="G1831" s="14"/>
      <c r="H1831" s="14"/>
      <c r="I1831" s="14"/>
      <c r="J1831" s="14">
        <f t="shared" si="84"/>
        <v>0</v>
      </c>
      <c r="K1831" s="14">
        <f t="shared" si="85"/>
        <v>0</v>
      </c>
      <c r="L1831" s="17">
        <f t="shared" si="86"/>
        <v>0</v>
      </c>
      <c r="M1831" s="14"/>
      <c r="N1831" s="16"/>
      <c r="O1831" s="16"/>
      <c r="P1831" s="16"/>
      <c r="Q1831" s="16"/>
      <c r="R1831" s="16"/>
      <c r="S1831" s="16"/>
      <c r="T1831" s="16"/>
      <c r="U1831" s="16"/>
      <c r="V1831" s="16"/>
      <c r="W1831" s="16"/>
      <c r="X1831" s="16"/>
      <c r="Y1831" s="16"/>
      <c r="Z1831" s="16"/>
      <c r="AA1831" s="16"/>
    </row>
    <row r="1832" spans="1:27" s="2" customFormat="1" ht="14">
      <c r="A1832" s="12">
        <v>1353171</v>
      </c>
      <c r="B1832" s="13" t="s">
        <v>14</v>
      </c>
      <c r="C1832" s="13" t="s">
        <v>4973</v>
      </c>
      <c r="D1832" s="13" t="s">
        <v>4974</v>
      </c>
      <c r="E1832" s="13" t="s">
        <v>3606</v>
      </c>
      <c r="F1832" s="14"/>
      <c r="G1832" s="14"/>
      <c r="H1832" s="14"/>
      <c r="I1832" s="14"/>
      <c r="J1832" s="14">
        <f t="shared" si="84"/>
        <v>0</v>
      </c>
      <c r="K1832" s="14">
        <f t="shared" si="85"/>
        <v>0</v>
      </c>
      <c r="L1832" s="17">
        <f t="shared" si="86"/>
        <v>0</v>
      </c>
      <c r="M1832" s="14"/>
      <c r="N1832" s="16"/>
      <c r="O1832" s="16"/>
      <c r="P1832" s="16"/>
      <c r="Q1832" s="16"/>
      <c r="R1832" s="16"/>
      <c r="S1832" s="16"/>
      <c r="T1832" s="16"/>
      <c r="U1832" s="16"/>
      <c r="V1832" s="16"/>
      <c r="W1832" s="16"/>
      <c r="X1832" s="16"/>
      <c r="Y1832" s="16"/>
      <c r="Z1832" s="16"/>
      <c r="AA1832" s="16"/>
    </row>
    <row r="1833" spans="1:27" s="2" customFormat="1" ht="14">
      <c r="A1833" s="12">
        <v>1353278</v>
      </c>
      <c r="B1833" s="13" t="s">
        <v>14</v>
      </c>
      <c r="C1833" s="13" t="s">
        <v>4975</v>
      </c>
      <c r="D1833" s="13" t="s">
        <v>4976</v>
      </c>
      <c r="E1833" s="13" t="s">
        <v>3402</v>
      </c>
      <c r="F1833" s="14"/>
      <c r="G1833" s="14"/>
      <c r="H1833" s="14"/>
      <c r="I1833" s="14"/>
      <c r="J1833" s="14">
        <f t="shared" si="84"/>
        <v>0</v>
      </c>
      <c r="K1833" s="14">
        <f t="shared" si="85"/>
        <v>0</v>
      </c>
      <c r="L1833" s="17">
        <f t="shared" si="86"/>
        <v>0</v>
      </c>
      <c r="M1833" s="14"/>
      <c r="N1833" s="16"/>
      <c r="O1833" s="16"/>
      <c r="P1833" s="16"/>
      <c r="Q1833" s="16"/>
      <c r="R1833" s="16"/>
      <c r="S1833" s="16"/>
      <c r="T1833" s="16"/>
      <c r="U1833" s="16"/>
      <c r="V1833" s="16"/>
      <c r="W1833" s="16"/>
      <c r="X1833" s="16"/>
      <c r="Y1833" s="16"/>
      <c r="Z1833" s="16"/>
      <c r="AA1833" s="16"/>
    </row>
    <row r="1834" spans="1:27" s="2" customFormat="1" ht="14">
      <c r="A1834" s="12">
        <v>1353286</v>
      </c>
      <c r="B1834" s="13" t="s">
        <v>14</v>
      </c>
      <c r="C1834" s="13" t="s">
        <v>4977</v>
      </c>
      <c r="D1834" s="13" t="s">
        <v>4978</v>
      </c>
      <c r="E1834" s="13" t="s">
        <v>3465</v>
      </c>
      <c r="F1834" s="14"/>
      <c r="G1834" s="14"/>
      <c r="H1834" s="14"/>
      <c r="I1834" s="14"/>
      <c r="J1834" s="14">
        <f t="shared" si="84"/>
        <v>0</v>
      </c>
      <c r="K1834" s="14">
        <f t="shared" si="85"/>
        <v>0</v>
      </c>
      <c r="L1834" s="17">
        <f t="shared" si="86"/>
        <v>0</v>
      </c>
      <c r="M1834" s="14"/>
      <c r="N1834" s="16"/>
      <c r="O1834" s="16"/>
      <c r="P1834" s="16"/>
      <c r="Q1834" s="16"/>
      <c r="R1834" s="16"/>
      <c r="S1834" s="16"/>
      <c r="T1834" s="16"/>
      <c r="U1834" s="16"/>
      <c r="V1834" s="16"/>
      <c r="W1834" s="16"/>
      <c r="X1834" s="16"/>
      <c r="Y1834" s="16"/>
      <c r="Z1834" s="16"/>
      <c r="AA1834" s="16"/>
    </row>
    <row r="1835" spans="1:27" s="2" customFormat="1" ht="14">
      <c r="A1835" s="12">
        <v>1353732</v>
      </c>
      <c r="B1835" s="13" t="s">
        <v>62</v>
      </c>
      <c r="C1835" s="13" t="s">
        <v>4979</v>
      </c>
      <c r="D1835" s="13" t="s">
        <v>4980</v>
      </c>
      <c r="E1835" s="13" t="s">
        <v>3327</v>
      </c>
      <c r="F1835" s="14"/>
      <c r="G1835" s="14"/>
      <c r="H1835" s="14"/>
      <c r="I1835" s="14"/>
      <c r="J1835" s="14">
        <f t="shared" si="84"/>
        <v>0</v>
      </c>
      <c r="K1835" s="14">
        <f t="shared" si="85"/>
        <v>0</v>
      </c>
      <c r="L1835" s="17">
        <f t="shared" si="86"/>
        <v>0</v>
      </c>
      <c r="M1835" s="14"/>
      <c r="N1835" s="16"/>
      <c r="O1835" s="16"/>
      <c r="P1835" s="16"/>
      <c r="Q1835" s="16"/>
      <c r="R1835" s="16"/>
      <c r="S1835" s="16"/>
      <c r="T1835" s="16"/>
      <c r="U1835" s="16"/>
      <c r="V1835" s="16"/>
      <c r="W1835" s="16"/>
      <c r="X1835" s="16"/>
      <c r="Y1835" s="16"/>
      <c r="Z1835" s="16"/>
      <c r="AA1835" s="16"/>
    </row>
    <row r="1836" spans="1:27" s="2" customFormat="1" ht="14">
      <c r="A1836" s="12">
        <v>1353802</v>
      </c>
      <c r="B1836" s="13" t="s">
        <v>14</v>
      </c>
      <c r="C1836" s="13" t="s">
        <v>4981</v>
      </c>
      <c r="D1836" s="13" t="s">
        <v>4982</v>
      </c>
      <c r="E1836" s="13" t="s">
        <v>3506</v>
      </c>
      <c r="F1836" s="14"/>
      <c r="G1836" s="14"/>
      <c r="H1836" s="14"/>
      <c r="I1836" s="14"/>
      <c r="J1836" s="14">
        <f t="shared" si="84"/>
        <v>0</v>
      </c>
      <c r="K1836" s="14">
        <f t="shared" si="85"/>
        <v>0</v>
      </c>
      <c r="L1836" s="17">
        <f t="shared" si="86"/>
        <v>0</v>
      </c>
      <c r="M1836" s="14"/>
      <c r="N1836" s="16"/>
      <c r="O1836" s="16"/>
      <c r="P1836" s="16"/>
      <c r="Q1836" s="16"/>
      <c r="R1836" s="16"/>
      <c r="S1836" s="16"/>
      <c r="T1836" s="16"/>
      <c r="U1836" s="16"/>
      <c r="V1836" s="16"/>
      <c r="W1836" s="16"/>
      <c r="X1836" s="16"/>
      <c r="Y1836" s="16"/>
      <c r="Z1836" s="16"/>
      <c r="AA1836" s="16"/>
    </row>
    <row r="1837" spans="1:27" s="2" customFormat="1" ht="14">
      <c r="A1837" s="12">
        <v>1353823</v>
      </c>
      <c r="B1837" s="13" t="s">
        <v>14</v>
      </c>
      <c r="C1837" s="13" t="s">
        <v>4983</v>
      </c>
      <c r="D1837" s="13" t="s">
        <v>4984</v>
      </c>
      <c r="E1837" s="13" t="s">
        <v>3506</v>
      </c>
      <c r="F1837" s="14"/>
      <c r="G1837" s="14"/>
      <c r="H1837" s="14"/>
      <c r="I1837" s="14"/>
      <c r="J1837" s="14">
        <f t="shared" si="84"/>
        <v>0</v>
      </c>
      <c r="K1837" s="14">
        <f t="shared" si="85"/>
        <v>0</v>
      </c>
      <c r="L1837" s="17">
        <f t="shared" si="86"/>
        <v>0</v>
      </c>
      <c r="M1837" s="14"/>
      <c r="N1837" s="16"/>
      <c r="O1837" s="16"/>
      <c r="P1837" s="16"/>
      <c r="Q1837" s="16"/>
      <c r="R1837" s="16"/>
      <c r="S1837" s="16"/>
      <c r="T1837" s="16"/>
      <c r="U1837" s="16"/>
      <c r="V1837" s="16"/>
      <c r="W1837" s="16"/>
      <c r="X1837" s="16"/>
      <c r="Y1837" s="16"/>
      <c r="Z1837" s="16"/>
      <c r="AA1837" s="16"/>
    </row>
    <row r="1838" spans="1:27" s="2" customFormat="1" ht="14">
      <c r="A1838" s="12">
        <v>1354311</v>
      </c>
      <c r="B1838" s="13" t="s">
        <v>14</v>
      </c>
      <c r="C1838" s="13" t="s">
        <v>4985</v>
      </c>
      <c r="D1838" s="13" t="s">
        <v>4986</v>
      </c>
      <c r="E1838" s="13" t="s">
        <v>3576</v>
      </c>
      <c r="F1838" s="14"/>
      <c r="G1838" s="14"/>
      <c r="H1838" s="14"/>
      <c r="I1838" s="14"/>
      <c r="J1838" s="14">
        <f t="shared" si="84"/>
        <v>0</v>
      </c>
      <c r="K1838" s="14">
        <f t="shared" si="85"/>
        <v>0</v>
      </c>
      <c r="L1838" s="17">
        <f t="shared" si="86"/>
        <v>0</v>
      </c>
      <c r="M1838" s="14"/>
      <c r="N1838" s="16"/>
      <c r="O1838" s="16"/>
      <c r="P1838" s="16"/>
      <c r="Q1838" s="16"/>
      <c r="R1838" s="16"/>
      <c r="S1838" s="16"/>
      <c r="T1838" s="16"/>
      <c r="U1838" s="16"/>
      <c r="V1838" s="16"/>
      <c r="W1838" s="16"/>
      <c r="X1838" s="16"/>
      <c r="Y1838" s="16"/>
      <c r="Z1838" s="16"/>
      <c r="AA1838" s="16"/>
    </row>
    <row r="1839" spans="1:27" s="2" customFormat="1" ht="14">
      <c r="A1839" s="12">
        <v>1354517</v>
      </c>
      <c r="B1839" s="13" t="s">
        <v>14</v>
      </c>
      <c r="C1839" s="13" t="s">
        <v>4987</v>
      </c>
      <c r="D1839" s="13" t="s">
        <v>4988</v>
      </c>
      <c r="E1839" s="13" t="s">
        <v>3509</v>
      </c>
      <c r="F1839" s="14"/>
      <c r="G1839" s="14"/>
      <c r="H1839" s="14"/>
      <c r="I1839" s="14"/>
      <c r="J1839" s="14">
        <f t="shared" si="84"/>
        <v>0</v>
      </c>
      <c r="K1839" s="14">
        <f t="shared" si="85"/>
        <v>0</v>
      </c>
      <c r="L1839" s="17">
        <f t="shared" si="86"/>
        <v>0</v>
      </c>
      <c r="M1839" s="14"/>
      <c r="N1839" s="16"/>
      <c r="O1839" s="16"/>
      <c r="P1839" s="16"/>
      <c r="Q1839" s="16"/>
      <c r="R1839" s="16"/>
      <c r="S1839" s="16"/>
      <c r="T1839" s="16"/>
      <c r="U1839" s="16"/>
      <c r="V1839" s="16"/>
      <c r="W1839" s="16"/>
      <c r="X1839" s="16"/>
      <c r="Y1839" s="16"/>
      <c r="Z1839" s="16"/>
      <c r="AA1839" s="16"/>
    </row>
    <row r="1840" spans="1:27" s="2" customFormat="1" ht="14">
      <c r="A1840" s="12">
        <v>1354375</v>
      </c>
      <c r="B1840" s="13" t="s">
        <v>62</v>
      </c>
      <c r="C1840" s="13" t="s">
        <v>4989</v>
      </c>
      <c r="D1840" s="13" t="s">
        <v>4990</v>
      </c>
      <c r="E1840" s="13" t="s">
        <v>3706</v>
      </c>
      <c r="F1840" s="14"/>
      <c r="G1840" s="14"/>
      <c r="H1840" s="14"/>
      <c r="I1840" s="14"/>
      <c r="J1840" s="14">
        <f t="shared" si="84"/>
        <v>0</v>
      </c>
      <c r="K1840" s="14">
        <f t="shared" si="85"/>
        <v>0</v>
      </c>
      <c r="L1840" s="17">
        <f t="shared" si="86"/>
        <v>0</v>
      </c>
      <c r="M1840" s="14"/>
      <c r="N1840" s="16"/>
      <c r="O1840" s="16"/>
      <c r="P1840" s="16"/>
      <c r="Q1840" s="16"/>
      <c r="R1840" s="16"/>
      <c r="S1840" s="16"/>
      <c r="T1840" s="16"/>
      <c r="U1840" s="16"/>
      <c r="V1840" s="16"/>
      <c r="W1840" s="16"/>
      <c r="X1840" s="16"/>
      <c r="Y1840" s="16"/>
      <c r="Z1840" s="16"/>
      <c r="AA1840" s="16"/>
    </row>
    <row r="1841" spans="1:27" s="2" customFormat="1" ht="14">
      <c r="A1841" s="12">
        <v>1354377</v>
      </c>
      <c r="B1841" s="13" t="s">
        <v>14</v>
      </c>
      <c r="C1841" s="13" t="s">
        <v>4991</v>
      </c>
      <c r="D1841" s="13" t="s">
        <v>4992</v>
      </c>
      <c r="E1841" s="13" t="s">
        <v>3635</v>
      </c>
      <c r="F1841" s="14"/>
      <c r="G1841" s="14"/>
      <c r="H1841" s="14"/>
      <c r="I1841" s="14"/>
      <c r="J1841" s="14">
        <f t="shared" si="84"/>
        <v>0</v>
      </c>
      <c r="K1841" s="14">
        <f t="shared" si="85"/>
        <v>0</v>
      </c>
      <c r="L1841" s="17">
        <f t="shared" si="86"/>
        <v>0</v>
      </c>
      <c r="M1841" s="14"/>
      <c r="N1841" s="16"/>
      <c r="O1841" s="16"/>
      <c r="P1841" s="16"/>
      <c r="Q1841" s="16"/>
      <c r="R1841" s="16"/>
      <c r="S1841" s="16"/>
      <c r="T1841" s="16"/>
      <c r="U1841" s="16"/>
      <c r="V1841" s="16"/>
      <c r="W1841" s="16"/>
      <c r="X1841" s="16"/>
      <c r="Y1841" s="16"/>
      <c r="Z1841" s="16"/>
      <c r="AA1841" s="16"/>
    </row>
    <row r="1842" spans="1:27" s="2" customFormat="1" ht="14">
      <c r="A1842" s="12">
        <v>1354552</v>
      </c>
      <c r="B1842" s="13" t="s">
        <v>14</v>
      </c>
      <c r="C1842" s="13" t="s">
        <v>4993</v>
      </c>
      <c r="D1842" s="13" t="s">
        <v>4994</v>
      </c>
      <c r="E1842" s="13" t="s">
        <v>3750</v>
      </c>
      <c r="F1842" s="14"/>
      <c r="G1842" s="14"/>
      <c r="H1842" s="14"/>
      <c r="I1842" s="14"/>
      <c r="J1842" s="14">
        <f t="shared" si="84"/>
        <v>0</v>
      </c>
      <c r="K1842" s="14">
        <f t="shared" si="85"/>
        <v>0</v>
      </c>
      <c r="L1842" s="17">
        <f t="shared" si="86"/>
        <v>0</v>
      </c>
      <c r="M1842" s="14"/>
      <c r="N1842" s="16"/>
      <c r="O1842" s="16"/>
      <c r="P1842" s="16"/>
      <c r="Q1842" s="16"/>
      <c r="R1842" s="16"/>
      <c r="S1842" s="16"/>
      <c r="T1842" s="16"/>
      <c r="U1842" s="16"/>
      <c r="V1842" s="16"/>
      <c r="W1842" s="16"/>
      <c r="X1842" s="16"/>
      <c r="Y1842" s="16"/>
      <c r="Z1842" s="16"/>
      <c r="AA1842" s="16"/>
    </row>
    <row r="1843" spans="1:27" s="2" customFormat="1" ht="14">
      <c r="A1843" s="12">
        <v>1354201</v>
      </c>
      <c r="B1843" s="13" t="s">
        <v>14</v>
      </c>
      <c r="C1843" s="13" t="s">
        <v>4995</v>
      </c>
      <c r="D1843" s="13" t="s">
        <v>4996</v>
      </c>
      <c r="E1843" s="13" t="s">
        <v>3324</v>
      </c>
      <c r="F1843" s="14"/>
      <c r="G1843" s="14"/>
      <c r="H1843" s="14"/>
      <c r="I1843" s="14"/>
      <c r="J1843" s="14">
        <f t="shared" si="84"/>
        <v>0</v>
      </c>
      <c r="K1843" s="14">
        <f t="shared" si="85"/>
        <v>0</v>
      </c>
      <c r="L1843" s="17">
        <f t="shared" si="86"/>
        <v>0</v>
      </c>
      <c r="M1843" s="14"/>
      <c r="N1843" s="16"/>
      <c r="O1843" s="16"/>
      <c r="P1843" s="16"/>
      <c r="Q1843" s="16"/>
      <c r="R1843" s="16"/>
      <c r="S1843" s="16"/>
      <c r="T1843" s="16"/>
      <c r="U1843" s="16"/>
      <c r="V1843" s="16"/>
      <c r="W1843" s="16"/>
      <c r="X1843" s="16"/>
      <c r="Y1843" s="16"/>
      <c r="Z1843" s="16"/>
      <c r="AA1843" s="16"/>
    </row>
    <row r="1844" spans="1:27" s="2" customFormat="1" ht="14">
      <c r="A1844" s="12">
        <v>1347798</v>
      </c>
      <c r="B1844" s="13" t="s">
        <v>62</v>
      </c>
      <c r="C1844" s="13" t="s">
        <v>4997</v>
      </c>
      <c r="D1844" s="13" t="s">
        <v>4998</v>
      </c>
      <c r="E1844" s="13" t="s">
        <v>837</v>
      </c>
      <c r="F1844" s="14"/>
      <c r="G1844" s="14"/>
      <c r="H1844" s="14"/>
      <c r="I1844" s="14"/>
      <c r="J1844" s="14">
        <f t="shared" si="84"/>
        <v>0</v>
      </c>
      <c r="K1844" s="14">
        <f t="shared" si="85"/>
        <v>0</v>
      </c>
      <c r="L1844" s="17">
        <f t="shared" si="86"/>
        <v>0</v>
      </c>
      <c r="M1844" s="14"/>
      <c r="N1844" s="16"/>
      <c r="O1844" s="16"/>
      <c r="P1844" s="16"/>
      <c r="Q1844" s="16"/>
      <c r="R1844" s="16"/>
      <c r="S1844" s="16"/>
      <c r="T1844" s="16"/>
      <c r="U1844" s="16"/>
      <c r="V1844" s="16"/>
      <c r="W1844" s="16"/>
      <c r="X1844" s="16"/>
      <c r="Y1844" s="16"/>
      <c r="Z1844" s="16"/>
      <c r="AA1844" s="16"/>
    </row>
    <row r="1845" spans="1:27" s="2" customFormat="1" ht="14">
      <c r="A1845" s="12">
        <v>1347823</v>
      </c>
      <c r="B1845" s="13" t="s">
        <v>14</v>
      </c>
      <c r="C1845" s="13" t="s">
        <v>4999</v>
      </c>
      <c r="D1845" s="13" t="s">
        <v>5000</v>
      </c>
      <c r="E1845" s="13" t="s">
        <v>1839</v>
      </c>
      <c r="F1845" s="14"/>
      <c r="G1845" s="14"/>
      <c r="H1845" s="14"/>
      <c r="I1845" s="14"/>
      <c r="J1845" s="14">
        <f t="shared" si="84"/>
        <v>0</v>
      </c>
      <c r="K1845" s="14">
        <f t="shared" si="85"/>
        <v>0</v>
      </c>
      <c r="L1845" s="17">
        <f t="shared" si="86"/>
        <v>0</v>
      </c>
      <c r="M1845" s="14"/>
      <c r="N1845" s="16"/>
      <c r="O1845" s="16"/>
      <c r="P1845" s="16"/>
      <c r="Q1845" s="16"/>
      <c r="R1845" s="16"/>
      <c r="S1845" s="16"/>
      <c r="T1845" s="16"/>
      <c r="U1845" s="16"/>
      <c r="V1845" s="16"/>
      <c r="W1845" s="16"/>
      <c r="X1845" s="16"/>
      <c r="Y1845" s="16"/>
      <c r="Z1845" s="16"/>
      <c r="AA1845" s="16"/>
    </row>
    <row r="1846" spans="1:27" s="2" customFormat="1" ht="14">
      <c r="A1846" s="12">
        <v>1347868</v>
      </c>
      <c r="B1846" s="13" t="s">
        <v>14</v>
      </c>
      <c r="C1846" s="13" t="s">
        <v>5001</v>
      </c>
      <c r="D1846" s="13" t="s">
        <v>5002</v>
      </c>
      <c r="E1846" s="13" t="s">
        <v>3506</v>
      </c>
      <c r="F1846" s="14"/>
      <c r="G1846" s="14"/>
      <c r="H1846" s="14"/>
      <c r="I1846" s="14"/>
      <c r="J1846" s="14">
        <f t="shared" si="84"/>
        <v>0</v>
      </c>
      <c r="K1846" s="14">
        <f t="shared" si="85"/>
        <v>0</v>
      </c>
      <c r="L1846" s="17">
        <f t="shared" si="86"/>
        <v>0</v>
      </c>
      <c r="M1846" s="14"/>
      <c r="N1846" s="16"/>
      <c r="O1846" s="16"/>
      <c r="P1846" s="16"/>
      <c r="Q1846" s="16"/>
      <c r="R1846" s="16"/>
      <c r="S1846" s="16"/>
      <c r="T1846" s="16"/>
      <c r="U1846" s="16"/>
      <c r="V1846" s="16"/>
      <c r="W1846" s="16"/>
      <c r="X1846" s="16"/>
      <c r="Y1846" s="16"/>
      <c r="Z1846" s="16"/>
      <c r="AA1846" s="16"/>
    </row>
    <row r="1847" spans="1:27" s="2" customFormat="1" ht="14">
      <c r="A1847" s="12" t="s">
        <v>5003</v>
      </c>
      <c r="B1847" s="13" t="s">
        <v>14</v>
      </c>
      <c r="C1847" s="13" t="s">
        <v>5004</v>
      </c>
      <c r="D1847" s="13" t="s">
        <v>5005</v>
      </c>
      <c r="E1847" s="13" t="s">
        <v>97</v>
      </c>
      <c r="F1847" s="14"/>
      <c r="G1847" s="14"/>
      <c r="H1847" s="14"/>
      <c r="I1847" s="14"/>
      <c r="J1847" s="14">
        <f t="shared" si="84"/>
        <v>0</v>
      </c>
      <c r="K1847" s="14">
        <f t="shared" si="85"/>
        <v>0</v>
      </c>
      <c r="L1847" s="17">
        <f t="shared" si="86"/>
        <v>0</v>
      </c>
      <c r="M1847" s="14"/>
      <c r="N1847" s="16"/>
      <c r="O1847" s="16"/>
      <c r="P1847" s="16"/>
      <c r="Q1847" s="16"/>
      <c r="R1847" s="16"/>
      <c r="S1847" s="16"/>
      <c r="T1847" s="16"/>
      <c r="U1847" s="16"/>
      <c r="V1847" s="16"/>
      <c r="W1847" s="16"/>
      <c r="X1847" s="16"/>
      <c r="Y1847" s="16"/>
      <c r="Z1847" s="16"/>
      <c r="AA1847" s="16"/>
    </row>
    <row r="1848" spans="1:27" s="2" customFormat="1" ht="14">
      <c r="A1848" s="12">
        <v>1354446</v>
      </c>
      <c r="B1848" s="13" t="s">
        <v>62</v>
      </c>
      <c r="C1848" s="13" t="s">
        <v>5006</v>
      </c>
      <c r="D1848" s="13" t="s">
        <v>5007</v>
      </c>
      <c r="E1848" s="13" t="s">
        <v>3872</v>
      </c>
      <c r="F1848" s="14"/>
      <c r="G1848" s="14"/>
      <c r="H1848" s="14"/>
      <c r="I1848" s="14"/>
      <c r="J1848" s="14">
        <f t="shared" si="84"/>
        <v>0</v>
      </c>
      <c r="K1848" s="14">
        <f t="shared" si="85"/>
        <v>0</v>
      </c>
      <c r="L1848" s="17">
        <f t="shared" si="86"/>
        <v>0</v>
      </c>
      <c r="M1848" s="14"/>
      <c r="N1848" s="16"/>
      <c r="O1848" s="16"/>
      <c r="P1848" s="16"/>
      <c r="Q1848" s="16"/>
      <c r="R1848" s="16"/>
      <c r="S1848" s="16"/>
      <c r="T1848" s="16"/>
      <c r="U1848" s="16"/>
      <c r="V1848" s="16"/>
      <c r="W1848" s="16"/>
      <c r="X1848" s="16"/>
      <c r="Y1848" s="16"/>
      <c r="Z1848" s="16"/>
      <c r="AA1848" s="16"/>
    </row>
    <row r="1849" spans="1:27" s="2" customFormat="1" ht="14">
      <c r="A1849" s="12">
        <v>1354475</v>
      </c>
      <c r="B1849" s="13" t="s">
        <v>14</v>
      </c>
      <c r="C1849" s="13" t="s">
        <v>5008</v>
      </c>
      <c r="D1849" s="13" t="s">
        <v>5009</v>
      </c>
      <c r="E1849" s="13" t="s">
        <v>3324</v>
      </c>
      <c r="F1849" s="14"/>
      <c r="G1849" s="14"/>
      <c r="H1849" s="14"/>
      <c r="I1849" s="14"/>
      <c r="J1849" s="14">
        <f t="shared" si="84"/>
        <v>0</v>
      </c>
      <c r="K1849" s="14">
        <f t="shared" si="85"/>
        <v>0</v>
      </c>
      <c r="L1849" s="17">
        <f t="shared" si="86"/>
        <v>0</v>
      </c>
      <c r="M1849" s="14"/>
      <c r="N1849" s="16"/>
      <c r="O1849" s="16"/>
      <c r="P1849" s="16"/>
      <c r="Q1849" s="16"/>
      <c r="R1849" s="16"/>
      <c r="S1849" s="16"/>
      <c r="T1849" s="16"/>
      <c r="U1849" s="16"/>
      <c r="V1849" s="16"/>
      <c r="W1849" s="16"/>
      <c r="X1849" s="16"/>
      <c r="Y1849" s="16"/>
      <c r="Z1849" s="16"/>
      <c r="AA1849" s="16"/>
    </row>
    <row r="1850" spans="1:27" s="2" customFormat="1" ht="14">
      <c r="A1850" s="12" t="s">
        <v>5010</v>
      </c>
      <c r="B1850" s="13" t="s">
        <v>14</v>
      </c>
      <c r="C1850" s="13" t="s">
        <v>5011</v>
      </c>
      <c r="D1850" s="13" t="s">
        <v>5012</v>
      </c>
      <c r="E1850" s="13" t="s">
        <v>97</v>
      </c>
      <c r="F1850" s="14"/>
      <c r="G1850" s="14"/>
      <c r="H1850" s="14"/>
      <c r="I1850" s="14"/>
      <c r="J1850" s="14">
        <f t="shared" si="84"/>
        <v>0</v>
      </c>
      <c r="K1850" s="14">
        <f t="shared" si="85"/>
        <v>0</v>
      </c>
      <c r="L1850" s="17">
        <f t="shared" si="86"/>
        <v>0</v>
      </c>
      <c r="M1850" s="14"/>
      <c r="N1850" s="16"/>
      <c r="O1850" s="16"/>
      <c r="P1850" s="16"/>
      <c r="Q1850" s="16"/>
      <c r="R1850" s="16"/>
      <c r="S1850" s="16"/>
      <c r="T1850" s="16"/>
      <c r="U1850" s="16"/>
      <c r="V1850" s="16"/>
      <c r="W1850" s="16"/>
      <c r="X1850" s="16"/>
      <c r="Y1850" s="16"/>
      <c r="Z1850" s="16"/>
      <c r="AA1850" s="16"/>
    </row>
    <row r="1851" spans="1:27" s="2" customFormat="1" ht="14">
      <c r="A1851" s="12">
        <v>1355430</v>
      </c>
      <c r="B1851" s="13" t="s">
        <v>62</v>
      </c>
      <c r="C1851" s="13" t="s">
        <v>5013</v>
      </c>
      <c r="D1851" s="13" t="s">
        <v>5014</v>
      </c>
      <c r="E1851" s="13" t="s">
        <v>5015</v>
      </c>
      <c r="F1851" s="14"/>
      <c r="G1851" s="14"/>
      <c r="H1851" s="14"/>
      <c r="I1851" s="14"/>
      <c r="J1851" s="14">
        <f t="shared" si="84"/>
        <v>0</v>
      </c>
      <c r="K1851" s="14">
        <f t="shared" si="85"/>
        <v>0</v>
      </c>
      <c r="L1851" s="17">
        <f t="shared" si="86"/>
        <v>0</v>
      </c>
      <c r="M1851" s="14"/>
      <c r="N1851" s="16"/>
      <c r="O1851" s="16"/>
      <c r="P1851" s="16"/>
      <c r="Q1851" s="16"/>
      <c r="R1851" s="16"/>
      <c r="S1851" s="16"/>
      <c r="T1851" s="16"/>
      <c r="U1851" s="16"/>
      <c r="V1851" s="16"/>
      <c r="W1851" s="16"/>
      <c r="X1851" s="16"/>
      <c r="Y1851" s="16"/>
      <c r="Z1851" s="16"/>
      <c r="AA1851" s="16"/>
    </row>
    <row r="1852" spans="1:27" s="2" customFormat="1" ht="14">
      <c r="A1852" s="12">
        <v>1346985</v>
      </c>
      <c r="B1852" s="13" t="s">
        <v>14</v>
      </c>
      <c r="C1852" s="13" t="s">
        <v>5016</v>
      </c>
      <c r="D1852" s="13" t="s">
        <v>5017</v>
      </c>
      <c r="E1852" s="13" t="s">
        <v>3862</v>
      </c>
      <c r="F1852" s="14"/>
      <c r="G1852" s="14"/>
      <c r="H1852" s="14"/>
      <c r="I1852" s="14"/>
      <c r="J1852" s="14">
        <f t="shared" si="84"/>
        <v>0</v>
      </c>
      <c r="K1852" s="14">
        <f t="shared" si="85"/>
        <v>0</v>
      </c>
      <c r="L1852" s="17">
        <f t="shared" si="86"/>
        <v>0</v>
      </c>
      <c r="M1852" s="14"/>
      <c r="N1852" s="16"/>
      <c r="O1852" s="16"/>
      <c r="P1852" s="16"/>
      <c r="Q1852" s="16"/>
      <c r="R1852" s="16"/>
      <c r="S1852" s="16"/>
      <c r="T1852" s="16"/>
      <c r="U1852" s="16"/>
      <c r="V1852" s="16"/>
      <c r="W1852" s="16"/>
      <c r="X1852" s="16"/>
      <c r="Y1852" s="16"/>
      <c r="Z1852" s="16"/>
      <c r="AA1852" s="16"/>
    </row>
    <row r="1853" spans="1:27" s="2" customFormat="1" ht="14">
      <c r="A1853" s="12" t="s">
        <v>5018</v>
      </c>
      <c r="B1853" s="13" t="s">
        <v>62</v>
      </c>
      <c r="C1853" s="13" t="s">
        <v>5019</v>
      </c>
      <c r="D1853" s="13" t="s">
        <v>5020</v>
      </c>
      <c r="E1853" s="13" t="s">
        <v>79</v>
      </c>
      <c r="F1853" s="14"/>
      <c r="G1853" s="14"/>
      <c r="H1853" s="14"/>
      <c r="I1853" s="14"/>
      <c r="J1853" s="14">
        <f t="shared" si="84"/>
        <v>0</v>
      </c>
      <c r="K1853" s="14">
        <f t="shared" si="85"/>
        <v>0</v>
      </c>
      <c r="L1853" s="17">
        <f t="shared" si="86"/>
        <v>0</v>
      </c>
      <c r="M1853" s="14"/>
      <c r="N1853" s="16"/>
      <c r="O1853" s="16"/>
      <c r="P1853" s="16"/>
      <c r="Q1853" s="16"/>
      <c r="R1853" s="16"/>
      <c r="S1853" s="16"/>
      <c r="T1853" s="16"/>
      <c r="U1853" s="16"/>
      <c r="V1853" s="16"/>
      <c r="W1853" s="16"/>
      <c r="X1853" s="16"/>
      <c r="Y1853" s="16"/>
      <c r="Z1853" s="16"/>
      <c r="AA1853" s="16"/>
    </row>
    <row r="1854" spans="1:27" s="2" customFormat="1" ht="14">
      <c r="A1854" s="12">
        <v>1357068</v>
      </c>
      <c r="B1854" s="13" t="s">
        <v>14</v>
      </c>
      <c r="C1854" s="13" t="s">
        <v>5021</v>
      </c>
      <c r="D1854" s="13" t="s">
        <v>5022</v>
      </c>
      <c r="E1854" s="13" t="s">
        <v>3750</v>
      </c>
      <c r="F1854" s="14"/>
      <c r="G1854" s="14"/>
      <c r="H1854" s="14"/>
      <c r="I1854" s="14"/>
      <c r="J1854" s="14">
        <f t="shared" si="84"/>
        <v>0</v>
      </c>
      <c r="K1854" s="14">
        <f t="shared" si="85"/>
        <v>0</v>
      </c>
      <c r="L1854" s="17">
        <f t="shared" si="86"/>
        <v>0</v>
      </c>
      <c r="M1854" s="14"/>
      <c r="N1854" s="16"/>
      <c r="O1854" s="16"/>
      <c r="P1854" s="16"/>
      <c r="Q1854" s="16"/>
      <c r="R1854" s="16"/>
      <c r="S1854" s="16"/>
      <c r="T1854" s="16"/>
      <c r="U1854" s="16"/>
      <c r="V1854" s="16"/>
      <c r="W1854" s="16"/>
      <c r="X1854" s="16"/>
      <c r="Y1854" s="16"/>
      <c r="Z1854" s="16"/>
      <c r="AA1854" s="16"/>
    </row>
    <row r="1855" spans="1:27" s="2" customFormat="1" ht="14">
      <c r="A1855" s="12">
        <v>1357076</v>
      </c>
      <c r="B1855" s="13" t="s">
        <v>14</v>
      </c>
      <c r="C1855" s="13" t="s">
        <v>5023</v>
      </c>
      <c r="D1855" s="13" t="s">
        <v>5024</v>
      </c>
      <c r="E1855" s="13" t="s">
        <v>3327</v>
      </c>
      <c r="F1855" s="14"/>
      <c r="G1855" s="14"/>
      <c r="H1855" s="14"/>
      <c r="I1855" s="14"/>
      <c r="J1855" s="14">
        <f t="shared" si="84"/>
        <v>0</v>
      </c>
      <c r="K1855" s="14">
        <f t="shared" si="85"/>
        <v>0</v>
      </c>
      <c r="L1855" s="17">
        <f t="shared" si="86"/>
        <v>0</v>
      </c>
      <c r="M1855" s="14"/>
      <c r="N1855" s="16"/>
      <c r="O1855" s="16"/>
      <c r="P1855" s="16"/>
      <c r="Q1855" s="16"/>
      <c r="R1855" s="16"/>
      <c r="S1855" s="16"/>
      <c r="T1855" s="16"/>
      <c r="U1855" s="16"/>
      <c r="V1855" s="16"/>
      <c r="W1855" s="16"/>
      <c r="X1855" s="16"/>
      <c r="Y1855" s="16"/>
      <c r="Z1855" s="16"/>
      <c r="AA1855" s="16"/>
    </row>
    <row r="1856" spans="1:27" s="2" customFormat="1" ht="14">
      <c r="A1856" s="12">
        <v>1357083</v>
      </c>
      <c r="B1856" s="13" t="s">
        <v>62</v>
      </c>
      <c r="C1856" s="13" t="s">
        <v>5025</v>
      </c>
      <c r="D1856" s="13" t="s">
        <v>5026</v>
      </c>
      <c r="E1856" s="13" t="s">
        <v>3848</v>
      </c>
      <c r="F1856" s="14"/>
      <c r="G1856" s="14"/>
      <c r="H1856" s="14"/>
      <c r="I1856" s="14"/>
      <c r="J1856" s="14">
        <f t="shared" si="84"/>
        <v>0</v>
      </c>
      <c r="K1856" s="14">
        <f t="shared" si="85"/>
        <v>0</v>
      </c>
      <c r="L1856" s="17">
        <f t="shared" si="86"/>
        <v>0</v>
      </c>
      <c r="M1856" s="14"/>
      <c r="N1856" s="16"/>
      <c r="O1856" s="16"/>
      <c r="P1856" s="16"/>
      <c r="Q1856" s="16"/>
      <c r="R1856" s="16"/>
      <c r="S1856" s="16"/>
      <c r="T1856" s="16"/>
      <c r="U1856" s="16"/>
      <c r="V1856" s="16"/>
      <c r="W1856" s="16"/>
      <c r="X1856" s="16"/>
      <c r="Y1856" s="16"/>
      <c r="Z1856" s="16"/>
      <c r="AA1856" s="16"/>
    </row>
    <row r="1857" spans="1:27" s="2" customFormat="1" ht="14">
      <c r="A1857" s="12">
        <v>1357085</v>
      </c>
      <c r="B1857" s="13" t="s">
        <v>14</v>
      </c>
      <c r="C1857" s="13" t="s">
        <v>5027</v>
      </c>
      <c r="D1857" s="13" t="s">
        <v>5028</v>
      </c>
      <c r="E1857" s="13" t="s">
        <v>1573</v>
      </c>
      <c r="F1857" s="14"/>
      <c r="G1857" s="14"/>
      <c r="H1857" s="14"/>
      <c r="I1857" s="14"/>
      <c r="J1857" s="14">
        <f t="shared" si="84"/>
        <v>0</v>
      </c>
      <c r="K1857" s="14">
        <f t="shared" si="85"/>
        <v>0</v>
      </c>
      <c r="L1857" s="17">
        <f t="shared" si="86"/>
        <v>0</v>
      </c>
      <c r="M1857" s="14"/>
      <c r="N1857" s="16"/>
      <c r="O1857" s="16"/>
      <c r="P1857" s="16"/>
      <c r="Q1857" s="16"/>
      <c r="R1857" s="16"/>
      <c r="S1857" s="16"/>
      <c r="T1857" s="16"/>
      <c r="U1857" s="16"/>
      <c r="V1857" s="16"/>
      <c r="W1857" s="16"/>
      <c r="X1857" s="16"/>
      <c r="Y1857" s="16"/>
      <c r="Z1857" s="16"/>
      <c r="AA1857" s="16"/>
    </row>
    <row r="1858" spans="1:27" s="2" customFormat="1" ht="14">
      <c r="A1858" s="12">
        <v>1357087</v>
      </c>
      <c r="B1858" s="13" t="s">
        <v>14</v>
      </c>
      <c r="C1858" s="13" t="s">
        <v>5029</v>
      </c>
      <c r="D1858" s="13" t="s">
        <v>5030</v>
      </c>
      <c r="E1858" s="13" t="s">
        <v>1839</v>
      </c>
      <c r="F1858" s="14"/>
      <c r="G1858" s="14"/>
      <c r="H1858" s="14"/>
      <c r="I1858" s="14"/>
      <c r="J1858" s="14">
        <f t="shared" ref="J1858:J1921" si="87">IF(G1858&gt;0,1,0)</f>
        <v>0</v>
      </c>
      <c r="K1858" s="14">
        <f t="shared" ref="K1858:K1921" si="88">IF(H1858&gt;0,1,0)</f>
        <v>0</v>
      </c>
      <c r="L1858" s="17">
        <f t="shared" ref="L1858:L1921" si="89">IF(G1858&gt;0,IF(H1858&gt;0,1,0),0)</f>
        <v>0</v>
      </c>
      <c r="M1858" s="14"/>
      <c r="N1858" s="16"/>
      <c r="O1858" s="16"/>
      <c r="P1858" s="16"/>
      <c r="Q1858" s="16"/>
      <c r="R1858" s="16"/>
      <c r="S1858" s="16"/>
      <c r="T1858" s="16"/>
      <c r="U1858" s="16"/>
      <c r="V1858" s="16"/>
      <c r="W1858" s="16"/>
      <c r="X1858" s="16"/>
      <c r="Y1858" s="16"/>
      <c r="Z1858" s="16"/>
      <c r="AA1858" s="16"/>
    </row>
    <row r="1859" spans="1:27" s="2" customFormat="1" ht="14">
      <c r="A1859" s="12">
        <v>1357100</v>
      </c>
      <c r="B1859" s="13" t="s">
        <v>14</v>
      </c>
      <c r="C1859" s="13" t="s">
        <v>5031</v>
      </c>
      <c r="D1859" s="13" t="s">
        <v>5032</v>
      </c>
      <c r="E1859" s="13" t="s">
        <v>4881</v>
      </c>
      <c r="F1859" s="14"/>
      <c r="G1859" s="14"/>
      <c r="H1859" s="14"/>
      <c r="I1859" s="14"/>
      <c r="J1859" s="14">
        <f t="shared" si="87"/>
        <v>0</v>
      </c>
      <c r="K1859" s="14">
        <f t="shared" si="88"/>
        <v>0</v>
      </c>
      <c r="L1859" s="17">
        <f t="shared" si="89"/>
        <v>0</v>
      </c>
      <c r="M1859" s="14"/>
      <c r="N1859" s="16"/>
      <c r="O1859" s="16"/>
      <c r="P1859" s="16"/>
      <c r="Q1859" s="16"/>
      <c r="R1859" s="16"/>
      <c r="S1859" s="16"/>
      <c r="T1859" s="16"/>
      <c r="U1859" s="16"/>
      <c r="V1859" s="16"/>
      <c r="W1859" s="16"/>
      <c r="X1859" s="16"/>
      <c r="Y1859" s="16"/>
      <c r="Z1859" s="16"/>
      <c r="AA1859" s="16"/>
    </row>
    <row r="1860" spans="1:27" s="2" customFormat="1" ht="14">
      <c r="A1860" s="12">
        <v>1357428</v>
      </c>
      <c r="B1860" s="13" t="s">
        <v>14</v>
      </c>
      <c r="C1860" s="13" t="s">
        <v>5033</v>
      </c>
      <c r="D1860" s="13" t="s">
        <v>5034</v>
      </c>
      <c r="E1860" s="13" t="s">
        <v>3506</v>
      </c>
      <c r="F1860" s="14"/>
      <c r="G1860" s="14"/>
      <c r="H1860" s="14"/>
      <c r="I1860" s="14"/>
      <c r="J1860" s="14">
        <f t="shared" si="87"/>
        <v>0</v>
      </c>
      <c r="K1860" s="14">
        <f t="shared" si="88"/>
        <v>0</v>
      </c>
      <c r="L1860" s="17">
        <f t="shared" si="89"/>
        <v>0</v>
      </c>
      <c r="M1860" s="14"/>
      <c r="N1860" s="16"/>
      <c r="O1860" s="16"/>
      <c r="P1860" s="16"/>
      <c r="Q1860" s="16"/>
      <c r="R1860" s="16"/>
      <c r="S1860" s="16"/>
      <c r="T1860" s="16"/>
      <c r="U1860" s="16"/>
      <c r="V1860" s="16"/>
      <c r="W1860" s="16"/>
      <c r="X1860" s="16"/>
      <c r="Y1860" s="16"/>
      <c r="Z1860" s="16"/>
      <c r="AA1860" s="16"/>
    </row>
    <row r="1861" spans="1:27" s="2" customFormat="1" ht="14">
      <c r="A1861" s="12">
        <v>1357310</v>
      </c>
      <c r="B1861" s="13" t="s">
        <v>14</v>
      </c>
      <c r="C1861" s="13" t="s">
        <v>5035</v>
      </c>
      <c r="D1861" s="13" t="s">
        <v>5036</v>
      </c>
      <c r="E1861" s="13" t="s">
        <v>3324</v>
      </c>
      <c r="F1861" s="14"/>
      <c r="G1861" s="14"/>
      <c r="H1861" s="14"/>
      <c r="I1861" s="14"/>
      <c r="J1861" s="14">
        <f t="shared" si="87"/>
        <v>0</v>
      </c>
      <c r="K1861" s="14">
        <f t="shared" si="88"/>
        <v>0</v>
      </c>
      <c r="L1861" s="17">
        <f t="shared" si="89"/>
        <v>0</v>
      </c>
      <c r="M1861" s="14"/>
      <c r="N1861" s="16"/>
      <c r="O1861" s="16"/>
      <c r="P1861" s="16"/>
      <c r="Q1861" s="16"/>
      <c r="R1861" s="16"/>
      <c r="S1861" s="16"/>
      <c r="T1861" s="16"/>
      <c r="U1861" s="16"/>
      <c r="V1861" s="16"/>
      <c r="W1861" s="16"/>
      <c r="X1861" s="16"/>
      <c r="Y1861" s="16"/>
      <c r="Z1861" s="16"/>
      <c r="AA1861" s="16"/>
    </row>
    <row r="1862" spans="1:27" s="2" customFormat="1" ht="14">
      <c r="A1862" s="12" t="s">
        <v>5037</v>
      </c>
      <c r="B1862" s="13" t="s">
        <v>14</v>
      </c>
      <c r="C1862" s="13" t="s">
        <v>5038</v>
      </c>
      <c r="D1862" s="13" t="s">
        <v>5039</v>
      </c>
      <c r="E1862" s="13" t="s">
        <v>43</v>
      </c>
      <c r="F1862" s="14"/>
      <c r="G1862" s="14"/>
      <c r="H1862" s="14"/>
      <c r="I1862" s="14"/>
      <c r="J1862" s="14">
        <f t="shared" si="87"/>
        <v>0</v>
      </c>
      <c r="K1862" s="14">
        <f t="shared" si="88"/>
        <v>0</v>
      </c>
      <c r="L1862" s="17">
        <f t="shared" si="89"/>
        <v>0</v>
      </c>
      <c r="M1862" s="14"/>
      <c r="N1862" s="16"/>
      <c r="O1862" s="16"/>
      <c r="P1862" s="16"/>
      <c r="Q1862" s="16"/>
      <c r="R1862" s="16"/>
      <c r="S1862" s="16"/>
      <c r="T1862" s="16"/>
      <c r="U1862" s="16"/>
      <c r="V1862" s="16"/>
      <c r="W1862" s="16"/>
      <c r="X1862" s="16"/>
      <c r="Y1862" s="16"/>
      <c r="Z1862" s="16"/>
      <c r="AA1862" s="16"/>
    </row>
    <row r="1863" spans="1:27" s="2" customFormat="1" ht="14">
      <c r="A1863" s="12">
        <v>1357552</v>
      </c>
      <c r="B1863" s="13" t="s">
        <v>14</v>
      </c>
      <c r="C1863" s="13" t="s">
        <v>5040</v>
      </c>
      <c r="D1863" s="13" t="s">
        <v>5041</v>
      </c>
      <c r="E1863" s="13" t="s">
        <v>3402</v>
      </c>
      <c r="F1863" s="14"/>
      <c r="G1863" s="14"/>
      <c r="H1863" s="14"/>
      <c r="I1863" s="14"/>
      <c r="J1863" s="14">
        <f t="shared" si="87"/>
        <v>0</v>
      </c>
      <c r="K1863" s="14">
        <f t="shared" si="88"/>
        <v>0</v>
      </c>
      <c r="L1863" s="17">
        <f t="shared" si="89"/>
        <v>0</v>
      </c>
      <c r="M1863" s="14"/>
      <c r="N1863" s="16"/>
      <c r="O1863" s="16"/>
      <c r="P1863" s="16"/>
      <c r="Q1863" s="16"/>
      <c r="R1863" s="16"/>
      <c r="S1863" s="16"/>
      <c r="T1863" s="16"/>
      <c r="U1863" s="16"/>
      <c r="V1863" s="16"/>
      <c r="W1863" s="16"/>
      <c r="X1863" s="16"/>
      <c r="Y1863" s="16"/>
      <c r="Z1863" s="16"/>
      <c r="AA1863" s="16"/>
    </row>
    <row r="1864" spans="1:27" s="2" customFormat="1" ht="14">
      <c r="A1864" s="12">
        <v>1355700</v>
      </c>
      <c r="B1864" s="13" t="s">
        <v>62</v>
      </c>
      <c r="C1864" s="13" t="s">
        <v>5042</v>
      </c>
      <c r="D1864" s="13" t="s">
        <v>5043</v>
      </c>
      <c r="E1864" s="13" t="s">
        <v>3843</v>
      </c>
      <c r="F1864" s="14"/>
      <c r="G1864" s="14"/>
      <c r="H1864" s="14"/>
      <c r="I1864" s="14"/>
      <c r="J1864" s="14">
        <f t="shared" si="87"/>
        <v>0</v>
      </c>
      <c r="K1864" s="14">
        <f t="shared" si="88"/>
        <v>0</v>
      </c>
      <c r="L1864" s="17">
        <f t="shared" si="89"/>
        <v>0</v>
      </c>
      <c r="M1864" s="14"/>
      <c r="N1864" s="16"/>
      <c r="O1864" s="16"/>
      <c r="P1864" s="16"/>
      <c r="Q1864" s="16"/>
      <c r="R1864" s="16"/>
      <c r="S1864" s="16"/>
      <c r="T1864" s="16"/>
      <c r="U1864" s="16"/>
      <c r="V1864" s="16"/>
      <c r="W1864" s="16"/>
      <c r="X1864" s="16"/>
      <c r="Y1864" s="16"/>
      <c r="Z1864" s="16"/>
      <c r="AA1864" s="16"/>
    </row>
    <row r="1865" spans="1:27" s="2" customFormat="1" ht="14">
      <c r="A1865" s="12">
        <v>1357595</v>
      </c>
      <c r="B1865" s="13" t="s">
        <v>14</v>
      </c>
      <c r="C1865" s="13" t="s">
        <v>5044</v>
      </c>
      <c r="D1865" s="13" t="s">
        <v>5045</v>
      </c>
      <c r="E1865" s="13" t="s">
        <v>3533</v>
      </c>
      <c r="F1865" s="14"/>
      <c r="G1865" s="14"/>
      <c r="H1865" s="14"/>
      <c r="I1865" s="14"/>
      <c r="J1865" s="14">
        <f t="shared" si="87"/>
        <v>0</v>
      </c>
      <c r="K1865" s="14">
        <f t="shared" si="88"/>
        <v>0</v>
      </c>
      <c r="L1865" s="17">
        <f t="shared" si="89"/>
        <v>0</v>
      </c>
      <c r="M1865" s="14"/>
      <c r="N1865" s="16"/>
      <c r="O1865" s="16"/>
      <c r="P1865" s="16"/>
      <c r="Q1865" s="16"/>
      <c r="R1865" s="16"/>
      <c r="S1865" s="16"/>
      <c r="T1865" s="16"/>
      <c r="U1865" s="16"/>
      <c r="V1865" s="16"/>
      <c r="W1865" s="16"/>
      <c r="X1865" s="16"/>
      <c r="Y1865" s="16"/>
      <c r="Z1865" s="16"/>
      <c r="AA1865" s="16"/>
    </row>
    <row r="1866" spans="1:27" s="2" customFormat="1" ht="14">
      <c r="A1866" s="12" t="s">
        <v>5046</v>
      </c>
      <c r="B1866" s="13" t="s">
        <v>14</v>
      </c>
      <c r="C1866" s="13" t="s">
        <v>5047</v>
      </c>
      <c r="D1866" s="13" t="s">
        <v>5048</v>
      </c>
      <c r="E1866" s="13" t="s">
        <v>285</v>
      </c>
      <c r="F1866" s="14"/>
      <c r="G1866" s="14"/>
      <c r="H1866" s="14"/>
      <c r="I1866" s="14"/>
      <c r="J1866" s="14">
        <f t="shared" si="87"/>
        <v>0</v>
      </c>
      <c r="K1866" s="14">
        <f t="shared" si="88"/>
        <v>0</v>
      </c>
      <c r="L1866" s="17">
        <f t="shared" si="89"/>
        <v>0</v>
      </c>
      <c r="M1866" s="14"/>
      <c r="N1866" s="16"/>
      <c r="O1866" s="16"/>
      <c r="P1866" s="16"/>
      <c r="Q1866" s="16"/>
      <c r="R1866" s="16"/>
      <c r="S1866" s="16"/>
      <c r="T1866" s="16"/>
      <c r="U1866" s="16"/>
      <c r="V1866" s="16"/>
      <c r="W1866" s="16"/>
      <c r="X1866" s="16"/>
      <c r="Y1866" s="16"/>
      <c r="Z1866" s="16"/>
      <c r="AA1866" s="16"/>
    </row>
    <row r="1867" spans="1:27" s="2" customFormat="1" ht="14">
      <c r="A1867" s="12">
        <v>1358002</v>
      </c>
      <c r="B1867" s="13" t="s">
        <v>14</v>
      </c>
      <c r="C1867" s="13" t="s">
        <v>5049</v>
      </c>
      <c r="D1867" s="13" t="s">
        <v>5050</v>
      </c>
      <c r="E1867" s="13" t="s">
        <v>3703</v>
      </c>
      <c r="F1867" s="14"/>
      <c r="G1867" s="14"/>
      <c r="H1867" s="14"/>
      <c r="I1867" s="14"/>
      <c r="J1867" s="14">
        <f t="shared" si="87"/>
        <v>0</v>
      </c>
      <c r="K1867" s="14">
        <f t="shared" si="88"/>
        <v>0</v>
      </c>
      <c r="L1867" s="17">
        <f t="shared" si="89"/>
        <v>0</v>
      </c>
      <c r="M1867" s="14"/>
      <c r="N1867" s="16"/>
      <c r="O1867" s="16"/>
      <c r="P1867" s="16"/>
      <c r="Q1867" s="16"/>
      <c r="R1867" s="16"/>
      <c r="S1867" s="16"/>
      <c r="T1867" s="16"/>
      <c r="U1867" s="16"/>
      <c r="V1867" s="16"/>
      <c r="W1867" s="16"/>
      <c r="X1867" s="16"/>
      <c r="Y1867" s="16"/>
      <c r="Z1867" s="16"/>
      <c r="AA1867" s="16"/>
    </row>
    <row r="1868" spans="1:27" s="2" customFormat="1" ht="14">
      <c r="A1868" s="12" t="s">
        <v>5051</v>
      </c>
      <c r="B1868" s="13" t="s">
        <v>14</v>
      </c>
      <c r="C1868" s="13" t="s">
        <v>5052</v>
      </c>
      <c r="D1868" s="13" t="s">
        <v>5053</v>
      </c>
      <c r="E1868" s="13" t="s">
        <v>46</v>
      </c>
      <c r="F1868" s="14"/>
      <c r="G1868" s="14"/>
      <c r="H1868" s="14"/>
      <c r="I1868" s="14"/>
      <c r="J1868" s="14">
        <f t="shared" si="87"/>
        <v>0</v>
      </c>
      <c r="K1868" s="14">
        <f t="shared" si="88"/>
        <v>0</v>
      </c>
      <c r="L1868" s="17">
        <f t="shared" si="89"/>
        <v>0</v>
      </c>
      <c r="M1868" s="14"/>
      <c r="N1868" s="16"/>
      <c r="O1868" s="16"/>
      <c r="P1868" s="16"/>
      <c r="Q1868" s="16"/>
      <c r="R1868" s="16"/>
      <c r="S1868" s="16"/>
      <c r="T1868" s="16"/>
      <c r="U1868" s="16"/>
      <c r="V1868" s="16"/>
      <c r="W1868" s="16"/>
      <c r="X1868" s="16"/>
      <c r="Y1868" s="16"/>
      <c r="Z1868" s="16"/>
      <c r="AA1868" s="16"/>
    </row>
    <row r="1869" spans="1:27" s="2" customFormat="1" ht="14">
      <c r="A1869" s="12">
        <v>1358468</v>
      </c>
      <c r="B1869" s="13" t="s">
        <v>14</v>
      </c>
      <c r="C1869" s="13" t="s">
        <v>5054</v>
      </c>
      <c r="D1869" s="13" t="s">
        <v>5055</v>
      </c>
      <c r="E1869" s="13" t="s">
        <v>3635</v>
      </c>
      <c r="F1869" s="14"/>
      <c r="G1869" s="14"/>
      <c r="H1869" s="14"/>
      <c r="I1869" s="14"/>
      <c r="J1869" s="14">
        <f t="shared" si="87"/>
        <v>0</v>
      </c>
      <c r="K1869" s="14">
        <f t="shared" si="88"/>
        <v>0</v>
      </c>
      <c r="L1869" s="17">
        <f t="shared" si="89"/>
        <v>0</v>
      </c>
      <c r="M1869" s="14"/>
      <c r="N1869" s="16"/>
      <c r="O1869" s="16"/>
      <c r="P1869" s="16"/>
      <c r="Q1869" s="16"/>
      <c r="R1869" s="16"/>
      <c r="S1869" s="16"/>
      <c r="T1869" s="16"/>
      <c r="U1869" s="16"/>
      <c r="V1869" s="16"/>
      <c r="W1869" s="16"/>
      <c r="X1869" s="16"/>
      <c r="Y1869" s="16"/>
      <c r="Z1869" s="16"/>
      <c r="AA1869" s="16"/>
    </row>
    <row r="1870" spans="1:27" s="2" customFormat="1" ht="14">
      <c r="A1870" s="12">
        <v>1359068</v>
      </c>
      <c r="B1870" s="13" t="s">
        <v>62</v>
      </c>
      <c r="C1870" s="13" t="s">
        <v>5056</v>
      </c>
      <c r="D1870" s="13" t="s">
        <v>5057</v>
      </c>
      <c r="E1870" s="13" t="s">
        <v>2585</v>
      </c>
      <c r="F1870" s="14"/>
      <c r="G1870" s="14"/>
      <c r="H1870" s="14"/>
      <c r="I1870" s="14"/>
      <c r="J1870" s="14">
        <f t="shared" si="87"/>
        <v>0</v>
      </c>
      <c r="K1870" s="14">
        <f t="shared" si="88"/>
        <v>0</v>
      </c>
      <c r="L1870" s="17">
        <f t="shared" si="89"/>
        <v>0</v>
      </c>
      <c r="M1870" s="14"/>
      <c r="N1870" s="16"/>
      <c r="O1870" s="16"/>
      <c r="P1870" s="16"/>
      <c r="Q1870" s="16"/>
      <c r="R1870" s="16"/>
      <c r="S1870" s="16"/>
      <c r="T1870" s="16"/>
      <c r="U1870" s="16"/>
      <c r="V1870" s="16"/>
      <c r="W1870" s="16"/>
      <c r="X1870" s="16"/>
      <c r="Y1870" s="16"/>
      <c r="Z1870" s="16"/>
      <c r="AA1870" s="16"/>
    </row>
    <row r="1871" spans="1:27" s="2" customFormat="1" ht="14">
      <c r="A1871" s="12" t="s">
        <v>5058</v>
      </c>
      <c r="B1871" s="13" t="s">
        <v>14</v>
      </c>
      <c r="C1871" s="13" t="s">
        <v>5059</v>
      </c>
      <c r="D1871" s="13" t="s">
        <v>5060</v>
      </c>
      <c r="E1871" s="13" t="s">
        <v>79</v>
      </c>
      <c r="F1871" s="14"/>
      <c r="G1871" s="14"/>
      <c r="H1871" s="14"/>
      <c r="I1871" s="14"/>
      <c r="J1871" s="14">
        <f t="shared" si="87"/>
        <v>0</v>
      </c>
      <c r="K1871" s="14">
        <f t="shared" si="88"/>
        <v>0</v>
      </c>
      <c r="L1871" s="17">
        <f t="shared" si="89"/>
        <v>0</v>
      </c>
      <c r="M1871" s="14"/>
      <c r="N1871" s="16"/>
      <c r="O1871" s="16"/>
      <c r="P1871" s="16"/>
      <c r="Q1871" s="16"/>
      <c r="R1871" s="16"/>
      <c r="S1871" s="16"/>
      <c r="T1871" s="16"/>
      <c r="U1871" s="16"/>
      <c r="V1871" s="16"/>
      <c r="W1871" s="16"/>
      <c r="X1871" s="16"/>
      <c r="Y1871" s="16"/>
      <c r="Z1871" s="16"/>
      <c r="AA1871" s="16"/>
    </row>
    <row r="1872" spans="1:27" s="2" customFormat="1" ht="14">
      <c r="A1872" s="12">
        <v>1357214</v>
      </c>
      <c r="B1872" s="13" t="s">
        <v>14</v>
      </c>
      <c r="C1872" s="13" t="s">
        <v>5061</v>
      </c>
      <c r="D1872" s="13" t="s">
        <v>5062</v>
      </c>
      <c r="E1872" s="13" t="s">
        <v>1998</v>
      </c>
      <c r="F1872" s="14"/>
      <c r="G1872" s="14"/>
      <c r="H1872" s="14"/>
      <c r="I1872" s="14"/>
      <c r="J1872" s="14">
        <f t="shared" si="87"/>
        <v>0</v>
      </c>
      <c r="K1872" s="14">
        <f t="shared" si="88"/>
        <v>0</v>
      </c>
      <c r="L1872" s="17">
        <f t="shared" si="89"/>
        <v>0</v>
      </c>
      <c r="M1872" s="14"/>
      <c r="N1872" s="16"/>
      <c r="O1872" s="16"/>
      <c r="P1872" s="16"/>
      <c r="Q1872" s="16"/>
      <c r="R1872" s="16"/>
      <c r="S1872" s="16"/>
      <c r="T1872" s="16"/>
      <c r="U1872" s="16"/>
      <c r="V1872" s="16"/>
      <c r="W1872" s="16"/>
      <c r="X1872" s="16"/>
      <c r="Y1872" s="16"/>
      <c r="Z1872" s="16"/>
      <c r="AA1872" s="16"/>
    </row>
    <row r="1873" spans="1:27" s="2" customFormat="1" ht="14">
      <c r="A1873" s="12">
        <v>1357228</v>
      </c>
      <c r="B1873" s="13" t="s">
        <v>14</v>
      </c>
      <c r="C1873" s="13" t="s">
        <v>5063</v>
      </c>
      <c r="D1873" s="13" t="s">
        <v>5064</v>
      </c>
      <c r="E1873" s="13" t="s">
        <v>3848</v>
      </c>
      <c r="F1873" s="14"/>
      <c r="G1873" s="14"/>
      <c r="H1873" s="14"/>
      <c r="I1873" s="14"/>
      <c r="J1873" s="14">
        <f t="shared" si="87"/>
        <v>0</v>
      </c>
      <c r="K1873" s="14">
        <f t="shared" si="88"/>
        <v>0</v>
      </c>
      <c r="L1873" s="17">
        <f t="shared" si="89"/>
        <v>0</v>
      </c>
      <c r="M1873" s="14"/>
      <c r="N1873" s="16"/>
      <c r="O1873" s="16"/>
      <c r="P1873" s="16"/>
      <c r="Q1873" s="16"/>
      <c r="R1873" s="16"/>
      <c r="S1873" s="16"/>
      <c r="T1873" s="16"/>
      <c r="U1873" s="16"/>
      <c r="V1873" s="16"/>
      <c r="W1873" s="16"/>
      <c r="X1873" s="16"/>
      <c r="Y1873" s="16"/>
      <c r="Z1873" s="16"/>
      <c r="AA1873" s="16"/>
    </row>
    <row r="1874" spans="1:27" s="2" customFormat="1" ht="14">
      <c r="A1874" s="12" t="s">
        <v>5065</v>
      </c>
      <c r="B1874" s="13" t="s">
        <v>14</v>
      </c>
      <c r="C1874" s="13" t="s">
        <v>5066</v>
      </c>
      <c r="D1874" s="13" t="s">
        <v>5067</v>
      </c>
      <c r="E1874" s="13" t="s">
        <v>220</v>
      </c>
      <c r="F1874" s="14"/>
      <c r="G1874" s="14"/>
      <c r="H1874" s="14"/>
      <c r="I1874" s="14"/>
      <c r="J1874" s="14">
        <f t="shared" si="87"/>
        <v>0</v>
      </c>
      <c r="K1874" s="14">
        <f t="shared" si="88"/>
        <v>0</v>
      </c>
      <c r="L1874" s="17">
        <f t="shared" si="89"/>
        <v>0</v>
      </c>
      <c r="M1874" s="14"/>
      <c r="N1874" s="16"/>
      <c r="O1874" s="16"/>
      <c r="P1874" s="16"/>
      <c r="Q1874" s="16"/>
      <c r="R1874" s="16"/>
      <c r="S1874" s="16"/>
      <c r="T1874" s="16"/>
      <c r="U1874" s="16"/>
      <c r="V1874" s="16"/>
      <c r="W1874" s="16"/>
      <c r="X1874" s="16"/>
      <c r="Y1874" s="16"/>
      <c r="Z1874" s="16"/>
      <c r="AA1874" s="16"/>
    </row>
    <row r="1875" spans="1:27" s="2" customFormat="1" ht="14">
      <c r="A1875" s="12">
        <v>1357230</v>
      </c>
      <c r="B1875" s="13" t="s">
        <v>14</v>
      </c>
      <c r="C1875" s="13" t="s">
        <v>5068</v>
      </c>
      <c r="D1875" s="13" t="s">
        <v>5069</v>
      </c>
      <c r="E1875" s="13" t="s">
        <v>3506</v>
      </c>
      <c r="F1875" s="14"/>
      <c r="G1875" s="14"/>
      <c r="H1875" s="14"/>
      <c r="I1875" s="14"/>
      <c r="J1875" s="14">
        <f t="shared" si="87"/>
        <v>0</v>
      </c>
      <c r="K1875" s="14">
        <f t="shared" si="88"/>
        <v>0</v>
      </c>
      <c r="L1875" s="17">
        <f t="shared" si="89"/>
        <v>0</v>
      </c>
      <c r="M1875" s="14"/>
      <c r="N1875" s="16"/>
      <c r="O1875" s="16"/>
      <c r="P1875" s="16"/>
      <c r="Q1875" s="16"/>
      <c r="R1875" s="16"/>
      <c r="S1875" s="16"/>
      <c r="T1875" s="16"/>
      <c r="U1875" s="16"/>
      <c r="V1875" s="16"/>
      <c r="W1875" s="16"/>
      <c r="X1875" s="16"/>
      <c r="Y1875" s="16"/>
      <c r="Z1875" s="16"/>
      <c r="AA1875" s="16"/>
    </row>
    <row r="1876" spans="1:27" s="2" customFormat="1" ht="14">
      <c r="A1876" s="12">
        <v>1359380</v>
      </c>
      <c r="B1876" s="13" t="s">
        <v>14</v>
      </c>
      <c r="C1876" s="13" t="s">
        <v>5070</v>
      </c>
      <c r="D1876" s="13" t="s">
        <v>5071</v>
      </c>
      <c r="E1876" s="13" t="s">
        <v>3703</v>
      </c>
      <c r="F1876" s="14"/>
      <c r="G1876" s="14"/>
      <c r="H1876" s="14"/>
      <c r="I1876" s="14"/>
      <c r="J1876" s="14">
        <f t="shared" si="87"/>
        <v>0</v>
      </c>
      <c r="K1876" s="14">
        <f t="shared" si="88"/>
        <v>0</v>
      </c>
      <c r="L1876" s="17">
        <f t="shared" si="89"/>
        <v>0</v>
      </c>
      <c r="M1876" s="14"/>
      <c r="N1876" s="16"/>
      <c r="O1876" s="16"/>
      <c r="P1876" s="16"/>
      <c r="Q1876" s="16"/>
      <c r="R1876" s="16"/>
      <c r="S1876" s="16"/>
      <c r="T1876" s="16"/>
      <c r="U1876" s="16"/>
      <c r="V1876" s="16"/>
      <c r="W1876" s="16"/>
      <c r="X1876" s="16"/>
      <c r="Y1876" s="16"/>
      <c r="Z1876" s="16"/>
      <c r="AA1876" s="16"/>
    </row>
    <row r="1877" spans="1:27" s="2" customFormat="1" ht="14">
      <c r="A1877" s="12">
        <v>1359297</v>
      </c>
      <c r="B1877" s="13" t="s">
        <v>14</v>
      </c>
      <c r="C1877" s="13" t="s">
        <v>5072</v>
      </c>
      <c r="D1877" s="13" t="s">
        <v>5073</v>
      </c>
      <c r="E1877" s="13" t="s">
        <v>3848</v>
      </c>
      <c r="F1877" s="14"/>
      <c r="G1877" s="14"/>
      <c r="H1877" s="14"/>
      <c r="I1877" s="14"/>
      <c r="J1877" s="14">
        <f t="shared" si="87"/>
        <v>0</v>
      </c>
      <c r="K1877" s="14">
        <f t="shared" si="88"/>
        <v>0</v>
      </c>
      <c r="L1877" s="17">
        <f t="shared" si="89"/>
        <v>0</v>
      </c>
      <c r="M1877" s="14"/>
      <c r="N1877" s="16"/>
      <c r="O1877" s="16"/>
      <c r="P1877" s="16"/>
      <c r="Q1877" s="16"/>
      <c r="R1877" s="16"/>
      <c r="S1877" s="16"/>
      <c r="T1877" s="16"/>
      <c r="U1877" s="16"/>
      <c r="V1877" s="16"/>
      <c r="W1877" s="16"/>
      <c r="X1877" s="16"/>
      <c r="Y1877" s="16"/>
      <c r="Z1877" s="16"/>
      <c r="AA1877" s="16"/>
    </row>
    <row r="1878" spans="1:27" s="2" customFormat="1" ht="14">
      <c r="A1878" s="12">
        <v>1360080</v>
      </c>
      <c r="B1878" s="13" t="s">
        <v>14</v>
      </c>
      <c r="C1878" s="13" t="s">
        <v>5074</v>
      </c>
      <c r="D1878" s="13" t="s">
        <v>5075</v>
      </c>
      <c r="E1878" s="13" t="s">
        <v>3682</v>
      </c>
      <c r="F1878" s="14"/>
      <c r="G1878" s="14"/>
      <c r="H1878" s="14"/>
      <c r="I1878" s="14"/>
      <c r="J1878" s="14">
        <f t="shared" si="87"/>
        <v>0</v>
      </c>
      <c r="K1878" s="14">
        <f t="shared" si="88"/>
        <v>0</v>
      </c>
      <c r="L1878" s="17">
        <f t="shared" si="89"/>
        <v>0</v>
      </c>
      <c r="M1878" s="14"/>
      <c r="N1878" s="16"/>
      <c r="O1878" s="16"/>
      <c r="P1878" s="16"/>
      <c r="Q1878" s="16"/>
      <c r="R1878" s="16"/>
      <c r="S1878" s="16"/>
      <c r="T1878" s="16"/>
      <c r="U1878" s="16"/>
      <c r="V1878" s="16"/>
      <c r="W1878" s="16"/>
      <c r="X1878" s="16"/>
      <c r="Y1878" s="16"/>
      <c r="Z1878" s="16"/>
      <c r="AA1878" s="16"/>
    </row>
    <row r="1879" spans="1:27" s="2" customFormat="1" ht="14">
      <c r="A1879" s="12">
        <v>1359566</v>
      </c>
      <c r="B1879" s="13" t="s">
        <v>62</v>
      </c>
      <c r="C1879" s="13" t="s">
        <v>5076</v>
      </c>
      <c r="D1879" s="13" t="s">
        <v>5077</v>
      </c>
      <c r="E1879" s="13" t="s">
        <v>3530</v>
      </c>
      <c r="F1879" s="14"/>
      <c r="G1879" s="14"/>
      <c r="H1879" s="14"/>
      <c r="I1879" s="14"/>
      <c r="J1879" s="14">
        <f t="shared" si="87"/>
        <v>0</v>
      </c>
      <c r="K1879" s="14">
        <f t="shared" si="88"/>
        <v>0</v>
      </c>
      <c r="L1879" s="17">
        <f t="shared" si="89"/>
        <v>0</v>
      </c>
      <c r="M1879" s="14"/>
      <c r="N1879" s="16"/>
      <c r="O1879" s="16"/>
      <c r="P1879" s="16"/>
      <c r="Q1879" s="16"/>
      <c r="R1879" s="16"/>
      <c r="S1879" s="16"/>
      <c r="T1879" s="16"/>
      <c r="U1879" s="16"/>
      <c r="V1879" s="16"/>
      <c r="W1879" s="16"/>
      <c r="X1879" s="16"/>
      <c r="Y1879" s="16"/>
      <c r="Z1879" s="16"/>
      <c r="AA1879" s="16"/>
    </row>
    <row r="1880" spans="1:27" s="2" customFormat="1" ht="14">
      <c r="A1880" s="12">
        <v>1359575</v>
      </c>
      <c r="B1880" s="13" t="s">
        <v>62</v>
      </c>
      <c r="C1880" s="13" t="s">
        <v>5078</v>
      </c>
      <c r="D1880" s="13" t="s">
        <v>5079</v>
      </c>
      <c r="E1880" s="13" t="s">
        <v>3189</v>
      </c>
      <c r="F1880" s="14"/>
      <c r="G1880" s="14"/>
      <c r="H1880" s="14"/>
      <c r="I1880" s="14"/>
      <c r="J1880" s="14">
        <f t="shared" si="87"/>
        <v>0</v>
      </c>
      <c r="K1880" s="14">
        <f t="shared" si="88"/>
        <v>0</v>
      </c>
      <c r="L1880" s="17">
        <f t="shared" si="89"/>
        <v>0</v>
      </c>
      <c r="M1880" s="14"/>
      <c r="N1880" s="16"/>
      <c r="O1880" s="16"/>
      <c r="P1880" s="16"/>
      <c r="Q1880" s="16"/>
      <c r="R1880" s="16"/>
      <c r="S1880" s="16"/>
      <c r="T1880" s="16"/>
      <c r="U1880" s="16"/>
      <c r="V1880" s="16"/>
      <c r="W1880" s="16"/>
      <c r="X1880" s="16"/>
      <c r="Y1880" s="16"/>
      <c r="Z1880" s="16"/>
      <c r="AA1880" s="16"/>
    </row>
    <row r="1881" spans="1:27" s="2" customFormat="1" ht="14">
      <c r="A1881" s="12">
        <v>1359850</v>
      </c>
      <c r="B1881" s="13" t="s">
        <v>14</v>
      </c>
      <c r="C1881" s="13" t="s">
        <v>5080</v>
      </c>
      <c r="D1881" s="13" t="s">
        <v>5081</v>
      </c>
      <c r="E1881" s="13" t="s">
        <v>3327</v>
      </c>
      <c r="F1881" s="14"/>
      <c r="G1881" s="14"/>
      <c r="H1881" s="14"/>
      <c r="I1881" s="14"/>
      <c r="J1881" s="14">
        <f t="shared" si="87"/>
        <v>0</v>
      </c>
      <c r="K1881" s="14">
        <f t="shared" si="88"/>
        <v>0</v>
      </c>
      <c r="L1881" s="17">
        <f t="shared" si="89"/>
        <v>0</v>
      </c>
      <c r="M1881" s="14"/>
      <c r="N1881" s="16"/>
      <c r="O1881" s="16"/>
      <c r="P1881" s="16"/>
      <c r="Q1881" s="16"/>
      <c r="R1881" s="16"/>
      <c r="S1881" s="16"/>
      <c r="T1881" s="16"/>
      <c r="U1881" s="16"/>
      <c r="V1881" s="16"/>
      <c r="W1881" s="16"/>
      <c r="X1881" s="16"/>
      <c r="Y1881" s="16"/>
      <c r="Z1881" s="16"/>
      <c r="AA1881" s="16"/>
    </row>
    <row r="1882" spans="1:27" s="2" customFormat="1" ht="14">
      <c r="A1882" s="12">
        <v>1360121</v>
      </c>
      <c r="B1882" s="13" t="s">
        <v>14</v>
      </c>
      <c r="C1882" s="13" t="s">
        <v>5082</v>
      </c>
      <c r="D1882" s="13" t="s">
        <v>5083</v>
      </c>
      <c r="E1882" s="13" t="s">
        <v>3509</v>
      </c>
      <c r="F1882" s="14"/>
      <c r="G1882" s="14"/>
      <c r="H1882" s="14"/>
      <c r="I1882" s="14"/>
      <c r="J1882" s="14">
        <f t="shared" si="87"/>
        <v>0</v>
      </c>
      <c r="K1882" s="14">
        <f t="shared" si="88"/>
        <v>0</v>
      </c>
      <c r="L1882" s="17">
        <f t="shared" si="89"/>
        <v>0</v>
      </c>
      <c r="M1882" s="14"/>
      <c r="N1882" s="16"/>
      <c r="O1882" s="16"/>
      <c r="P1882" s="16"/>
      <c r="Q1882" s="16"/>
      <c r="R1882" s="16"/>
      <c r="S1882" s="16"/>
      <c r="T1882" s="16"/>
      <c r="U1882" s="16"/>
      <c r="V1882" s="16"/>
      <c r="W1882" s="16"/>
      <c r="X1882" s="16"/>
      <c r="Y1882" s="16"/>
      <c r="Z1882" s="16"/>
      <c r="AA1882" s="16"/>
    </row>
    <row r="1883" spans="1:27" s="2" customFormat="1" ht="14">
      <c r="A1883" s="12" t="s">
        <v>5084</v>
      </c>
      <c r="B1883" s="13" t="s">
        <v>62</v>
      </c>
      <c r="C1883" s="13" t="s">
        <v>5085</v>
      </c>
      <c r="D1883" s="13" t="s">
        <v>5086</v>
      </c>
      <c r="E1883" s="13" t="s">
        <v>104</v>
      </c>
      <c r="F1883" s="14"/>
      <c r="G1883" s="14"/>
      <c r="H1883" s="14"/>
      <c r="I1883" s="14"/>
      <c r="J1883" s="14">
        <f t="shared" si="87"/>
        <v>0</v>
      </c>
      <c r="K1883" s="14">
        <f t="shared" si="88"/>
        <v>0</v>
      </c>
      <c r="L1883" s="17">
        <f t="shared" si="89"/>
        <v>0</v>
      </c>
      <c r="M1883" s="14"/>
      <c r="N1883" s="16"/>
      <c r="O1883" s="16"/>
      <c r="P1883" s="16"/>
      <c r="Q1883" s="16"/>
      <c r="R1883" s="16"/>
      <c r="S1883" s="16"/>
      <c r="T1883" s="16"/>
      <c r="U1883" s="16"/>
      <c r="V1883" s="16"/>
      <c r="W1883" s="16"/>
      <c r="X1883" s="16"/>
      <c r="Y1883" s="16"/>
      <c r="Z1883" s="16"/>
      <c r="AA1883" s="16"/>
    </row>
    <row r="1884" spans="1:27" s="2" customFormat="1" ht="14">
      <c r="A1884" s="12" t="s">
        <v>5087</v>
      </c>
      <c r="B1884" s="13" t="s">
        <v>62</v>
      </c>
      <c r="C1884" s="13" t="s">
        <v>5088</v>
      </c>
      <c r="D1884" s="13" t="s">
        <v>5089</v>
      </c>
      <c r="E1884" s="13" t="s">
        <v>2399</v>
      </c>
      <c r="F1884" s="14"/>
      <c r="G1884" s="14"/>
      <c r="H1884" s="14"/>
      <c r="I1884" s="14"/>
      <c r="J1884" s="14">
        <f t="shared" si="87"/>
        <v>0</v>
      </c>
      <c r="K1884" s="14">
        <f t="shared" si="88"/>
        <v>0</v>
      </c>
      <c r="L1884" s="17">
        <f t="shared" si="89"/>
        <v>0</v>
      </c>
      <c r="M1884" s="14"/>
      <c r="N1884" s="16"/>
      <c r="O1884" s="16"/>
      <c r="P1884" s="16"/>
      <c r="Q1884" s="16"/>
      <c r="R1884" s="16"/>
      <c r="S1884" s="16"/>
      <c r="T1884" s="16"/>
      <c r="U1884" s="16"/>
      <c r="V1884" s="16"/>
      <c r="W1884" s="16"/>
      <c r="X1884" s="16"/>
      <c r="Y1884" s="16"/>
      <c r="Z1884" s="16"/>
      <c r="AA1884" s="16"/>
    </row>
    <row r="1885" spans="1:27" s="2" customFormat="1" ht="14">
      <c r="A1885" s="12" t="s">
        <v>5090</v>
      </c>
      <c r="B1885" s="13" t="s">
        <v>14</v>
      </c>
      <c r="C1885" s="13" t="s">
        <v>5091</v>
      </c>
      <c r="D1885" s="13" t="s">
        <v>5092</v>
      </c>
      <c r="E1885" s="13" t="s">
        <v>220</v>
      </c>
      <c r="F1885" s="14"/>
      <c r="G1885" s="14"/>
      <c r="H1885" s="14"/>
      <c r="I1885" s="14"/>
      <c r="J1885" s="14">
        <f t="shared" si="87"/>
        <v>0</v>
      </c>
      <c r="K1885" s="14">
        <f t="shared" si="88"/>
        <v>0</v>
      </c>
      <c r="L1885" s="17">
        <f t="shared" si="89"/>
        <v>0</v>
      </c>
      <c r="M1885" s="14"/>
      <c r="N1885" s="16"/>
      <c r="O1885" s="16"/>
      <c r="P1885" s="16"/>
      <c r="Q1885" s="16"/>
      <c r="R1885" s="16"/>
      <c r="S1885" s="16"/>
      <c r="T1885" s="16"/>
      <c r="U1885" s="16"/>
      <c r="V1885" s="16"/>
      <c r="W1885" s="16"/>
      <c r="X1885" s="16"/>
      <c r="Y1885" s="16"/>
      <c r="Z1885" s="16"/>
      <c r="AA1885" s="16"/>
    </row>
    <row r="1886" spans="1:27" s="2" customFormat="1" ht="14">
      <c r="A1886" s="12">
        <v>1361017</v>
      </c>
      <c r="B1886" s="13" t="s">
        <v>62</v>
      </c>
      <c r="C1886" s="13" t="s">
        <v>5093</v>
      </c>
      <c r="D1886" s="13" t="s">
        <v>5094</v>
      </c>
      <c r="E1886" s="13" t="s">
        <v>3530</v>
      </c>
      <c r="F1886" s="14"/>
      <c r="G1886" s="14"/>
      <c r="H1886" s="14"/>
      <c r="I1886" s="14"/>
      <c r="J1886" s="14">
        <f t="shared" si="87"/>
        <v>0</v>
      </c>
      <c r="K1886" s="14">
        <f t="shared" si="88"/>
        <v>0</v>
      </c>
      <c r="L1886" s="17">
        <f t="shared" si="89"/>
        <v>0</v>
      </c>
      <c r="M1886" s="14"/>
      <c r="N1886" s="16"/>
      <c r="O1886" s="16"/>
      <c r="P1886" s="16"/>
      <c r="Q1886" s="16"/>
      <c r="R1886" s="16"/>
      <c r="S1886" s="16"/>
      <c r="T1886" s="16"/>
      <c r="U1886" s="16"/>
      <c r="V1886" s="16"/>
      <c r="W1886" s="16"/>
      <c r="X1886" s="16"/>
      <c r="Y1886" s="16"/>
      <c r="Z1886" s="16"/>
      <c r="AA1886" s="16"/>
    </row>
    <row r="1887" spans="1:27" s="2" customFormat="1" ht="14">
      <c r="A1887" s="12" t="s">
        <v>5095</v>
      </c>
      <c r="B1887" s="13" t="s">
        <v>62</v>
      </c>
      <c r="C1887" s="13" t="s">
        <v>5096</v>
      </c>
      <c r="D1887" s="13" t="s">
        <v>5097</v>
      </c>
      <c r="E1887" s="13" t="s">
        <v>156</v>
      </c>
      <c r="F1887" s="14"/>
      <c r="G1887" s="14"/>
      <c r="H1887" s="14"/>
      <c r="I1887" s="14"/>
      <c r="J1887" s="14">
        <f t="shared" si="87"/>
        <v>0</v>
      </c>
      <c r="K1887" s="14">
        <f t="shared" si="88"/>
        <v>0</v>
      </c>
      <c r="L1887" s="17">
        <f t="shared" si="89"/>
        <v>0</v>
      </c>
      <c r="M1887" s="14"/>
      <c r="N1887" s="16"/>
      <c r="O1887" s="16"/>
      <c r="P1887" s="16"/>
      <c r="Q1887" s="16"/>
      <c r="R1887" s="16"/>
      <c r="S1887" s="16"/>
      <c r="T1887" s="16"/>
      <c r="U1887" s="16"/>
      <c r="V1887" s="16"/>
      <c r="W1887" s="16"/>
      <c r="X1887" s="16"/>
      <c r="Y1887" s="16"/>
      <c r="Z1887" s="16"/>
      <c r="AA1887" s="16"/>
    </row>
    <row r="1888" spans="1:27" s="2" customFormat="1" ht="14">
      <c r="A1888" s="12" t="s">
        <v>5098</v>
      </c>
      <c r="B1888" s="13" t="s">
        <v>14</v>
      </c>
      <c r="C1888" s="13" t="s">
        <v>5099</v>
      </c>
      <c r="D1888" s="13" t="s">
        <v>5100</v>
      </c>
      <c r="E1888" s="13" t="s">
        <v>104</v>
      </c>
      <c r="F1888" s="14"/>
      <c r="G1888" s="14"/>
      <c r="H1888" s="14"/>
      <c r="I1888" s="14"/>
      <c r="J1888" s="14">
        <f t="shared" si="87"/>
        <v>0</v>
      </c>
      <c r="K1888" s="14">
        <f t="shared" si="88"/>
        <v>0</v>
      </c>
      <c r="L1888" s="17">
        <f t="shared" si="89"/>
        <v>0</v>
      </c>
      <c r="M1888" s="14"/>
      <c r="N1888" s="16"/>
      <c r="O1888" s="16"/>
      <c r="P1888" s="16"/>
      <c r="Q1888" s="16"/>
      <c r="R1888" s="16"/>
      <c r="S1888" s="16"/>
      <c r="T1888" s="16"/>
      <c r="U1888" s="16"/>
      <c r="V1888" s="16"/>
      <c r="W1888" s="16"/>
      <c r="X1888" s="16"/>
      <c r="Y1888" s="16"/>
      <c r="Z1888" s="16"/>
      <c r="AA1888" s="16"/>
    </row>
    <row r="1889" spans="1:27" s="2" customFormat="1" ht="14">
      <c r="A1889" s="12">
        <v>1361227</v>
      </c>
      <c r="B1889" s="13" t="s">
        <v>62</v>
      </c>
      <c r="C1889" s="13" t="s">
        <v>5101</v>
      </c>
      <c r="D1889" s="13" t="s">
        <v>5102</v>
      </c>
      <c r="E1889" s="13" t="s">
        <v>3986</v>
      </c>
      <c r="F1889" s="14"/>
      <c r="G1889" s="14"/>
      <c r="H1889" s="14"/>
      <c r="I1889" s="14"/>
      <c r="J1889" s="14">
        <f t="shared" si="87"/>
        <v>0</v>
      </c>
      <c r="K1889" s="14">
        <f t="shared" si="88"/>
        <v>0</v>
      </c>
      <c r="L1889" s="17">
        <f t="shared" si="89"/>
        <v>0</v>
      </c>
      <c r="M1889" s="14"/>
      <c r="N1889" s="16"/>
      <c r="O1889" s="16"/>
      <c r="P1889" s="16"/>
      <c r="Q1889" s="16"/>
      <c r="R1889" s="16"/>
      <c r="S1889" s="16"/>
      <c r="T1889" s="16"/>
      <c r="U1889" s="16"/>
      <c r="V1889" s="16"/>
      <c r="W1889" s="16"/>
      <c r="X1889" s="16"/>
      <c r="Y1889" s="16"/>
      <c r="Z1889" s="16"/>
      <c r="AA1889" s="16"/>
    </row>
    <row r="1890" spans="1:27" s="2" customFormat="1" ht="14">
      <c r="A1890" s="12">
        <v>1361252</v>
      </c>
      <c r="B1890" s="13" t="s">
        <v>14</v>
      </c>
      <c r="C1890" s="13" t="s">
        <v>5103</v>
      </c>
      <c r="D1890" s="13" t="s">
        <v>5104</v>
      </c>
      <c r="E1890" s="13" t="s">
        <v>3848</v>
      </c>
      <c r="F1890" s="14">
        <v>4911908</v>
      </c>
      <c r="G1890" s="14">
        <v>0</v>
      </c>
      <c r="H1890" s="14">
        <v>0</v>
      </c>
      <c r="I1890" s="14">
        <v>0</v>
      </c>
      <c r="J1890" s="14">
        <f t="shared" si="87"/>
        <v>0</v>
      </c>
      <c r="K1890" s="14">
        <f t="shared" si="88"/>
        <v>0</v>
      </c>
      <c r="L1890" s="17">
        <f t="shared" si="89"/>
        <v>0</v>
      </c>
      <c r="M1890" s="14"/>
      <c r="N1890" s="16"/>
      <c r="O1890" s="16"/>
      <c r="P1890" s="16"/>
      <c r="Q1890" s="16"/>
      <c r="R1890" s="16"/>
      <c r="S1890" s="16"/>
      <c r="T1890" s="16"/>
      <c r="U1890" s="16"/>
      <c r="V1890" s="16"/>
      <c r="W1890" s="16"/>
      <c r="X1890" s="16"/>
      <c r="Y1890" s="16"/>
      <c r="Z1890" s="16"/>
      <c r="AA1890" s="16"/>
    </row>
    <row r="1891" spans="1:27" s="2" customFormat="1" ht="14">
      <c r="A1891" s="12">
        <v>1358580</v>
      </c>
      <c r="B1891" s="13" t="s">
        <v>14</v>
      </c>
      <c r="C1891" s="13" t="s">
        <v>5105</v>
      </c>
      <c r="D1891" s="13" t="s">
        <v>5106</v>
      </c>
      <c r="E1891" s="13" t="s">
        <v>1839</v>
      </c>
      <c r="F1891" s="14"/>
      <c r="G1891" s="14">
        <v>0</v>
      </c>
      <c r="H1891" s="14">
        <v>0</v>
      </c>
      <c r="I1891" s="14">
        <v>0</v>
      </c>
      <c r="J1891" s="14">
        <f t="shared" si="87"/>
        <v>0</v>
      </c>
      <c r="K1891" s="14">
        <f t="shared" si="88"/>
        <v>0</v>
      </c>
      <c r="L1891" s="17">
        <f t="shared" si="89"/>
        <v>0</v>
      </c>
      <c r="M1891" s="14"/>
      <c r="N1891" s="16"/>
      <c r="O1891" s="16"/>
      <c r="P1891" s="16"/>
      <c r="Q1891" s="16"/>
      <c r="R1891" s="16"/>
      <c r="S1891" s="16"/>
      <c r="T1891" s="16"/>
      <c r="U1891" s="16"/>
      <c r="V1891" s="16"/>
      <c r="W1891" s="16"/>
      <c r="X1891" s="16"/>
      <c r="Y1891" s="16"/>
      <c r="Z1891" s="16"/>
      <c r="AA1891" s="16"/>
    </row>
    <row r="1892" spans="1:27" s="2" customFormat="1" ht="14">
      <c r="A1892" s="12">
        <v>1361531</v>
      </c>
      <c r="B1892" s="13" t="s">
        <v>14</v>
      </c>
      <c r="C1892" s="13" t="s">
        <v>5107</v>
      </c>
      <c r="D1892" s="13" t="s">
        <v>5108</v>
      </c>
      <c r="E1892" s="13" t="s">
        <v>3635</v>
      </c>
      <c r="F1892" s="14"/>
      <c r="G1892" s="14">
        <v>0</v>
      </c>
      <c r="H1892" s="14">
        <v>0</v>
      </c>
      <c r="I1892" s="14">
        <v>0</v>
      </c>
      <c r="J1892" s="14">
        <f t="shared" si="87"/>
        <v>0</v>
      </c>
      <c r="K1892" s="14">
        <f t="shared" si="88"/>
        <v>0</v>
      </c>
      <c r="L1892" s="17">
        <f t="shared" si="89"/>
        <v>0</v>
      </c>
      <c r="M1892" s="14"/>
      <c r="N1892" s="16"/>
      <c r="O1892" s="16"/>
      <c r="P1892" s="16"/>
      <c r="Q1892" s="16"/>
      <c r="R1892" s="16"/>
      <c r="S1892" s="16"/>
      <c r="T1892" s="16"/>
      <c r="U1892" s="16"/>
      <c r="V1892" s="16"/>
      <c r="W1892" s="16"/>
      <c r="X1892" s="16"/>
      <c r="Y1892" s="16"/>
      <c r="Z1892" s="16"/>
      <c r="AA1892" s="16"/>
    </row>
    <row r="1893" spans="1:27" s="2" customFormat="1" ht="14">
      <c r="A1893" s="12" t="s">
        <v>5109</v>
      </c>
      <c r="B1893" s="13" t="s">
        <v>14</v>
      </c>
      <c r="C1893" s="13" t="s">
        <v>5110</v>
      </c>
      <c r="D1893" s="13" t="s">
        <v>5111</v>
      </c>
      <c r="E1893" s="13" t="s">
        <v>57</v>
      </c>
      <c r="F1893" s="14">
        <v>4913033</v>
      </c>
      <c r="G1893" s="14">
        <v>0</v>
      </c>
      <c r="H1893" s="14">
        <v>0</v>
      </c>
      <c r="I1893" s="14">
        <v>0</v>
      </c>
      <c r="J1893" s="14">
        <f t="shared" si="87"/>
        <v>0</v>
      </c>
      <c r="K1893" s="14">
        <f t="shared" si="88"/>
        <v>0</v>
      </c>
      <c r="L1893" s="17">
        <f t="shared" si="89"/>
        <v>0</v>
      </c>
      <c r="M1893" s="14"/>
      <c r="N1893" s="16"/>
      <c r="O1893" s="16"/>
      <c r="P1893" s="16"/>
      <c r="Q1893" s="16"/>
      <c r="R1893" s="16"/>
      <c r="S1893" s="16"/>
      <c r="T1893" s="16"/>
      <c r="U1893" s="16"/>
      <c r="V1893" s="16"/>
      <c r="W1893" s="16"/>
      <c r="X1893" s="16"/>
      <c r="Y1893" s="16"/>
      <c r="Z1893" s="16"/>
      <c r="AA1893" s="16"/>
    </row>
    <row r="1894" spans="1:27" s="2" customFormat="1" ht="14">
      <c r="A1894" s="12" t="s">
        <v>5112</v>
      </c>
      <c r="B1894" s="13" t="s">
        <v>62</v>
      </c>
      <c r="C1894" s="13" t="s">
        <v>5113</v>
      </c>
      <c r="D1894" s="13" t="s">
        <v>5114</v>
      </c>
      <c r="E1894" s="13" t="s">
        <v>57</v>
      </c>
      <c r="F1894" s="14"/>
      <c r="G1894" s="14">
        <v>0</v>
      </c>
      <c r="H1894" s="14">
        <v>0</v>
      </c>
      <c r="I1894" s="14">
        <v>0</v>
      </c>
      <c r="J1894" s="14">
        <f t="shared" si="87"/>
        <v>0</v>
      </c>
      <c r="K1894" s="14">
        <f t="shared" si="88"/>
        <v>0</v>
      </c>
      <c r="L1894" s="17">
        <f t="shared" si="89"/>
        <v>0</v>
      </c>
      <c r="M1894" s="18" t="s">
        <v>5115</v>
      </c>
      <c r="N1894" s="16"/>
      <c r="O1894" s="16"/>
      <c r="P1894" s="16"/>
      <c r="Q1894" s="16"/>
      <c r="R1894" s="16"/>
      <c r="S1894" s="16"/>
      <c r="T1894" s="16"/>
      <c r="U1894" s="16"/>
      <c r="V1894" s="16"/>
      <c r="W1894" s="16"/>
      <c r="X1894" s="16"/>
      <c r="Y1894" s="16"/>
      <c r="Z1894" s="16"/>
      <c r="AA1894" s="16"/>
    </row>
    <row r="1895" spans="1:27" s="2" customFormat="1" ht="14">
      <c r="A1895" s="12">
        <v>1360495</v>
      </c>
      <c r="B1895" s="13" t="s">
        <v>14</v>
      </c>
      <c r="C1895" s="13" t="s">
        <v>5116</v>
      </c>
      <c r="D1895" s="13" t="s">
        <v>5117</v>
      </c>
      <c r="E1895" s="13" t="s">
        <v>3324</v>
      </c>
      <c r="F1895" s="14"/>
      <c r="G1895" s="14">
        <v>0</v>
      </c>
      <c r="H1895" s="14">
        <v>0</v>
      </c>
      <c r="I1895" s="14">
        <v>0</v>
      </c>
      <c r="J1895" s="14">
        <f t="shared" si="87"/>
        <v>0</v>
      </c>
      <c r="K1895" s="14">
        <f t="shared" si="88"/>
        <v>0</v>
      </c>
      <c r="L1895" s="17">
        <f t="shared" si="89"/>
        <v>0</v>
      </c>
      <c r="M1895" s="18" t="s">
        <v>5118</v>
      </c>
      <c r="N1895" s="16"/>
      <c r="O1895" s="16"/>
      <c r="P1895" s="16"/>
      <c r="Q1895" s="16"/>
      <c r="R1895" s="16"/>
      <c r="S1895" s="16"/>
      <c r="T1895" s="16"/>
      <c r="U1895" s="16"/>
      <c r="V1895" s="16"/>
      <c r="W1895" s="16"/>
      <c r="X1895" s="16"/>
      <c r="Y1895" s="16"/>
      <c r="Z1895" s="16"/>
      <c r="AA1895" s="16"/>
    </row>
    <row r="1896" spans="1:27" s="2" customFormat="1" ht="14">
      <c r="A1896" s="12" t="s">
        <v>5119</v>
      </c>
      <c r="B1896" s="13" t="s">
        <v>62</v>
      </c>
      <c r="C1896" s="13" t="s">
        <v>5120</v>
      </c>
      <c r="D1896" s="13" t="s">
        <v>5121</v>
      </c>
      <c r="E1896" s="13" t="s">
        <v>32</v>
      </c>
      <c r="F1896" s="14"/>
      <c r="G1896" s="14">
        <v>0</v>
      </c>
      <c r="H1896" s="14">
        <v>0</v>
      </c>
      <c r="I1896" s="14">
        <v>0</v>
      </c>
      <c r="J1896" s="14">
        <f t="shared" si="87"/>
        <v>0</v>
      </c>
      <c r="K1896" s="14">
        <f t="shared" si="88"/>
        <v>0</v>
      </c>
      <c r="L1896" s="17">
        <f t="shared" si="89"/>
        <v>0</v>
      </c>
      <c r="M1896" s="14"/>
      <c r="N1896" s="16"/>
      <c r="O1896" s="16"/>
      <c r="P1896" s="16"/>
      <c r="Q1896" s="16"/>
      <c r="R1896" s="16"/>
      <c r="S1896" s="16"/>
      <c r="T1896" s="16"/>
      <c r="U1896" s="16"/>
      <c r="V1896" s="16"/>
      <c r="W1896" s="16"/>
      <c r="X1896" s="16"/>
      <c r="Y1896" s="16"/>
      <c r="Z1896" s="16"/>
      <c r="AA1896" s="16"/>
    </row>
    <row r="1897" spans="1:27" s="2" customFormat="1" ht="14">
      <c r="A1897" s="12">
        <v>1362029</v>
      </c>
      <c r="B1897" s="13" t="s">
        <v>62</v>
      </c>
      <c r="C1897" s="13" t="s">
        <v>5122</v>
      </c>
      <c r="D1897" s="13" t="s">
        <v>5123</v>
      </c>
      <c r="E1897" s="13" t="s">
        <v>5124</v>
      </c>
      <c r="F1897" s="14">
        <v>4915691</v>
      </c>
      <c r="G1897" s="14">
        <v>0</v>
      </c>
      <c r="H1897" s="14">
        <v>0</v>
      </c>
      <c r="I1897" s="14">
        <v>0</v>
      </c>
      <c r="J1897" s="14">
        <f t="shared" si="87"/>
        <v>0</v>
      </c>
      <c r="K1897" s="14">
        <f t="shared" si="88"/>
        <v>0</v>
      </c>
      <c r="L1897" s="17">
        <f t="shared" si="89"/>
        <v>0</v>
      </c>
      <c r="M1897" s="14"/>
      <c r="N1897" s="16"/>
      <c r="O1897" s="16"/>
      <c r="P1897" s="16"/>
      <c r="Q1897" s="16"/>
      <c r="R1897" s="16"/>
      <c r="S1897" s="16"/>
      <c r="T1897" s="16"/>
      <c r="U1897" s="16"/>
      <c r="V1897" s="16"/>
      <c r="W1897" s="16"/>
      <c r="X1897" s="16"/>
      <c r="Y1897" s="16"/>
      <c r="Z1897" s="16"/>
      <c r="AA1897" s="16"/>
    </row>
    <row r="1898" spans="1:27" s="2" customFormat="1" ht="14">
      <c r="A1898" s="12" t="s">
        <v>5125</v>
      </c>
      <c r="B1898" s="13" t="s">
        <v>62</v>
      </c>
      <c r="C1898" s="13" t="s">
        <v>5126</v>
      </c>
      <c r="D1898" s="13" t="s">
        <v>5127</v>
      </c>
      <c r="E1898" s="13" t="s">
        <v>220</v>
      </c>
      <c r="F1898" s="14"/>
      <c r="G1898" s="14">
        <v>0</v>
      </c>
      <c r="H1898" s="14">
        <v>0</v>
      </c>
      <c r="I1898" s="14">
        <v>0</v>
      </c>
      <c r="J1898" s="14">
        <f t="shared" si="87"/>
        <v>0</v>
      </c>
      <c r="K1898" s="14">
        <f t="shared" si="88"/>
        <v>0</v>
      </c>
      <c r="L1898" s="17">
        <f t="shared" si="89"/>
        <v>0</v>
      </c>
      <c r="M1898" s="18" t="s">
        <v>5115</v>
      </c>
      <c r="N1898" s="16"/>
      <c r="O1898" s="16"/>
      <c r="P1898" s="16"/>
      <c r="Q1898" s="16"/>
      <c r="R1898" s="16"/>
      <c r="S1898" s="16"/>
      <c r="T1898" s="16"/>
      <c r="U1898" s="16"/>
      <c r="V1898" s="16"/>
      <c r="W1898" s="16"/>
      <c r="X1898" s="16"/>
      <c r="Y1898" s="16"/>
      <c r="Z1898" s="16"/>
      <c r="AA1898" s="16"/>
    </row>
    <row r="1899" spans="1:27" s="2" customFormat="1" ht="14">
      <c r="A1899" s="12" t="s">
        <v>5128</v>
      </c>
      <c r="B1899" s="13" t="s">
        <v>14</v>
      </c>
      <c r="C1899" s="13" t="s">
        <v>5129</v>
      </c>
      <c r="D1899" s="13" t="s">
        <v>5130</v>
      </c>
      <c r="E1899" s="13" t="s">
        <v>183</v>
      </c>
      <c r="F1899" s="14">
        <v>4915711</v>
      </c>
      <c r="G1899" s="14">
        <v>0</v>
      </c>
      <c r="H1899" s="14">
        <v>0</v>
      </c>
      <c r="I1899" s="14">
        <v>0</v>
      </c>
      <c r="J1899" s="14">
        <f t="shared" si="87"/>
        <v>0</v>
      </c>
      <c r="K1899" s="14">
        <f t="shared" si="88"/>
        <v>0</v>
      </c>
      <c r="L1899" s="17">
        <f t="shared" si="89"/>
        <v>0</v>
      </c>
      <c r="M1899" s="14"/>
      <c r="N1899" s="16"/>
      <c r="O1899" s="16"/>
      <c r="P1899" s="16"/>
      <c r="Q1899" s="16"/>
      <c r="R1899" s="16"/>
      <c r="S1899" s="16"/>
      <c r="T1899" s="16"/>
      <c r="U1899" s="16"/>
      <c r="V1899" s="16"/>
      <c r="W1899" s="16"/>
      <c r="X1899" s="16"/>
      <c r="Y1899" s="16"/>
      <c r="Z1899" s="16"/>
      <c r="AA1899" s="16"/>
    </row>
    <row r="1900" spans="1:27" s="2" customFormat="1" ht="14">
      <c r="A1900" s="12">
        <v>1358774</v>
      </c>
      <c r="B1900" s="13" t="s">
        <v>14</v>
      </c>
      <c r="C1900" s="13" t="s">
        <v>5131</v>
      </c>
      <c r="D1900" s="13" t="s">
        <v>5132</v>
      </c>
      <c r="E1900" s="13" t="s">
        <v>3848</v>
      </c>
      <c r="F1900" s="14"/>
      <c r="G1900" s="14">
        <v>0</v>
      </c>
      <c r="H1900" s="14">
        <v>0</v>
      </c>
      <c r="I1900" s="14">
        <v>0</v>
      </c>
      <c r="J1900" s="14">
        <f t="shared" si="87"/>
        <v>0</v>
      </c>
      <c r="K1900" s="14">
        <f t="shared" si="88"/>
        <v>0</v>
      </c>
      <c r="L1900" s="17">
        <f t="shared" si="89"/>
        <v>0</v>
      </c>
      <c r="M1900" s="14"/>
      <c r="N1900" s="16"/>
      <c r="O1900" s="16"/>
      <c r="P1900" s="16"/>
      <c r="Q1900" s="16"/>
      <c r="R1900" s="16"/>
      <c r="S1900" s="16"/>
      <c r="T1900" s="16"/>
      <c r="U1900" s="16"/>
      <c r="V1900" s="16"/>
      <c r="W1900" s="16"/>
      <c r="X1900" s="16"/>
      <c r="Y1900" s="16"/>
      <c r="Z1900" s="16"/>
      <c r="AA1900" s="16"/>
    </row>
    <row r="1901" spans="1:27" s="2" customFormat="1" ht="14">
      <c r="A1901" s="12">
        <v>1362109</v>
      </c>
      <c r="B1901" s="13" t="s">
        <v>62</v>
      </c>
      <c r="C1901" s="13" t="s">
        <v>5133</v>
      </c>
      <c r="D1901" s="13" t="s">
        <v>5134</v>
      </c>
      <c r="E1901" s="13" t="s">
        <v>3635</v>
      </c>
      <c r="F1901" s="14">
        <v>4917109</v>
      </c>
      <c r="G1901" s="14">
        <v>0</v>
      </c>
      <c r="H1901" s="14">
        <v>0</v>
      </c>
      <c r="I1901" s="14">
        <v>0</v>
      </c>
      <c r="J1901" s="14">
        <f t="shared" si="87"/>
        <v>0</v>
      </c>
      <c r="K1901" s="14">
        <f t="shared" si="88"/>
        <v>0</v>
      </c>
      <c r="L1901" s="17">
        <f t="shared" si="89"/>
        <v>0</v>
      </c>
      <c r="M1901" s="14"/>
      <c r="N1901" s="16"/>
      <c r="O1901" s="16"/>
      <c r="P1901" s="16"/>
      <c r="Q1901" s="16"/>
      <c r="R1901" s="16"/>
      <c r="S1901" s="16"/>
      <c r="T1901" s="16"/>
      <c r="U1901" s="16"/>
      <c r="V1901" s="16"/>
      <c r="W1901" s="16"/>
      <c r="X1901" s="16"/>
      <c r="Y1901" s="16"/>
      <c r="Z1901" s="16"/>
      <c r="AA1901" s="16"/>
    </row>
    <row r="1902" spans="1:27" s="2" customFormat="1" ht="14">
      <c r="A1902" s="12">
        <v>1363009</v>
      </c>
      <c r="B1902" s="13" t="s">
        <v>62</v>
      </c>
      <c r="C1902" s="13" t="s">
        <v>5135</v>
      </c>
      <c r="D1902" s="13" t="s">
        <v>5136</v>
      </c>
      <c r="E1902" s="13" t="s">
        <v>1573</v>
      </c>
      <c r="F1902" s="14"/>
      <c r="G1902" s="14">
        <v>0</v>
      </c>
      <c r="H1902" s="14">
        <v>0</v>
      </c>
      <c r="I1902" s="14">
        <v>0</v>
      </c>
      <c r="J1902" s="14">
        <f t="shared" si="87"/>
        <v>0</v>
      </c>
      <c r="K1902" s="14">
        <f t="shared" si="88"/>
        <v>0</v>
      </c>
      <c r="L1902" s="17">
        <f t="shared" si="89"/>
        <v>0</v>
      </c>
      <c r="M1902" s="18" t="s">
        <v>5137</v>
      </c>
      <c r="N1902" s="16"/>
      <c r="O1902" s="16"/>
      <c r="P1902" s="16"/>
      <c r="Q1902" s="16"/>
      <c r="R1902" s="16"/>
      <c r="S1902" s="16"/>
      <c r="T1902" s="16"/>
      <c r="U1902" s="16"/>
      <c r="V1902" s="16"/>
      <c r="W1902" s="16"/>
      <c r="X1902" s="16"/>
      <c r="Y1902" s="16"/>
      <c r="Z1902" s="16"/>
      <c r="AA1902" s="16"/>
    </row>
    <row r="1903" spans="1:27" s="2" customFormat="1" ht="14">
      <c r="A1903" s="12">
        <v>1363101</v>
      </c>
      <c r="B1903" s="13" t="s">
        <v>14</v>
      </c>
      <c r="C1903" s="13" t="s">
        <v>5138</v>
      </c>
      <c r="D1903" s="13" t="s">
        <v>5139</v>
      </c>
      <c r="E1903" s="13" t="s">
        <v>837</v>
      </c>
      <c r="F1903" s="14">
        <v>4919057</v>
      </c>
      <c r="G1903" s="14">
        <v>0</v>
      </c>
      <c r="H1903" s="14">
        <v>0</v>
      </c>
      <c r="I1903" s="14">
        <v>0</v>
      </c>
      <c r="J1903" s="14">
        <f t="shared" si="87"/>
        <v>0</v>
      </c>
      <c r="K1903" s="14">
        <f t="shared" si="88"/>
        <v>0</v>
      </c>
      <c r="L1903" s="17">
        <f t="shared" si="89"/>
        <v>0</v>
      </c>
      <c r="M1903" s="14"/>
      <c r="N1903" s="16"/>
      <c r="O1903" s="16"/>
      <c r="P1903" s="16"/>
      <c r="Q1903" s="16"/>
      <c r="R1903" s="16"/>
      <c r="S1903" s="16"/>
      <c r="T1903" s="16"/>
      <c r="U1903" s="16"/>
      <c r="V1903" s="16"/>
      <c r="W1903" s="16"/>
      <c r="X1903" s="16"/>
      <c r="Y1903" s="16"/>
      <c r="Z1903" s="16"/>
      <c r="AA1903" s="16"/>
    </row>
    <row r="1904" spans="1:27" s="2" customFormat="1" ht="14">
      <c r="A1904" s="12">
        <v>1363308</v>
      </c>
      <c r="B1904" s="13" t="s">
        <v>14</v>
      </c>
      <c r="C1904" s="13" t="s">
        <v>5140</v>
      </c>
      <c r="D1904" s="13" t="s">
        <v>5141</v>
      </c>
      <c r="E1904" s="13" t="s">
        <v>1579</v>
      </c>
      <c r="F1904" s="14">
        <v>4919289</v>
      </c>
      <c r="G1904" s="14">
        <v>0</v>
      </c>
      <c r="H1904" s="14">
        <v>0</v>
      </c>
      <c r="I1904" s="14">
        <v>0</v>
      </c>
      <c r="J1904" s="14">
        <f t="shared" si="87"/>
        <v>0</v>
      </c>
      <c r="K1904" s="14">
        <f t="shared" si="88"/>
        <v>0</v>
      </c>
      <c r="L1904" s="17">
        <f t="shared" si="89"/>
        <v>0</v>
      </c>
      <c r="M1904" s="14"/>
      <c r="N1904" s="16"/>
      <c r="O1904" s="16"/>
      <c r="P1904" s="16"/>
      <c r="Q1904" s="16"/>
      <c r="R1904" s="16"/>
      <c r="S1904" s="16"/>
      <c r="T1904" s="16"/>
      <c r="U1904" s="16"/>
      <c r="V1904" s="16"/>
      <c r="W1904" s="16"/>
      <c r="X1904" s="16"/>
      <c r="Y1904" s="16"/>
      <c r="Z1904" s="16"/>
      <c r="AA1904" s="16"/>
    </row>
    <row r="1905" spans="1:27" s="2" customFormat="1" ht="14">
      <c r="A1905" s="12">
        <v>1358904</v>
      </c>
      <c r="B1905" s="13" t="s">
        <v>14</v>
      </c>
      <c r="C1905" s="13" t="s">
        <v>5142</v>
      </c>
      <c r="D1905" s="13" t="s">
        <v>5143</v>
      </c>
      <c r="E1905" s="13" t="s">
        <v>3576</v>
      </c>
      <c r="F1905" s="14">
        <v>4791671</v>
      </c>
      <c r="G1905" s="14">
        <v>1</v>
      </c>
      <c r="H1905" s="14">
        <v>0</v>
      </c>
      <c r="I1905" s="14">
        <v>1</v>
      </c>
      <c r="J1905" s="14">
        <f t="shared" si="87"/>
        <v>1</v>
      </c>
      <c r="K1905" s="14">
        <f t="shared" si="88"/>
        <v>0</v>
      </c>
      <c r="L1905" s="17">
        <f t="shared" si="89"/>
        <v>0</v>
      </c>
      <c r="M1905" s="14"/>
      <c r="N1905" s="16"/>
      <c r="O1905" s="16"/>
      <c r="P1905" s="16"/>
      <c r="Q1905" s="16"/>
      <c r="R1905" s="16"/>
      <c r="S1905" s="16"/>
      <c r="T1905" s="16"/>
      <c r="U1905" s="16"/>
      <c r="V1905" s="16"/>
      <c r="W1905" s="16"/>
      <c r="X1905" s="16"/>
      <c r="Y1905" s="16"/>
      <c r="Z1905" s="16"/>
      <c r="AA1905" s="16"/>
    </row>
    <row r="1906" spans="1:27" s="2" customFormat="1" ht="14">
      <c r="A1906" s="12">
        <v>1363701</v>
      </c>
      <c r="B1906" s="13" t="s">
        <v>14</v>
      </c>
      <c r="C1906" s="13" t="s">
        <v>5144</v>
      </c>
      <c r="D1906" s="13" t="s">
        <v>5145</v>
      </c>
      <c r="E1906" s="13" t="s">
        <v>1573</v>
      </c>
      <c r="F1906" s="14">
        <v>4919995</v>
      </c>
      <c r="G1906" s="14">
        <v>1</v>
      </c>
      <c r="H1906" s="14">
        <v>0</v>
      </c>
      <c r="I1906" s="14">
        <v>1</v>
      </c>
      <c r="J1906" s="14">
        <f t="shared" si="87"/>
        <v>1</v>
      </c>
      <c r="K1906" s="14">
        <f t="shared" si="88"/>
        <v>0</v>
      </c>
      <c r="L1906" s="17">
        <f t="shared" si="89"/>
        <v>0</v>
      </c>
      <c r="M1906" s="14"/>
      <c r="N1906" s="16"/>
      <c r="O1906" s="16"/>
      <c r="P1906" s="16"/>
      <c r="Q1906" s="16"/>
      <c r="R1906" s="16"/>
      <c r="S1906" s="16"/>
      <c r="T1906" s="16"/>
      <c r="U1906" s="16"/>
      <c r="V1906" s="16"/>
      <c r="W1906" s="16"/>
      <c r="X1906" s="16"/>
      <c r="Y1906" s="16"/>
      <c r="Z1906" s="16"/>
      <c r="AA1906" s="16"/>
    </row>
    <row r="1907" spans="1:27" s="2" customFormat="1" ht="14">
      <c r="A1907" s="12">
        <v>1363707</v>
      </c>
      <c r="B1907" s="13" t="s">
        <v>62</v>
      </c>
      <c r="C1907" s="13" t="s">
        <v>5146</v>
      </c>
      <c r="D1907" s="13" t="s">
        <v>5147</v>
      </c>
      <c r="E1907" s="13" t="s">
        <v>3533</v>
      </c>
      <c r="F1907" s="14"/>
      <c r="G1907" s="14">
        <v>0</v>
      </c>
      <c r="H1907" s="14">
        <v>0</v>
      </c>
      <c r="I1907" s="14">
        <v>0</v>
      </c>
      <c r="J1907" s="14">
        <f t="shared" si="87"/>
        <v>0</v>
      </c>
      <c r="K1907" s="14">
        <f t="shared" si="88"/>
        <v>0</v>
      </c>
      <c r="L1907" s="17">
        <f t="shared" si="89"/>
        <v>0</v>
      </c>
      <c r="M1907" s="18" t="s">
        <v>5115</v>
      </c>
      <c r="N1907" s="16"/>
      <c r="O1907" s="16"/>
      <c r="P1907" s="16"/>
      <c r="Q1907" s="16"/>
      <c r="R1907" s="16"/>
      <c r="S1907" s="16"/>
      <c r="T1907" s="16"/>
      <c r="U1907" s="16"/>
      <c r="V1907" s="16"/>
      <c r="W1907" s="16"/>
      <c r="X1907" s="16"/>
      <c r="Y1907" s="16"/>
      <c r="Z1907" s="16"/>
      <c r="AA1907" s="16"/>
    </row>
    <row r="1908" spans="1:27" s="2" customFormat="1" ht="14">
      <c r="A1908" s="12" t="s">
        <v>5148</v>
      </c>
      <c r="B1908" s="13" t="s">
        <v>14</v>
      </c>
      <c r="C1908" s="13" t="s">
        <v>5149</v>
      </c>
      <c r="D1908" s="13" t="s">
        <v>5150</v>
      </c>
      <c r="E1908" s="13" t="s">
        <v>215</v>
      </c>
      <c r="F1908" s="14"/>
      <c r="G1908" s="14">
        <v>0</v>
      </c>
      <c r="H1908" s="14">
        <v>0</v>
      </c>
      <c r="I1908" s="14">
        <v>0</v>
      </c>
      <c r="J1908" s="14">
        <f t="shared" si="87"/>
        <v>0</v>
      </c>
      <c r="K1908" s="14">
        <f t="shared" si="88"/>
        <v>0</v>
      </c>
      <c r="L1908" s="17">
        <f t="shared" si="89"/>
        <v>0</v>
      </c>
      <c r="M1908" s="14"/>
      <c r="N1908" s="16"/>
      <c r="O1908" s="16"/>
      <c r="P1908" s="16"/>
      <c r="Q1908" s="16"/>
      <c r="R1908" s="16"/>
      <c r="S1908" s="16"/>
      <c r="T1908" s="16"/>
      <c r="U1908" s="16"/>
      <c r="V1908" s="16"/>
      <c r="W1908" s="16"/>
      <c r="X1908" s="16"/>
      <c r="Y1908" s="16"/>
      <c r="Z1908" s="16"/>
      <c r="AA1908" s="16"/>
    </row>
    <row r="1909" spans="1:27" s="2" customFormat="1" ht="14">
      <c r="A1909" s="12">
        <v>1364288</v>
      </c>
      <c r="B1909" s="13" t="s">
        <v>14</v>
      </c>
      <c r="C1909" s="13" t="s">
        <v>5151</v>
      </c>
      <c r="D1909" s="13" t="s">
        <v>5152</v>
      </c>
      <c r="E1909" s="13" t="s">
        <v>3905</v>
      </c>
      <c r="F1909" s="14"/>
      <c r="G1909" s="14">
        <v>0</v>
      </c>
      <c r="H1909" s="14">
        <v>0</v>
      </c>
      <c r="I1909" s="14">
        <v>0</v>
      </c>
      <c r="J1909" s="14">
        <f t="shared" si="87"/>
        <v>0</v>
      </c>
      <c r="K1909" s="14">
        <f t="shared" si="88"/>
        <v>0</v>
      </c>
      <c r="L1909" s="17">
        <f t="shared" si="89"/>
        <v>0</v>
      </c>
      <c r="M1909" s="14"/>
      <c r="N1909" s="16"/>
      <c r="O1909" s="16"/>
      <c r="P1909" s="16"/>
      <c r="Q1909" s="16"/>
      <c r="R1909" s="16"/>
      <c r="S1909" s="16"/>
      <c r="T1909" s="16"/>
      <c r="U1909" s="16"/>
      <c r="V1909" s="16"/>
      <c r="W1909" s="16"/>
      <c r="X1909" s="16"/>
      <c r="Y1909" s="16"/>
      <c r="Z1909" s="16"/>
      <c r="AA1909" s="16"/>
    </row>
    <row r="1910" spans="1:27" s="2" customFormat="1" ht="14">
      <c r="A1910" s="12">
        <v>1364367</v>
      </c>
      <c r="B1910" s="13" t="s">
        <v>14</v>
      </c>
      <c r="C1910" s="13" t="s">
        <v>5153</v>
      </c>
      <c r="D1910" s="13" t="s">
        <v>5154</v>
      </c>
      <c r="E1910" s="13" t="s">
        <v>3465</v>
      </c>
      <c r="F1910" s="14"/>
      <c r="G1910" s="14">
        <v>0</v>
      </c>
      <c r="H1910" s="14">
        <v>0</v>
      </c>
      <c r="I1910" s="14">
        <v>0</v>
      </c>
      <c r="J1910" s="14">
        <f t="shared" si="87"/>
        <v>0</v>
      </c>
      <c r="K1910" s="14">
        <f t="shared" si="88"/>
        <v>0</v>
      </c>
      <c r="L1910" s="17">
        <f t="shared" si="89"/>
        <v>0</v>
      </c>
      <c r="M1910" s="14"/>
      <c r="N1910" s="16"/>
      <c r="O1910" s="16"/>
      <c r="P1910" s="16"/>
      <c r="Q1910" s="16"/>
      <c r="R1910" s="16"/>
      <c r="S1910" s="16"/>
      <c r="T1910" s="16"/>
      <c r="U1910" s="16"/>
      <c r="V1910" s="16"/>
      <c r="W1910" s="16"/>
      <c r="X1910" s="16"/>
      <c r="Y1910" s="16"/>
      <c r="Z1910" s="16"/>
      <c r="AA1910" s="16"/>
    </row>
    <row r="1911" spans="1:27" s="2" customFormat="1" ht="14">
      <c r="A1911" s="12">
        <v>1364460</v>
      </c>
      <c r="B1911" s="13" t="s">
        <v>14</v>
      </c>
      <c r="C1911" s="13" t="s">
        <v>5155</v>
      </c>
      <c r="D1911" s="13" t="s">
        <v>5156</v>
      </c>
      <c r="E1911" s="13" t="s">
        <v>43</v>
      </c>
      <c r="F1911" s="14">
        <v>4900169</v>
      </c>
      <c r="G1911" s="14">
        <v>1</v>
      </c>
      <c r="H1911" s="14">
        <v>0</v>
      </c>
      <c r="I1911" s="14">
        <v>1</v>
      </c>
      <c r="J1911" s="14">
        <f t="shared" si="87"/>
        <v>1</v>
      </c>
      <c r="K1911" s="14">
        <f t="shared" si="88"/>
        <v>0</v>
      </c>
      <c r="L1911" s="17">
        <f t="shared" si="89"/>
        <v>0</v>
      </c>
      <c r="M1911" s="14"/>
      <c r="N1911" s="16"/>
      <c r="O1911" s="16"/>
      <c r="P1911" s="16"/>
      <c r="Q1911" s="16"/>
      <c r="R1911" s="16"/>
      <c r="S1911" s="16"/>
      <c r="T1911" s="16"/>
      <c r="U1911" s="16"/>
      <c r="V1911" s="16"/>
      <c r="W1911" s="16"/>
      <c r="X1911" s="16"/>
      <c r="Y1911" s="16"/>
      <c r="Z1911" s="16"/>
      <c r="AA1911" s="16"/>
    </row>
    <row r="1912" spans="1:27" s="2" customFormat="1" ht="14">
      <c r="A1912" s="12">
        <v>1363974</v>
      </c>
      <c r="B1912" s="13" t="s">
        <v>62</v>
      </c>
      <c r="C1912" s="13" t="s">
        <v>5157</v>
      </c>
      <c r="D1912" s="13" t="s">
        <v>5158</v>
      </c>
      <c r="E1912" s="13" t="s">
        <v>3506</v>
      </c>
      <c r="F1912" s="14"/>
      <c r="G1912" s="14">
        <v>0</v>
      </c>
      <c r="H1912" s="14">
        <v>0</v>
      </c>
      <c r="I1912" s="14">
        <v>0</v>
      </c>
      <c r="J1912" s="14">
        <f t="shared" si="87"/>
        <v>0</v>
      </c>
      <c r="K1912" s="14">
        <f t="shared" si="88"/>
        <v>0</v>
      </c>
      <c r="L1912" s="17">
        <f t="shared" si="89"/>
        <v>0</v>
      </c>
      <c r="M1912" s="14"/>
      <c r="N1912" s="16"/>
      <c r="O1912" s="16"/>
      <c r="P1912" s="16"/>
      <c r="Q1912" s="16"/>
      <c r="R1912" s="16"/>
      <c r="S1912" s="16"/>
      <c r="T1912" s="16"/>
      <c r="U1912" s="16"/>
      <c r="V1912" s="16"/>
      <c r="W1912" s="16"/>
      <c r="X1912" s="16"/>
      <c r="Y1912" s="16"/>
      <c r="Z1912" s="16"/>
      <c r="AA1912" s="16"/>
    </row>
    <row r="1913" spans="1:27" s="2" customFormat="1" ht="14">
      <c r="A1913" s="12">
        <v>1364508</v>
      </c>
      <c r="B1913" s="13" t="s">
        <v>62</v>
      </c>
      <c r="C1913" s="13" t="s">
        <v>5159</v>
      </c>
      <c r="D1913" s="13" t="s">
        <v>5160</v>
      </c>
      <c r="E1913" s="13" t="s">
        <v>3606</v>
      </c>
      <c r="F1913" s="14"/>
      <c r="G1913" s="14">
        <v>0</v>
      </c>
      <c r="H1913" s="14">
        <v>0</v>
      </c>
      <c r="I1913" s="14">
        <v>0</v>
      </c>
      <c r="J1913" s="14">
        <f t="shared" si="87"/>
        <v>0</v>
      </c>
      <c r="K1913" s="14">
        <f t="shared" si="88"/>
        <v>0</v>
      </c>
      <c r="L1913" s="17">
        <f t="shared" si="89"/>
        <v>0</v>
      </c>
      <c r="M1913" s="14"/>
      <c r="N1913" s="16"/>
      <c r="O1913" s="16"/>
      <c r="P1913" s="16"/>
      <c r="Q1913" s="16"/>
      <c r="R1913" s="16"/>
      <c r="S1913" s="16"/>
      <c r="T1913" s="16"/>
      <c r="U1913" s="16"/>
      <c r="V1913" s="16"/>
      <c r="W1913" s="16"/>
      <c r="X1913" s="16"/>
      <c r="Y1913" s="16"/>
      <c r="Z1913" s="16"/>
      <c r="AA1913" s="16"/>
    </row>
    <row r="1914" spans="1:27" s="2" customFormat="1" ht="14">
      <c r="A1914" s="12">
        <v>1364002</v>
      </c>
      <c r="B1914" s="13" t="s">
        <v>62</v>
      </c>
      <c r="C1914" s="13" t="s">
        <v>5161</v>
      </c>
      <c r="D1914" s="13" t="s">
        <v>5162</v>
      </c>
      <c r="E1914" s="13" t="s">
        <v>3324</v>
      </c>
      <c r="F1914" s="14"/>
      <c r="G1914" s="14">
        <v>0</v>
      </c>
      <c r="H1914" s="14">
        <v>0</v>
      </c>
      <c r="I1914" s="14">
        <v>0</v>
      </c>
      <c r="J1914" s="14">
        <f t="shared" si="87"/>
        <v>0</v>
      </c>
      <c r="K1914" s="14">
        <f t="shared" si="88"/>
        <v>0</v>
      </c>
      <c r="L1914" s="17">
        <f t="shared" si="89"/>
        <v>0</v>
      </c>
      <c r="M1914" s="18"/>
      <c r="N1914" s="16"/>
      <c r="O1914" s="16"/>
      <c r="P1914" s="16"/>
      <c r="Q1914" s="16"/>
      <c r="R1914" s="16"/>
      <c r="S1914" s="16"/>
      <c r="T1914" s="16"/>
      <c r="U1914" s="16"/>
      <c r="V1914" s="16"/>
      <c r="W1914" s="16"/>
      <c r="X1914" s="16"/>
      <c r="Y1914" s="16"/>
      <c r="Z1914" s="16"/>
      <c r="AA1914" s="16"/>
    </row>
    <row r="1915" spans="1:27" s="2" customFormat="1" ht="14">
      <c r="A1915" s="12">
        <v>1364558</v>
      </c>
      <c r="B1915" s="13" t="s">
        <v>62</v>
      </c>
      <c r="C1915" s="13" t="s">
        <v>5163</v>
      </c>
      <c r="D1915" s="13" t="s">
        <v>5164</v>
      </c>
      <c r="E1915" s="13" t="s">
        <v>3750</v>
      </c>
      <c r="F1915" s="14">
        <v>4914569</v>
      </c>
      <c r="G1915" s="14">
        <v>1</v>
      </c>
      <c r="H1915" s="14">
        <v>1</v>
      </c>
      <c r="I1915" s="14">
        <v>1</v>
      </c>
      <c r="J1915" s="14">
        <f t="shared" si="87"/>
        <v>1</v>
      </c>
      <c r="K1915" s="14">
        <f t="shared" si="88"/>
        <v>1</v>
      </c>
      <c r="L1915" s="17">
        <f t="shared" si="89"/>
        <v>1</v>
      </c>
      <c r="M1915" s="14" t="s">
        <v>5165</v>
      </c>
      <c r="N1915" s="16"/>
      <c r="O1915" s="16"/>
      <c r="P1915" s="16"/>
      <c r="Q1915" s="16"/>
      <c r="R1915" s="16"/>
      <c r="S1915" s="16"/>
      <c r="T1915" s="16"/>
      <c r="U1915" s="16"/>
      <c r="V1915" s="16"/>
      <c r="W1915" s="16"/>
      <c r="X1915" s="16"/>
      <c r="Y1915" s="16"/>
      <c r="Z1915" s="16"/>
      <c r="AA1915" s="16"/>
    </row>
    <row r="1916" spans="1:27" s="2" customFormat="1" ht="14">
      <c r="A1916" s="12">
        <v>1364829</v>
      </c>
      <c r="B1916" s="13" t="s">
        <v>62</v>
      </c>
      <c r="C1916" s="13" t="s">
        <v>5166</v>
      </c>
      <c r="D1916" s="13" t="s">
        <v>5167</v>
      </c>
      <c r="E1916" s="13" t="s">
        <v>3606</v>
      </c>
      <c r="F1916" s="14">
        <v>4897210</v>
      </c>
      <c r="G1916" s="14">
        <v>0</v>
      </c>
      <c r="H1916" s="14">
        <v>0</v>
      </c>
      <c r="I1916" s="14">
        <v>0</v>
      </c>
      <c r="J1916" s="14">
        <f t="shared" si="87"/>
        <v>0</v>
      </c>
      <c r="K1916" s="14">
        <f t="shared" si="88"/>
        <v>0</v>
      </c>
      <c r="L1916" s="17">
        <f t="shared" si="89"/>
        <v>0</v>
      </c>
      <c r="M1916" s="18"/>
      <c r="N1916" s="16"/>
      <c r="O1916" s="16"/>
      <c r="P1916" s="16"/>
      <c r="Q1916" s="16"/>
      <c r="R1916" s="16"/>
      <c r="S1916" s="16"/>
      <c r="T1916" s="16"/>
      <c r="U1916" s="16"/>
      <c r="V1916" s="16"/>
      <c r="W1916" s="16"/>
      <c r="X1916" s="16"/>
      <c r="Y1916" s="16"/>
      <c r="Z1916" s="16"/>
      <c r="AA1916" s="16"/>
    </row>
    <row r="1917" spans="1:27" s="2" customFormat="1" ht="14">
      <c r="A1917" s="12">
        <v>1364146</v>
      </c>
      <c r="B1917" s="13" t="s">
        <v>14</v>
      </c>
      <c r="C1917" s="13" t="s">
        <v>5168</v>
      </c>
      <c r="D1917" s="13" t="s">
        <v>5169</v>
      </c>
      <c r="E1917" s="13" t="s">
        <v>3324</v>
      </c>
      <c r="F1917" s="14">
        <v>4868645</v>
      </c>
      <c r="G1917" s="14">
        <v>1</v>
      </c>
      <c r="H1917" s="14">
        <v>0</v>
      </c>
      <c r="I1917" s="14">
        <v>1</v>
      </c>
      <c r="J1917" s="14">
        <f t="shared" si="87"/>
        <v>1</v>
      </c>
      <c r="K1917" s="14">
        <f t="shared" si="88"/>
        <v>0</v>
      </c>
      <c r="L1917" s="17">
        <f t="shared" si="89"/>
        <v>0</v>
      </c>
      <c r="M1917" s="18"/>
      <c r="N1917" s="16"/>
      <c r="O1917" s="16"/>
      <c r="P1917" s="16"/>
      <c r="Q1917" s="16"/>
      <c r="R1917" s="16"/>
      <c r="S1917" s="16"/>
      <c r="T1917" s="16"/>
      <c r="U1917" s="16"/>
      <c r="V1917" s="16"/>
      <c r="W1917" s="16"/>
      <c r="X1917" s="16"/>
      <c r="Y1917" s="16"/>
      <c r="Z1917" s="16"/>
      <c r="AA1917" s="16"/>
    </row>
    <row r="1918" spans="1:27" s="2" customFormat="1" ht="14">
      <c r="A1918" s="12" t="s">
        <v>5170</v>
      </c>
      <c r="B1918" s="13" t="s">
        <v>14</v>
      </c>
      <c r="C1918" s="13" t="s">
        <v>5171</v>
      </c>
      <c r="D1918" s="13" t="s">
        <v>5172</v>
      </c>
      <c r="E1918" s="13" t="s">
        <v>72</v>
      </c>
      <c r="F1918" s="14"/>
      <c r="G1918" s="14">
        <v>0</v>
      </c>
      <c r="H1918" s="14">
        <v>0</v>
      </c>
      <c r="I1918" s="14">
        <v>0</v>
      </c>
      <c r="J1918" s="14">
        <f t="shared" si="87"/>
        <v>0</v>
      </c>
      <c r="K1918" s="14">
        <f t="shared" si="88"/>
        <v>0</v>
      </c>
      <c r="L1918" s="17">
        <f t="shared" si="89"/>
        <v>0</v>
      </c>
      <c r="M1918" s="18"/>
      <c r="N1918" s="16"/>
      <c r="O1918" s="16"/>
      <c r="P1918" s="16"/>
      <c r="Q1918" s="16"/>
      <c r="R1918" s="16"/>
      <c r="S1918" s="16"/>
      <c r="T1918" s="16"/>
      <c r="U1918" s="16"/>
      <c r="V1918" s="16"/>
      <c r="W1918" s="16"/>
      <c r="X1918" s="16"/>
      <c r="Y1918" s="16"/>
      <c r="Z1918" s="16"/>
      <c r="AA1918" s="16"/>
    </row>
    <row r="1919" spans="1:27" s="2" customFormat="1" ht="14">
      <c r="A1919" s="12">
        <v>1362558</v>
      </c>
      <c r="B1919" s="13" t="s">
        <v>14</v>
      </c>
      <c r="C1919" s="13" t="s">
        <v>5173</v>
      </c>
      <c r="D1919" s="13" t="s">
        <v>5174</v>
      </c>
      <c r="E1919" s="13" t="s">
        <v>3576</v>
      </c>
      <c r="F1919" s="14">
        <v>4943810</v>
      </c>
      <c r="G1919" s="14">
        <v>0</v>
      </c>
      <c r="H1919" s="14">
        <v>0</v>
      </c>
      <c r="I1919" s="14">
        <v>0</v>
      </c>
      <c r="J1919" s="14">
        <f t="shared" si="87"/>
        <v>0</v>
      </c>
      <c r="K1919" s="14">
        <f t="shared" si="88"/>
        <v>0</v>
      </c>
      <c r="L1919" s="17">
        <f t="shared" si="89"/>
        <v>0</v>
      </c>
      <c r="M1919" s="18"/>
      <c r="N1919" s="16"/>
      <c r="O1919" s="16"/>
      <c r="P1919" s="16"/>
      <c r="Q1919" s="16"/>
      <c r="R1919" s="16"/>
      <c r="S1919" s="16"/>
      <c r="T1919" s="16"/>
      <c r="U1919" s="16"/>
      <c r="V1919" s="16"/>
      <c r="W1919" s="16"/>
      <c r="X1919" s="16"/>
      <c r="Y1919" s="16"/>
      <c r="Z1919" s="16"/>
      <c r="AA1919" s="16"/>
    </row>
    <row r="1920" spans="1:27" s="2" customFormat="1" ht="14">
      <c r="A1920" s="12">
        <v>1366074</v>
      </c>
      <c r="B1920" s="13" t="s">
        <v>62</v>
      </c>
      <c r="C1920" s="13" t="s">
        <v>5175</v>
      </c>
      <c r="D1920" s="13" t="s">
        <v>5176</v>
      </c>
      <c r="E1920" s="13" t="s">
        <v>2585</v>
      </c>
      <c r="F1920" s="14">
        <v>4901704</v>
      </c>
      <c r="G1920" s="14">
        <v>1</v>
      </c>
      <c r="H1920" s="14">
        <v>0</v>
      </c>
      <c r="I1920" s="14">
        <v>1</v>
      </c>
      <c r="J1920" s="14">
        <f t="shared" si="87"/>
        <v>1</v>
      </c>
      <c r="K1920" s="14">
        <f t="shared" si="88"/>
        <v>0</v>
      </c>
      <c r="L1920" s="17">
        <f t="shared" si="89"/>
        <v>0</v>
      </c>
      <c r="M1920" s="18"/>
      <c r="N1920" s="16"/>
      <c r="O1920" s="16"/>
      <c r="P1920" s="16"/>
      <c r="Q1920" s="16"/>
      <c r="R1920" s="16"/>
      <c r="S1920" s="16"/>
      <c r="T1920" s="16"/>
      <c r="U1920" s="16"/>
      <c r="V1920" s="16"/>
      <c r="W1920" s="16"/>
      <c r="X1920" s="16"/>
      <c r="Y1920" s="16"/>
      <c r="Z1920" s="16"/>
      <c r="AA1920" s="16"/>
    </row>
    <row r="1921" spans="1:27" s="2" customFormat="1" ht="14">
      <c r="A1921" s="12">
        <v>1365866</v>
      </c>
      <c r="B1921" s="13" t="s">
        <v>14</v>
      </c>
      <c r="C1921" s="13" t="s">
        <v>5177</v>
      </c>
      <c r="D1921" s="13" t="s">
        <v>5178</v>
      </c>
      <c r="E1921" s="13" t="s">
        <v>1579</v>
      </c>
      <c r="F1921" s="14"/>
      <c r="G1921" s="14">
        <v>0</v>
      </c>
      <c r="H1921" s="14">
        <v>0</v>
      </c>
      <c r="I1921" s="14">
        <v>0</v>
      </c>
      <c r="J1921" s="14">
        <f t="shared" si="87"/>
        <v>0</v>
      </c>
      <c r="K1921" s="14">
        <f t="shared" si="88"/>
        <v>0</v>
      </c>
      <c r="L1921" s="17">
        <f t="shared" si="89"/>
        <v>0</v>
      </c>
      <c r="M1921" s="18"/>
      <c r="N1921" s="16"/>
      <c r="O1921" s="16"/>
      <c r="P1921" s="16"/>
      <c r="Q1921" s="16"/>
      <c r="R1921" s="16"/>
      <c r="S1921" s="16"/>
      <c r="T1921" s="16"/>
      <c r="U1921" s="16"/>
      <c r="V1921" s="16"/>
      <c r="W1921" s="16"/>
      <c r="X1921" s="16"/>
      <c r="Y1921" s="16"/>
      <c r="Z1921" s="16"/>
      <c r="AA1921" s="16"/>
    </row>
    <row r="1922" spans="1:27" s="2" customFormat="1" ht="14">
      <c r="A1922" s="12" t="s">
        <v>5179</v>
      </c>
      <c r="B1922" s="13" t="s">
        <v>14</v>
      </c>
      <c r="C1922" s="13" t="s">
        <v>5180</v>
      </c>
      <c r="D1922" s="13" t="s">
        <v>5181</v>
      </c>
      <c r="E1922" s="13" t="s">
        <v>72</v>
      </c>
      <c r="F1922" s="14"/>
      <c r="G1922" s="14">
        <v>0</v>
      </c>
      <c r="H1922" s="14">
        <v>0</v>
      </c>
      <c r="I1922" s="14">
        <v>0</v>
      </c>
      <c r="J1922" s="14">
        <f t="shared" ref="J1922:J1985" si="90">IF(G1922&gt;0,1,0)</f>
        <v>0</v>
      </c>
      <c r="K1922" s="14">
        <f t="shared" ref="K1922:K1985" si="91">IF(H1922&gt;0,1,0)</f>
        <v>0</v>
      </c>
      <c r="L1922" s="17">
        <f t="shared" ref="L1922:L1985" si="92">IF(G1922&gt;0,IF(H1922&gt;0,1,0),0)</f>
        <v>0</v>
      </c>
      <c r="M1922" s="18" t="s">
        <v>5182</v>
      </c>
      <c r="N1922" s="16"/>
      <c r="O1922" s="16"/>
      <c r="P1922" s="16"/>
      <c r="Q1922" s="16"/>
      <c r="R1922" s="16"/>
      <c r="S1922" s="16"/>
      <c r="T1922" s="16"/>
      <c r="U1922" s="16"/>
      <c r="V1922" s="16"/>
      <c r="W1922" s="16"/>
      <c r="X1922" s="16"/>
      <c r="Y1922" s="16"/>
      <c r="Z1922" s="16"/>
      <c r="AA1922" s="16"/>
    </row>
    <row r="1923" spans="1:27" s="2" customFormat="1" ht="14">
      <c r="A1923" s="12">
        <v>1366146</v>
      </c>
      <c r="B1923" s="13" t="s">
        <v>14</v>
      </c>
      <c r="C1923" s="13" t="s">
        <v>5183</v>
      </c>
      <c r="D1923" s="13" t="s">
        <v>5184</v>
      </c>
      <c r="E1923" s="13" t="s">
        <v>837</v>
      </c>
      <c r="F1923" s="14"/>
      <c r="G1923" s="14">
        <v>0</v>
      </c>
      <c r="H1923" s="14">
        <v>0</v>
      </c>
      <c r="I1923" s="14">
        <v>0</v>
      </c>
      <c r="J1923" s="14">
        <f t="shared" si="90"/>
        <v>0</v>
      </c>
      <c r="K1923" s="14">
        <f t="shared" si="91"/>
        <v>0</v>
      </c>
      <c r="L1923" s="17">
        <f t="shared" si="92"/>
        <v>0</v>
      </c>
      <c r="M1923" s="18" t="s">
        <v>5118</v>
      </c>
      <c r="N1923" s="16"/>
      <c r="O1923" s="16"/>
      <c r="P1923" s="16"/>
      <c r="Q1923" s="16"/>
      <c r="R1923" s="16"/>
      <c r="S1923" s="16"/>
      <c r="T1923" s="16"/>
      <c r="U1923" s="16"/>
      <c r="V1923" s="16"/>
      <c r="W1923" s="16"/>
      <c r="X1923" s="16"/>
      <c r="Y1923" s="16"/>
      <c r="Z1923" s="16"/>
      <c r="AA1923" s="16"/>
    </row>
    <row r="1924" spans="1:27" s="2" customFormat="1" ht="14">
      <c r="A1924" s="12">
        <v>1365191</v>
      </c>
      <c r="B1924" s="13" t="s">
        <v>14</v>
      </c>
      <c r="C1924" s="13" t="s">
        <v>5185</v>
      </c>
      <c r="D1924" s="13" t="s">
        <v>5186</v>
      </c>
      <c r="E1924" s="13" t="s">
        <v>3324</v>
      </c>
      <c r="F1924" s="14">
        <v>4946628</v>
      </c>
      <c r="G1924" s="14">
        <v>0</v>
      </c>
      <c r="H1924" s="14">
        <v>0</v>
      </c>
      <c r="I1924" s="14">
        <v>0</v>
      </c>
      <c r="J1924" s="14">
        <f t="shared" si="90"/>
        <v>0</v>
      </c>
      <c r="K1924" s="14">
        <f t="shared" si="91"/>
        <v>0</v>
      </c>
      <c r="L1924" s="17">
        <f t="shared" si="92"/>
        <v>0</v>
      </c>
      <c r="M1924" s="18"/>
      <c r="N1924" s="16"/>
      <c r="O1924" s="16"/>
      <c r="P1924" s="16"/>
      <c r="Q1924" s="16"/>
      <c r="R1924" s="16"/>
      <c r="S1924" s="16"/>
      <c r="T1924" s="16"/>
      <c r="U1924" s="16"/>
      <c r="V1924" s="16"/>
      <c r="W1924" s="16"/>
      <c r="X1924" s="16"/>
      <c r="Y1924" s="16"/>
      <c r="Z1924" s="16"/>
      <c r="AA1924" s="16"/>
    </row>
    <row r="1925" spans="1:27" s="2" customFormat="1" ht="14">
      <c r="A1925" s="12">
        <v>1365200</v>
      </c>
      <c r="B1925" s="13" t="s">
        <v>14</v>
      </c>
      <c r="C1925" s="13" t="s">
        <v>5187</v>
      </c>
      <c r="D1925" s="13" t="s">
        <v>5188</v>
      </c>
      <c r="E1925" s="13" t="s">
        <v>3862</v>
      </c>
      <c r="F1925" s="14"/>
      <c r="G1925" s="14">
        <v>0</v>
      </c>
      <c r="H1925" s="14">
        <v>0</v>
      </c>
      <c r="I1925" s="14">
        <v>0</v>
      </c>
      <c r="J1925" s="14">
        <f t="shared" si="90"/>
        <v>0</v>
      </c>
      <c r="K1925" s="14">
        <f t="shared" si="91"/>
        <v>0</v>
      </c>
      <c r="L1925" s="17">
        <f t="shared" si="92"/>
        <v>0</v>
      </c>
      <c r="M1925" s="14" t="s">
        <v>5189</v>
      </c>
      <c r="N1925" s="16"/>
      <c r="O1925" s="16"/>
      <c r="P1925" s="16"/>
      <c r="Q1925" s="16"/>
      <c r="R1925" s="16"/>
      <c r="S1925" s="16"/>
      <c r="T1925" s="16"/>
      <c r="U1925" s="16"/>
      <c r="V1925" s="16"/>
      <c r="W1925" s="16"/>
      <c r="X1925" s="16"/>
      <c r="Y1925" s="16"/>
      <c r="Z1925" s="16"/>
      <c r="AA1925" s="16"/>
    </row>
    <row r="1926" spans="1:27" s="2" customFormat="1" ht="14">
      <c r="A1926" s="12">
        <v>1365960</v>
      </c>
      <c r="B1926" s="13" t="s">
        <v>14</v>
      </c>
      <c r="C1926" s="13" t="s">
        <v>5190</v>
      </c>
      <c r="D1926" s="13" t="s">
        <v>5191</v>
      </c>
      <c r="E1926" s="13" t="s">
        <v>3635</v>
      </c>
      <c r="F1926" s="14"/>
      <c r="G1926" s="14">
        <v>0</v>
      </c>
      <c r="H1926" s="14">
        <v>0</v>
      </c>
      <c r="I1926" s="14">
        <v>0</v>
      </c>
      <c r="J1926" s="14">
        <f t="shared" si="90"/>
        <v>0</v>
      </c>
      <c r="K1926" s="14">
        <f t="shared" si="91"/>
        <v>0</v>
      </c>
      <c r="L1926" s="17">
        <f t="shared" si="92"/>
        <v>0</v>
      </c>
      <c r="M1926" s="18"/>
      <c r="N1926" s="16"/>
      <c r="O1926" s="16"/>
      <c r="P1926" s="16"/>
      <c r="Q1926" s="16"/>
      <c r="R1926" s="16"/>
      <c r="S1926" s="16"/>
      <c r="T1926" s="16"/>
      <c r="U1926" s="16"/>
      <c r="V1926" s="16"/>
      <c r="W1926" s="16"/>
      <c r="X1926" s="16"/>
      <c r="Y1926" s="16"/>
      <c r="Z1926" s="16"/>
      <c r="AA1926" s="16"/>
    </row>
    <row r="1927" spans="1:27" s="2" customFormat="1" ht="14">
      <c r="A1927" s="12" t="s">
        <v>5192</v>
      </c>
      <c r="B1927" s="13" t="s">
        <v>14</v>
      </c>
      <c r="C1927" s="13" t="s">
        <v>5193</v>
      </c>
      <c r="D1927" s="13" t="s">
        <v>5194</v>
      </c>
      <c r="E1927" s="13" t="s">
        <v>114</v>
      </c>
      <c r="F1927" s="14"/>
      <c r="G1927" s="14">
        <v>0</v>
      </c>
      <c r="H1927" s="14">
        <v>0</v>
      </c>
      <c r="I1927" s="14">
        <v>0</v>
      </c>
      <c r="J1927" s="14">
        <f t="shared" si="90"/>
        <v>0</v>
      </c>
      <c r="K1927" s="14">
        <f t="shared" si="91"/>
        <v>0</v>
      </c>
      <c r="L1927" s="17">
        <f t="shared" si="92"/>
        <v>0</v>
      </c>
      <c r="M1927" s="18" t="s">
        <v>5115</v>
      </c>
      <c r="N1927" s="16"/>
      <c r="O1927" s="16"/>
      <c r="P1927" s="16"/>
      <c r="Q1927" s="16"/>
      <c r="R1927" s="16"/>
      <c r="S1927" s="16"/>
      <c r="T1927" s="16"/>
      <c r="U1927" s="16"/>
      <c r="V1927" s="16"/>
      <c r="W1927" s="16"/>
      <c r="X1927" s="16"/>
      <c r="Y1927" s="16"/>
      <c r="Z1927" s="16"/>
      <c r="AA1927" s="16"/>
    </row>
    <row r="1928" spans="1:27" s="2" customFormat="1" ht="14">
      <c r="A1928" s="12">
        <v>1366312</v>
      </c>
      <c r="B1928" s="13" t="s">
        <v>62</v>
      </c>
      <c r="C1928" s="13" t="s">
        <v>5195</v>
      </c>
      <c r="D1928" s="13" t="s">
        <v>5196</v>
      </c>
      <c r="E1928" s="13" t="s">
        <v>3948</v>
      </c>
      <c r="F1928" s="14">
        <v>4944504</v>
      </c>
      <c r="G1928" s="14">
        <v>1</v>
      </c>
      <c r="H1928" s="14">
        <v>1</v>
      </c>
      <c r="I1928" s="14">
        <v>1</v>
      </c>
      <c r="J1928" s="14">
        <f t="shared" si="90"/>
        <v>1</v>
      </c>
      <c r="K1928" s="14">
        <f t="shared" si="91"/>
        <v>1</v>
      </c>
      <c r="L1928" s="17">
        <f t="shared" si="92"/>
        <v>1</v>
      </c>
      <c r="M1928" s="18" t="s">
        <v>5197</v>
      </c>
      <c r="N1928" s="16"/>
      <c r="O1928" s="16"/>
      <c r="P1928" s="16"/>
      <c r="Q1928" s="16"/>
      <c r="R1928" s="16"/>
      <c r="S1928" s="16"/>
      <c r="T1928" s="16"/>
      <c r="U1928" s="16"/>
      <c r="V1928" s="16"/>
      <c r="W1928" s="16"/>
      <c r="X1928" s="16"/>
      <c r="Y1928" s="16"/>
      <c r="Z1928" s="16"/>
      <c r="AA1928" s="16"/>
    </row>
    <row r="1929" spans="1:27" s="2" customFormat="1" ht="14">
      <c r="A1929" s="12" t="s">
        <v>5198</v>
      </c>
      <c r="B1929" s="13" t="s">
        <v>14</v>
      </c>
      <c r="C1929" s="13" t="s">
        <v>5199</v>
      </c>
      <c r="D1929" s="13" t="s">
        <v>5200</v>
      </c>
      <c r="E1929" s="13" t="s">
        <v>104</v>
      </c>
      <c r="F1929" s="14"/>
      <c r="G1929" s="14">
        <v>0</v>
      </c>
      <c r="H1929" s="14">
        <v>0</v>
      </c>
      <c r="I1929" s="14">
        <v>0</v>
      </c>
      <c r="J1929" s="14">
        <f t="shared" si="90"/>
        <v>0</v>
      </c>
      <c r="K1929" s="14">
        <f t="shared" si="91"/>
        <v>0</v>
      </c>
      <c r="L1929" s="17">
        <f t="shared" si="92"/>
        <v>0</v>
      </c>
      <c r="M1929" s="18" t="s">
        <v>5201</v>
      </c>
      <c r="N1929" s="16"/>
      <c r="O1929" s="16"/>
      <c r="P1929" s="16"/>
      <c r="Q1929" s="16"/>
      <c r="R1929" s="16"/>
      <c r="S1929" s="16"/>
      <c r="T1929" s="16"/>
      <c r="U1929" s="16"/>
      <c r="V1929" s="16"/>
      <c r="W1929" s="16"/>
      <c r="X1929" s="16"/>
      <c r="Y1929" s="16"/>
      <c r="Z1929" s="16"/>
      <c r="AA1929" s="16"/>
    </row>
    <row r="1930" spans="1:27" s="2" customFormat="1" ht="14">
      <c r="A1930" s="12" t="s">
        <v>5202</v>
      </c>
      <c r="B1930" s="13" t="s">
        <v>62</v>
      </c>
      <c r="C1930" s="13" t="s">
        <v>5203</v>
      </c>
      <c r="D1930" s="13" t="s">
        <v>5204</v>
      </c>
      <c r="E1930" s="13" t="s">
        <v>238</v>
      </c>
      <c r="F1930" s="14"/>
      <c r="G1930" s="14">
        <v>0</v>
      </c>
      <c r="H1930" s="14">
        <v>0</v>
      </c>
      <c r="I1930" s="14">
        <v>0</v>
      </c>
      <c r="J1930" s="14">
        <f t="shared" si="90"/>
        <v>0</v>
      </c>
      <c r="K1930" s="14">
        <f t="shared" si="91"/>
        <v>0</v>
      </c>
      <c r="L1930" s="17">
        <f t="shared" si="92"/>
        <v>0</v>
      </c>
      <c r="M1930" s="14"/>
      <c r="N1930" s="16"/>
      <c r="O1930" s="16"/>
      <c r="P1930" s="16"/>
      <c r="Q1930" s="16"/>
      <c r="R1930" s="16"/>
      <c r="S1930" s="16"/>
      <c r="T1930" s="16"/>
      <c r="U1930" s="16"/>
      <c r="V1930" s="16"/>
      <c r="W1930" s="16"/>
      <c r="X1930" s="16"/>
      <c r="Y1930" s="16"/>
      <c r="Z1930" s="16"/>
      <c r="AA1930" s="16"/>
    </row>
    <row r="1931" spans="1:27" s="2" customFormat="1" ht="14">
      <c r="A1931" s="12">
        <v>1366391</v>
      </c>
      <c r="B1931" s="13" t="s">
        <v>14</v>
      </c>
      <c r="C1931" s="13" t="s">
        <v>5205</v>
      </c>
      <c r="D1931" s="13" t="s">
        <v>5206</v>
      </c>
      <c r="E1931" s="13" t="s">
        <v>3700</v>
      </c>
      <c r="F1931" s="14">
        <v>4947695</v>
      </c>
      <c r="G1931" s="14">
        <v>1</v>
      </c>
      <c r="H1931" s="14">
        <v>1</v>
      </c>
      <c r="I1931" s="14">
        <v>1</v>
      </c>
      <c r="J1931" s="14">
        <f t="shared" si="90"/>
        <v>1</v>
      </c>
      <c r="K1931" s="14">
        <f t="shared" si="91"/>
        <v>1</v>
      </c>
      <c r="L1931" s="17">
        <f t="shared" si="92"/>
        <v>1</v>
      </c>
      <c r="M1931" s="14"/>
      <c r="N1931" s="16"/>
      <c r="O1931" s="16"/>
      <c r="P1931" s="16"/>
      <c r="Q1931" s="16"/>
      <c r="R1931" s="16"/>
      <c r="S1931" s="16"/>
      <c r="T1931" s="16"/>
      <c r="U1931" s="16"/>
      <c r="V1931" s="16"/>
      <c r="W1931" s="16"/>
      <c r="X1931" s="16"/>
      <c r="Y1931" s="16"/>
      <c r="Z1931" s="16"/>
      <c r="AA1931" s="16"/>
    </row>
    <row r="1932" spans="1:27" s="2" customFormat="1" ht="14">
      <c r="A1932" s="12" t="s">
        <v>5207</v>
      </c>
      <c r="B1932" s="13" t="s">
        <v>14</v>
      </c>
      <c r="C1932" s="13" t="s">
        <v>5208</v>
      </c>
      <c r="D1932" s="13" t="s">
        <v>5209</v>
      </c>
      <c r="E1932" s="13" t="s">
        <v>220</v>
      </c>
      <c r="F1932" s="14"/>
      <c r="G1932" s="14">
        <v>0</v>
      </c>
      <c r="H1932" s="14">
        <v>0</v>
      </c>
      <c r="I1932" s="14">
        <v>0</v>
      </c>
      <c r="J1932" s="14">
        <f t="shared" si="90"/>
        <v>0</v>
      </c>
      <c r="K1932" s="14">
        <f t="shared" si="91"/>
        <v>0</v>
      </c>
      <c r="L1932" s="17">
        <f t="shared" si="92"/>
        <v>0</v>
      </c>
      <c r="M1932" s="18" t="s">
        <v>5118</v>
      </c>
      <c r="N1932" s="16"/>
      <c r="O1932" s="16"/>
      <c r="P1932" s="16"/>
      <c r="Q1932" s="16"/>
      <c r="R1932" s="16"/>
      <c r="S1932" s="16"/>
      <c r="T1932" s="16"/>
      <c r="U1932" s="16"/>
      <c r="V1932" s="16"/>
      <c r="W1932" s="16"/>
      <c r="X1932" s="16"/>
      <c r="Y1932" s="16"/>
      <c r="Z1932" s="16"/>
      <c r="AA1932" s="16"/>
    </row>
    <row r="1933" spans="1:27" s="2" customFormat="1" ht="14">
      <c r="A1933" s="12">
        <v>1366890</v>
      </c>
      <c r="B1933" s="13" t="s">
        <v>14</v>
      </c>
      <c r="C1933" s="13" t="s">
        <v>5210</v>
      </c>
      <c r="D1933" s="13" t="s">
        <v>5211</v>
      </c>
      <c r="E1933" s="13" t="s">
        <v>3509</v>
      </c>
      <c r="F1933" s="14"/>
      <c r="G1933" s="14">
        <v>0</v>
      </c>
      <c r="H1933" s="14">
        <v>0</v>
      </c>
      <c r="I1933" s="14">
        <v>0</v>
      </c>
      <c r="J1933" s="14">
        <f t="shared" si="90"/>
        <v>0</v>
      </c>
      <c r="K1933" s="14">
        <f t="shared" si="91"/>
        <v>0</v>
      </c>
      <c r="L1933" s="17">
        <f t="shared" si="92"/>
        <v>0</v>
      </c>
      <c r="M1933" s="14"/>
      <c r="N1933" s="16"/>
      <c r="O1933" s="16"/>
      <c r="P1933" s="16"/>
      <c r="Q1933" s="16"/>
      <c r="R1933" s="16"/>
      <c r="S1933" s="16"/>
      <c r="T1933" s="16"/>
      <c r="U1933" s="16"/>
      <c r="V1933" s="16"/>
      <c r="W1933" s="16"/>
      <c r="X1933" s="16"/>
      <c r="Y1933" s="16"/>
      <c r="Z1933" s="16"/>
      <c r="AA1933" s="16"/>
    </row>
    <row r="1934" spans="1:27" s="2" customFormat="1" ht="14">
      <c r="A1934" s="12">
        <v>1367230</v>
      </c>
      <c r="B1934" s="13" t="s">
        <v>14</v>
      </c>
      <c r="C1934" s="13" t="s">
        <v>5212</v>
      </c>
      <c r="D1934" s="13" t="s">
        <v>5213</v>
      </c>
      <c r="E1934" s="13" t="s">
        <v>3848</v>
      </c>
      <c r="F1934" s="14">
        <v>6434085</v>
      </c>
      <c r="G1934" s="14">
        <v>0</v>
      </c>
      <c r="H1934" s="14">
        <v>0</v>
      </c>
      <c r="I1934" s="14">
        <v>0</v>
      </c>
      <c r="J1934" s="14">
        <f t="shared" si="90"/>
        <v>0</v>
      </c>
      <c r="K1934" s="14">
        <f t="shared" si="91"/>
        <v>0</v>
      </c>
      <c r="L1934" s="17">
        <f t="shared" si="92"/>
        <v>0</v>
      </c>
      <c r="M1934" s="14"/>
      <c r="N1934" s="16"/>
      <c r="O1934" s="16"/>
      <c r="P1934" s="16"/>
      <c r="Q1934" s="16"/>
      <c r="R1934" s="16"/>
      <c r="S1934" s="16"/>
      <c r="T1934" s="16"/>
      <c r="U1934" s="16"/>
      <c r="V1934" s="16"/>
      <c r="W1934" s="16"/>
      <c r="X1934" s="16"/>
      <c r="Y1934" s="16"/>
      <c r="Z1934" s="16"/>
      <c r="AA1934" s="16"/>
    </row>
    <row r="1935" spans="1:27" s="2" customFormat="1" ht="14">
      <c r="A1935" s="12">
        <v>1367410</v>
      </c>
      <c r="B1935" s="13" t="s">
        <v>62</v>
      </c>
      <c r="C1935" s="13" t="s">
        <v>5214</v>
      </c>
      <c r="D1935" s="13" t="s">
        <v>5215</v>
      </c>
      <c r="E1935" s="13" t="s">
        <v>3986</v>
      </c>
      <c r="F1935" s="14"/>
      <c r="G1935" s="14">
        <v>0</v>
      </c>
      <c r="H1935" s="14">
        <v>0</v>
      </c>
      <c r="I1935" s="14">
        <v>0</v>
      </c>
      <c r="J1935" s="14">
        <f t="shared" si="90"/>
        <v>0</v>
      </c>
      <c r="K1935" s="14">
        <f t="shared" si="91"/>
        <v>0</v>
      </c>
      <c r="L1935" s="17">
        <f t="shared" si="92"/>
        <v>0</v>
      </c>
      <c r="M1935" s="14"/>
      <c r="N1935" s="16"/>
      <c r="O1935" s="16"/>
      <c r="P1935" s="16"/>
      <c r="Q1935" s="16"/>
      <c r="R1935" s="16"/>
      <c r="S1935" s="16"/>
      <c r="T1935" s="16"/>
      <c r="U1935" s="16"/>
      <c r="V1935" s="16"/>
      <c r="W1935" s="16"/>
      <c r="X1935" s="16"/>
      <c r="Y1935" s="16"/>
      <c r="Z1935" s="16"/>
      <c r="AA1935" s="16"/>
    </row>
    <row r="1936" spans="1:27" s="2" customFormat="1" ht="14">
      <c r="A1936" s="12">
        <v>1362867</v>
      </c>
      <c r="B1936" s="13" t="s">
        <v>14</v>
      </c>
      <c r="C1936" s="13" t="s">
        <v>5216</v>
      </c>
      <c r="D1936" s="13" t="s">
        <v>5217</v>
      </c>
      <c r="E1936" s="13" t="s">
        <v>3730</v>
      </c>
      <c r="F1936" s="14"/>
      <c r="G1936" s="14">
        <v>0</v>
      </c>
      <c r="H1936" s="14">
        <v>0</v>
      </c>
      <c r="I1936" s="14">
        <v>0</v>
      </c>
      <c r="J1936" s="14">
        <f t="shared" si="90"/>
        <v>0</v>
      </c>
      <c r="K1936" s="14">
        <f t="shared" si="91"/>
        <v>0</v>
      </c>
      <c r="L1936" s="17">
        <f t="shared" si="92"/>
        <v>0</v>
      </c>
      <c r="M1936" s="14"/>
      <c r="N1936" s="16"/>
      <c r="O1936" s="16"/>
      <c r="P1936" s="16"/>
      <c r="Q1936" s="16"/>
      <c r="R1936" s="16"/>
      <c r="S1936" s="16"/>
      <c r="T1936" s="16"/>
      <c r="U1936" s="16"/>
      <c r="V1936" s="16"/>
      <c r="W1936" s="16"/>
      <c r="X1936" s="16"/>
      <c r="Y1936" s="16"/>
      <c r="Z1936" s="16"/>
      <c r="AA1936" s="16"/>
    </row>
    <row r="1937" spans="1:27" s="2" customFormat="1" ht="14">
      <c r="A1937" s="12">
        <v>1367927</v>
      </c>
      <c r="B1937" s="13" t="s">
        <v>62</v>
      </c>
      <c r="C1937" s="13" t="s">
        <v>5218</v>
      </c>
      <c r="D1937" s="13" t="s">
        <v>5219</v>
      </c>
      <c r="E1937" s="13" t="s">
        <v>3905</v>
      </c>
      <c r="F1937" s="14">
        <v>4906812</v>
      </c>
      <c r="G1937" s="14">
        <v>1</v>
      </c>
      <c r="H1937" s="14">
        <v>1</v>
      </c>
      <c r="I1937" s="14">
        <v>1</v>
      </c>
      <c r="J1937" s="14">
        <f t="shared" si="90"/>
        <v>1</v>
      </c>
      <c r="K1937" s="14">
        <f t="shared" si="91"/>
        <v>1</v>
      </c>
      <c r="L1937" s="17">
        <f t="shared" si="92"/>
        <v>1</v>
      </c>
      <c r="M1937" s="14"/>
      <c r="N1937" s="16"/>
      <c r="O1937" s="16"/>
      <c r="P1937" s="16"/>
      <c r="Q1937" s="16"/>
      <c r="R1937" s="16"/>
      <c r="S1937" s="16"/>
      <c r="T1937" s="16"/>
      <c r="U1937" s="16"/>
      <c r="V1937" s="16"/>
      <c r="W1937" s="16"/>
      <c r="X1937" s="16"/>
      <c r="Y1937" s="16"/>
      <c r="Z1937" s="16"/>
      <c r="AA1937" s="16"/>
    </row>
    <row r="1938" spans="1:27" s="2" customFormat="1" ht="14">
      <c r="A1938" s="12" t="s">
        <v>5220</v>
      </c>
      <c r="B1938" s="13" t="s">
        <v>62</v>
      </c>
      <c r="C1938" s="13" t="s">
        <v>5221</v>
      </c>
      <c r="D1938" s="13" t="s">
        <v>5222</v>
      </c>
      <c r="E1938" s="13" t="s">
        <v>114</v>
      </c>
      <c r="F1938" s="14"/>
      <c r="G1938" s="14">
        <v>0</v>
      </c>
      <c r="H1938" s="14">
        <v>0</v>
      </c>
      <c r="I1938" s="14">
        <v>0</v>
      </c>
      <c r="J1938" s="14">
        <f t="shared" si="90"/>
        <v>0</v>
      </c>
      <c r="K1938" s="14">
        <f t="shared" si="91"/>
        <v>0</v>
      </c>
      <c r="L1938" s="17">
        <f t="shared" si="92"/>
        <v>0</v>
      </c>
      <c r="M1938" s="18" t="s">
        <v>5115</v>
      </c>
      <c r="N1938" s="16"/>
      <c r="O1938" s="16"/>
      <c r="P1938" s="16"/>
      <c r="Q1938" s="16"/>
      <c r="R1938" s="16"/>
      <c r="S1938" s="16"/>
      <c r="T1938" s="16"/>
      <c r="U1938" s="16"/>
      <c r="V1938" s="16"/>
      <c r="W1938" s="16"/>
      <c r="X1938" s="16"/>
      <c r="Y1938" s="16"/>
      <c r="Z1938" s="16"/>
      <c r="AA1938" s="16"/>
    </row>
    <row r="1939" spans="1:27" s="2" customFormat="1" ht="14">
      <c r="A1939" s="12" t="s">
        <v>5223</v>
      </c>
      <c r="B1939" s="13" t="s">
        <v>14</v>
      </c>
      <c r="C1939" s="13" t="s">
        <v>5224</v>
      </c>
      <c r="D1939" s="13" t="s">
        <v>5225</v>
      </c>
      <c r="E1939" s="13" t="s">
        <v>1567</v>
      </c>
      <c r="F1939" s="14"/>
      <c r="G1939" s="14">
        <v>0</v>
      </c>
      <c r="H1939" s="14">
        <v>0</v>
      </c>
      <c r="I1939" s="14">
        <v>0</v>
      </c>
      <c r="J1939" s="14">
        <f t="shared" si="90"/>
        <v>0</v>
      </c>
      <c r="K1939" s="14">
        <f t="shared" si="91"/>
        <v>0</v>
      </c>
      <c r="L1939" s="17">
        <f t="shared" si="92"/>
        <v>0</v>
      </c>
      <c r="M1939" s="18" t="s">
        <v>5115</v>
      </c>
      <c r="N1939" s="16"/>
      <c r="O1939" s="16"/>
      <c r="P1939" s="16"/>
      <c r="Q1939" s="16"/>
      <c r="R1939" s="16"/>
      <c r="S1939" s="16"/>
      <c r="T1939" s="16"/>
      <c r="U1939" s="16"/>
      <c r="V1939" s="16"/>
      <c r="W1939" s="16"/>
      <c r="X1939" s="16"/>
      <c r="Y1939" s="16"/>
      <c r="Z1939" s="16"/>
      <c r="AA1939" s="16"/>
    </row>
    <row r="1940" spans="1:27" s="2" customFormat="1" ht="14">
      <c r="A1940" s="12">
        <v>1365286</v>
      </c>
      <c r="B1940" s="13" t="s">
        <v>62</v>
      </c>
      <c r="C1940" s="13" t="s">
        <v>5226</v>
      </c>
      <c r="D1940" s="13" t="s">
        <v>5227</v>
      </c>
      <c r="E1940" s="13" t="s">
        <v>1579</v>
      </c>
      <c r="F1940" s="14">
        <v>4827957</v>
      </c>
      <c r="G1940" s="14">
        <v>1</v>
      </c>
      <c r="H1940" s="14">
        <v>0</v>
      </c>
      <c r="I1940" s="14">
        <v>1</v>
      </c>
      <c r="J1940" s="14">
        <f t="shared" si="90"/>
        <v>1</v>
      </c>
      <c r="K1940" s="14">
        <f t="shared" si="91"/>
        <v>0</v>
      </c>
      <c r="L1940" s="17">
        <f t="shared" si="92"/>
        <v>0</v>
      </c>
      <c r="M1940" s="14"/>
      <c r="N1940" s="16"/>
      <c r="O1940" s="16"/>
      <c r="P1940" s="16"/>
      <c r="Q1940" s="16"/>
      <c r="R1940" s="16"/>
      <c r="S1940" s="16"/>
      <c r="T1940" s="16"/>
      <c r="U1940" s="16"/>
      <c r="V1940" s="16"/>
      <c r="W1940" s="16"/>
      <c r="X1940" s="16"/>
      <c r="Y1940" s="16"/>
      <c r="Z1940" s="16"/>
      <c r="AA1940" s="16"/>
    </row>
    <row r="1941" spans="1:27" s="2" customFormat="1" ht="14">
      <c r="A1941" s="12">
        <v>1365272</v>
      </c>
      <c r="B1941" s="13" t="s">
        <v>62</v>
      </c>
      <c r="C1941" s="13" t="s">
        <v>5228</v>
      </c>
      <c r="D1941" s="13" t="s">
        <v>5229</v>
      </c>
      <c r="E1941" s="13" t="s">
        <v>3682</v>
      </c>
      <c r="F1941" s="14">
        <v>4878868</v>
      </c>
      <c r="G1941" s="14">
        <v>1</v>
      </c>
      <c r="H1941" s="14">
        <v>0</v>
      </c>
      <c r="I1941" s="14">
        <v>1</v>
      </c>
      <c r="J1941" s="14">
        <f t="shared" si="90"/>
        <v>1</v>
      </c>
      <c r="K1941" s="14">
        <f t="shared" si="91"/>
        <v>0</v>
      </c>
      <c r="L1941" s="17">
        <f t="shared" si="92"/>
        <v>0</v>
      </c>
      <c r="M1941" s="14"/>
      <c r="N1941" s="16"/>
      <c r="O1941" s="16"/>
      <c r="P1941" s="16"/>
      <c r="Q1941" s="16"/>
      <c r="R1941" s="16"/>
      <c r="S1941" s="16"/>
      <c r="T1941" s="16"/>
      <c r="U1941" s="16"/>
      <c r="V1941" s="16"/>
      <c r="W1941" s="16"/>
      <c r="X1941" s="16"/>
      <c r="Y1941" s="16"/>
      <c r="Z1941" s="16"/>
      <c r="AA1941" s="16"/>
    </row>
    <row r="1942" spans="1:27" s="2" customFormat="1" ht="14">
      <c r="A1942" s="12">
        <v>1363883</v>
      </c>
      <c r="B1942" s="13" t="s">
        <v>14</v>
      </c>
      <c r="C1942" s="13" t="s">
        <v>5230</v>
      </c>
      <c r="D1942" s="13" t="s">
        <v>5231</v>
      </c>
      <c r="E1942" s="13" t="s">
        <v>1579</v>
      </c>
      <c r="F1942" s="14">
        <v>4953266</v>
      </c>
      <c r="G1942" s="14">
        <v>0</v>
      </c>
      <c r="H1942" s="14">
        <v>0</v>
      </c>
      <c r="I1942" s="14">
        <v>0</v>
      </c>
      <c r="J1942" s="14">
        <f t="shared" si="90"/>
        <v>0</v>
      </c>
      <c r="K1942" s="14">
        <f t="shared" si="91"/>
        <v>0</v>
      </c>
      <c r="L1942" s="17">
        <f t="shared" si="92"/>
        <v>0</v>
      </c>
      <c r="M1942" s="14"/>
      <c r="N1942" s="16"/>
      <c r="O1942" s="16"/>
      <c r="P1942" s="16"/>
      <c r="Q1942" s="16"/>
      <c r="R1942" s="16"/>
      <c r="S1942" s="16"/>
      <c r="T1942" s="16"/>
      <c r="U1942" s="16"/>
      <c r="V1942" s="16"/>
      <c r="W1942" s="16"/>
      <c r="X1942" s="16"/>
      <c r="Y1942" s="16"/>
      <c r="Z1942" s="16"/>
      <c r="AA1942" s="16"/>
    </row>
    <row r="1943" spans="1:27" s="2" customFormat="1" ht="14">
      <c r="A1943" s="12" t="s">
        <v>5232</v>
      </c>
      <c r="B1943" s="13" t="s">
        <v>14</v>
      </c>
      <c r="C1943" s="13" t="s">
        <v>5233</v>
      </c>
      <c r="D1943" s="13" t="s">
        <v>5234</v>
      </c>
      <c r="E1943" s="13" t="s">
        <v>183</v>
      </c>
      <c r="F1943" s="14"/>
      <c r="G1943" s="14">
        <v>0</v>
      </c>
      <c r="H1943" s="14">
        <v>0</v>
      </c>
      <c r="I1943" s="14">
        <v>0</v>
      </c>
      <c r="J1943" s="14">
        <f t="shared" si="90"/>
        <v>0</v>
      </c>
      <c r="K1943" s="14">
        <f t="shared" si="91"/>
        <v>0</v>
      </c>
      <c r="L1943" s="17">
        <f t="shared" si="92"/>
        <v>0</v>
      </c>
      <c r="M1943" s="14"/>
      <c r="N1943" s="16"/>
      <c r="O1943" s="16"/>
      <c r="P1943" s="16"/>
      <c r="Q1943" s="16"/>
      <c r="R1943" s="16"/>
      <c r="S1943" s="16"/>
      <c r="T1943" s="16"/>
      <c r="U1943" s="16"/>
      <c r="V1943" s="16"/>
      <c r="W1943" s="16"/>
      <c r="X1943" s="16"/>
      <c r="Y1943" s="16"/>
      <c r="Z1943" s="16"/>
      <c r="AA1943" s="16"/>
    </row>
    <row r="1944" spans="1:27" s="2" customFormat="1" ht="14">
      <c r="A1944" s="12">
        <v>1368313</v>
      </c>
      <c r="B1944" s="13" t="s">
        <v>14</v>
      </c>
      <c r="C1944" s="13" t="s">
        <v>5235</v>
      </c>
      <c r="D1944" s="13" t="s">
        <v>5236</v>
      </c>
      <c r="E1944" s="13" t="s">
        <v>3635</v>
      </c>
      <c r="F1944" s="14"/>
      <c r="G1944" s="14">
        <v>0</v>
      </c>
      <c r="H1944" s="14">
        <v>0</v>
      </c>
      <c r="I1944" s="14">
        <v>0</v>
      </c>
      <c r="J1944" s="14">
        <f t="shared" si="90"/>
        <v>0</v>
      </c>
      <c r="K1944" s="14">
        <f t="shared" si="91"/>
        <v>0</v>
      </c>
      <c r="L1944" s="17">
        <f t="shared" si="92"/>
        <v>0</v>
      </c>
      <c r="M1944" s="14"/>
      <c r="N1944" s="16"/>
      <c r="O1944" s="16"/>
      <c r="P1944" s="16"/>
      <c r="Q1944" s="16"/>
      <c r="R1944" s="16"/>
      <c r="S1944" s="16"/>
      <c r="T1944" s="16"/>
      <c r="U1944" s="16"/>
      <c r="V1944" s="16"/>
      <c r="W1944" s="16"/>
      <c r="X1944" s="16"/>
      <c r="Y1944" s="16"/>
      <c r="Z1944" s="16"/>
      <c r="AA1944" s="16"/>
    </row>
    <row r="1945" spans="1:27" s="2" customFormat="1" ht="14">
      <c r="A1945" s="12">
        <v>1367587</v>
      </c>
      <c r="B1945" s="13" t="s">
        <v>14</v>
      </c>
      <c r="C1945" s="13" t="s">
        <v>5237</v>
      </c>
      <c r="D1945" s="13" t="s">
        <v>5238</v>
      </c>
      <c r="E1945" s="13" t="s">
        <v>3530</v>
      </c>
      <c r="F1945" s="14">
        <v>4954200</v>
      </c>
      <c r="G1945" s="14">
        <v>1</v>
      </c>
      <c r="H1945" s="14">
        <v>1</v>
      </c>
      <c r="I1945" s="14">
        <v>1</v>
      </c>
      <c r="J1945" s="14">
        <f t="shared" si="90"/>
        <v>1</v>
      </c>
      <c r="K1945" s="14">
        <f t="shared" si="91"/>
        <v>1</v>
      </c>
      <c r="L1945" s="17">
        <f t="shared" si="92"/>
        <v>1</v>
      </c>
      <c r="M1945" s="14"/>
      <c r="N1945" s="16"/>
      <c r="O1945" s="16"/>
      <c r="P1945" s="16"/>
      <c r="Q1945" s="16"/>
      <c r="R1945" s="16"/>
      <c r="S1945" s="16"/>
      <c r="T1945" s="16"/>
      <c r="U1945" s="16"/>
      <c r="V1945" s="16"/>
      <c r="W1945" s="16"/>
      <c r="X1945" s="16"/>
      <c r="Y1945" s="16"/>
      <c r="Z1945" s="16"/>
      <c r="AA1945" s="16"/>
    </row>
    <row r="1946" spans="1:27" s="2" customFormat="1" ht="14">
      <c r="A1946" s="12" t="s">
        <v>5239</v>
      </c>
      <c r="B1946" s="13" t="s">
        <v>14</v>
      </c>
      <c r="C1946" s="13" t="s">
        <v>5240</v>
      </c>
      <c r="D1946" s="13" t="s">
        <v>5241</v>
      </c>
      <c r="E1946" s="13" t="s">
        <v>285</v>
      </c>
      <c r="F1946" s="14">
        <v>3976044</v>
      </c>
      <c r="G1946" s="14">
        <v>0</v>
      </c>
      <c r="H1946" s="14">
        <v>0</v>
      </c>
      <c r="I1946" s="14">
        <v>0</v>
      </c>
      <c r="J1946" s="14">
        <f t="shared" si="90"/>
        <v>0</v>
      </c>
      <c r="K1946" s="14">
        <f t="shared" si="91"/>
        <v>0</v>
      </c>
      <c r="L1946" s="17">
        <f t="shared" si="92"/>
        <v>0</v>
      </c>
      <c r="M1946" s="14"/>
      <c r="N1946" s="16"/>
      <c r="O1946" s="16"/>
      <c r="P1946" s="16"/>
      <c r="Q1946" s="16"/>
      <c r="R1946" s="16"/>
      <c r="S1946" s="16"/>
      <c r="T1946" s="16"/>
      <c r="U1946" s="16"/>
      <c r="V1946" s="16"/>
      <c r="W1946" s="16"/>
      <c r="X1946" s="16"/>
      <c r="Y1946" s="16"/>
      <c r="Z1946" s="16"/>
      <c r="AA1946" s="16"/>
    </row>
    <row r="1947" spans="1:27" s="2" customFormat="1" ht="14">
      <c r="A1947" s="12">
        <v>1368243</v>
      </c>
      <c r="B1947" s="13" t="s">
        <v>14</v>
      </c>
      <c r="C1947" s="13" t="s">
        <v>5242</v>
      </c>
      <c r="D1947" s="13" t="s">
        <v>5243</v>
      </c>
      <c r="E1947" s="13" t="s">
        <v>3465</v>
      </c>
      <c r="F1947" s="14"/>
      <c r="G1947" s="14">
        <v>0</v>
      </c>
      <c r="H1947" s="14">
        <v>0</v>
      </c>
      <c r="I1947" s="14">
        <v>0</v>
      </c>
      <c r="J1947" s="14">
        <f t="shared" si="90"/>
        <v>0</v>
      </c>
      <c r="K1947" s="14">
        <f t="shared" si="91"/>
        <v>0</v>
      </c>
      <c r="L1947" s="17">
        <f t="shared" si="92"/>
        <v>0</v>
      </c>
      <c r="M1947" s="14"/>
      <c r="N1947" s="16"/>
      <c r="O1947" s="16"/>
      <c r="P1947" s="16"/>
      <c r="Q1947" s="16"/>
      <c r="R1947" s="16"/>
      <c r="S1947" s="16"/>
      <c r="T1947" s="16"/>
      <c r="U1947" s="16"/>
      <c r="V1947" s="16"/>
      <c r="W1947" s="16"/>
      <c r="X1947" s="16"/>
      <c r="Y1947" s="16"/>
      <c r="Z1947" s="16"/>
      <c r="AA1947" s="16"/>
    </row>
    <row r="1948" spans="1:27" s="2" customFormat="1" ht="14">
      <c r="A1948" s="12">
        <v>1365356</v>
      </c>
      <c r="B1948" s="13" t="s">
        <v>14</v>
      </c>
      <c r="C1948" s="13" t="s">
        <v>5244</v>
      </c>
      <c r="D1948" s="13" t="s">
        <v>5245</v>
      </c>
      <c r="E1948" s="13" t="s">
        <v>3506</v>
      </c>
      <c r="F1948" s="14">
        <v>4796339</v>
      </c>
      <c r="G1948" s="14">
        <v>1</v>
      </c>
      <c r="H1948" s="14">
        <v>0</v>
      </c>
      <c r="I1948" s="14">
        <v>1</v>
      </c>
      <c r="J1948" s="14">
        <f t="shared" si="90"/>
        <v>1</v>
      </c>
      <c r="K1948" s="14">
        <f t="shared" si="91"/>
        <v>0</v>
      </c>
      <c r="L1948" s="17">
        <f t="shared" si="92"/>
        <v>0</v>
      </c>
      <c r="M1948" s="14"/>
      <c r="N1948" s="16"/>
      <c r="O1948" s="16"/>
      <c r="P1948" s="16"/>
      <c r="Q1948" s="16"/>
      <c r="R1948" s="16"/>
      <c r="S1948" s="16"/>
      <c r="T1948" s="16"/>
      <c r="U1948" s="16"/>
      <c r="V1948" s="16"/>
      <c r="W1948" s="16"/>
      <c r="X1948" s="16"/>
      <c r="Y1948" s="16"/>
      <c r="Z1948" s="16"/>
      <c r="AA1948" s="16"/>
    </row>
    <row r="1949" spans="1:27" s="2" customFormat="1" ht="14">
      <c r="A1949" s="12">
        <v>1368297</v>
      </c>
      <c r="B1949" s="13" t="s">
        <v>14</v>
      </c>
      <c r="C1949" s="13" t="s">
        <v>5246</v>
      </c>
      <c r="D1949" s="13" t="s">
        <v>5247</v>
      </c>
      <c r="E1949" s="13" t="s">
        <v>3533</v>
      </c>
      <c r="F1949" s="14"/>
      <c r="G1949" s="14">
        <v>0</v>
      </c>
      <c r="H1949" s="14">
        <v>0</v>
      </c>
      <c r="I1949" s="14">
        <v>0</v>
      </c>
      <c r="J1949" s="14">
        <f t="shared" si="90"/>
        <v>0</v>
      </c>
      <c r="K1949" s="14">
        <f t="shared" si="91"/>
        <v>0</v>
      </c>
      <c r="L1949" s="17">
        <f t="shared" si="92"/>
        <v>0</v>
      </c>
      <c r="M1949" s="14"/>
      <c r="N1949" s="16"/>
      <c r="O1949" s="16"/>
      <c r="P1949" s="16"/>
      <c r="Q1949" s="16"/>
      <c r="R1949" s="16"/>
      <c r="S1949" s="16"/>
      <c r="T1949" s="16"/>
      <c r="U1949" s="16"/>
      <c r="V1949" s="16"/>
      <c r="W1949" s="16"/>
      <c r="X1949" s="16"/>
      <c r="Y1949" s="16"/>
      <c r="Z1949" s="16"/>
      <c r="AA1949" s="16"/>
    </row>
    <row r="1950" spans="1:27" s="2" customFormat="1" ht="14">
      <c r="A1950" s="12" t="s">
        <v>5248</v>
      </c>
      <c r="B1950" s="13" t="s">
        <v>62</v>
      </c>
      <c r="C1950" s="13" t="s">
        <v>5249</v>
      </c>
      <c r="D1950" s="13" t="s">
        <v>5250</v>
      </c>
      <c r="E1950" s="13" t="s">
        <v>488</v>
      </c>
      <c r="F1950" s="14"/>
      <c r="G1950" s="14">
        <v>0</v>
      </c>
      <c r="H1950" s="14">
        <v>0</v>
      </c>
      <c r="I1950" s="14">
        <v>0</v>
      </c>
      <c r="J1950" s="14">
        <f t="shared" si="90"/>
        <v>0</v>
      </c>
      <c r="K1950" s="14">
        <f t="shared" si="91"/>
        <v>0</v>
      </c>
      <c r="L1950" s="17">
        <f t="shared" si="92"/>
        <v>0</v>
      </c>
      <c r="M1950" s="18" t="s">
        <v>5251</v>
      </c>
      <c r="N1950" s="16"/>
      <c r="O1950" s="16"/>
      <c r="P1950" s="16"/>
      <c r="Q1950" s="16"/>
      <c r="R1950" s="16"/>
      <c r="S1950" s="16"/>
      <c r="T1950" s="16"/>
      <c r="U1950" s="16"/>
      <c r="V1950" s="16"/>
      <c r="W1950" s="16"/>
      <c r="X1950" s="16"/>
      <c r="Y1950" s="16"/>
      <c r="Z1950" s="16"/>
      <c r="AA1950" s="16"/>
    </row>
    <row r="1951" spans="1:27" s="2" customFormat="1" ht="14">
      <c r="A1951" s="12">
        <v>1365407</v>
      </c>
      <c r="B1951" s="13" t="s">
        <v>62</v>
      </c>
      <c r="C1951" s="13" t="s">
        <v>5252</v>
      </c>
      <c r="D1951" s="13" t="s">
        <v>5253</v>
      </c>
      <c r="E1951" s="13" t="s">
        <v>3402</v>
      </c>
      <c r="F1951" s="14">
        <v>4906233</v>
      </c>
      <c r="G1951" s="14">
        <v>1</v>
      </c>
      <c r="H1951" s="14">
        <v>0</v>
      </c>
      <c r="I1951" s="14">
        <v>1</v>
      </c>
      <c r="J1951" s="14">
        <f t="shared" si="90"/>
        <v>1</v>
      </c>
      <c r="K1951" s="14">
        <f t="shared" si="91"/>
        <v>0</v>
      </c>
      <c r="L1951" s="17">
        <f t="shared" si="92"/>
        <v>0</v>
      </c>
      <c r="M1951" s="14"/>
      <c r="N1951" s="16"/>
      <c r="O1951" s="16"/>
      <c r="P1951" s="16"/>
      <c r="Q1951" s="16"/>
      <c r="R1951" s="16"/>
      <c r="S1951" s="16"/>
      <c r="T1951" s="16"/>
      <c r="U1951" s="16"/>
      <c r="V1951" s="16"/>
      <c r="W1951" s="16"/>
      <c r="X1951" s="16"/>
      <c r="Y1951" s="16"/>
      <c r="Z1951" s="16"/>
      <c r="AA1951" s="16"/>
    </row>
    <row r="1952" spans="1:27" s="2" customFormat="1" ht="14">
      <c r="A1952" s="12">
        <v>1365408</v>
      </c>
      <c r="B1952" s="13" t="s">
        <v>62</v>
      </c>
      <c r="C1952" s="13" t="s">
        <v>5254</v>
      </c>
      <c r="D1952" s="13" t="s">
        <v>5255</v>
      </c>
      <c r="E1952" s="13" t="s">
        <v>2585</v>
      </c>
      <c r="F1952" s="14">
        <v>2274548</v>
      </c>
      <c r="G1952" s="14">
        <v>1</v>
      </c>
      <c r="H1952" s="14">
        <v>0</v>
      </c>
      <c r="I1952" s="14">
        <v>1</v>
      </c>
      <c r="J1952" s="14">
        <f t="shared" si="90"/>
        <v>1</v>
      </c>
      <c r="K1952" s="14">
        <f t="shared" si="91"/>
        <v>0</v>
      </c>
      <c r="L1952" s="17">
        <f t="shared" si="92"/>
        <v>0</v>
      </c>
      <c r="M1952" s="14"/>
      <c r="N1952" s="16"/>
      <c r="O1952" s="16"/>
      <c r="P1952" s="16"/>
      <c r="Q1952" s="16"/>
      <c r="R1952" s="16"/>
      <c r="S1952" s="16"/>
      <c r="T1952" s="16"/>
      <c r="U1952" s="16"/>
      <c r="V1952" s="16"/>
      <c r="W1952" s="16"/>
      <c r="X1952" s="16"/>
      <c r="Y1952" s="16"/>
      <c r="Z1952" s="16"/>
      <c r="AA1952" s="16"/>
    </row>
    <row r="1953" spans="1:27" s="2" customFormat="1" ht="14">
      <c r="A1953" s="12">
        <v>1368821</v>
      </c>
      <c r="B1953" s="13" t="s">
        <v>14</v>
      </c>
      <c r="C1953" s="13" t="s">
        <v>5256</v>
      </c>
      <c r="D1953" s="13" t="s">
        <v>5257</v>
      </c>
      <c r="E1953" s="13" t="s">
        <v>3533</v>
      </c>
      <c r="F1953" s="14"/>
      <c r="G1953" s="14">
        <v>0</v>
      </c>
      <c r="H1953" s="14">
        <v>0</v>
      </c>
      <c r="I1953" s="14">
        <v>0</v>
      </c>
      <c r="J1953" s="14">
        <f t="shared" si="90"/>
        <v>0</v>
      </c>
      <c r="K1953" s="14">
        <f t="shared" si="91"/>
        <v>0</v>
      </c>
      <c r="L1953" s="17">
        <f t="shared" si="92"/>
        <v>0</v>
      </c>
      <c r="M1953" s="18" t="s">
        <v>5258</v>
      </c>
      <c r="N1953" s="16"/>
      <c r="O1953" s="16"/>
      <c r="P1953" s="16"/>
      <c r="Q1953" s="16"/>
      <c r="R1953" s="16"/>
      <c r="S1953" s="16"/>
      <c r="T1953" s="16"/>
      <c r="U1953" s="16"/>
      <c r="V1953" s="16"/>
      <c r="W1953" s="16"/>
      <c r="X1953" s="16"/>
      <c r="Y1953" s="16"/>
      <c r="Z1953" s="16"/>
      <c r="AA1953" s="16"/>
    </row>
    <row r="1954" spans="1:27" s="2" customFormat="1" ht="14">
      <c r="A1954" s="12">
        <v>1368873</v>
      </c>
      <c r="B1954" s="13" t="s">
        <v>14</v>
      </c>
      <c r="C1954" s="13" t="s">
        <v>5259</v>
      </c>
      <c r="D1954" s="13" t="s">
        <v>5260</v>
      </c>
      <c r="E1954" s="13" t="s">
        <v>1573</v>
      </c>
      <c r="F1954" s="14">
        <v>4956174</v>
      </c>
      <c r="G1954" s="14">
        <v>1</v>
      </c>
      <c r="H1954" s="14">
        <v>0</v>
      </c>
      <c r="I1954" s="14">
        <v>1</v>
      </c>
      <c r="J1954" s="14">
        <f t="shared" si="90"/>
        <v>1</v>
      </c>
      <c r="K1954" s="14">
        <f t="shared" si="91"/>
        <v>0</v>
      </c>
      <c r="L1954" s="17">
        <f t="shared" si="92"/>
        <v>0</v>
      </c>
      <c r="M1954" s="14"/>
      <c r="N1954" s="16"/>
      <c r="O1954" s="16"/>
      <c r="P1954" s="16"/>
      <c r="Q1954" s="16"/>
      <c r="R1954" s="16"/>
      <c r="S1954" s="16"/>
      <c r="T1954" s="16"/>
      <c r="U1954" s="16"/>
      <c r="V1954" s="16"/>
      <c r="W1954" s="16"/>
      <c r="X1954" s="16"/>
      <c r="Y1954" s="16"/>
      <c r="Z1954" s="16"/>
      <c r="AA1954" s="16"/>
    </row>
    <row r="1955" spans="1:27" s="2" customFormat="1" ht="14">
      <c r="A1955" s="12">
        <v>1368887</v>
      </c>
      <c r="B1955" s="13" t="s">
        <v>62</v>
      </c>
      <c r="C1955" s="13" t="s">
        <v>5261</v>
      </c>
      <c r="D1955" s="13" t="s">
        <v>5262</v>
      </c>
      <c r="E1955" s="13" t="s">
        <v>3905</v>
      </c>
      <c r="F1955" s="14">
        <v>4906812</v>
      </c>
      <c r="G1955" s="14">
        <v>1</v>
      </c>
      <c r="H1955" s="14">
        <v>1</v>
      </c>
      <c r="I1955" s="14">
        <v>1</v>
      </c>
      <c r="J1955" s="14">
        <f t="shared" si="90"/>
        <v>1</v>
      </c>
      <c r="K1955" s="14">
        <f t="shared" si="91"/>
        <v>1</v>
      </c>
      <c r="L1955" s="17">
        <f t="shared" si="92"/>
        <v>1</v>
      </c>
      <c r="M1955" s="14"/>
      <c r="N1955" s="16"/>
      <c r="O1955" s="16"/>
      <c r="P1955" s="16"/>
      <c r="Q1955" s="16"/>
      <c r="R1955" s="16"/>
      <c r="S1955" s="16"/>
      <c r="T1955" s="16"/>
      <c r="U1955" s="16"/>
      <c r="V1955" s="16"/>
      <c r="W1955" s="16"/>
      <c r="X1955" s="16"/>
      <c r="Y1955" s="16"/>
      <c r="Z1955" s="16"/>
      <c r="AA1955" s="16"/>
    </row>
    <row r="1956" spans="1:27" s="2" customFormat="1" ht="14">
      <c r="A1956" s="12">
        <v>1369212</v>
      </c>
      <c r="B1956" s="13" t="s">
        <v>62</v>
      </c>
      <c r="C1956" s="13" t="s">
        <v>5263</v>
      </c>
      <c r="D1956" s="13" t="s">
        <v>5264</v>
      </c>
      <c r="E1956" s="13" t="s">
        <v>3706</v>
      </c>
      <c r="F1956" s="14">
        <v>4914440</v>
      </c>
      <c r="G1956" s="14">
        <v>1</v>
      </c>
      <c r="H1956" s="14">
        <v>1</v>
      </c>
      <c r="I1956" s="14">
        <v>1</v>
      </c>
      <c r="J1956" s="14">
        <f t="shared" si="90"/>
        <v>1</v>
      </c>
      <c r="K1956" s="14">
        <f t="shared" si="91"/>
        <v>1</v>
      </c>
      <c r="L1956" s="17">
        <f t="shared" si="92"/>
        <v>1</v>
      </c>
      <c r="M1956" s="14"/>
      <c r="N1956" s="16"/>
      <c r="O1956" s="16"/>
      <c r="P1956" s="16"/>
      <c r="Q1956" s="16"/>
      <c r="R1956" s="16"/>
      <c r="S1956" s="16"/>
      <c r="T1956" s="16"/>
      <c r="U1956" s="16"/>
      <c r="V1956" s="16"/>
      <c r="W1956" s="16"/>
      <c r="X1956" s="16"/>
      <c r="Y1956" s="16"/>
      <c r="Z1956" s="16"/>
      <c r="AA1956" s="16"/>
    </row>
    <row r="1957" spans="1:27" s="2" customFormat="1" ht="14">
      <c r="A1957" s="12">
        <v>1365484</v>
      </c>
      <c r="B1957" s="13" t="s">
        <v>14</v>
      </c>
      <c r="C1957" s="13" t="s">
        <v>5265</v>
      </c>
      <c r="D1957" s="13" t="s">
        <v>5266</v>
      </c>
      <c r="E1957" s="13" t="s">
        <v>1998</v>
      </c>
      <c r="F1957" s="14">
        <v>4957365</v>
      </c>
      <c r="G1957" s="14">
        <v>0</v>
      </c>
      <c r="H1957" s="14">
        <v>0</v>
      </c>
      <c r="I1957" s="14">
        <v>0</v>
      </c>
      <c r="J1957" s="14">
        <f t="shared" si="90"/>
        <v>0</v>
      </c>
      <c r="K1957" s="14">
        <f t="shared" si="91"/>
        <v>0</v>
      </c>
      <c r="L1957" s="17">
        <f t="shared" si="92"/>
        <v>0</v>
      </c>
      <c r="M1957" s="14"/>
      <c r="N1957" s="16"/>
      <c r="O1957" s="16"/>
      <c r="P1957" s="16"/>
      <c r="Q1957" s="16"/>
      <c r="R1957" s="16"/>
      <c r="S1957" s="16"/>
      <c r="T1957" s="16"/>
      <c r="U1957" s="16"/>
      <c r="V1957" s="16"/>
      <c r="W1957" s="16"/>
      <c r="X1957" s="16"/>
      <c r="Y1957" s="16"/>
      <c r="Z1957" s="16"/>
      <c r="AA1957" s="16"/>
    </row>
    <row r="1958" spans="1:27" s="2" customFormat="1" ht="14">
      <c r="A1958" s="12" t="s">
        <v>5267</v>
      </c>
      <c r="B1958" s="13" t="s">
        <v>14</v>
      </c>
      <c r="C1958" s="13" t="s">
        <v>5268</v>
      </c>
      <c r="D1958" s="13" t="s">
        <v>5269</v>
      </c>
      <c r="E1958" s="13" t="s">
        <v>83</v>
      </c>
      <c r="F1958" s="14"/>
      <c r="G1958" s="14">
        <v>0</v>
      </c>
      <c r="H1958" s="14">
        <v>0</v>
      </c>
      <c r="I1958" s="14">
        <v>0</v>
      </c>
      <c r="J1958" s="14">
        <f t="shared" si="90"/>
        <v>0</v>
      </c>
      <c r="K1958" s="14">
        <f t="shared" si="91"/>
        <v>0</v>
      </c>
      <c r="L1958" s="17">
        <f t="shared" si="92"/>
        <v>0</v>
      </c>
      <c r="M1958" s="14"/>
      <c r="N1958" s="16"/>
      <c r="O1958" s="16"/>
      <c r="P1958" s="16"/>
      <c r="Q1958" s="16"/>
      <c r="R1958" s="16"/>
      <c r="S1958" s="16"/>
      <c r="T1958" s="16"/>
      <c r="U1958" s="16"/>
      <c r="V1958" s="16"/>
      <c r="W1958" s="16"/>
      <c r="X1958" s="16"/>
      <c r="Y1958" s="16"/>
      <c r="Z1958" s="16"/>
      <c r="AA1958" s="16"/>
    </row>
    <row r="1959" spans="1:27" s="2" customFormat="1" ht="14">
      <c r="A1959" s="12">
        <v>1365594</v>
      </c>
      <c r="B1959" s="13" t="s">
        <v>14</v>
      </c>
      <c r="C1959" s="13" t="s">
        <v>5270</v>
      </c>
      <c r="D1959" s="13" t="s">
        <v>5271</v>
      </c>
      <c r="E1959" s="13" t="s">
        <v>3327</v>
      </c>
      <c r="F1959" s="14"/>
      <c r="G1959" s="14">
        <v>0</v>
      </c>
      <c r="H1959" s="14">
        <v>0</v>
      </c>
      <c r="I1959" s="14">
        <v>0</v>
      </c>
      <c r="J1959" s="14">
        <f t="shared" si="90"/>
        <v>0</v>
      </c>
      <c r="K1959" s="14">
        <f t="shared" si="91"/>
        <v>0</v>
      </c>
      <c r="L1959" s="17">
        <f t="shared" si="92"/>
        <v>0</v>
      </c>
      <c r="M1959" s="14"/>
      <c r="N1959" s="16"/>
      <c r="O1959" s="16"/>
      <c r="P1959" s="16"/>
      <c r="Q1959" s="16"/>
      <c r="R1959" s="16"/>
      <c r="S1959" s="16"/>
      <c r="T1959" s="16"/>
      <c r="U1959" s="16"/>
      <c r="V1959" s="16"/>
      <c r="W1959" s="16"/>
      <c r="X1959" s="16"/>
      <c r="Y1959" s="16"/>
      <c r="Z1959" s="16"/>
      <c r="AA1959" s="16"/>
    </row>
    <row r="1960" spans="1:27" s="2" customFormat="1" ht="14">
      <c r="A1960" s="12">
        <v>1368392</v>
      </c>
      <c r="B1960" s="13" t="s">
        <v>14</v>
      </c>
      <c r="C1960" s="13" t="s">
        <v>5272</v>
      </c>
      <c r="D1960" s="13" t="s">
        <v>5273</v>
      </c>
      <c r="E1960" s="13" t="s">
        <v>3324</v>
      </c>
      <c r="F1960" s="14"/>
      <c r="G1960" s="14">
        <v>0</v>
      </c>
      <c r="H1960" s="14">
        <v>0</v>
      </c>
      <c r="I1960" s="14">
        <v>0</v>
      </c>
      <c r="J1960" s="14">
        <f t="shared" si="90"/>
        <v>0</v>
      </c>
      <c r="K1960" s="14">
        <f t="shared" si="91"/>
        <v>0</v>
      </c>
      <c r="L1960" s="17">
        <f t="shared" si="92"/>
        <v>0</v>
      </c>
      <c r="M1960" s="14"/>
      <c r="N1960" s="16"/>
      <c r="O1960" s="16"/>
      <c r="P1960" s="16"/>
      <c r="Q1960" s="16"/>
      <c r="R1960" s="16"/>
      <c r="S1960" s="16"/>
      <c r="T1960" s="16"/>
      <c r="U1960" s="16"/>
      <c r="V1960" s="16"/>
      <c r="W1960" s="16"/>
      <c r="X1960" s="16"/>
      <c r="Y1960" s="16"/>
      <c r="Z1960" s="16"/>
      <c r="AA1960" s="16"/>
    </row>
    <row r="1961" spans="1:27" s="2" customFormat="1" ht="14">
      <c r="A1961" s="12" t="s">
        <v>5274</v>
      </c>
      <c r="B1961" s="13" t="s">
        <v>62</v>
      </c>
      <c r="C1961" s="13" t="s">
        <v>5275</v>
      </c>
      <c r="D1961" s="13" t="s">
        <v>5276</v>
      </c>
      <c r="E1961" s="13" t="s">
        <v>1567</v>
      </c>
      <c r="F1961" s="14"/>
      <c r="G1961" s="14">
        <v>0</v>
      </c>
      <c r="H1961" s="14">
        <v>0</v>
      </c>
      <c r="I1961" s="14">
        <v>0</v>
      </c>
      <c r="J1961" s="14">
        <f t="shared" si="90"/>
        <v>0</v>
      </c>
      <c r="K1961" s="14">
        <f t="shared" si="91"/>
        <v>0</v>
      </c>
      <c r="L1961" s="17">
        <f t="shared" si="92"/>
        <v>0</v>
      </c>
      <c r="M1961" s="18" t="s">
        <v>5115</v>
      </c>
      <c r="N1961" s="16"/>
      <c r="O1961" s="16"/>
      <c r="P1961" s="16"/>
      <c r="Q1961" s="16"/>
      <c r="R1961" s="16"/>
      <c r="S1961" s="16"/>
      <c r="T1961" s="16"/>
      <c r="U1961" s="16"/>
      <c r="V1961" s="16"/>
      <c r="W1961" s="16"/>
      <c r="X1961" s="16"/>
      <c r="Y1961" s="16"/>
      <c r="Z1961" s="16"/>
      <c r="AA1961" s="16"/>
    </row>
    <row r="1962" spans="1:27" s="2" customFormat="1" ht="14">
      <c r="A1962" s="12">
        <v>1368400</v>
      </c>
      <c r="B1962" s="13" t="s">
        <v>62</v>
      </c>
      <c r="C1962" s="13" t="s">
        <v>5277</v>
      </c>
      <c r="D1962" s="13" t="s">
        <v>5278</v>
      </c>
      <c r="E1962" s="13" t="s">
        <v>1573</v>
      </c>
      <c r="F1962" s="14"/>
      <c r="G1962" s="14">
        <v>0</v>
      </c>
      <c r="H1962" s="14">
        <v>0</v>
      </c>
      <c r="I1962" s="14">
        <v>0</v>
      </c>
      <c r="J1962" s="14">
        <f t="shared" si="90"/>
        <v>0</v>
      </c>
      <c r="K1962" s="14">
        <f t="shared" si="91"/>
        <v>0</v>
      </c>
      <c r="L1962" s="17">
        <f t="shared" si="92"/>
        <v>0</v>
      </c>
      <c r="M1962" s="18" t="s">
        <v>5279</v>
      </c>
      <c r="N1962" s="16"/>
      <c r="O1962" s="16"/>
      <c r="P1962" s="16"/>
      <c r="Q1962" s="16"/>
      <c r="R1962" s="16"/>
      <c r="S1962" s="16"/>
      <c r="T1962" s="16"/>
      <c r="U1962" s="16"/>
      <c r="V1962" s="16"/>
      <c r="W1962" s="16"/>
      <c r="X1962" s="16"/>
      <c r="Y1962" s="16"/>
      <c r="Z1962" s="16"/>
      <c r="AA1962" s="16"/>
    </row>
    <row r="1963" spans="1:27" s="2" customFormat="1" ht="14">
      <c r="A1963" s="12" t="s">
        <v>5280</v>
      </c>
      <c r="B1963" s="13" t="s">
        <v>14</v>
      </c>
      <c r="C1963" s="13" t="s">
        <v>5281</v>
      </c>
      <c r="D1963" s="13" t="s">
        <v>5282</v>
      </c>
      <c r="E1963" s="13" t="s">
        <v>220</v>
      </c>
      <c r="F1963" s="14"/>
      <c r="G1963" s="14">
        <v>0</v>
      </c>
      <c r="H1963" s="14">
        <v>0</v>
      </c>
      <c r="I1963" s="14">
        <v>0</v>
      </c>
      <c r="J1963" s="14">
        <f t="shared" si="90"/>
        <v>0</v>
      </c>
      <c r="K1963" s="14">
        <f t="shared" si="91"/>
        <v>0</v>
      </c>
      <c r="L1963" s="17">
        <f t="shared" si="92"/>
        <v>0</v>
      </c>
      <c r="M1963" s="18" t="s">
        <v>5115</v>
      </c>
      <c r="N1963" s="16"/>
      <c r="O1963" s="16"/>
      <c r="P1963" s="16"/>
      <c r="Q1963" s="16"/>
      <c r="R1963" s="16"/>
      <c r="S1963" s="16"/>
      <c r="T1963" s="16"/>
      <c r="U1963" s="16"/>
      <c r="V1963" s="16"/>
      <c r="W1963" s="16"/>
      <c r="X1963" s="16"/>
      <c r="Y1963" s="16"/>
      <c r="Z1963" s="16"/>
      <c r="AA1963" s="16"/>
    </row>
    <row r="1964" spans="1:27" s="2" customFormat="1" ht="14">
      <c r="A1964" s="12">
        <v>1371104</v>
      </c>
      <c r="B1964" s="13" t="s">
        <v>14</v>
      </c>
      <c r="C1964" s="13" t="s">
        <v>5283</v>
      </c>
      <c r="D1964" s="13" t="s">
        <v>5284</v>
      </c>
      <c r="E1964" s="13" t="s">
        <v>3703</v>
      </c>
      <c r="F1964" s="14">
        <v>4960553</v>
      </c>
      <c r="G1964" s="14">
        <v>0</v>
      </c>
      <c r="H1964" s="14">
        <v>0</v>
      </c>
      <c r="I1964" s="14">
        <v>0</v>
      </c>
      <c r="J1964" s="14">
        <f t="shared" si="90"/>
        <v>0</v>
      </c>
      <c r="K1964" s="14">
        <f t="shared" si="91"/>
        <v>0</v>
      </c>
      <c r="L1964" s="17">
        <f t="shared" si="92"/>
        <v>0</v>
      </c>
      <c r="M1964" s="14"/>
      <c r="N1964" s="16"/>
      <c r="O1964" s="16"/>
      <c r="P1964" s="16"/>
      <c r="Q1964" s="16"/>
      <c r="R1964" s="16"/>
      <c r="S1964" s="16"/>
      <c r="T1964" s="16"/>
      <c r="U1964" s="16"/>
      <c r="V1964" s="16"/>
      <c r="W1964" s="16"/>
      <c r="X1964" s="16"/>
      <c r="Y1964" s="16"/>
      <c r="Z1964" s="16"/>
      <c r="AA1964" s="16"/>
    </row>
    <row r="1965" spans="1:27" s="2" customFormat="1" ht="14">
      <c r="A1965" s="12">
        <v>1369986</v>
      </c>
      <c r="B1965" s="13" t="s">
        <v>62</v>
      </c>
      <c r="C1965" s="13" t="s">
        <v>5285</v>
      </c>
      <c r="D1965" s="13" t="s">
        <v>5286</v>
      </c>
      <c r="E1965" s="13" t="s">
        <v>3576</v>
      </c>
      <c r="F1965" s="14">
        <v>4960796</v>
      </c>
      <c r="G1965" s="14">
        <v>0</v>
      </c>
      <c r="H1965" s="14">
        <v>1</v>
      </c>
      <c r="I1965" s="14">
        <v>1</v>
      </c>
      <c r="J1965" s="14">
        <f t="shared" si="90"/>
        <v>0</v>
      </c>
      <c r="K1965" s="14">
        <f t="shared" si="91"/>
        <v>1</v>
      </c>
      <c r="L1965" s="17">
        <f t="shared" si="92"/>
        <v>0</v>
      </c>
      <c r="M1965" s="14"/>
      <c r="N1965" s="16"/>
      <c r="O1965" s="16"/>
      <c r="P1965" s="16"/>
      <c r="Q1965" s="16"/>
      <c r="R1965" s="16"/>
      <c r="S1965" s="16"/>
      <c r="T1965" s="16"/>
      <c r="U1965" s="16"/>
      <c r="V1965" s="16"/>
      <c r="W1965" s="16"/>
      <c r="X1965" s="16"/>
      <c r="Y1965" s="16"/>
      <c r="Z1965" s="16"/>
      <c r="AA1965" s="16"/>
    </row>
    <row r="1966" spans="1:27" s="2" customFormat="1" ht="14">
      <c r="A1966" s="12">
        <v>1369834</v>
      </c>
      <c r="B1966" s="13" t="s">
        <v>14</v>
      </c>
      <c r="C1966" s="13" t="s">
        <v>5287</v>
      </c>
      <c r="D1966" s="13" t="s">
        <v>5288</v>
      </c>
      <c r="E1966" s="13" t="s">
        <v>3465</v>
      </c>
      <c r="F1966" s="14">
        <v>6052400</v>
      </c>
      <c r="G1966" s="14">
        <v>0</v>
      </c>
      <c r="H1966" s="14">
        <v>0</v>
      </c>
      <c r="I1966" s="14">
        <v>0</v>
      </c>
      <c r="J1966" s="14">
        <f t="shared" si="90"/>
        <v>0</v>
      </c>
      <c r="K1966" s="14">
        <f t="shared" si="91"/>
        <v>0</v>
      </c>
      <c r="L1966" s="17">
        <f t="shared" si="92"/>
        <v>0</v>
      </c>
      <c r="M1966" s="14"/>
      <c r="N1966" s="16"/>
      <c r="O1966" s="16"/>
      <c r="P1966" s="16"/>
      <c r="Q1966" s="16"/>
      <c r="R1966" s="16"/>
      <c r="S1966" s="16"/>
      <c r="T1966" s="16"/>
      <c r="U1966" s="16"/>
      <c r="V1966" s="16"/>
      <c r="W1966" s="16"/>
      <c r="X1966" s="16"/>
      <c r="Y1966" s="16"/>
      <c r="Z1966" s="16"/>
      <c r="AA1966" s="16"/>
    </row>
    <row r="1967" spans="1:27" s="2" customFormat="1" ht="14">
      <c r="A1967" s="12" t="s">
        <v>5289</v>
      </c>
      <c r="B1967" s="13" t="s">
        <v>14</v>
      </c>
      <c r="C1967" s="13" t="s">
        <v>5290</v>
      </c>
      <c r="D1967" s="13" t="s">
        <v>5291</v>
      </c>
      <c r="E1967" s="13" t="s">
        <v>4203</v>
      </c>
      <c r="F1967" s="14"/>
      <c r="G1967" s="14">
        <v>0</v>
      </c>
      <c r="H1967" s="14">
        <v>0</v>
      </c>
      <c r="I1967" s="14">
        <v>0</v>
      </c>
      <c r="J1967" s="14">
        <f t="shared" si="90"/>
        <v>0</v>
      </c>
      <c r="K1967" s="14">
        <f t="shared" si="91"/>
        <v>0</v>
      </c>
      <c r="L1967" s="17">
        <f t="shared" si="92"/>
        <v>0</v>
      </c>
      <c r="M1967" s="14" t="s">
        <v>5292</v>
      </c>
      <c r="N1967" s="16"/>
      <c r="O1967" s="16"/>
      <c r="P1967" s="16"/>
      <c r="Q1967" s="16"/>
      <c r="R1967" s="16"/>
      <c r="S1967" s="16"/>
      <c r="T1967" s="16"/>
      <c r="U1967" s="16"/>
      <c r="V1967" s="16"/>
      <c r="W1967" s="16"/>
      <c r="X1967" s="16"/>
      <c r="Y1967" s="16"/>
      <c r="Z1967" s="16"/>
      <c r="AA1967" s="16"/>
    </row>
    <row r="1968" spans="1:27" s="2" customFormat="1" ht="14">
      <c r="A1968" s="12">
        <v>1370183</v>
      </c>
      <c r="B1968" s="13" t="s">
        <v>62</v>
      </c>
      <c r="C1968" s="13" t="s">
        <v>5293</v>
      </c>
      <c r="D1968" s="13" t="s">
        <v>5294</v>
      </c>
      <c r="E1968" s="13" t="s">
        <v>3981</v>
      </c>
      <c r="F1968" s="14">
        <v>4960749</v>
      </c>
      <c r="G1968" s="14">
        <v>0</v>
      </c>
      <c r="H1968" s="14">
        <v>0</v>
      </c>
      <c r="I1968" s="14">
        <v>0</v>
      </c>
      <c r="J1968" s="14">
        <f t="shared" si="90"/>
        <v>0</v>
      </c>
      <c r="K1968" s="14">
        <f t="shared" si="91"/>
        <v>0</v>
      </c>
      <c r="L1968" s="17">
        <f t="shared" si="92"/>
        <v>0</v>
      </c>
      <c r="M1968" s="14"/>
      <c r="N1968" s="16"/>
      <c r="O1968" s="16"/>
      <c r="P1968" s="16"/>
      <c r="Q1968" s="16"/>
      <c r="R1968" s="16"/>
      <c r="S1968" s="16"/>
      <c r="T1968" s="16"/>
      <c r="U1968" s="16"/>
      <c r="V1968" s="16"/>
      <c r="W1968" s="16"/>
      <c r="X1968" s="16"/>
      <c r="Y1968" s="16"/>
      <c r="Z1968" s="16"/>
      <c r="AA1968" s="16"/>
    </row>
    <row r="1969" spans="1:27" s="2" customFormat="1" ht="14">
      <c r="A1969" s="12">
        <v>1371234</v>
      </c>
      <c r="B1969" s="13" t="s">
        <v>14</v>
      </c>
      <c r="C1969" s="13" t="s">
        <v>5295</v>
      </c>
      <c r="D1969" s="13" t="s">
        <v>5296</v>
      </c>
      <c r="E1969" s="13" t="s">
        <v>3706</v>
      </c>
      <c r="F1969" s="14">
        <v>4603198</v>
      </c>
      <c r="G1969" s="14">
        <v>1</v>
      </c>
      <c r="H1969" s="14">
        <v>0</v>
      </c>
      <c r="I1969" s="14">
        <v>1</v>
      </c>
      <c r="J1969" s="14">
        <f t="shared" si="90"/>
        <v>1</v>
      </c>
      <c r="K1969" s="14">
        <f t="shared" si="91"/>
        <v>0</v>
      </c>
      <c r="L1969" s="17">
        <f t="shared" si="92"/>
        <v>0</v>
      </c>
      <c r="M1969" s="14"/>
      <c r="N1969" s="16"/>
      <c r="O1969" s="16"/>
      <c r="P1969" s="16"/>
      <c r="Q1969" s="16"/>
      <c r="R1969" s="16"/>
      <c r="S1969" s="16"/>
      <c r="T1969" s="16"/>
      <c r="U1969" s="16"/>
      <c r="V1969" s="16"/>
      <c r="W1969" s="16"/>
      <c r="X1969" s="16"/>
      <c r="Y1969" s="16"/>
      <c r="Z1969" s="16"/>
      <c r="AA1969" s="16"/>
    </row>
    <row r="1970" spans="1:27" s="2" customFormat="1" ht="14">
      <c r="A1970" s="12">
        <v>1371286</v>
      </c>
      <c r="B1970" s="13" t="s">
        <v>62</v>
      </c>
      <c r="C1970" s="13" t="s">
        <v>5297</v>
      </c>
      <c r="D1970" s="13" t="s">
        <v>5298</v>
      </c>
      <c r="E1970" s="13" t="s">
        <v>3576</v>
      </c>
      <c r="F1970" s="14">
        <v>4961730</v>
      </c>
      <c r="G1970" s="14">
        <v>0</v>
      </c>
      <c r="H1970" s="14">
        <v>0</v>
      </c>
      <c r="I1970" s="14">
        <v>0</v>
      </c>
      <c r="J1970" s="14">
        <f t="shared" si="90"/>
        <v>0</v>
      </c>
      <c r="K1970" s="14">
        <f t="shared" si="91"/>
        <v>0</v>
      </c>
      <c r="L1970" s="17">
        <f t="shared" si="92"/>
        <v>0</v>
      </c>
      <c r="M1970" s="14"/>
      <c r="N1970" s="16"/>
      <c r="O1970" s="16"/>
      <c r="P1970" s="16"/>
      <c r="Q1970" s="16"/>
      <c r="R1970" s="16"/>
      <c r="S1970" s="16"/>
      <c r="T1970" s="16"/>
      <c r="U1970" s="16"/>
      <c r="V1970" s="16"/>
      <c r="W1970" s="16"/>
      <c r="X1970" s="16"/>
      <c r="Y1970" s="16"/>
      <c r="Z1970" s="16"/>
      <c r="AA1970" s="16"/>
    </row>
    <row r="1971" spans="1:27" s="2" customFormat="1" ht="14">
      <c r="A1971" s="12">
        <v>1371298</v>
      </c>
      <c r="B1971" s="13" t="s">
        <v>14</v>
      </c>
      <c r="C1971" s="13" t="s">
        <v>5299</v>
      </c>
      <c r="D1971" s="13" t="s">
        <v>5300</v>
      </c>
      <c r="E1971" s="13" t="s">
        <v>3682</v>
      </c>
      <c r="F1971" s="14"/>
      <c r="G1971" s="14">
        <v>0</v>
      </c>
      <c r="H1971" s="14">
        <v>0</v>
      </c>
      <c r="I1971" s="14">
        <v>0</v>
      </c>
      <c r="J1971" s="14">
        <f t="shared" si="90"/>
        <v>0</v>
      </c>
      <c r="K1971" s="14">
        <f t="shared" si="91"/>
        <v>0</v>
      </c>
      <c r="L1971" s="17">
        <f t="shared" si="92"/>
        <v>0</v>
      </c>
      <c r="M1971" s="14"/>
      <c r="N1971" s="16"/>
      <c r="O1971" s="16"/>
      <c r="P1971" s="16"/>
      <c r="Q1971" s="16"/>
      <c r="R1971" s="16"/>
      <c r="S1971" s="16"/>
      <c r="T1971" s="16"/>
      <c r="U1971" s="16"/>
      <c r="V1971" s="16"/>
      <c r="W1971" s="16"/>
      <c r="X1971" s="16"/>
      <c r="Y1971" s="16"/>
      <c r="Z1971" s="16"/>
      <c r="AA1971" s="16"/>
    </row>
    <row r="1972" spans="1:27" s="2" customFormat="1" ht="14">
      <c r="A1972" s="12">
        <v>1372214</v>
      </c>
      <c r="B1972" s="13" t="s">
        <v>62</v>
      </c>
      <c r="C1972" s="13" t="s">
        <v>5301</v>
      </c>
      <c r="D1972" s="13" t="s">
        <v>5302</v>
      </c>
      <c r="E1972" s="13" t="s">
        <v>1579</v>
      </c>
      <c r="F1972" s="14">
        <v>4963634</v>
      </c>
      <c r="G1972" s="14">
        <v>0</v>
      </c>
      <c r="H1972" s="14">
        <v>1</v>
      </c>
      <c r="I1972" s="14">
        <v>1</v>
      </c>
      <c r="J1972" s="14">
        <f t="shared" si="90"/>
        <v>0</v>
      </c>
      <c r="K1972" s="14">
        <f t="shared" si="91"/>
        <v>1</v>
      </c>
      <c r="L1972" s="17">
        <f t="shared" si="92"/>
        <v>0</v>
      </c>
      <c r="M1972" s="14" t="s">
        <v>5303</v>
      </c>
      <c r="N1972" s="16"/>
      <c r="O1972" s="16"/>
      <c r="P1972" s="16"/>
      <c r="Q1972" s="16"/>
      <c r="R1972" s="16"/>
      <c r="S1972" s="16"/>
      <c r="T1972" s="16"/>
      <c r="U1972" s="16"/>
      <c r="V1972" s="16"/>
      <c r="W1972" s="16"/>
      <c r="X1972" s="16"/>
      <c r="Y1972" s="16"/>
      <c r="Z1972" s="16"/>
      <c r="AA1972" s="16"/>
    </row>
    <row r="1973" spans="1:27" s="2" customFormat="1" ht="14">
      <c r="A1973" s="12">
        <v>1372376</v>
      </c>
      <c r="B1973" s="13" t="s">
        <v>62</v>
      </c>
      <c r="C1973" s="13" t="s">
        <v>5304</v>
      </c>
      <c r="D1973" s="13" t="s">
        <v>5305</v>
      </c>
      <c r="E1973" s="13" t="s">
        <v>3506</v>
      </c>
      <c r="F1973" s="14">
        <v>2903597</v>
      </c>
      <c r="G1973" s="14">
        <v>0</v>
      </c>
      <c r="H1973" s="14">
        <v>0</v>
      </c>
      <c r="I1973" s="14">
        <v>0</v>
      </c>
      <c r="J1973" s="14">
        <f t="shared" si="90"/>
        <v>0</v>
      </c>
      <c r="K1973" s="14">
        <f t="shared" si="91"/>
        <v>0</v>
      </c>
      <c r="L1973" s="17">
        <f t="shared" si="92"/>
        <v>0</v>
      </c>
      <c r="M1973" s="14"/>
      <c r="N1973" s="16"/>
      <c r="O1973" s="16"/>
      <c r="P1973" s="16"/>
      <c r="Q1973" s="16"/>
      <c r="R1973" s="16"/>
      <c r="S1973" s="16"/>
      <c r="T1973" s="16"/>
      <c r="U1973" s="16"/>
      <c r="V1973" s="16"/>
      <c r="W1973" s="16"/>
      <c r="X1973" s="16"/>
      <c r="Y1973" s="16"/>
      <c r="Z1973" s="16"/>
      <c r="AA1973" s="16"/>
    </row>
    <row r="1974" spans="1:27" s="2" customFormat="1" ht="14">
      <c r="A1974" s="12" t="s">
        <v>5306</v>
      </c>
      <c r="B1974" s="13" t="s">
        <v>14</v>
      </c>
      <c r="C1974" s="13" t="s">
        <v>5307</v>
      </c>
      <c r="D1974" s="13" t="s">
        <v>5308</v>
      </c>
      <c r="E1974" s="13" t="s">
        <v>104</v>
      </c>
      <c r="F1974" s="14"/>
      <c r="G1974" s="14">
        <v>0</v>
      </c>
      <c r="H1974" s="14">
        <v>0</v>
      </c>
      <c r="I1974" s="14">
        <v>0</v>
      </c>
      <c r="J1974" s="14">
        <f t="shared" si="90"/>
        <v>0</v>
      </c>
      <c r="K1974" s="14">
        <f t="shared" si="91"/>
        <v>0</v>
      </c>
      <c r="L1974" s="17">
        <f t="shared" si="92"/>
        <v>0</v>
      </c>
      <c r="M1974" s="14" t="s">
        <v>5309</v>
      </c>
      <c r="N1974" s="16"/>
      <c r="O1974" s="16"/>
      <c r="P1974" s="16"/>
      <c r="Q1974" s="16"/>
      <c r="R1974" s="16"/>
      <c r="S1974" s="16"/>
      <c r="T1974" s="16"/>
      <c r="U1974" s="16"/>
      <c r="V1974" s="16"/>
      <c r="W1974" s="16"/>
      <c r="X1974" s="16"/>
      <c r="Y1974" s="16"/>
      <c r="Z1974" s="16"/>
      <c r="AA1974" s="16"/>
    </row>
    <row r="1975" spans="1:27" s="2" customFormat="1" ht="14">
      <c r="A1975" s="12" t="s">
        <v>5310</v>
      </c>
      <c r="B1975" s="13" t="s">
        <v>14</v>
      </c>
      <c r="C1975" s="13" t="s">
        <v>5311</v>
      </c>
      <c r="D1975" s="13" t="s">
        <v>5312</v>
      </c>
      <c r="E1975" s="13" t="s">
        <v>215</v>
      </c>
      <c r="F1975" s="14"/>
      <c r="G1975" s="14">
        <v>0</v>
      </c>
      <c r="H1975" s="14">
        <v>0</v>
      </c>
      <c r="I1975" s="14">
        <v>0</v>
      </c>
      <c r="J1975" s="14">
        <f t="shared" si="90"/>
        <v>0</v>
      </c>
      <c r="K1975" s="14">
        <f t="shared" si="91"/>
        <v>0</v>
      </c>
      <c r="L1975" s="17">
        <f t="shared" si="92"/>
        <v>0</v>
      </c>
      <c r="M1975" s="14" t="s">
        <v>5115</v>
      </c>
      <c r="N1975" s="16"/>
      <c r="O1975" s="16"/>
      <c r="P1975" s="16"/>
      <c r="Q1975" s="16"/>
      <c r="R1975" s="16"/>
      <c r="S1975" s="16"/>
      <c r="T1975" s="16"/>
      <c r="U1975" s="16"/>
      <c r="V1975" s="16"/>
      <c r="W1975" s="16"/>
      <c r="X1975" s="16"/>
      <c r="Y1975" s="16"/>
      <c r="Z1975" s="16"/>
      <c r="AA1975" s="16"/>
    </row>
    <row r="1976" spans="1:27" s="2" customFormat="1" ht="14">
      <c r="A1976" s="12" t="s">
        <v>5313</v>
      </c>
      <c r="B1976" s="13" t="s">
        <v>62</v>
      </c>
      <c r="C1976" s="13" t="s">
        <v>5314</v>
      </c>
      <c r="D1976" s="13" t="s">
        <v>5315</v>
      </c>
      <c r="E1976" s="13" t="s">
        <v>402</v>
      </c>
      <c r="F1976" s="14"/>
      <c r="G1976" s="14">
        <v>0</v>
      </c>
      <c r="H1976" s="14">
        <v>0</v>
      </c>
      <c r="I1976" s="14">
        <v>0</v>
      </c>
      <c r="J1976" s="14">
        <f t="shared" si="90"/>
        <v>0</v>
      </c>
      <c r="K1976" s="14">
        <f t="shared" si="91"/>
        <v>0</v>
      </c>
      <c r="L1976" s="17">
        <f t="shared" si="92"/>
        <v>0</v>
      </c>
      <c r="M1976" s="14" t="s">
        <v>5115</v>
      </c>
      <c r="N1976" s="16"/>
      <c r="O1976" s="16"/>
      <c r="P1976" s="16"/>
      <c r="Q1976" s="16"/>
      <c r="R1976" s="16"/>
      <c r="S1976" s="16"/>
      <c r="T1976" s="16"/>
      <c r="U1976" s="16"/>
      <c r="V1976" s="16"/>
      <c r="W1976" s="16"/>
      <c r="X1976" s="16"/>
      <c r="Y1976" s="16"/>
      <c r="Z1976" s="16"/>
      <c r="AA1976" s="16"/>
    </row>
    <row r="1977" spans="1:27" s="2" customFormat="1" ht="14">
      <c r="A1977" s="12">
        <v>1372806</v>
      </c>
      <c r="B1977" s="13" t="s">
        <v>14</v>
      </c>
      <c r="C1977" s="13" t="s">
        <v>5316</v>
      </c>
      <c r="D1977" s="13" t="s">
        <v>5317</v>
      </c>
      <c r="E1977" s="13" t="s">
        <v>1839</v>
      </c>
      <c r="F1977" s="14"/>
      <c r="G1977" s="14">
        <v>0</v>
      </c>
      <c r="H1977" s="14">
        <v>0</v>
      </c>
      <c r="I1977" s="14">
        <v>0</v>
      </c>
      <c r="J1977" s="14">
        <f t="shared" si="90"/>
        <v>0</v>
      </c>
      <c r="K1977" s="14">
        <f t="shared" si="91"/>
        <v>0</v>
      </c>
      <c r="L1977" s="17">
        <f t="shared" si="92"/>
        <v>0</v>
      </c>
      <c r="M1977" s="14" t="s">
        <v>5115</v>
      </c>
      <c r="N1977" s="16"/>
      <c r="O1977" s="16"/>
      <c r="P1977" s="16"/>
      <c r="Q1977" s="16"/>
      <c r="R1977" s="16"/>
      <c r="S1977" s="16"/>
      <c r="T1977" s="16"/>
      <c r="U1977" s="16"/>
      <c r="V1977" s="16"/>
      <c r="W1977" s="16"/>
      <c r="X1977" s="16"/>
      <c r="Y1977" s="16"/>
      <c r="Z1977" s="16"/>
      <c r="AA1977" s="16"/>
    </row>
    <row r="1978" spans="1:27" s="2" customFormat="1" ht="14">
      <c r="A1978" s="12" t="s">
        <v>5318</v>
      </c>
      <c r="B1978" s="13" t="s">
        <v>14</v>
      </c>
      <c r="C1978" s="13" t="s">
        <v>5319</v>
      </c>
      <c r="D1978" s="13" t="s">
        <v>5320</v>
      </c>
      <c r="E1978" s="13" t="s">
        <v>72</v>
      </c>
      <c r="F1978" s="14"/>
      <c r="G1978" s="14">
        <v>0</v>
      </c>
      <c r="H1978" s="14">
        <v>0</v>
      </c>
      <c r="I1978" s="14">
        <v>0</v>
      </c>
      <c r="J1978" s="14">
        <f t="shared" si="90"/>
        <v>0</v>
      </c>
      <c r="K1978" s="14">
        <f t="shared" si="91"/>
        <v>0</v>
      </c>
      <c r="L1978" s="17">
        <f t="shared" si="92"/>
        <v>0</v>
      </c>
      <c r="M1978" s="14" t="s">
        <v>5115</v>
      </c>
      <c r="N1978" s="16"/>
      <c r="O1978" s="16"/>
      <c r="P1978" s="16"/>
      <c r="Q1978" s="16"/>
      <c r="R1978" s="16"/>
      <c r="S1978" s="16"/>
      <c r="T1978" s="16"/>
      <c r="U1978" s="16"/>
      <c r="V1978" s="16"/>
      <c r="W1978" s="16"/>
      <c r="X1978" s="16"/>
      <c r="Y1978" s="16"/>
      <c r="Z1978" s="16"/>
      <c r="AA1978" s="16"/>
    </row>
    <row r="1979" spans="1:27" s="2" customFormat="1" ht="14">
      <c r="A1979" s="12">
        <v>1373131</v>
      </c>
      <c r="B1979" s="13" t="s">
        <v>14</v>
      </c>
      <c r="C1979" s="13" t="s">
        <v>5321</v>
      </c>
      <c r="D1979" s="13" t="s">
        <v>5322</v>
      </c>
      <c r="E1979" s="13" t="s">
        <v>29</v>
      </c>
      <c r="F1979" s="14">
        <v>4057294</v>
      </c>
      <c r="G1979" s="14">
        <v>1</v>
      </c>
      <c r="H1979" s="14">
        <v>1</v>
      </c>
      <c r="I1979" s="14">
        <v>1</v>
      </c>
      <c r="J1979" s="14">
        <f t="shared" si="90"/>
        <v>1</v>
      </c>
      <c r="K1979" s="14">
        <f t="shared" si="91"/>
        <v>1</v>
      </c>
      <c r="L1979" s="17">
        <f t="shared" si="92"/>
        <v>1</v>
      </c>
      <c r="M1979" s="14"/>
      <c r="N1979" s="16"/>
      <c r="O1979" s="16"/>
      <c r="P1979" s="16"/>
      <c r="Q1979" s="16"/>
      <c r="R1979" s="16"/>
      <c r="S1979" s="16"/>
      <c r="T1979" s="16"/>
      <c r="U1979" s="16"/>
      <c r="V1979" s="16"/>
      <c r="W1979" s="16"/>
      <c r="X1979" s="16"/>
      <c r="Y1979" s="16"/>
      <c r="Z1979" s="16"/>
      <c r="AA1979" s="16"/>
    </row>
    <row r="1980" spans="1:27" s="2" customFormat="1" ht="14">
      <c r="A1980" s="12">
        <v>1373142</v>
      </c>
      <c r="B1980" s="13" t="s">
        <v>14</v>
      </c>
      <c r="C1980" s="13" t="s">
        <v>5323</v>
      </c>
      <c r="D1980" s="13" t="s">
        <v>5324</v>
      </c>
      <c r="E1980" s="13" t="s">
        <v>3796</v>
      </c>
      <c r="F1980" s="14">
        <v>1909306</v>
      </c>
      <c r="G1980" s="14">
        <v>1</v>
      </c>
      <c r="H1980" s="14">
        <v>1</v>
      </c>
      <c r="I1980" s="14">
        <v>1</v>
      </c>
      <c r="J1980" s="14">
        <f t="shared" si="90"/>
        <v>1</v>
      </c>
      <c r="K1980" s="14">
        <f t="shared" si="91"/>
        <v>1</v>
      </c>
      <c r="L1980" s="17">
        <f t="shared" si="92"/>
        <v>1</v>
      </c>
      <c r="M1980" s="14"/>
      <c r="N1980" s="16"/>
      <c r="O1980" s="16"/>
      <c r="P1980" s="16"/>
      <c r="Q1980" s="16"/>
      <c r="R1980" s="16"/>
      <c r="S1980" s="16"/>
      <c r="T1980" s="16"/>
      <c r="U1980" s="16"/>
      <c r="V1980" s="16"/>
      <c r="W1980" s="16"/>
      <c r="X1980" s="16"/>
      <c r="Y1980" s="16"/>
      <c r="Z1980" s="16"/>
      <c r="AA1980" s="16"/>
    </row>
    <row r="1981" spans="1:27" s="2" customFormat="1" ht="14">
      <c r="A1981" s="12">
        <v>1373206</v>
      </c>
      <c r="B1981" s="13" t="s">
        <v>14</v>
      </c>
      <c r="C1981" s="13" t="s">
        <v>5325</v>
      </c>
      <c r="D1981" s="13" t="s">
        <v>5326</v>
      </c>
      <c r="E1981" s="13" t="s">
        <v>3700</v>
      </c>
      <c r="F1981" s="14"/>
      <c r="G1981" s="14">
        <v>0</v>
      </c>
      <c r="H1981" s="14">
        <v>0</v>
      </c>
      <c r="I1981" s="14">
        <v>0</v>
      </c>
      <c r="J1981" s="14">
        <f t="shared" si="90"/>
        <v>0</v>
      </c>
      <c r="K1981" s="14">
        <f t="shared" si="91"/>
        <v>0</v>
      </c>
      <c r="L1981" s="17">
        <f t="shared" si="92"/>
        <v>0</v>
      </c>
      <c r="M1981" s="14"/>
      <c r="N1981" s="16"/>
      <c r="O1981" s="16"/>
      <c r="P1981" s="16"/>
      <c r="Q1981" s="16"/>
      <c r="R1981" s="16"/>
      <c r="S1981" s="16"/>
      <c r="T1981" s="16"/>
      <c r="U1981" s="16"/>
      <c r="V1981" s="16"/>
      <c r="W1981" s="16"/>
      <c r="X1981" s="16"/>
      <c r="Y1981" s="16"/>
      <c r="Z1981" s="16"/>
      <c r="AA1981" s="16"/>
    </row>
    <row r="1982" spans="1:27" s="2" customFormat="1" ht="14">
      <c r="A1982" s="12">
        <v>1373511</v>
      </c>
      <c r="B1982" s="13" t="s">
        <v>14</v>
      </c>
      <c r="C1982" s="13" t="s">
        <v>5327</v>
      </c>
      <c r="D1982" s="13" t="s">
        <v>5328</v>
      </c>
      <c r="E1982" s="13" t="s">
        <v>3635</v>
      </c>
      <c r="F1982" s="14"/>
      <c r="G1982" s="14">
        <v>0</v>
      </c>
      <c r="H1982" s="14">
        <v>0</v>
      </c>
      <c r="I1982" s="14">
        <v>0</v>
      </c>
      <c r="J1982" s="14">
        <f t="shared" si="90"/>
        <v>0</v>
      </c>
      <c r="K1982" s="14">
        <f t="shared" si="91"/>
        <v>0</v>
      </c>
      <c r="L1982" s="17">
        <f t="shared" si="92"/>
        <v>0</v>
      </c>
      <c r="M1982" s="14" t="s">
        <v>5329</v>
      </c>
      <c r="N1982" s="16"/>
      <c r="O1982" s="16"/>
      <c r="P1982" s="16"/>
      <c r="Q1982" s="16"/>
      <c r="R1982" s="16"/>
      <c r="S1982" s="16"/>
      <c r="T1982" s="16"/>
      <c r="U1982" s="16"/>
      <c r="V1982" s="16"/>
      <c r="W1982" s="16"/>
      <c r="X1982" s="16"/>
      <c r="Y1982" s="16"/>
      <c r="Z1982" s="16"/>
      <c r="AA1982" s="16"/>
    </row>
    <row r="1983" spans="1:27" s="2" customFormat="1" ht="14">
      <c r="A1983" s="12" t="s">
        <v>5330</v>
      </c>
      <c r="B1983" s="13" t="s">
        <v>14</v>
      </c>
      <c r="C1983" s="13" t="s">
        <v>5331</v>
      </c>
      <c r="D1983" s="13" t="s">
        <v>5332</v>
      </c>
      <c r="E1983" s="13" t="s">
        <v>36</v>
      </c>
      <c r="F1983" s="14"/>
      <c r="G1983" s="14">
        <v>0</v>
      </c>
      <c r="H1983" s="14">
        <v>0</v>
      </c>
      <c r="I1983" s="14">
        <v>0</v>
      </c>
      <c r="J1983" s="14">
        <f t="shared" si="90"/>
        <v>0</v>
      </c>
      <c r="K1983" s="14">
        <f t="shared" si="91"/>
        <v>0</v>
      </c>
      <c r="L1983" s="17">
        <f t="shared" si="92"/>
        <v>0</v>
      </c>
      <c r="M1983" s="14" t="s">
        <v>5115</v>
      </c>
      <c r="N1983" s="16"/>
      <c r="O1983" s="16"/>
      <c r="P1983" s="16"/>
      <c r="Q1983" s="16"/>
      <c r="R1983" s="16"/>
      <c r="S1983" s="16"/>
      <c r="T1983" s="16"/>
      <c r="U1983" s="16"/>
      <c r="V1983" s="16"/>
      <c r="W1983" s="16"/>
      <c r="X1983" s="16"/>
      <c r="Y1983" s="16"/>
      <c r="Z1983" s="16"/>
      <c r="AA1983" s="16"/>
    </row>
    <row r="1984" spans="1:27" s="2" customFormat="1" ht="14">
      <c r="A1984" s="12">
        <v>1373842</v>
      </c>
      <c r="B1984" s="13" t="s">
        <v>62</v>
      </c>
      <c r="C1984" s="13" t="s">
        <v>5333</v>
      </c>
      <c r="D1984" s="13" t="s">
        <v>5334</v>
      </c>
      <c r="E1984" s="13" t="s">
        <v>3862</v>
      </c>
      <c r="F1984" s="14">
        <v>2916082</v>
      </c>
      <c r="G1984" s="14">
        <v>0</v>
      </c>
      <c r="H1984" s="14">
        <v>0</v>
      </c>
      <c r="I1984" s="14">
        <v>0</v>
      </c>
      <c r="J1984" s="14">
        <f t="shared" si="90"/>
        <v>0</v>
      </c>
      <c r="K1984" s="14">
        <f t="shared" si="91"/>
        <v>0</v>
      </c>
      <c r="L1984" s="17">
        <f t="shared" si="92"/>
        <v>0</v>
      </c>
      <c r="M1984" s="14"/>
      <c r="N1984" s="16"/>
      <c r="O1984" s="16"/>
      <c r="P1984" s="16"/>
      <c r="Q1984" s="16"/>
      <c r="R1984" s="16"/>
      <c r="S1984" s="16"/>
      <c r="T1984" s="16"/>
      <c r="U1984" s="16"/>
      <c r="V1984" s="16"/>
      <c r="W1984" s="16"/>
      <c r="X1984" s="16"/>
      <c r="Y1984" s="16"/>
      <c r="Z1984" s="16"/>
      <c r="AA1984" s="16"/>
    </row>
    <row r="1985" spans="1:27" s="2" customFormat="1" ht="14">
      <c r="A1985" s="12">
        <v>1373951</v>
      </c>
      <c r="B1985" s="13" t="s">
        <v>14</v>
      </c>
      <c r="C1985" s="13" t="s">
        <v>5335</v>
      </c>
      <c r="D1985" s="13" t="s">
        <v>5336</v>
      </c>
      <c r="E1985" s="13" t="s">
        <v>3843</v>
      </c>
      <c r="F1985" s="14"/>
      <c r="G1985" s="14">
        <v>0</v>
      </c>
      <c r="H1985" s="14">
        <v>0</v>
      </c>
      <c r="I1985" s="14">
        <v>0</v>
      </c>
      <c r="J1985" s="14">
        <f t="shared" si="90"/>
        <v>0</v>
      </c>
      <c r="K1985" s="14">
        <f t="shared" si="91"/>
        <v>0</v>
      </c>
      <c r="L1985" s="17">
        <f t="shared" si="92"/>
        <v>0</v>
      </c>
      <c r="M1985" s="14"/>
      <c r="N1985" s="16"/>
      <c r="O1985" s="16"/>
      <c r="P1985" s="16"/>
      <c r="Q1985" s="16"/>
      <c r="R1985" s="16"/>
      <c r="S1985" s="16"/>
      <c r="T1985" s="16"/>
      <c r="U1985" s="16"/>
      <c r="V1985" s="16"/>
      <c r="W1985" s="16"/>
      <c r="X1985" s="16"/>
      <c r="Y1985" s="16"/>
      <c r="Z1985" s="16"/>
      <c r="AA1985" s="16"/>
    </row>
    <row r="1986" spans="1:27" s="2" customFormat="1" ht="14">
      <c r="A1986" s="12">
        <v>1374002</v>
      </c>
      <c r="B1986" s="13" t="s">
        <v>62</v>
      </c>
      <c r="C1986" s="13" t="s">
        <v>5337</v>
      </c>
      <c r="D1986" s="13" t="s">
        <v>5338</v>
      </c>
      <c r="E1986" s="13" t="s">
        <v>3843</v>
      </c>
      <c r="F1986" s="14">
        <v>4921021</v>
      </c>
      <c r="G1986" s="14">
        <v>1</v>
      </c>
      <c r="H1986" s="14">
        <v>0</v>
      </c>
      <c r="I1986" s="14">
        <v>1</v>
      </c>
      <c r="J1986" s="14">
        <f t="shared" ref="J1986:J2020" si="93">IF(G1986&gt;0,1,0)</f>
        <v>1</v>
      </c>
      <c r="K1986" s="14">
        <f t="shared" ref="K1986:K2020" si="94">IF(H1986&gt;0,1,0)</f>
        <v>0</v>
      </c>
      <c r="L1986" s="17">
        <f t="shared" ref="L1986:L2020" si="95">IF(G1986&gt;0,IF(H1986&gt;0,1,0),0)</f>
        <v>0</v>
      </c>
      <c r="M1986" s="14"/>
      <c r="N1986" s="16"/>
      <c r="O1986" s="16"/>
      <c r="P1986" s="16"/>
      <c r="Q1986" s="16"/>
      <c r="R1986" s="16"/>
      <c r="S1986" s="16"/>
      <c r="T1986" s="16"/>
      <c r="U1986" s="16"/>
      <c r="V1986" s="16"/>
      <c r="W1986" s="16"/>
      <c r="X1986" s="16"/>
      <c r="Y1986" s="16"/>
      <c r="Z1986" s="16"/>
      <c r="AA1986" s="16"/>
    </row>
    <row r="1987" spans="1:27" s="2" customFormat="1" ht="14">
      <c r="A1987" s="12">
        <v>1374017</v>
      </c>
      <c r="B1987" s="13" t="s">
        <v>62</v>
      </c>
      <c r="C1987" s="13" t="s">
        <v>5339</v>
      </c>
      <c r="D1987" s="13" t="s">
        <v>5340</v>
      </c>
      <c r="E1987" s="13" t="s">
        <v>3649</v>
      </c>
      <c r="F1987" s="14">
        <v>4947776</v>
      </c>
      <c r="G1987" s="14">
        <v>1</v>
      </c>
      <c r="H1987" s="14">
        <v>0</v>
      </c>
      <c r="I1987" s="14">
        <v>1</v>
      </c>
      <c r="J1987" s="14">
        <f t="shared" si="93"/>
        <v>1</v>
      </c>
      <c r="K1987" s="14">
        <f t="shared" si="94"/>
        <v>0</v>
      </c>
      <c r="L1987" s="17">
        <f t="shared" si="95"/>
        <v>0</v>
      </c>
      <c r="M1987" s="14"/>
      <c r="N1987" s="16"/>
      <c r="O1987" s="16"/>
      <c r="P1987" s="16"/>
      <c r="Q1987" s="16"/>
      <c r="R1987" s="16"/>
      <c r="S1987" s="16"/>
      <c r="T1987" s="16"/>
      <c r="U1987" s="16"/>
      <c r="V1987" s="16"/>
      <c r="W1987" s="16"/>
      <c r="X1987" s="16"/>
      <c r="Y1987" s="16"/>
      <c r="Z1987" s="16"/>
      <c r="AA1987" s="16"/>
    </row>
    <row r="1988" spans="1:27" s="2" customFormat="1" ht="14">
      <c r="A1988" s="12">
        <v>1374058</v>
      </c>
      <c r="B1988" s="13" t="s">
        <v>14</v>
      </c>
      <c r="C1988" s="13" t="s">
        <v>5341</v>
      </c>
      <c r="D1988" s="13" t="s">
        <v>5342</v>
      </c>
      <c r="E1988" s="13" t="s">
        <v>3509</v>
      </c>
      <c r="F1988" s="14">
        <v>4967951</v>
      </c>
      <c r="G1988" s="14">
        <v>0</v>
      </c>
      <c r="H1988" s="14">
        <v>0</v>
      </c>
      <c r="I1988" s="14">
        <v>0</v>
      </c>
      <c r="J1988" s="14">
        <f t="shared" si="93"/>
        <v>0</v>
      </c>
      <c r="K1988" s="14">
        <f t="shared" si="94"/>
        <v>0</v>
      </c>
      <c r="L1988" s="17">
        <f t="shared" si="95"/>
        <v>0</v>
      </c>
      <c r="M1988" s="14"/>
      <c r="N1988" s="16"/>
      <c r="O1988" s="16"/>
      <c r="P1988" s="16"/>
      <c r="Q1988" s="16"/>
      <c r="R1988" s="16"/>
      <c r="S1988" s="16"/>
      <c r="T1988" s="16"/>
      <c r="U1988" s="16"/>
      <c r="V1988" s="16"/>
      <c r="W1988" s="16"/>
      <c r="X1988" s="16"/>
      <c r="Y1988" s="16"/>
      <c r="Z1988" s="16"/>
      <c r="AA1988" s="16"/>
    </row>
    <row r="1989" spans="1:27" s="2" customFormat="1" ht="14">
      <c r="A1989" s="12">
        <v>1374067</v>
      </c>
      <c r="B1989" s="13" t="s">
        <v>14</v>
      </c>
      <c r="C1989" s="13" t="s">
        <v>5343</v>
      </c>
      <c r="D1989" s="13" t="s">
        <v>5344</v>
      </c>
      <c r="E1989" s="13" t="s">
        <v>3703</v>
      </c>
      <c r="F1989" s="14">
        <v>4967965</v>
      </c>
      <c r="G1989" s="14">
        <v>0</v>
      </c>
      <c r="H1989" s="14">
        <v>0</v>
      </c>
      <c r="I1989" s="14">
        <v>0</v>
      </c>
      <c r="J1989" s="14">
        <f t="shared" si="93"/>
        <v>0</v>
      </c>
      <c r="K1989" s="14">
        <f t="shared" si="94"/>
        <v>0</v>
      </c>
      <c r="L1989" s="17">
        <f t="shared" si="95"/>
        <v>0</v>
      </c>
      <c r="M1989" s="14"/>
      <c r="N1989" s="16"/>
      <c r="O1989" s="16"/>
      <c r="P1989" s="16"/>
      <c r="Q1989" s="16"/>
      <c r="R1989" s="16"/>
      <c r="S1989" s="16"/>
      <c r="T1989" s="16"/>
      <c r="U1989" s="16"/>
      <c r="V1989" s="16"/>
      <c r="W1989" s="16"/>
      <c r="X1989" s="16"/>
      <c r="Y1989" s="16"/>
      <c r="Z1989" s="16"/>
      <c r="AA1989" s="16"/>
    </row>
    <row r="1990" spans="1:27" s="2" customFormat="1" ht="14">
      <c r="A1990" s="12">
        <v>1374694</v>
      </c>
      <c r="B1990" s="13" t="s">
        <v>14</v>
      </c>
      <c r="C1990" s="13" t="s">
        <v>5345</v>
      </c>
      <c r="D1990" s="13" t="s">
        <v>5346</v>
      </c>
      <c r="E1990" s="13" t="s">
        <v>4453</v>
      </c>
      <c r="F1990" s="14"/>
      <c r="G1990" s="14">
        <v>0</v>
      </c>
      <c r="H1990" s="14">
        <v>0</v>
      </c>
      <c r="I1990" s="14">
        <v>0</v>
      </c>
      <c r="J1990" s="14">
        <f t="shared" si="93"/>
        <v>0</v>
      </c>
      <c r="K1990" s="14">
        <f t="shared" si="94"/>
        <v>0</v>
      </c>
      <c r="L1990" s="17">
        <f t="shared" si="95"/>
        <v>0</v>
      </c>
      <c r="M1990" s="14"/>
      <c r="N1990" s="16"/>
      <c r="O1990" s="16"/>
      <c r="P1990" s="16"/>
      <c r="Q1990" s="16"/>
      <c r="R1990" s="16"/>
      <c r="S1990" s="16"/>
      <c r="T1990" s="16"/>
      <c r="U1990" s="16"/>
      <c r="V1990" s="16"/>
      <c r="W1990" s="16"/>
      <c r="X1990" s="16"/>
      <c r="Y1990" s="16"/>
      <c r="Z1990" s="16"/>
      <c r="AA1990" s="16"/>
    </row>
    <row r="1991" spans="1:27" s="2" customFormat="1" ht="14">
      <c r="A1991" s="12">
        <v>1374840</v>
      </c>
      <c r="B1991" s="13" t="s">
        <v>14</v>
      </c>
      <c r="C1991" s="13" t="s">
        <v>5347</v>
      </c>
      <c r="D1991" s="13" t="s">
        <v>5348</v>
      </c>
      <c r="E1991" s="13" t="s">
        <v>3324</v>
      </c>
      <c r="F1991" s="14"/>
      <c r="G1991" s="14">
        <v>0</v>
      </c>
      <c r="H1991" s="14">
        <v>0</v>
      </c>
      <c r="I1991" s="14">
        <v>0</v>
      </c>
      <c r="J1991" s="14">
        <f t="shared" si="93"/>
        <v>0</v>
      </c>
      <c r="K1991" s="14">
        <f t="shared" si="94"/>
        <v>0</v>
      </c>
      <c r="L1991" s="17">
        <f t="shared" si="95"/>
        <v>0</v>
      </c>
      <c r="M1991" s="14"/>
      <c r="N1991" s="16"/>
      <c r="O1991" s="16"/>
      <c r="P1991" s="16"/>
      <c r="Q1991" s="16"/>
      <c r="R1991" s="16"/>
      <c r="S1991" s="16"/>
      <c r="T1991" s="16"/>
      <c r="U1991" s="16"/>
      <c r="V1991" s="16"/>
      <c r="W1991" s="16"/>
      <c r="X1991" s="16"/>
      <c r="Y1991" s="16"/>
      <c r="Z1991" s="16"/>
      <c r="AA1991" s="16"/>
    </row>
    <row r="1992" spans="1:27" s="2" customFormat="1" ht="14">
      <c r="A1992" s="12">
        <v>1374877</v>
      </c>
      <c r="B1992" s="13" t="s">
        <v>14</v>
      </c>
      <c r="C1992" s="13" t="s">
        <v>5349</v>
      </c>
      <c r="D1992" s="13" t="s">
        <v>5350</v>
      </c>
      <c r="E1992" s="13" t="s">
        <v>3848</v>
      </c>
      <c r="F1992" s="14"/>
      <c r="G1992" s="14">
        <v>0</v>
      </c>
      <c r="H1992" s="14">
        <v>0</v>
      </c>
      <c r="I1992" s="14">
        <v>0</v>
      </c>
      <c r="J1992" s="14">
        <f t="shared" si="93"/>
        <v>0</v>
      </c>
      <c r="K1992" s="14">
        <f t="shared" si="94"/>
        <v>0</v>
      </c>
      <c r="L1992" s="17">
        <f t="shared" si="95"/>
        <v>0</v>
      </c>
      <c r="M1992" s="14"/>
      <c r="N1992" s="16"/>
      <c r="O1992" s="16"/>
      <c r="P1992" s="16"/>
      <c r="Q1992" s="16"/>
      <c r="R1992" s="16"/>
      <c r="S1992" s="16"/>
      <c r="T1992" s="16"/>
      <c r="U1992" s="16"/>
      <c r="V1992" s="16"/>
      <c r="W1992" s="16"/>
      <c r="X1992" s="16"/>
      <c r="Y1992" s="16"/>
      <c r="Z1992" s="16"/>
      <c r="AA1992" s="16"/>
    </row>
    <row r="1993" spans="1:27" s="2" customFormat="1" ht="14">
      <c r="A1993" s="12">
        <v>1375203</v>
      </c>
      <c r="B1993" s="13" t="s">
        <v>14</v>
      </c>
      <c r="C1993" s="13" t="s">
        <v>5351</v>
      </c>
      <c r="D1993" s="13" t="s">
        <v>5352</v>
      </c>
      <c r="E1993" s="13" t="s">
        <v>2585</v>
      </c>
      <c r="F1993" s="14"/>
      <c r="G1993" s="14">
        <v>0</v>
      </c>
      <c r="H1993" s="14">
        <v>0</v>
      </c>
      <c r="I1993" s="14">
        <v>0</v>
      </c>
      <c r="J1993" s="14">
        <f t="shared" si="93"/>
        <v>0</v>
      </c>
      <c r="K1993" s="14">
        <f t="shared" si="94"/>
        <v>0</v>
      </c>
      <c r="L1993" s="17">
        <f t="shared" si="95"/>
        <v>0</v>
      </c>
      <c r="M1993" s="14"/>
      <c r="N1993" s="16"/>
      <c r="O1993" s="16"/>
      <c r="P1993" s="16"/>
      <c r="Q1993" s="16"/>
      <c r="R1993" s="16"/>
      <c r="S1993" s="16"/>
      <c r="T1993" s="16"/>
      <c r="U1993" s="16"/>
      <c r="V1993" s="16"/>
      <c r="W1993" s="16"/>
      <c r="X1993" s="16"/>
      <c r="Y1993" s="16"/>
      <c r="Z1993" s="16"/>
      <c r="AA1993" s="16"/>
    </row>
    <row r="1994" spans="1:27" s="2" customFormat="1" ht="14">
      <c r="A1994" s="12">
        <v>1375402</v>
      </c>
      <c r="B1994" s="13" t="s">
        <v>14</v>
      </c>
      <c r="C1994" s="13" t="s">
        <v>5353</v>
      </c>
      <c r="D1994" s="13" t="s">
        <v>5354</v>
      </c>
      <c r="E1994" s="13" t="s">
        <v>3402</v>
      </c>
      <c r="F1994" s="14">
        <v>5906851</v>
      </c>
      <c r="G1994" s="14">
        <v>0</v>
      </c>
      <c r="H1994" s="14">
        <v>0</v>
      </c>
      <c r="I1994" s="14">
        <v>0</v>
      </c>
      <c r="J1994" s="14">
        <f t="shared" si="93"/>
        <v>0</v>
      </c>
      <c r="K1994" s="14">
        <f t="shared" si="94"/>
        <v>0</v>
      </c>
      <c r="L1994" s="17">
        <f t="shared" si="95"/>
        <v>0</v>
      </c>
      <c r="M1994" s="14"/>
      <c r="N1994" s="16"/>
      <c r="O1994" s="16"/>
      <c r="P1994" s="16"/>
      <c r="Q1994" s="16"/>
      <c r="R1994" s="16"/>
      <c r="S1994" s="16"/>
      <c r="T1994" s="16"/>
      <c r="U1994" s="16"/>
      <c r="V1994" s="16"/>
      <c r="W1994" s="16"/>
      <c r="X1994" s="16"/>
      <c r="Y1994" s="16"/>
      <c r="Z1994" s="16"/>
      <c r="AA1994" s="16"/>
    </row>
    <row r="1995" spans="1:27" s="2" customFormat="1" ht="14">
      <c r="A1995" s="12">
        <v>1375606</v>
      </c>
      <c r="B1995" s="13" t="s">
        <v>14</v>
      </c>
      <c r="C1995" s="13" t="s">
        <v>5355</v>
      </c>
      <c r="D1995" s="13" t="s">
        <v>5356</v>
      </c>
      <c r="E1995" s="13" t="s">
        <v>3703</v>
      </c>
      <c r="F1995" s="14">
        <v>4971963</v>
      </c>
      <c r="G1995" s="14">
        <v>0</v>
      </c>
      <c r="H1995" s="14">
        <v>0</v>
      </c>
      <c r="I1995" s="14">
        <v>0</v>
      </c>
      <c r="J1995" s="14">
        <f t="shared" si="93"/>
        <v>0</v>
      </c>
      <c r="K1995" s="14">
        <f t="shared" si="94"/>
        <v>0</v>
      </c>
      <c r="L1995" s="17">
        <f t="shared" si="95"/>
        <v>0</v>
      </c>
      <c r="M1995" s="14"/>
      <c r="N1995" s="16"/>
      <c r="O1995" s="16"/>
      <c r="P1995" s="16"/>
      <c r="Q1995" s="16"/>
      <c r="R1995" s="16"/>
      <c r="S1995" s="16"/>
      <c r="T1995" s="16"/>
      <c r="U1995" s="16"/>
      <c r="V1995" s="16"/>
      <c r="W1995" s="16"/>
      <c r="X1995" s="16"/>
      <c r="Y1995" s="16"/>
      <c r="Z1995" s="16"/>
      <c r="AA1995" s="16"/>
    </row>
    <row r="1996" spans="1:27" s="2" customFormat="1" ht="14">
      <c r="A1996" s="12" t="s">
        <v>5357</v>
      </c>
      <c r="B1996" s="13" t="s">
        <v>14</v>
      </c>
      <c r="C1996" s="13" t="s">
        <v>5358</v>
      </c>
      <c r="D1996" s="13" t="s">
        <v>5359</v>
      </c>
      <c r="E1996" s="13" t="s">
        <v>29</v>
      </c>
      <c r="F1996" s="14">
        <v>3960102</v>
      </c>
      <c r="G1996" s="14">
        <v>0</v>
      </c>
      <c r="H1996" s="14">
        <v>0</v>
      </c>
      <c r="I1996" s="14">
        <v>0</v>
      </c>
      <c r="J1996" s="14">
        <f t="shared" si="93"/>
        <v>0</v>
      </c>
      <c r="K1996" s="14">
        <f t="shared" si="94"/>
        <v>0</v>
      </c>
      <c r="L1996" s="17">
        <f t="shared" si="95"/>
        <v>0</v>
      </c>
      <c r="M1996" s="14"/>
      <c r="N1996" s="16"/>
      <c r="O1996" s="16"/>
      <c r="P1996" s="16"/>
      <c r="Q1996" s="16"/>
      <c r="R1996" s="16"/>
      <c r="S1996" s="16"/>
      <c r="T1996" s="16"/>
      <c r="U1996" s="16"/>
      <c r="V1996" s="16"/>
      <c r="W1996" s="16"/>
      <c r="X1996" s="16"/>
      <c r="Y1996" s="16"/>
      <c r="Z1996" s="16"/>
      <c r="AA1996" s="16"/>
    </row>
    <row r="1997" spans="1:27" s="2" customFormat="1" ht="14">
      <c r="A1997" s="12">
        <v>1375615</v>
      </c>
      <c r="B1997" s="13" t="s">
        <v>62</v>
      </c>
      <c r="C1997" s="13" t="s">
        <v>5360</v>
      </c>
      <c r="D1997" s="13" t="s">
        <v>5361</v>
      </c>
      <c r="E1997" s="13" t="s">
        <v>3576</v>
      </c>
      <c r="F1997" s="14">
        <v>4963395</v>
      </c>
      <c r="G1997" s="14">
        <v>0</v>
      </c>
      <c r="H1997" s="14">
        <v>1</v>
      </c>
      <c r="I1997" s="14">
        <v>1</v>
      </c>
      <c r="J1997" s="14">
        <f t="shared" si="93"/>
        <v>0</v>
      </c>
      <c r="K1997" s="14">
        <f t="shared" si="94"/>
        <v>1</v>
      </c>
      <c r="L1997" s="17">
        <f t="shared" si="95"/>
        <v>0</v>
      </c>
      <c r="M1997" s="14" t="s">
        <v>5362</v>
      </c>
      <c r="N1997" s="16"/>
      <c r="O1997" s="16"/>
      <c r="P1997" s="16"/>
      <c r="Q1997" s="16"/>
      <c r="R1997" s="16"/>
      <c r="S1997" s="16"/>
      <c r="T1997" s="16"/>
      <c r="U1997" s="16"/>
      <c r="V1997" s="16"/>
      <c r="W1997" s="16"/>
      <c r="X1997" s="16"/>
      <c r="Y1997" s="16"/>
      <c r="Z1997" s="16"/>
      <c r="AA1997" s="16"/>
    </row>
    <row r="1998" spans="1:27" s="2" customFormat="1" ht="14">
      <c r="A1998" s="12">
        <v>1375638</v>
      </c>
      <c r="B1998" s="13" t="s">
        <v>62</v>
      </c>
      <c r="C1998" s="13" t="s">
        <v>5363</v>
      </c>
      <c r="D1998" s="13" t="s">
        <v>5364</v>
      </c>
      <c r="E1998" s="13" t="s">
        <v>3632</v>
      </c>
      <c r="F1998" s="14"/>
      <c r="G1998" s="14">
        <v>0</v>
      </c>
      <c r="H1998" s="14">
        <v>0</v>
      </c>
      <c r="I1998" s="14">
        <v>0</v>
      </c>
      <c r="J1998" s="14">
        <f t="shared" si="93"/>
        <v>0</v>
      </c>
      <c r="K1998" s="14">
        <f t="shared" si="94"/>
        <v>0</v>
      </c>
      <c r="L1998" s="17">
        <f t="shared" si="95"/>
        <v>0</v>
      </c>
      <c r="M1998" s="14"/>
      <c r="N1998" s="16"/>
      <c r="O1998" s="16"/>
      <c r="P1998" s="16"/>
      <c r="Q1998" s="16"/>
      <c r="R1998" s="16"/>
      <c r="S1998" s="16"/>
      <c r="T1998" s="16"/>
      <c r="U1998" s="16"/>
      <c r="V1998" s="16"/>
      <c r="W1998" s="16"/>
      <c r="X1998" s="16"/>
      <c r="Y1998" s="16"/>
      <c r="Z1998" s="16"/>
      <c r="AA1998" s="16"/>
    </row>
    <row r="1999" spans="1:27" s="2" customFormat="1" ht="14">
      <c r="A1999" s="12">
        <v>1375647</v>
      </c>
      <c r="B1999" s="13" t="s">
        <v>62</v>
      </c>
      <c r="C1999" s="13" t="s">
        <v>5365</v>
      </c>
      <c r="D1999" s="13" t="s">
        <v>5366</v>
      </c>
      <c r="E1999" s="13" t="s">
        <v>3606</v>
      </c>
      <c r="F1999" s="14"/>
      <c r="G1999" s="14">
        <v>0</v>
      </c>
      <c r="H1999" s="14">
        <v>0</v>
      </c>
      <c r="I1999" s="14">
        <v>0</v>
      </c>
      <c r="J1999" s="14">
        <f t="shared" si="93"/>
        <v>0</v>
      </c>
      <c r="K1999" s="14">
        <f t="shared" si="94"/>
        <v>0</v>
      </c>
      <c r="L1999" s="17">
        <f t="shared" si="95"/>
        <v>0</v>
      </c>
      <c r="M1999" s="14"/>
      <c r="N1999" s="16"/>
      <c r="O1999" s="16"/>
      <c r="P1999" s="16"/>
      <c r="Q1999" s="16"/>
      <c r="R1999" s="16"/>
      <c r="S1999" s="16"/>
      <c r="T1999" s="16"/>
      <c r="U1999" s="16"/>
      <c r="V1999" s="16"/>
      <c r="W1999" s="16"/>
      <c r="X1999" s="16"/>
      <c r="Y1999" s="16"/>
      <c r="Z1999" s="16"/>
      <c r="AA1999" s="16"/>
    </row>
    <row r="2000" spans="1:27" s="2" customFormat="1" ht="14">
      <c r="A2000" s="12">
        <v>1376125</v>
      </c>
      <c r="B2000" s="13" t="s">
        <v>14</v>
      </c>
      <c r="C2000" s="13" t="s">
        <v>5367</v>
      </c>
      <c r="D2000" s="13" t="s">
        <v>5368</v>
      </c>
      <c r="E2000" s="13" t="s">
        <v>3509</v>
      </c>
      <c r="F2000" s="14">
        <v>3956675</v>
      </c>
      <c r="G2000" s="14">
        <v>0</v>
      </c>
      <c r="H2000" s="14">
        <v>0</v>
      </c>
      <c r="I2000" s="14">
        <v>0</v>
      </c>
      <c r="J2000" s="14">
        <f t="shared" si="93"/>
        <v>0</v>
      </c>
      <c r="K2000" s="14">
        <f t="shared" si="94"/>
        <v>0</v>
      </c>
      <c r="L2000" s="17">
        <f t="shared" si="95"/>
        <v>0</v>
      </c>
      <c r="M2000" s="14"/>
      <c r="N2000" s="16"/>
      <c r="O2000" s="16"/>
      <c r="P2000" s="16"/>
      <c r="Q2000" s="16"/>
      <c r="R2000" s="16"/>
      <c r="S2000" s="16"/>
      <c r="T2000" s="16"/>
      <c r="U2000" s="16"/>
      <c r="V2000" s="16"/>
      <c r="W2000" s="16"/>
      <c r="X2000" s="16"/>
      <c r="Y2000" s="16"/>
      <c r="Z2000" s="16"/>
      <c r="AA2000" s="16"/>
    </row>
    <row r="2001" spans="1:27" s="2" customFormat="1" ht="14">
      <c r="A2001" s="12">
        <v>1376169</v>
      </c>
      <c r="B2001" s="13" t="s">
        <v>14</v>
      </c>
      <c r="C2001" s="13" t="s">
        <v>5369</v>
      </c>
      <c r="D2001" s="13" t="s">
        <v>5370</v>
      </c>
      <c r="E2001" s="13" t="s">
        <v>3512</v>
      </c>
      <c r="F2001" s="14">
        <v>4973017</v>
      </c>
      <c r="G2001" s="14">
        <v>0</v>
      </c>
      <c r="H2001" s="14">
        <v>0</v>
      </c>
      <c r="I2001" s="14">
        <v>0</v>
      </c>
      <c r="J2001" s="14">
        <f t="shared" si="93"/>
        <v>0</v>
      </c>
      <c r="K2001" s="14">
        <f t="shared" si="94"/>
        <v>0</v>
      </c>
      <c r="L2001" s="17">
        <f t="shared" si="95"/>
        <v>0</v>
      </c>
      <c r="M2001" s="14"/>
      <c r="N2001" s="16"/>
      <c r="O2001" s="16"/>
      <c r="P2001" s="16"/>
      <c r="Q2001" s="16"/>
      <c r="R2001" s="16"/>
      <c r="S2001" s="16"/>
      <c r="T2001" s="16"/>
      <c r="U2001" s="16"/>
      <c r="V2001" s="16"/>
      <c r="W2001" s="16"/>
      <c r="X2001" s="16"/>
      <c r="Y2001" s="16"/>
      <c r="Z2001" s="16"/>
      <c r="AA2001" s="16"/>
    </row>
    <row r="2002" spans="1:27" s="2" customFormat="1" ht="14">
      <c r="A2002" s="12">
        <v>1376202</v>
      </c>
      <c r="B2002" s="13" t="s">
        <v>62</v>
      </c>
      <c r="C2002" s="13" t="s">
        <v>5371</v>
      </c>
      <c r="D2002" s="13" t="s">
        <v>5372</v>
      </c>
      <c r="E2002" s="13" t="s">
        <v>3465</v>
      </c>
      <c r="F2002" s="14">
        <v>4972983</v>
      </c>
      <c r="G2002" s="14">
        <v>0</v>
      </c>
      <c r="H2002" s="14">
        <v>0</v>
      </c>
      <c r="I2002" s="14">
        <v>0</v>
      </c>
      <c r="J2002" s="14">
        <f t="shared" si="93"/>
        <v>0</v>
      </c>
      <c r="K2002" s="14">
        <f t="shared" si="94"/>
        <v>0</v>
      </c>
      <c r="L2002" s="17">
        <f t="shared" si="95"/>
        <v>0</v>
      </c>
      <c r="M2002" s="14"/>
      <c r="N2002" s="16"/>
      <c r="O2002" s="16"/>
      <c r="P2002" s="16"/>
      <c r="Q2002" s="16"/>
      <c r="R2002" s="16"/>
      <c r="S2002" s="16"/>
      <c r="T2002" s="16"/>
      <c r="U2002" s="16"/>
      <c r="V2002" s="16"/>
      <c r="W2002" s="16"/>
      <c r="X2002" s="16"/>
      <c r="Y2002" s="16"/>
      <c r="Z2002" s="16"/>
      <c r="AA2002" s="16"/>
    </row>
    <row r="2003" spans="1:27" s="2" customFormat="1" ht="14">
      <c r="A2003" s="12">
        <v>1376564</v>
      </c>
      <c r="B2003" s="13" t="s">
        <v>14</v>
      </c>
      <c r="C2003" s="13" t="s">
        <v>5373</v>
      </c>
      <c r="D2003" s="13" t="s">
        <v>5374</v>
      </c>
      <c r="E2003" s="13" t="s">
        <v>3576</v>
      </c>
      <c r="F2003" s="14">
        <v>4963090</v>
      </c>
      <c r="G2003" s="14">
        <v>1</v>
      </c>
      <c r="H2003" s="14">
        <v>0</v>
      </c>
      <c r="I2003" s="14">
        <v>1</v>
      </c>
      <c r="J2003" s="14">
        <f t="shared" si="93"/>
        <v>1</v>
      </c>
      <c r="K2003" s="14">
        <f t="shared" si="94"/>
        <v>0</v>
      </c>
      <c r="L2003" s="17">
        <f t="shared" si="95"/>
        <v>0</v>
      </c>
      <c r="M2003" s="14"/>
      <c r="N2003" s="16"/>
      <c r="O2003" s="16"/>
      <c r="P2003" s="16"/>
      <c r="Q2003" s="16"/>
      <c r="R2003" s="16"/>
      <c r="S2003" s="16"/>
      <c r="T2003" s="16"/>
      <c r="U2003" s="16"/>
      <c r="V2003" s="16"/>
      <c r="W2003" s="16"/>
      <c r="X2003" s="16"/>
      <c r="Y2003" s="16"/>
      <c r="Z2003" s="16"/>
      <c r="AA2003" s="16"/>
    </row>
    <row r="2004" spans="1:27" s="2" customFormat="1" ht="14">
      <c r="A2004" s="12">
        <v>1377262</v>
      </c>
      <c r="B2004" s="13" t="s">
        <v>14</v>
      </c>
      <c r="C2004" s="13" t="s">
        <v>5375</v>
      </c>
      <c r="D2004" s="13" t="s">
        <v>5376</v>
      </c>
      <c r="E2004" s="13" t="s">
        <v>2585</v>
      </c>
      <c r="F2004" s="14">
        <v>4975744</v>
      </c>
      <c r="G2004" s="14">
        <v>0</v>
      </c>
      <c r="H2004" s="14">
        <v>0</v>
      </c>
      <c r="I2004" s="14">
        <v>0</v>
      </c>
      <c r="J2004" s="14">
        <f t="shared" si="93"/>
        <v>0</v>
      </c>
      <c r="K2004" s="14">
        <f t="shared" si="94"/>
        <v>0</v>
      </c>
      <c r="L2004" s="17">
        <f t="shared" si="95"/>
        <v>0</v>
      </c>
      <c r="M2004" s="14"/>
      <c r="N2004" s="16"/>
      <c r="O2004" s="16"/>
      <c r="P2004" s="16"/>
      <c r="Q2004" s="16"/>
      <c r="R2004" s="16"/>
      <c r="S2004" s="16"/>
      <c r="T2004" s="16"/>
      <c r="U2004" s="16"/>
      <c r="V2004" s="16"/>
      <c r="W2004" s="16"/>
      <c r="X2004" s="16"/>
      <c r="Y2004" s="16"/>
      <c r="Z2004" s="16"/>
      <c r="AA2004" s="16"/>
    </row>
    <row r="2005" spans="1:27" s="2" customFormat="1" ht="14">
      <c r="A2005" s="12">
        <v>1377288</v>
      </c>
      <c r="B2005" s="13" t="s">
        <v>14</v>
      </c>
      <c r="C2005" s="13" t="s">
        <v>5377</v>
      </c>
      <c r="D2005" s="13" t="s">
        <v>5378</v>
      </c>
      <c r="E2005" s="13" t="s">
        <v>29</v>
      </c>
      <c r="F2005" s="14">
        <v>3161733</v>
      </c>
      <c r="G2005" s="14">
        <v>1</v>
      </c>
      <c r="H2005" s="14">
        <v>1</v>
      </c>
      <c r="I2005" s="14">
        <v>1</v>
      </c>
      <c r="J2005" s="14">
        <f t="shared" si="93"/>
        <v>1</v>
      </c>
      <c r="K2005" s="14">
        <f t="shared" si="94"/>
        <v>1</v>
      </c>
      <c r="L2005" s="17">
        <f t="shared" si="95"/>
        <v>1</v>
      </c>
      <c r="M2005" s="14"/>
      <c r="N2005" s="16"/>
      <c r="O2005" s="16"/>
      <c r="P2005" s="16"/>
      <c r="Q2005" s="16"/>
      <c r="R2005" s="16"/>
      <c r="S2005" s="16"/>
      <c r="T2005" s="16"/>
      <c r="U2005" s="16"/>
      <c r="V2005" s="16"/>
      <c r="W2005" s="16"/>
      <c r="X2005" s="16"/>
      <c r="Y2005" s="16"/>
      <c r="Z2005" s="16"/>
      <c r="AA2005" s="16"/>
    </row>
    <row r="2006" spans="1:27" s="2" customFormat="1" ht="14">
      <c r="A2006" s="12">
        <v>1377310</v>
      </c>
      <c r="B2006" s="13" t="s">
        <v>14</v>
      </c>
      <c r="C2006" s="13" t="s">
        <v>5379</v>
      </c>
      <c r="D2006" s="13" t="s">
        <v>5380</v>
      </c>
      <c r="E2006" s="13" t="s">
        <v>3533</v>
      </c>
      <c r="F2006" s="14">
        <v>4975617</v>
      </c>
      <c r="G2006" s="14">
        <v>1</v>
      </c>
      <c r="H2006" s="14">
        <v>0</v>
      </c>
      <c r="I2006" s="14">
        <v>1</v>
      </c>
      <c r="J2006" s="14">
        <f t="shared" si="93"/>
        <v>1</v>
      </c>
      <c r="K2006" s="14">
        <f t="shared" si="94"/>
        <v>0</v>
      </c>
      <c r="L2006" s="17">
        <f t="shared" si="95"/>
        <v>0</v>
      </c>
      <c r="M2006" s="14"/>
      <c r="N2006" s="16"/>
      <c r="O2006" s="16"/>
      <c r="P2006" s="16"/>
      <c r="Q2006" s="16"/>
      <c r="R2006" s="16"/>
      <c r="S2006" s="16"/>
      <c r="T2006" s="16"/>
      <c r="U2006" s="16"/>
      <c r="V2006" s="16"/>
      <c r="W2006" s="16"/>
      <c r="X2006" s="16"/>
      <c r="Y2006" s="16"/>
      <c r="Z2006" s="16"/>
      <c r="AA2006" s="16"/>
    </row>
    <row r="2007" spans="1:27" s="2" customFormat="1" ht="14">
      <c r="A2007" s="12">
        <v>1377331</v>
      </c>
      <c r="B2007" s="13" t="s">
        <v>62</v>
      </c>
      <c r="C2007" s="13" t="s">
        <v>5381</v>
      </c>
      <c r="D2007" s="13" t="s">
        <v>5382</v>
      </c>
      <c r="E2007" s="13" t="s">
        <v>3533</v>
      </c>
      <c r="F2007" s="14">
        <v>4975783</v>
      </c>
      <c r="G2007" s="14">
        <v>0</v>
      </c>
      <c r="H2007" s="14">
        <v>0</v>
      </c>
      <c r="I2007" s="14">
        <v>0</v>
      </c>
      <c r="J2007" s="14">
        <f t="shared" si="93"/>
        <v>0</v>
      </c>
      <c r="K2007" s="14">
        <f t="shared" si="94"/>
        <v>0</v>
      </c>
      <c r="L2007" s="17">
        <f t="shared" si="95"/>
        <v>0</v>
      </c>
      <c r="M2007" s="14"/>
      <c r="N2007" s="16"/>
      <c r="O2007" s="16"/>
      <c r="P2007" s="16"/>
      <c r="Q2007" s="16"/>
      <c r="R2007" s="16"/>
      <c r="S2007" s="16"/>
      <c r="T2007" s="16"/>
      <c r="U2007" s="16"/>
      <c r="V2007" s="16"/>
      <c r="W2007" s="16"/>
      <c r="X2007" s="16"/>
      <c r="Y2007" s="16"/>
      <c r="Z2007" s="16"/>
      <c r="AA2007" s="16"/>
    </row>
    <row r="2008" spans="1:27" s="2" customFormat="1" ht="14">
      <c r="A2008" s="12">
        <v>1377302</v>
      </c>
      <c r="B2008" s="13" t="s">
        <v>14</v>
      </c>
      <c r="C2008" s="13" t="s">
        <v>5383</v>
      </c>
      <c r="D2008" s="13" t="s">
        <v>5384</v>
      </c>
      <c r="E2008" s="13" t="s">
        <v>3682</v>
      </c>
      <c r="F2008" s="14"/>
      <c r="G2008" s="14">
        <v>0</v>
      </c>
      <c r="H2008" s="14">
        <v>0</v>
      </c>
      <c r="I2008" s="14">
        <v>0</v>
      </c>
      <c r="J2008" s="14">
        <f t="shared" si="93"/>
        <v>0</v>
      </c>
      <c r="K2008" s="14">
        <f t="shared" si="94"/>
        <v>0</v>
      </c>
      <c r="L2008" s="17">
        <f t="shared" si="95"/>
        <v>0</v>
      </c>
      <c r="M2008" s="14" t="s">
        <v>5385</v>
      </c>
      <c r="N2008" s="16"/>
      <c r="O2008" s="16"/>
      <c r="P2008" s="16"/>
      <c r="Q2008" s="16"/>
      <c r="R2008" s="16"/>
      <c r="S2008" s="16"/>
      <c r="T2008" s="16"/>
      <c r="U2008" s="16"/>
      <c r="V2008" s="16"/>
      <c r="W2008" s="16"/>
      <c r="X2008" s="16"/>
      <c r="Y2008" s="16"/>
      <c r="Z2008" s="16"/>
      <c r="AA2008" s="16"/>
    </row>
    <row r="2009" spans="1:27" s="2" customFormat="1" ht="14">
      <c r="A2009" s="12">
        <v>1377705</v>
      </c>
      <c r="B2009" s="13" t="s">
        <v>14</v>
      </c>
      <c r="C2009" s="13" t="s">
        <v>5386</v>
      </c>
      <c r="D2009" s="13" t="s">
        <v>5387</v>
      </c>
      <c r="E2009" s="13" t="s">
        <v>3509</v>
      </c>
      <c r="F2009" s="14"/>
      <c r="G2009" s="14">
        <v>0</v>
      </c>
      <c r="H2009" s="14">
        <v>0</v>
      </c>
      <c r="I2009" s="14">
        <v>0</v>
      </c>
      <c r="J2009" s="14">
        <f t="shared" si="93"/>
        <v>0</v>
      </c>
      <c r="K2009" s="14">
        <f t="shared" si="94"/>
        <v>0</v>
      </c>
      <c r="L2009" s="17">
        <f t="shared" si="95"/>
        <v>0</v>
      </c>
      <c r="M2009" s="14"/>
      <c r="N2009" s="16"/>
      <c r="O2009" s="16"/>
      <c r="P2009" s="16"/>
      <c r="Q2009" s="16"/>
      <c r="R2009" s="16"/>
      <c r="S2009" s="16"/>
      <c r="T2009" s="16"/>
      <c r="U2009" s="16"/>
      <c r="V2009" s="16"/>
      <c r="W2009" s="16"/>
      <c r="X2009" s="16"/>
      <c r="Y2009" s="16"/>
      <c r="Z2009" s="16"/>
      <c r="AA2009" s="16"/>
    </row>
    <row r="2010" spans="1:27" s="2" customFormat="1" ht="14">
      <c r="A2010" s="12">
        <v>1377751</v>
      </c>
      <c r="B2010" s="13" t="s">
        <v>14</v>
      </c>
      <c r="C2010" s="13" t="s">
        <v>5388</v>
      </c>
      <c r="D2010" s="13" t="s">
        <v>5389</v>
      </c>
      <c r="E2010" s="13" t="s">
        <v>3327</v>
      </c>
      <c r="F2010" s="14">
        <v>4976869</v>
      </c>
      <c r="G2010" s="14">
        <v>0</v>
      </c>
      <c r="H2010" s="14">
        <v>0</v>
      </c>
      <c r="I2010" s="14">
        <v>0</v>
      </c>
      <c r="J2010" s="14">
        <f t="shared" si="93"/>
        <v>0</v>
      </c>
      <c r="K2010" s="14">
        <f t="shared" si="94"/>
        <v>0</v>
      </c>
      <c r="L2010" s="17">
        <f t="shared" si="95"/>
        <v>0</v>
      </c>
      <c r="M2010" s="14"/>
      <c r="N2010" s="16"/>
      <c r="O2010" s="16"/>
      <c r="P2010" s="16"/>
      <c r="Q2010" s="16"/>
      <c r="R2010" s="16"/>
      <c r="S2010" s="16"/>
      <c r="T2010" s="16"/>
      <c r="U2010" s="16"/>
      <c r="V2010" s="16"/>
      <c r="W2010" s="16"/>
      <c r="X2010" s="16"/>
      <c r="Y2010" s="16"/>
      <c r="Z2010" s="16"/>
      <c r="AA2010" s="16"/>
    </row>
    <row r="2011" spans="1:27" s="2" customFormat="1" ht="14">
      <c r="A2011" s="12">
        <v>1377931</v>
      </c>
      <c r="B2011" s="13" t="s">
        <v>14</v>
      </c>
      <c r="C2011" s="13" t="s">
        <v>5390</v>
      </c>
      <c r="D2011" s="13" t="s">
        <v>5391</v>
      </c>
      <c r="E2011" s="13" t="s">
        <v>3324</v>
      </c>
      <c r="F2011" s="14">
        <v>4977028</v>
      </c>
      <c r="G2011" s="14">
        <v>0</v>
      </c>
      <c r="H2011" s="14">
        <v>0</v>
      </c>
      <c r="I2011" s="14">
        <v>0</v>
      </c>
      <c r="J2011" s="14">
        <f t="shared" si="93"/>
        <v>0</v>
      </c>
      <c r="K2011" s="14">
        <f t="shared" si="94"/>
        <v>0</v>
      </c>
      <c r="L2011" s="17">
        <f t="shared" si="95"/>
        <v>0</v>
      </c>
      <c r="M2011" s="14"/>
      <c r="N2011" s="16"/>
      <c r="O2011" s="16"/>
      <c r="P2011" s="16"/>
      <c r="Q2011" s="16"/>
      <c r="R2011" s="16"/>
      <c r="S2011" s="16"/>
      <c r="T2011" s="16"/>
      <c r="U2011" s="16"/>
      <c r="V2011" s="16"/>
      <c r="W2011" s="16"/>
      <c r="X2011" s="16"/>
      <c r="Y2011" s="16"/>
      <c r="Z2011" s="16"/>
      <c r="AA2011" s="16"/>
    </row>
    <row r="2012" spans="1:27" s="2" customFormat="1" ht="14">
      <c r="A2012" s="12">
        <v>1377964</v>
      </c>
      <c r="B2012" s="13" t="s">
        <v>62</v>
      </c>
      <c r="C2012" s="13" t="s">
        <v>5392</v>
      </c>
      <c r="D2012" s="13" t="s">
        <v>5393</v>
      </c>
      <c r="E2012" s="13" t="s">
        <v>3402</v>
      </c>
      <c r="F2012" s="14">
        <v>4977618</v>
      </c>
      <c r="G2012" s="14">
        <v>0</v>
      </c>
      <c r="H2012" s="14">
        <v>0</v>
      </c>
      <c r="I2012" s="14">
        <v>0</v>
      </c>
      <c r="J2012" s="14">
        <f t="shared" si="93"/>
        <v>0</v>
      </c>
      <c r="K2012" s="14">
        <f t="shared" si="94"/>
        <v>0</v>
      </c>
      <c r="L2012" s="17">
        <f t="shared" si="95"/>
        <v>0</v>
      </c>
      <c r="M2012" s="14"/>
      <c r="N2012" s="16"/>
      <c r="O2012" s="16"/>
      <c r="P2012" s="16"/>
      <c r="Q2012" s="16"/>
      <c r="R2012" s="16"/>
      <c r="S2012" s="16"/>
      <c r="T2012" s="16"/>
      <c r="U2012" s="16"/>
      <c r="V2012" s="16"/>
      <c r="W2012" s="16"/>
      <c r="X2012" s="16"/>
      <c r="Y2012" s="16"/>
      <c r="Z2012" s="16"/>
      <c r="AA2012" s="16"/>
    </row>
    <row r="2013" spans="1:27" s="2" customFormat="1" ht="14">
      <c r="A2013" s="12">
        <v>1377962</v>
      </c>
      <c r="B2013" s="13" t="s">
        <v>62</v>
      </c>
      <c r="C2013" s="13" t="s">
        <v>5394</v>
      </c>
      <c r="D2013" s="13" t="s">
        <v>5395</v>
      </c>
      <c r="E2013" s="13" t="s">
        <v>3706</v>
      </c>
      <c r="F2013" s="14">
        <v>4977691</v>
      </c>
      <c r="G2013" s="14">
        <v>0</v>
      </c>
      <c r="H2013" s="14">
        <v>0</v>
      </c>
      <c r="I2013" s="14">
        <v>0</v>
      </c>
      <c r="J2013" s="14">
        <f t="shared" si="93"/>
        <v>0</v>
      </c>
      <c r="K2013" s="14">
        <f t="shared" si="94"/>
        <v>0</v>
      </c>
      <c r="L2013" s="17">
        <f t="shared" si="95"/>
        <v>0</v>
      </c>
      <c r="M2013" s="14"/>
      <c r="N2013" s="16"/>
      <c r="O2013" s="16"/>
      <c r="P2013" s="16"/>
      <c r="Q2013" s="16"/>
      <c r="R2013" s="16"/>
      <c r="S2013" s="16"/>
      <c r="T2013" s="16"/>
      <c r="U2013" s="16"/>
      <c r="V2013" s="16"/>
      <c r="W2013" s="16"/>
      <c r="X2013" s="16"/>
      <c r="Y2013" s="16"/>
      <c r="Z2013" s="16"/>
      <c r="AA2013" s="16"/>
    </row>
    <row r="2014" spans="1:27" s="2" customFormat="1" ht="14">
      <c r="A2014" s="12">
        <v>1378154</v>
      </c>
      <c r="B2014" s="13" t="s">
        <v>14</v>
      </c>
      <c r="C2014" s="13" t="s">
        <v>5396</v>
      </c>
      <c r="D2014" s="13" t="s">
        <v>5397</v>
      </c>
      <c r="E2014" s="13" t="s">
        <v>3324</v>
      </c>
      <c r="F2014" s="14">
        <v>4977861</v>
      </c>
      <c r="G2014" s="14">
        <v>0</v>
      </c>
      <c r="H2014" s="14">
        <v>0</v>
      </c>
      <c r="I2014" s="14">
        <v>0</v>
      </c>
      <c r="J2014" s="14">
        <f t="shared" si="93"/>
        <v>0</v>
      </c>
      <c r="K2014" s="14">
        <f t="shared" si="94"/>
        <v>0</v>
      </c>
      <c r="L2014" s="17">
        <f t="shared" si="95"/>
        <v>0</v>
      </c>
      <c r="M2014" s="14"/>
      <c r="N2014" s="16"/>
      <c r="O2014" s="16"/>
      <c r="P2014" s="16"/>
      <c r="Q2014" s="16"/>
      <c r="R2014" s="16"/>
      <c r="S2014" s="16"/>
      <c r="T2014" s="16"/>
      <c r="U2014" s="16"/>
      <c r="V2014" s="16"/>
      <c r="W2014" s="16"/>
      <c r="X2014" s="16"/>
      <c r="Y2014" s="16"/>
      <c r="Z2014" s="16"/>
      <c r="AA2014" s="16"/>
    </row>
    <row r="2015" spans="1:27" s="2" customFormat="1" ht="14">
      <c r="A2015" s="12">
        <v>1378165</v>
      </c>
      <c r="B2015" s="13" t="s">
        <v>14</v>
      </c>
      <c r="C2015" s="13" t="s">
        <v>5398</v>
      </c>
      <c r="D2015" s="13" t="s">
        <v>5399</v>
      </c>
      <c r="E2015" s="13" t="s">
        <v>3649</v>
      </c>
      <c r="F2015" s="14">
        <v>3730580</v>
      </c>
      <c r="G2015" s="14">
        <v>1</v>
      </c>
      <c r="H2015" s="14">
        <v>0</v>
      </c>
      <c r="I2015" s="14">
        <v>1</v>
      </c>
      <c r="J2015" s="14">
        <f t="shared" si="93"/>
        <v>1</v>
      </c>
      <c r="K2015" s="14">
        <f t="shared" si="94"/>
        <v>0</v>
      </c>
      <c r="L2015" s="17">
        <f t="shared" si="95"/>
        <v>0</v>
      </c>
      <c r="M2015" s="14"/>
      <c r="N2015" s="16"/>
      <c r="O2015" s="16"/>
      <c r="P2015" s="16"/>
      <c r="Q2015" s="16"/>
      <c r="R2015" s="16"/>
      <c r="S2015" s="16"/>
      <c r="T2015" s="16"/>
      <c r="U2015" s="16"/>
      <c r="V2015" s="16"/>
      <c r="W2015" s="16"/>
      <c r="X2015" s="16"/>
      <c r="Y2015" s="16"/>
      <c r="Z2015" s="16"/>
      <c r="AA2015" s="16"/>
    </row>
    <row r="2016" spans="1:27" s="2" customFormat="1" ht="14">
      <c r="A2016" s="12">
        <v>1378172</v>
      </c>
      <c r="B2016" s="13" t="s">
        <v>62</v>
      </c>
      <c r="C2016" s="13" t="s">
        <v>5400</v>
      </c>
      <c r="D2016" s="13" t="s">
        <v>5401</v>
      </c>
      <c r="E2016" s="13" t="s">
        <v>3632</v>
      </c>
      <c r="F2016" s="14">
        <v>1535174</v>
      </c>
      <c r="G2016" s="14">
        <v>0</v>
      </c>
      <c r="H2016" s="14">
        <v>0</v>
      </c>
      <c r="I2016" s="14">
        <v>0</v>
      </c>
      <c r="J2016" s="14">
        <f t="shared" si="93"/>
        <v>0</v>
      </c>
      <c r="K2016" s="14">
        <f t="shared" si="94"/>
        <v>0</v>
      </c>
      <c r="L2016" s="17">
        <f t="shared" si="95"/>
        <v>0</v>
      </c>
      <c r="M2016" s="14"/>
      <c r="N2016" s="16"/>
      <c r="O2016" s="16"/>
      <c r="P2016" s="16"/>
      <c r="Q2016" s="16"/>
      <c r="R2016" s="16"/>
      <c r="S2016" s="16"/>
      <c r="T2016" s="16"/>
      <c r="U2016" s="16"/>
      <c r="V2016" s="16"/>
      <c r="W2016" s="16"/>
      <c r="X2016" s="16"/>
      <c r="Y2016" s="16"/>
      <c r="Z2016" s="16"/>
      <c r="AA2016" s="16"/>
    </row>
    <row r="2017" spans="1:27" s="2" customFormat="1" ht="14">
      <c r="A2017" s="12">
        <v>1378210</v>
      </c>
      <c r="B2017" s="13" t="s">
        <v>14</v>
      </c>
      <c r="C2017" s="13" t="s">
        <v>5402</v>
      </c>
      <c r="D2017" s="13" t="s">
        <v>5403</v>
      </c>
      <c r="E2017" s="13" t="s">
        <v>46</v>
      </c>
      <c r="F2017" s="14"/>
      <c r="G2017" s="14">
        <v>0</v>
      </c>
      <c r="H2017" s="14">
        <v>0</v>
      </c>
      <c r="I2017" s="14">
        <v>0</v>
      </c>
      <c r="J2017" s="14">
        <f t="shared" si="93"/>
        <v>0</v>
      </c>
      <c r="K2017" s="14">
        <f t="shared" si="94"/>
        <v>0</v>
      </c>
      <c r="L2017" s="17">
        <f t="shared" si="95"/>
        <v>0</v>
      </c>
      <c r="M2017" s="18" t="s">
        <v>5115</v>
      </c>
      <c r="N2017" s="16"/>
      <c r="O2017" s="16"/>
      <c r="P2017" s="16"/>
      <c r="Q2017" s="16"/>
      <c r="R2017" s="16"/>
      <c r="S2017" s="16"/>
      <c r="T2017" s="16"/>
      <c r="U2017" s="16"/>
      <c r="V2017" s="16"/>
      <c r="W2017" s="16"/>
      <c r="X2017" s="16"/>
      <c r="Y2017" s="16"/>
      <c r="Z2017" s="16"/>
      <c r="AA2017" s="16"/>
    </row>
    <row r="2018" spans="1:27" s="2" customFormat="1" ht="14">
      <c r="A2018" s="12">
        <v>1378353</v>
      </c>
      <c r="B2018" s="13" t="s">
        <v>62</v>
      </c>
      <c r="C2018" s="13" t="s">
        <v>5404</v>
      </c>
      <c r="D2018" s="13" t="s">
        <v>5405</v>
      </c>
      <c r="E2018" s="13" t="s">
        <v>3862</v>
      </c>
      <c r="F2018" s="14">
        <v>4978803</v>
      </c>
      <c r="G2018" s="14">
        <v>0</v>
      </c>
      <c r="H2018" s="14">
        <v>0</v>
      </c>
      <c r="I2018" s="14">
        <v>0</v>
      </c>
      <c r="J2018" s="14">
        <f t="shared" si="93"/>
        <v>0</v>
      </c>
      <c r="K2018" s="14">
        <f t="shared" si="94"/>
        <v>0</v>
      </c>
      <c r="L2018" s="17">
        <f t="shared" si="95"/>
        <v>0</v>
      </c>
      <c r="M2018" s="14"/>
      <c r="N2018" s="16"/>
      <c r="O2018" s="16"/>
      <c r="P2018" s="16"/>
      <c r="Q2018" s="16"/>
      <c r="R2018" s="16"/>
      <c r="S2018" s="16"/>
      <c r="T2018" s="16"/>
      <c r="U2018" s="16"/>
      <c r="V2018" s="16"/>
      <c r="W2018" s="16"/>
      <c r="X2018" s="16"/>
      <c r="Y2018" s="16"/>
      <c r="Z2018" s="16"/>
      <c r="AA2018" s="16"/>
    </row>
    <row r="2019" spans="1:27" s="2" customFormat="1" ht="14">
      <c r="A2019" s="12">
        <v>1379012</v>
      </c>
      <c r="B2019" s="13" t="s">
        <v>14</v>
      </c>
      <c r="C2019" s="13" t="s">
        <v>5406</v>
      </c>
      <c r="D2019" s="13" t="s">
        <v>5407</v>
      </c>
      <c r="E2019" s="13" t="s">
        <v>3189</v>
      </c>
      <c r="F2019" s="14">
        <v>2595187</v>
      </c>
      <c r="G2019" s="14">
        <v>1</v>
      </c>
      <c r="H2019" s="14">
        <v>1</v>
      </c>
      <c r="I2019" s="14">
        <v>1</v>
      </c>
      <c r="J2019" s="14">
        <f t="shared" si="93"/>
        <v>1</v>
      </c>
      <c r="K2019" s="14">
        <f t="shared" si="94"/>
        <v>1</v>
      </c>
      <c r="L2019" s="17">
        <f t="shared" si="95"/>
        <v>1</v>
      </c>
      <c r="M2019" s="14"/>
      <c r="N2019" s="16"/>
      <c r="O2019" s="16"/>
      <c r="P2019" s="16"/>
      <c r="Q2019" s="16"/>
      <c r="R2019" s="16"/>
      <c r="S2019" s="16"/>
      <c r="T2019" s="16"/>
      <c r="U2019" s="16"/>
      <c r="V2019" s="16"/>
      <c r="W2019" s="16"/>
      <c r="X2019" s="16"/>
      <c r="Y2019" s="16"/>
      <c r="Z2019" s="16"/>
      <c r="AA2019" s="16"/>
    </row>
    <row r="2020" spans="1:27" s="2" customFormat="1" ht="14">
      <c r="A2020" s="12">
        <v>1379052</v>
      </c>
      <c r="B2020" s="13" t="s">
        <v>62</v>
      </c>
      <c r="C2020" s="13" t="s">
        <v>5408</v>
      </c>
      <c r="D2020" s="13" t="s">
        <v>5409</v>
      </c>
      <c r="E2020" s="13" t="s">
        <v>3632</v>
      </c>
      <c r="F2020" s="14">
        <v>4827903</v>
      </c>
      <c r="G2020" s="14">
        <v>1</v>
      </c>
      <c r="H2020" s="14">
        <v>1</v>
      </c>
      <c r="I2020" s="14">
        <v>1</v>
      </c>
      <c r="J2020" s="14">
        <f t="shared" si="93"/>
        <v>1</v>
      </c>
      <c r="K2020" s="14">
        <f t="shared" si="94"/>
        <v>1</v>
      </c>
      <c r="L2020" s="17">
        <f t="shared" si="95"/>
        <v>1</v>
      </c>
      <c r="M2020" s="14"/>
      <c r="N2020" s="16"/>
      <c r="O2020" s="16"/>
      <c r="P2020" s="16"/>
      <c r="Q2020" s="16"/>
      <c r="R2020" s="16"/>
      <c r="S2020" s="16"/>
      <c r="T2020" s="16"/>
      <c r="U2020" s="16"/>
      <c r="V2020" s="16"/>
      <c r="W2020" s="16"/>
      <c r="X2020" s="16"/>
      <c r="Y2020" s="16"/>
      <c r="Z2020" s="16"/>
      <c r="AA2020" s="16"/>
    </row>
    <row r="2021" spans="1:27" s="2" customFormat="1">
      <c r="A2021" s="12"/>
      <c r="B2021" s="13"/>
      <c r="C2021" s="13"/>
      <c r="D2021" s="13"/>
      <c r="E2021" s="13"/>
      <c r="F2021" s="14"/>
      <c r="G2021" s="14">
        <f t="shared" ref="G2021:L2021" si="96">SUM(G2:G2020)</f>
        <v>29</v>
      </c>
      <c r="H2021" s="14">
        <f t="shared" si="96"/>
        <v>15</v>
      </c>
      <c r="I2021" s="14">
        <f t="shared" si="96"/>
        <v>32</v>
      </c>
      <c r="J2021" s="14">
        <f t="shared" si="96"/>
        <v>29</v>
      </c>
      <c r="K2021" s="14">
        <f t="shared" si="96"/>
        <v>15</v>
      </c>
      <c r="L2021" s="14">
        <f t="shared" si="96"/>
        <v>12</v>
      </c>
      <c r="M2021" s="14">
        <f>'2024.9-'!G68+'2024.9-'!H68+'2020-2024.8'!G4384+'2020-2024.8'!H4384+'2015-2019'!G2021+'2015-2019'!H2021</f>
        <v>4017</v>
      </c>
      <c r="N2021" s="16"/>
      <c r="O2021" s="16"/>
      <c r="P2021" s="16"/>
      <c r="Q2021" s="16"/>
      <c r="R2021" s="16"/>
      <c r="S2021" s="16"/>
      <c r="T2021" s="16"/>
      <c r="U2021" s="16"/>
      <c r="V2021" s="16"/>
      <c r="W2021" s="16"/>
      <c r="X2021" s="16"/>
      <c r="Y2021" s="16"/>
      <c r="Z2021" s="16"/>
      <c r="AA2021" s="16"/>
    </row>
    <row r="2022" spans="1:27" s="2" customFormat="1">
      <c r="A2022" s="12"/>
      <c r="B2022" s="13"/>
      <c r="C2022" s="13"/>
      <c r="D2022" s="13"/>
      <c r="E2022" s="13"/>
      <c r="F2022" s="14"/>
      <c r="G2022" s="36">
        <f>('2020-2024.8'!G4384+'2024.9-'!G68+'2015-2019'!G2021)/30</f>
        <v>88.233333333333334</v>
      </c>
      <c r="H2022" s="36">
        <f>('2020-2024.8'!H4384+'2024.9-'!H68+'2015-2019'!H2021)/30</f>
        <v>45.666666666666664</v>
      </c>
      <c r="I2022" s="36"/>
      <c r="J2022" s="36"/>
      <c r="K2022" s="36"/>
      <c r="L2022" s="36"/>
      <c r="M2022" s="14">
        <f>M2021/60</f>
        <v>66.95</v>
      </c>
      <c r="N2022" s="16"/>
      <c r="O2022" s="16"/>
      <c r="P2022" s="16"/>
      <c r="Q2022" s="16"/>
      <c r="R2022" s="16"/>
      <c r="S2022" s="16"/>
      <c r="T2022" s="16"/>
      <c r="U2022" s="16"/>
      <c r="V2022" s="16"/>
      <c r="W2022" s="16"/>
      <c r="X2022" s="16"/>
      <c r="Y2022" s="16"/>
      <c r="Z2022" s="16"/>
      <c r="AA2022" s="16"/>
    </row>
  </sheetData>
  <autoFilter ref="A1:L2022" xr:uid="{00000000-0009-0000-0000-000000000000}"/>
  <phoneticPr fontId="18" type="noConversion"/>
  <conditionalFormatting sqref="A2021">
    <cfRule type="duplicateValues" dxfId="258" priority="2"/>
  </conditionalFormatting>
  <conditionalFormatting sqref="A2022">
    <cfRule type="duplicateValues" dxfId="257" priority="1"/>
  </conditionalFormatting>
  <conditionalFormatting sqref="A610:A2020">
    <cfRule type="duplicateValues" dxfId="256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M4385"/>
  <sheetViews>
    <sheetView showGridLines="0" zoomScale="120" zoomScaleNormal="120" workbookViewId="0">
      <pane ySplit="1" topLeftCell="A30" activePane="bottomLeft" state="frozen"/>
      <selection pane="bottomLeft" activeCell="B1" sqref="B1:B1048576"/>
    </sheetView>
  </sheetViews>
  <sheetFormatPr baseColWidth="10" defaultColWidth="9.1640625" defaultRowHeight="16"/>
  <cols>
    <col min="1" max="1" width="8.5" style="20" customWidth="1"/>
    <col min="2" max="2" width="5.83203125" style="21" customWidth="1"/>
    <col min="3" max="4" width="16.6640625" style="21" customWidth="1"/>
    <col min="5" max="5" width="5" style="21" customWidth="1"/>
    <col min="6" max="6" width="10.6640625" style="21" customWidth="1"/>
    <col min="7" max="8" width="8.5" style="21" customWidth="1"/>
    <col min="9" max="9" width="7.6640625" style="21" customWidth="1"/>
    <col min="10" max="11" width="10" style="22" customWidth="1"/>
    <col min="12" max="12" width="12.83203125" style="21" customWidth="1"/>
    <col min="13" max="13" width="18.5" style="21" customWidth="1"/>
    <col min="14" max="17" width="9.1640625" style="23"/>
    <col min="18" max="18" width="12.83203125" style="23"/>
    <col min="19" max="16384" width="9.1640625" style="23"/>
  </cols>
  <sheetData>
    <row r="1" spans="1:13" ht="15" customHeight="1">
      <c r="A1" s="24" t="s">
        <v>5410</v>
      </c>
      <c r="B1" s="24" t="s">
        <v>5411</v>
      </c>
      <c r="C1" s="24" t="s">
        <v>5412</v>
      </c>
      <c r="D1" s="24" t="s">
        <v>5413</v>
      </c>
      <c r="E1" s="24" t="s">
        <v>5414</v>
      </c>
      <c r="F1" s="24" t="s">
        <v>5415</v>
      </c>
      <c r="G1" s="24" t="s">
        <v>5416</v>
      </c>
      <c r="H1" s="24" t="s">
        <v>5417</v>
      </c>
      <c r="I1" s="24" t="s">
        <v>5418</v>
      </c>
      <c r="J1" s="28" t="s">
        <v>5419</v>
      </c>
      <c r="K1" s="28" t="s">
        <v>5420</v>
      </c>
      <c r="L1" s="29" t="s">
        <v>5421</v>
      </c>
      <c r="M1" s="29" t="s">
        <v>5422</v>
      </c>
    </row>
    <row r="2" spans="1:13" ht="15" customHeight="1">
      <c r="A2" s="25">
        <v>1379169</v>
      </c>
      <c r="B2" s="26" t="s">
        <v>5423</v>
      </c>
      <c r="C2" s="26" t="s">
        <v>5424</v>
      </c>
      <c r="D2" s="26" t="s">
        <v>5425</v>
      </c>
      <c r="E2" s="26" t="s">
        <v>5426</v>
      </c>
      <c r="F2" s="27">
        <v>4848271</v>
      </c>
      <c r="G2" s="27">
        <v>1</v>
      </c>
      <c r="H2" s="27">
        <v>0</v>
      </c>
      <c r="I2" s="27">
        <v>1</v>
      </c>
      <c r="J2" s="30">
        <f t="shared" ref="J2:J65" si="0">IF(G2&gt;0,1,0)</f>
        <v>1</v>
      </c>
      <c r="K2" s="30">
        <f t="shared" ref="K2:K65" si="1">IF(H2&gt;0,1,0)</f>
        <v>0</v>
      </c>
      <c r="L2" s="26">
        <f t="shared" ref="L2:L65" si="2">IF(G2&gt;0,IF(H2&gt;0,1,0),0)</f>
        <v>0</v>
      </c>
      <c r="M2" s="26"/>
    </row>
    <row r="3" spans="1:13" ht="15" customHeight="1">
      <c r="A3" s="25">
        <v>1379644</v>
      </c>
      <c r="B3" s="26" t="s">
        <v>5427</v>
      </c>
      <c r="C3" s="26" t="s">
        <v>5428</v>
      </c>
      <c r="D3" s="26" t="s">
        <v>5429</v>
      </c>
      <c r="E3" s="26" t="s">
        <v>5430</v>
      </c>
      <c r="F3" s="27">
        <v>4980715</v>
      </c>
      <c r="G3" s="27">
        <v>1</v>
      </c>
      <c r="H3" s="27">
        <v>0</v>
      </c>
      <c r="I3" s="27">
        <v>1</v>
      </c>
      <c r="J3" s="30">
        <f t="shared" si="0"/>
        <v>1</v>
      </c>
      <c r="K3" s="30">
        <f t="shared" si="1"/>
        <v>0</v>
      </c>
      <c r="L3" s="26">
        <f t="shared" si="2"/>
        <v>0</v>
      </c>
      <c r="M3" s="26"/>
    </row>
    <row r="4" spans="1:13" ht="15" customHeight="1">
      <c r="A4" s="25">
        <v>1380037</v>
      </c>
      <c r="B4" s="26" t="s">
        <v>5423</v>
      </c>
      <c r="C4" s="26" t="s">
        <v>5431</v>
      </c>
      <c r="D4" s="26" t="s">
        <v>5432</v>
      </c>
      <c r="E4" s="26" t="s">
        <v>5433</v>
      </c>
      <c r="F4" s="27">
        <v>4981817</v>
      </c>
      <c r="G4" s="27">
        <v>1</v>
      </c>
      <c r="H4" s="27">
        <v>0</v>
      </c>
      <c r="I4" s="27">
        <v>1</v>
      </c>
      <c r="J4" s="30">
        <f t="shared" si="0"/>
        <v>1</v>
      </c>
      <c r="K4" s="30">
        <f t="shared" si="1"/>
        <v>0</v>
      </c>
      <c r="L4" s="26">
        <f t="shared" si="2"/>
        <v>0</v>
      </c>
      <c r="M4" s="26"/>
    </row>
    <row r="5" spans="1:13" ht="15" customHeight="1">
      <c r="A5" s="25">
        <v>1380405</v>
      </c>
      <c r="B5" s="26" t="s">
        <v>5423</v>
      </c>
      <c r="C5" s="26" t="s">
        <v>5434</v>
      </c>
      <c r="D5" s="26" t="s">
        <v>5435</v>
      </c>
      <c r="E5" s="26" t="s">
        <v>5436</v>
      </c>
      <c r="F5" s="27">
        <v>4950245</v>
      </c>
      <c r="G5" s="27">
        <v>1</v>
      </c>
      <c r="H5" s="27">
        <v>1</v>
      </c>
      <c r="I5" s="27">
        <v>1</v>
      </c>
      <c r="J5" s="30">
        <f t="shared" si="0"/>
        <v>1</v>
      </c>
      <c r="K5" s="30">
        <f t="shared" si="1"/>
        <v>1</v>
      </c>
      <c r="L5" s="26">
        <f t="shared" si="2"/>
        <v>1</v>
      </c>
      <c r="M5" s="26"/>
    </row>
    <row r="6" spans="1:13" ht="15" customHeight="1">
      <c r="A6" s="25">
        <v>1380440</v>
      </c>
      <c r="B6" s="26" t="s">
        <v>5423</v>
      </c>
      <c r="C6" s="26" t="s">
        <v>5437</v>
      </c>
      <c r="D6" s="26" t="s">
        <v>5438</v>
      </c>
      <c r="E6" s="26" t="s">
        <v>5439</v>
      </c>
      <c r="F6" s="27">
        <v>4982606</v>
      </c>
      <c r="G6" s="27">
        <v>1</v>
      </c>
      <c r="H6" s="27">
        <v>0</v>
      </c>
      <c r="I6" s="27">
        <v>1</v>
      </c>
      <c r="J6" s="30">
        <f t="shared" si="0"/>
        <v>1</v>
      </c>
      <c r="K6" s="30">
        <f t="shared" si="1"/>
        <v>0</v>
      </c>
      <c r="L6" s="26">
        <f t="shared" si="2"/>
        <v>0</v>
      </c>
      <c r="M6" s="26"/>
    </row>
    <row r="7" spans="1:13" ht="15" customHeight="1">
      <c r="A7" s="25">
        <v>1381666</v>
      </c>
      <c r="B7" s="26" t="s">
        <v>5423</v>
      </c>
      <c r="C7" s="26" t="s">
        <v>5440</v>
      </c>
      <c r="D7" s="26" t="s">
        <v>5441</v>
      </c>
      <c r="E7" s="26" t="s">
        <v>5442</v>
      </c>
      <c r="F7" s="27">
        <v>3490861</v>
      </c>
      <c r="G7" s="27">
        <v>1</v>
      </c>
      <c r="H7" s="27">
        <v>0</v>
      </c>
      <c r="I7" s="27">
        <v>1</v>
      </c>
      <c r="J7" s="30">
        <f t="shared" si="0"/>
        <v>1</v>
      </c>
      <c r="K7" s="30">
        <f t="shared" si="1"/>
        <v>0</v>
      </c>
      <c r="L7" s="26">
        <f t="shared" si="2"/>
        <v>0</v>
      </c>
      <c r="M7" s="26"/>
    </row>
    <row r="8" spans="1:13" ht="15" customHeight="1">
      <c r="A8" s="25">
        <v>1381841</v>
      </c>
      <c r="B8" s="26" t="s">
        <v>5423</v>
      </c>
      <c r="C8" s="26" t="s">
        <v>5443</v>
      </c>
      <c r="D8" s="26" t="s">
        <v>5444</v>
      </c>
      <c r="E8" s="26" t="s">
        <v>5436</v>
      </c>
      <c r="F8" s="27">
        <v>4922991</v>
      </c>
      <c r="G8" s="27">
        <v>1</v>
      </c>
      <c r="H8" s="27">
        <v>1</v>
      </c>
      <c r="I8" s="27">
        <v>1</v>
      </c>
      <c r="J8" s="30">
        <f t="shared" si="0"/>
        <v>1</v>
      </c>
      <c r="K8" s="30">
        <f t="shared" si="1"/>
        <v>1</v>
      </c>
      <c r="L8" s="26">
        <f t="shared" si="2"/>
        <v>1</v>
      </c>
      <c r="M8" s="26"/>
    </row>
    <row r="9" spans="1:13" ht="15" customHeight="1">
      <c r="A9" s="25">
        <v>1382135</v>
      </c>
      <c r="B9" s="26" t="s">
        <v>5423</v>
      </c>
      <c r="C9" s="26" t="s">
        <v>5445</v>
      </c>
      <c r="D9" s="26" t="s">
        <v>5446</v>
      </c>
      <c r="E9" s="26" t="s">
        <v>5447</v>
      </c>
      <c r="F9" s="27">
        <v>4361253</v>
      </c>
      <c r="G9" s="27">
        <v>1</v>
      </c>
      <c r="H9" s="27">
        <v>0</v>
      </c>
      <c r="I9" s="27">
        <v>1</v>
      </c>
      <c r="J9" s="30">
        <f t="shared" si="0"/>
        <v>1</v>
      </c>
      <c r="K9" s="30">
        <f t="shared" si="1"/>
        <v>0</v>
      </c>
      <c r="L9" s="26">
        <f t="shared" si="2"/>
        <v>0</v>
      </c>
      <c r="M9" s="26"/>
    </row>
    <row r="10" spans="1:13" ht="15" customHeight="1">
      <c r="A10" s="25">
        <v>1382242</v>
      </c>
      <c r="B10" s="26" t="s">
        <v>5423</v>
      </c>
      <c r="C10" s="26" t="s">
        <v>5448</v>
      </c>
      <c r="D10" s="26" t="s">
        <v>5449</v>
      </c>
      <c r="E10" s="26" t="s">
        <v>5430</v>
      </c>
      <c r="F10" s="27">
        <v>4909776</v>
      </c>
      <c r="G10" s="27">
        <v>1</v>
      </c>
      <c r="H10" s="27">
        <v>0</v>
      </c>
      <c r="I10" s="27">
        <v>1</v>
      </c>
      <c r="J10" s="30">
        <f t="shared" si="0"/>
        <v>1</v>
      </c>
      <c r="K10" s="30">
        <f t="shared" si="1"/>
        <v>0</v>
      </c>
      <c r="L10" s="26">
        <f t="shared" si="2"/>
        <v>0</v>
      </c>
      <c r="M10" s="26"/>
    </row>
    <row r="11" spans="1:13" ht="15" customHeight="1">
      <c r="A11" s="25">
        <v>1382792</v>
      </c>
      <c r="B11" s="26" t="s">
        <v>5423</v>
      </c>
      <c r="C11" s="26" t="s">
        <v>5450</v>
      </c>
      <c r="D11" s="26" t="s">
        <v>5451</v>
      </c>
      <c r="E11" s="26" t="s">
        <v>5452</v>
      </c>
      <c r="F11" s="27">
        <v>4988237</v>
      </c>
      <c r="G11" s="27">
        <v>1</v>
      </c>
      <c r="H11" s="27">
        <v>1</v>
      </c>
      <c r="I11" s="27">
        <v>1</v>
      </c>
      <c r="J11" s="30">
        <f t="shared" si="0"/>
        <v>1</v>
      </c>
      <c r="K11" s="30">
        <f t="shared" si="1"/>
        <v>1</v>
      </c>
      <c r="L11" s="26">
        <f t="shared" si="2"/>
        <v>1</v>
      </c>
      <c r="M11" s="26"/>
    </row>
    <row r="12" spans="1:13" ht="15" customHeight="1">
      <c r="A12" s="25">
        <v>1382984</v>
      </c>
      <c r="B12" s="26" t="s">
        <v>5423</v>
      </c>
      <c r="C12" s="26" t="s">
        <v>5453</v>
      </c>
      <c r="D12" s="26" t="s">
        <v>5454</v>
      </c>
      <c r="E12" s="26" t="s">
        <v>5455</v>
      </c>
      <c r="F12" s="27">
        <v>4988238</v>
      </c>
      <c r="G12" s="27">
        <v>1</v>
      </c>
      <c r="H12" s="27">
        <v>0</v>
      </c>
      <c r="I12" s="27">
        <v>1</v>
      </c>
      <c r="J12" s="30">
        <f t="shared" si="0"/>
        <v>1</v>
      </c>
      <c r="K12" s="30">
        <f t="shared" si="1"/>
        <v>0</v>
      </c>
      <c r="L12" s="26">
        <f t="shared" si="2"/>
        <v>0</v>
      </c>
      <c r="M12" s="26"/>
    </row>
    <row r="13" spans="1:13" ht="15" customHeight="1">
      <c r="A13" s="25">
        <v>1382986</v>
      </c>
      <c r="B13" s="26" t="s">
        <v>5423</v>
      </c>
      <c r="C13" s="26" t="s">
        <v>5456</v>
      </c>
      <c r="D13" s="26" t="s">
        <v>5457</v>
      </c>
      <c r="E13" s="26" t="s">
        <v>5458</v>
      </c>
      <c r="F13" s="27">
        <v>4988239</v>
      </c>
      <c r="G13" s="27">
        <v>1</v>
      </c>
      <c r="H13" s="27">
        <v>0</v>
      </c>
      <c r="I13" s="27">
        <v>1</v>
      </c>
      <c r="J13" s="30">
        <f t="shared" si="0"/>
        <v>1</v>
      </c>
      <c r="K13" s="30">
        <f t="shared" si="1"/>
        <v>0</v>
      </c>
      <c r="L13" s="26">
        <f t="shared" si="2"/>
        <v>0</v>
      </c>
      <c r="M13" s="26"/>
    </row>
    <row r="14" spans="1:13" ht="15" customHeight="1">
      <c r="A14" s="25">
        <v>1382994</v>
      </c>
      <c r="B14" s="26" t="s">
        <v>5427</v>
      </c>
      <c r="C14" s="26" t="s">
        <v>5459</v>
      </c>
      <c r="D14" s="26" t="s">
        <v>5460</v>
      </c>
      <c r="E14" s="26" t="s">
        <v>5436</v>
      </c>
      <c r="F14" s="27">
        <v>4988240</v>
      </c>
      <c r="G14" s="27">
        <v>1</v>
      </c>
      <c r="H14" s="27">
        <v>0</v>
      </c>
      <c r="I14" s="27">
        <v>1</v>
      </c>
      <c r="J14" s="30">
        <f t="shared" si="0"/>
        <v>1</v>
      </c>
      <c r="K14" s="30">
        <f t="shared" si="1"/>
        <v>0</v>
      </c>
      <c r="L14" s="26">
        <f t="shared" si="2"/>
        <v>0</v>
      </c>
      <c r="M14" s="26"/>
    </row>
    <row r="15" spans="1:13" ht="15" customHeight="1">
      <c r="A15" s="25">
        <v>1383020</v>
      </c>
      <c r="B15" s="26" t="s">
        <v>5427</v>
      </c>
      <c r="C15" s="26" t="s">
        <v>5461</v>
      </c>
      <c r="D15" s="26" t="s">
        <v>5462</v>
      </c>
      <c r="E15" s="26" t="s">
        <v>5463</v>
      </c>
      <c r="F15" s="27">
        <v>4652663</v>
      </c>
      <c r="G15" s="27">
        <v>1</v>
      </c>
      <c r="H15" s="27">
        <v>1</v>
      </c>
      <c r="I15" s="27">
        <v>1</v>
      </c>
      <c r="J15" s="30">
        <f t="shared" si="0"/>
        <v>1</v>
      </c>
      <c r="K15" s="30">
        <f t="shared" si="1"/>
        <v>1</v>
      </c>
      <c r="L15" s="26">
        <f t="shared" si="2"/>
        <v>1</v>
      </c>
      <c r="M15" s="26"/>
    </row>
    <row r="16" spans="1:13" ht="15" customHeight="1">
      <c r="A16" s="25">
        <v>1383032</v>
      </c>
      <c r="B16" s="26" t="s">
        <v>5423</v>
      </c>
      <c r="C16" s="26" t="s">
        <v>5464</v>
      </c>
      <c r="D16" s="26" t="s">
        <v>5465</v>
      </c>
      <c r="E16" s="26" t="s">
        <v>5439</v>
      </c>
      <c r="F16" s="27">
        <v>1178790</v>
      </c>
      <c r="G16" s="27">
        <v>1</v>
      </c>
      <c r="H16" s="27">
        <v>1</v>
      </c>
      <c r="I16" s="27">
        <v>1</v>
      </c>
      <c r="J16" s="30">
        <f t="shared" si="0"/>
        <v>1</v>
      </c>
      <c r="K16" s="30">
        <f t="shared" si="1"/>
        <v>1</v>
      </c>
      <c r="L16" s="26">
        <f t="shared" si="2"/>
        <v>1</v>
      </c>
      <c r="M16" s="26"/>
    </row>
    <row r="17" spans="1:13" ht="15" customHeight="1">
      <c r="A17" s="25">
        <v>1383376</v>
      </c>
      <c r="B17" s="26" t="s">
        <v>5423</v>
      </c>
      <c r="C17" s="26" t="s">
        <v>5466</v>
      </c>
      <c r="D17" s="26" t="s">
        <v>5467</v>
      </c>
      <c r="E17" s="26" t="s">
        <v>5468</v>
      </c>
      <c r="F17" s="27">
        <v>4989562</v>
      </c>
      <c r="G17" s="27">
        <v>0</v>
      </c>
      <c r="H17" s="27">
        <v>1</v>
      </c>
      <c r="I17" s="27">
        <v>1</v>
      </c>
      <c r="J17" s="30">
        <f t="shared" si="0"/>
        <v>0</v>
      </c>
      <c r="K17" s="30">
        <f t="shared" si="1"/>
        <v>1</v>
      </c>
      <c r="L17" s="26">
        <f t="shared" si="2"/>
        <v>0</v>
      </c>
      <c r="M17" s="26"/>
    </row>
    <row r="18" spans="1:13" ht="15" customHeight="1">
      <c r="A18" s="25">
        <v>1383480</v>
      </c>
      <c r="B18" s="26" t="s">
        <v>5427</v>
      </c>
      <c r="C18" s="26" t="s">
        <v>5469</v>
      </c>
      <c r="D18" s="26" t="s">
        <v>5470</v>
      </c>
      <c r="E18" s="26" t="s">
        <v>5463</v>
      </c>
      <c r="F18" s="27">
        <v>4989339</v>
      </c>
      <c r="G18" s="27">
        <v>1</v>
      </c>
      <c r="H18" s="27">
        <v>0</v>
      </c>
      <c r="I18" s="27">
        <v>1</v>
      </c>
      <c r="J18" s="30">
        <f t="shared" si="0"/>
        <v>1</v>
      </c>
      <c r="K18" s="30">
        <f t="shared" si="1"/>
        <v>0</v>
      </c>
      <c r="L18" s="26">
        <f t="shared" si="2"/>
        <v>0</v>
      </c>
      <c r="M18" s="26"/>
    </row>
    <row r="19" spans="1:13" ht="15" customHeight="1">
      <c r="A19" s="25">
        <v>1383936</v>
      </c>
      <c r="B19" s="26" t="s">
        <v>5423</v>
      </c>
      <c r="C19" s="26" t="s">
        <v>5471</v>
      </c>
      <c r="D19" s="26" t="s">
        <v>5472</v>
      </c>
      <c r="E19" s="26" t="s">
        <v>5455</v>
      </c>
      <c r="F19" s="27">
        <v>4552563</v>
      </c>
      <c r="G19" s="27">
        <v>1</v>
      </c>
      <c r="H19" s="27">
        <v>0</v>
      </c>
      <c r="I19" s="27">
        <v>1</v>
      </c>
      <c r="J19" s="30">
        <f t="shared" si="0"/>
        <v>1</v>
      </c>
      <c r="K19" s="30">
        <f t="shared" si="1"/>
        <v>0</v>
      </c>
      <c r="L19" s="26">
        <f t="shared" si="2"/>
        <v>0</v>
      </c>
      <c r="M19" s="26"/>
    </row>
    <row r="20" spans="1:13" ht="15" customHeight="1">
      <c r="A20" s="25">
        <v>1384271</v>
      </c>
      <c r="B20" s="26" t="s">
        <v>5423</v>
      </c>
      <c r="C20" s="26" t="s">
        <v>5473</v>
      </c>
      <c r="D20" s="26" t="s">
        <v>5474</v>
      </c>
      <c r="E20" s="26" t="s">
        <v>5475</v>
      </c>
      <c r="F20" s="27">
        <v>4991290</v>
      </c>
      <c r="G20" s="27">
        <v>1</v>
      </c>
      <c r="H20" s="27">
        <v>1</v>
      </c>
      <c r="I20" s="27">
        <v>1</v>
      </c>
      <c r="J20" s="30">
        <f t="shared" si="0"/>
        <v>1</v>
      </c>
      <c r="K20" s="30">
        <f t="shared" si="1"/>
        <v>1</v>
      </c>
      <c r="L20" s="26">
        <f t="shared" si="2"/>
        <v>1</v>
      </c>
      <c r="M20" s="26"/>
    </row>
    <row r="21" spans="1:13" ht="15" customHeight="1">
      <c r="A21" s="25">
        <v>1384741</v>
      </c>
      <c r="B21" s="26" t="s">
        <v>5423</v>
      </c>
      <c r="C21" s="26" t="s">
        <v>5476</v>
      </c>
      <c r="D21" s="26" t="s">
        <v>5477</v>
      </c>
      <c r="E21" s="26" t="s">
        <v>5463</v>
      </c>
      <c r="F21" s="27">
        <v>4992077</v>
      </c>
      <c r="G21" s="27">
        <v>1</v>
      </c>
      <c r="H21" s="27">
        <v>0</v>
      </c>
      <c r="I21" s="27">
        <v>1</v>
      </c>
      <c r="J21" s="30">
        <f t="shared" si="0"/>
        <v>1</v>
      </c>
      <c r="K21" s="30">
        <f t="shared" si="1"/>
        <v>0</v>
      </c>
      <c r="L21" s="26">
        <f t="shared" si="2"/>
        <v>0</v>
      </c>
      <c r="M21" s="26"/>
    </row>
    <row r="22" spans="1:13" ht="15" customHeight="1">
      <c r="A22" s="25">
        <v>1384766</v>
      </c>
      <c r="B22" s="26" t="s">
        <v>5423</v>
      </c>
      <c r="C22" s="26" t="s">
        <v>5478</v>
      </c>
      <c r="D22" s="26" t="s">
        <v>5479</v>
      </c>
      <c r="E22" s="26" t="s">
        <v>5480</v>
      </c>
      <c r="F22" s="27">
        <v>4992079</v>
      </c>
      <c r="G22" s="27">
        <v>1</v>
      </c>
      <c r="H22" s="27">
        <v>0</v>
      </c>
      <c r="I22" s="27">
        <v>1</v>
      </c>
      <c r="J22" s="30">
        <f t="shared" si="0"/>
        <v>1</v>
      </c>
      <c r="K22" s="30">
        <f t="shared" si="1"/>
        <v>0</v>
      </c>
      <c r="L22" s="26">
        <f t="shared" si="2"/>
        <v>0</v>
      </c>
      <c r="M22" s="26"/>
    </row>
    <row r="23" spans="1:13" ht="15" customHeight="1">
      <c r="A23" s="25">
        <v>1385455</v>
      </c>
      <c r="B23" s="26" t="s">
        <v>5423</v>
      </c>
      <c r="C23" s="26" t="s">
        <v>5481</v>
      </c>
      <c r="D23" s="26" t="s">
        <v>5482</v>
      </c>
      <c r="E23" s="26" t="s">
        <v>5436</v>
      </c>
      <c r="F23" s="27">
        <v>4981414</v>
      </c>
      <c r="G23" s="27">
        <v>1</v>
      </c>
      <c r="H23" s="27">
        <v>1</v>
      </c>
      <c r="I23" s="27">
        <v>1</v>
      </c>
      <c r="J23" s="30">
        <f t="shared" si="0"/>
        <v>1</v>
      </c>
      <c r="K23" s="30">
        <f t="shared" si="1"/>
        <v>1</v>
      </c>
      <c r="L23" s="26">
        <f t="shared" si="2"/>
        <v>1</v>
      </c>
      <c r="M23" s="26"/>
    </row>
    <row r="24" spans="1:13" ht="15" customHeight="1">
      <c r="A24" s="25">
        <v>1391050</v>
      </c>
      <c r="B24" s="26" t="s">
        <v>5427</v>
      </c>
      <c r="C24" s="26" t="s">
        <v>5483</v>
      </c>
      <c r="D24" s="26" t="s">
        <v>5484</v>
      </c>
      <c r="E24" s="26" t="s">
        <v>5485</v>
      </c>
      <c r="F24" s="27">
        <v>4971913</v>
      </c>
      <c r="G24" s="27">
        <v>1</v>
      </c>
      <c r="H24" s="27">
        <v>1</v>
      </c>
      <c r="I24" s="27">
        <v>1</v>
      </c>
      <c r="J24" s="30">
        <f t="shared" si="0"/>
        <v>1</v>
      </c>
      <c r="K24" s="30">
        <f t="shared" si="1"/>
        <v>1</v>
      </c>
      <c r="L24" s="26">
        <f t="shared" si="2"/>
        <v>1</v>
      </c>
      <c r="M24" s="26"/>
    </row>
    <row r="25" spans="1:13" ht="15" customHeight="1">
      <c r="A25" s="25">
        <v>1391561</v>
      </c>
      <c r="B25" s="26" t="s">
        <v>5423</v>
      </c>
      <c r="C25" s="26" t="s">
        <v>5486</v>
      </c>
      <c r="D25" s="26" t="s">
        <v>5487</v>
      </c>
      <c r="E25" s="26" t="s">
        <v>5488</v>
      </c>
      <c r="F25" s="27">
        <v>4980159</v>
      </c>
      <c r="G25" s="27">
        <v>0</v>
      </c>
      <c r="H25" s="27">
        <v>1</v>
      </c>
      <c r="I25" s="27">
        <v>1</v>
      </c>
      <c r="J25" s="30">
        <f t="shared" si="0"/>
        <v>0</v>
      </c>
      <c r="K25" s="30">
        <f t="shared" si="1"/>
        <v>1</v>
      </c>
      <c r="L25" s="26">
        <f t="shared" si="2"/>
        <v>0</v>
      </c>
      <c r="M25" s="26"/>
    </row>
    <row r="26" spans="1:13" ht="15" customHeight="1">
      <c r="A26" s="25">
        <v>1392025</v>
      </c>
      <c r="B26" s="26" t="s">
        <v>5423</v>
      </c>
      <c r="C26" s="26" t="s">
        <v>5489</v>
      </c>
      <c r="D26" s="26" t="s">
        <v>5490</v>
      </c>
      <c r="E26" s="26" t="s">
        <v>5491</v>
      </c>
      <c r="F26" s="27">
        <v>5015005</v>
      </c>
      <c r="G26" s="27">
        <v>0</v>
      </c>
      <c r="H26" s="27">
        <v>0</v>
      </c>
      <c r="I26" s="27">
        <v>0</v>
      </c>
      <c r="J26" s="30">
        <f t="shared" si="0"/>
        <v>0</v>
      </c>
      <c r="K26" s="30">
        <f t="shared" si="1"/>
        <v>0</v>
      </c>
      <c r="L26" s="26">
        <f t="shared" si="2"/>
        <v>0</v>
      </c>
      <c r="M26" s="26">
        <v>0</v>
      </c>
    </row>
    <row r="27" spans="1:13" ht="15" customHeight="1">
      <c r="A27" s="25">
        <v>1392026</v>
      </c>
      <c r="B27" s="26" t="s">
        <v>5427</v>
      </c>
      <c r="C27" s="26" t="s">
        <v>5492</v>
      </c>
      <c r="D27" s="26" t="s">
        <v>5493</v>
      </c>
      <c r="E27" s="26" t="s">
        <v>5494</v>
      </c>
      <c r="F27" s="27">
        <v>4913968</v>
      </c>
      <c r="G27" s="27">
        <v>1</v>
      </c>
      <c r="H27" s="27">
        <v>0</v>
      </c>
      <c r="I27" s="27">
        <v>1</v>
      </c>
      <c r="J27" s="30">
        <f t="shared" si="0"/>
        <v>1</v>
      </c>
      <c r="K27" s="30">
        <f t="shared" si="1"/>
        <v>0</v>
      </c>
      <c r="L27" s="26">
        <f t="shared" si="2"/>
        <v>0</v>
      </c>
      <c r="M27" s="26"/>
    </row>
    <row r="28" spans="1:13" ht="15" customHeight="1">
      <c r="A28" s="25">
        <v>1392037</v>
      </c>
      <c r="B28" s="26" t="s">
        <v>5423</v>
      </c>
      <c r="C28" s="26" t="s">
        <v>5495</v>
      </c>
      <c r="D28" s="26" t="s">
        <v>5496</v>
      </c>
      <c r="E28" s="26" t="s">
        <v>5491</v>
      </c>
      <c r="F28" s="27">
        <v>4711019</v>
      </c>
      <c r="G28" s="27">
        <v>1</v>
      </c>
      <c r="H28" s="27">
        <v>0</v>
      </c>
      <c r="I28" s="27">
        <v>1</v>
      </c>
      <c r="J28" s="30">
        <f t="shared" si="0"/>
        <v>1</v>
      </c>
      <c r="K28" s="30">
        <f t="shared" si="1"/>
        <v>0</v>
      </c>
      <c r="L28" s="26">
        <f t="shared" si="2"/>
        <v>0</v>
      </c>
      <c r="M28" s="26"/>
    </row>
    <row r="29" spans="1:13" ht="15" customHeight="1">
      <c r="A29" s="25">
        <v>1392043</v>
      </c>
      <c r="B29" s="26" t="s">
        <v>5423</v>
      </c>
      <c r="C29" s="26" t="s">
        <v>5497</v>
      </c>
      <c r="D29" s="26" t="s">
        <v>5498</v>
      </c>
      <c r="E29" s="26" t="s">
        <v>5430</v>
      </c>
      <c r="F29" s="27">
        <v>4601053</v>
      </c>
      <c r="G29" s="27">
        <v>1</v>
      </c>
      <c r="H29" s="27">
        <v>0</v>
      </c>
      <c r="I29" s="27">
        <v>1</v>
      </c>
      <c r="J29" s="30">
        <f t="shared" si="0"/>
        <v>1</v>
      </c>
      <c r="K29" s="30">
        <f t="shared" si="1"/>
        <v>0</v>
      </c>
      <c r="L29" s="26">
        <f t="shared" si="2"/>
        <v>0</v>
      </c>
      <c r="M29" s="26"/>
    </row>
    <row r="30" spans="1:13" ht="15" customHeight="1">
      <c r="A30" s="25">
        <v>1392047</v>
      </c>
      <c r="B30" s="26" t="s">
        <v>5427</v>
      </c>
      <c r="C30" s="26" t="s">
        <v>5499</v>
      </c>
      <c r="D30" s="26" t="s">
        <v>5500</v>
      </c>
      <c r="E30" s="26" t="s">
        <v>5501</v>
      </c>
      <c r="F30" s="27">
        <v>5014957</v>
      </c>
      <c r="G30" s="27">
        <v>1</v>
      </c>
      <c r="H30" s="27">
        <v>1</v>
      </c>
      <c r="I30" s="27">
        <v>1</v>
      </c>
      <c r="J30" s="30">
        <f t="shared" si="0"/>
        <v>1</v>
      </c>
      <c r="K30" s="30">
        <f t="shared" si="1"/>
        <v>1</v>
      </c>
      <c r="L30" s="26">
        <f t="shared" si="2"/>
        <v>1</v>
      </c>
      <c r="M30" s="26"/>
    </row>
    <row r="31" spans="1:13" ht="15" customHeight="1">
      <c r="A31" s="25">
        <v>1392052</v>
      </c>
      <c r="B31" s="26" t="s">
        <v>5423</v>
      </c>
      <c r="C31" s="26" t="s">
        <v>5502</v>
      </c>
      <c r="D31" s="26" t="s">
        <v>5503</v>
      </c>
      <c r="E31" s="26" t="s">
        <v>5504</v>
      </c>
      <c r="F31" s="27">
        <v>5015006</v>
      </c>
      <c r="G31" s="27">
        <v>0</v>
      </c>
      <c r="H31" s="27">
        <v>0</v>
      </c>
      <c r="I31" s="27">
        <v>0</v>
      </c>
      <c r="J31" s="30">
        <f t="shared" si="0"/>
        <v>0</v>
      </c>
      <c r="K31" s="30">
        <f t="shared" si="1"/>
        <v>0</v>
      </c>
      <c r="L31" s="26">
        <f t="shared" si="2"/>
        <v>0</v>
      </c>
      <c r="M31" s="26">
        <v>0</v>
      </c>
    </row>
    <row r="32" spans="1:13" ht="15" customHeight="1">
      <c r="A32" s="25">
        <v>1392278</v>
      </c>
      <c r="B32" s="26" t="s">
        <v>5427</v>
      </c>
      <c r="C32" s="26" t="s">
        <v>5505</v>
      </c>
      <c r="D32" s="26" t="s">
        <v>5506</v>
      </c>
      <c r="E32" s="26" t="s">
        <v>5507</v>
      </c>
      <c r="F32" s="27">
        <v>1421441</v>
      </c>
      <c r="G32" s="27">
        <v>1</v>
      </c>
      <c r="H32" s="27">
        <v>1</v>
      </c>
      <c r="I32" s="27">
        <v>1</v>
      </c>
      <c r="J32" s="30">
        <f t="shared" si="0"/>
        <v>1</v>
      </c>
      <c r="K32" s="30">
        <f t="shared" si="1"/>
        <v>1</v>
      </c>
      <c r="L32" s="26">
        <f t="shared" si="2"/>
        <v>1</v>
      </c>
      <c r="M32" s="26"/>
    </row>
    <row r="33" spans="1:13" ht="15" customHeight="1">
      <c r="A33" s="25">
        <v>1392319</v>
      </c>
      <c r="B33" s="26" t="s">
        <v>5427</v>
      </c>
      <c r="C33" s="26" t="s">
        <v>5508</v>
      </c>
      <c r="D33" s="26" t="s">
        <v>5509</v>
      </c>
      <c r="E33" s="26" t="s">
        <v>5463</v>
      </c>
      <c r="F33" s="27">
        <v>4368744</v>
      </c>
      <c r="G33" s="27">
        <v>1</v>
      </c>
      <c r="H33" s="27">
        <v>1</v>
      </c>
      <c r="I33" s="27">
        <v>1</v>
      </c>
      <c r="J33" s="30">
        <f t="shared" si="0"/>
        <v>1</v>
      </c>
      <c r="K33" s="30">
        <f t="shared" si="1"/>
        <v>1</v>
      </c>
      <c r="L33" s="26">
        <f t="shared" si="2"/>
        <v>1</v>
      </c>
      <c r="M33" s="26"/>
    </row>
    <row r="34" spans="1:13" ht="15" customHeight="1">
      <c r="A34" s="25">
        <v>1392372</v>
      </c>
      <c r="B34" s="26" t="s">
        <v>5423</v>
      </c>
      <c r="C34" s="26" t="s">
        <v>5510</v>
      </c>
      <c r="D34" s="26" t="s">
        <v>5511</v>
      </c>
      <c r="E34" s="26" t="s">
        <v>5475</v>
      </c>
      <c r="F34" s="27">
        <v>5015920</v>
      </c>
      <c r="G34" s="27">
        <v>0</v>
      </c>
      <c r="H34" s="27">
        <v>0</v>
      </c>
      <c r="I34" s="27">
        <v>0</v>
      </c>
      <c r="J34" s="30">
        <f t="shared" si="0"/>
        <v>0</v>
      </c>
      <c r="K34" s="30">
        <f t="shared" si="1"/>
        <v>0</v>
      </c>
      <c r="L34" s="26">
        <f t="shared" si="2"/>
        <v>0</v>
      </c>
      <c r="M34" s="26">
        <v>0</v>
      </c>
    </row>
    <row r="35" spans="1:13" ht="15" customHeight="1">
      <c r="A35" s="25">
        <v>1392374</v>
      </c>
      <c r="B35" s="26" t="s">
        <v>5427</v>
      </c>
      <c r="C35" s="26" t="s">
        <v>5512</v>
      </c>
      <c r="D35" s="26" t="s">
        <v>5513</v>
      </c>
      <c r="E35" s="26" t="s">
        <v>5514</v>
      </c>
      <c r="F35" s="27">
        <v>5015888</v>
      </c>
      <c r="G35" s="27">
        <v>1</v>
      </c>
      <c r="H35" s="27">
        <v>0</v>
      </c>
      <c r="I35" s="27">
        <v>1</v>
      </c>
      <c r="J35" s="30">
        <f t="shared" si="0"/>
        <v>1</v>
      </c>
      <c r="K35" s="30">
        <f t="shared" si="1"/>
        <v>0</v>
      </c>
      <c r="L35" s="26">
        <f t="shared" si="2"/>
        <v>0</v>
      </c>
      <c r="M35" s="26"/>
    </row>
    <row r="36" spans="1:13" ht="15" customHeight="1">
      <c r="A36" s="25">
        <v>1392421</v>
      </c>
      <c r="B36" s="26" t="s">
        <v>5427</v>
      </c>
      <c r="C36" s="26" t="s">
        <v>5515</v>
      </c>
      <c r="D36" s="26" t="s">
        <v>5516</v>
      </c>
      <c r="E36" s="26" t="s">
        <v>5517</v>
      </c>
      <c r="F36" s="27">
        <v>4962357</v>
      </c>
      <c r="G36" s="27">
        <v>1</v>
      </c>
      <c r="H36" s="27">
        <v>0</v>
      </c>
      <c r="I36" s="27">
        <v>1</v>
      </c>
      <c r="J36" s="30">
        <f t="shared" si="0"/>
        <v>1</v>
      </c>
      <c r="K36" s="30">
        <f t="shared" si="1"/>
        <v>0</v>
      </c>
      <c r="L36" s="26">
        <f t="shared" si="2"/>
        <v>0</v>
      </c>
      <c r="M36" s="26"/>
    </row>
    <row r="37" spans="1:13" ht="15" customHeight="1">
      <c r="A37" s="25">
        <v>1392597</v>
      </c>
      <c r="B37" s="26" t="s">
        <v>5427</v>
      </c>
      <c r="C37" s="26" t="s">
        <v>5518</v>
      </c>
      <c r="D37" s="26" t="s">
        <v>5519</v>
      </c>
      <c r="E37" s="26" t="s">
        <v>5517</v>
      </c>
      <c r="F37" s="27">
        <v>5016686</v>
      </c>
      <c r="G37" s="27">
        <v>0</v>
      </c>
      <c r="H37" s="27">
        <v>0</v>
      </c>
      <c r="I37" s="27">
        <v>0</v>
      </c>
      <c r="J37" s="30">
        <f t="shared" si="0"/>
        <v>0</v>
      </c>
      <c r="K37" s="30">
        <f t="shared" si="1"/>
        <v>0</v>
      </c>
      <c r="L37" s="26">
        <f t="shared" si="2"/>
        <v>0</v>
      </c>
      <c r="M37" s="26">
        <v>0</v>
      </c>
    </row>
    <row r="38" spans="1:13" ht="15" customHeight="1">
      <c r="A38" s="25">
        <v>1392978</v>
      </c>
      <c r="B38" s="26" t="s">
        <v>5423</v>
      </c>
      <c r="C38" s="26" t="s">
        <v>5520</v>
      </c>
      <c r="D38" s="26" t="s">
        <v>5521</v>
      </c>
      <c r="E38" s="26" t="s">
        <v>5522</v>
      </c>
      <c r="F38" s="27">
        <v>5019079</v>
      </c>
      <c r="G38" s="27">
        <v>0</v>
      </c>
      <c r="H38" s="27">
        <v>0</v>
      </c>
      <c r="I38" s="27">
        <v>0</v>
      </c>
      <c r="J38" s="30">
        <f t="shared" si="0"/>
        <v>0</v>
      </c>
      <c r="K38" s="30">
        <f t="shared" si="1"/>
        <v>0</v>
      </c>
      <c r="L38" s="26">
        <f t="shared" si="2"/>
        <v>0</v>
      </c>
      <c r="M38" s="26">
        <v>0</v>
      </c>
    </row>
    <row r="39" spans="1:13" ht="15" customHeight="1">
      <c r="A39" s="25">
        <v>1393336</v>
      </c>
      <c r="B39" s="26" t="s">
        <v>5427</v>
      </c>
      <c r="C39" s="26" t="s">
        <v>5523</v>
      </c>
      <c r="D39" s="26" t="s">
        <v>5524</v>
      </c>
      <c r="E39" s="26" t="s">
        <v>5485</v>
      </c>
      <c r="F39" s="27">
        <v>2621343</v>
      </c>
      <c r="G39" s="27">
        <v>0</v>
      </c>
      <c r="H39" s="27">
        <v>0</v>
      </c>
      <c r="I39" s="27">
        <v>0</v>
      </c>
      <c r="J39" s="30">
        <f t="shared" si="0"/>
        <v>0</v>
      </c>
      <c r="K39" s="30">
        <f t="shared" si="1"/>
        <v>0</v>
      </c>
      <c r="L39" s="26">
        <f t="shared" si="2"/>
        <v>0</v>
      </c>
      <c r="M39" s="26">
        <v>0</v>
      </c>
    </row>
    <row r="40" spans="1:13" ht="15" customHeight="1">
      <c r="A40" s="25">
        <v>1393438</v>
      </c>
      <c r="B40" s="26" t="s">
        <v>5427</v>
      </c>
      <c r="C40" s="26" t="s">
        <v>5525</v>
      </c>
      <c r="D40" s="26" t="s">
        <v>5526</v>
      </c>
      <c r="E40" s="26" t="s">
        <v>5430</v>
      </c>
      <c r="F40" s="27">
        <v>1786150</v>
      </c>
      <c r="G40" s="27">
        <v>1</v>
      </c>
      <c r="H40" s="27">
        <v>0</v>
      </c>
      <c r="I40" s="27">
        <v>1</v>
      </c>
      <c r="J40" s="30">
        <f t="shared" si="0"/>
        <v>1</v>
      </c>
      <c r="K40" s="30">
        <f t="shared" si="1"/>
        <v>0</v>
      </c>
      <c r="L40" s="26">
        <f t="shared" si="2"/>
        <v>0</v>
      </c>
      <c r="M40" s="26"/>
    </row>
    <row r="41" spans="1:13" ht="15" customHeight="1">
      <c r="A41" s="25">
        <v>1393455</v>
      </c>
      <c r="B41" s="26" t="s">
        <v>5427</v>
      </c>
      <c r="C41" s="26" t="s">
        <v>5527</v>
      </c>
      <c r="D41" s="26" t="s">
        <v>5528</v>
      </c>
      <c r="E41" s="26" t="s">
        <v>5529</v>
      </c>
      <c r="F41" s="27">
        <v>4999077</v>
      </c>
      <c r="G41" s="27">
        <v>1</v>
      </c>
      <c r="H41" s="27">
        <v>1</v>
      </c>
      <c r="I41" s="27">
        <v>1</v>
      </c>
      <c r="J41" s="30">
        <f t="shared" si="0"/>
        <v>1</v>
      </c>
      <c r="K41" s="30">
        <f t="shared" si="1"/>
        <v>1</v>
      </c>
      <c r="L41" s="26">
        <f t="shared" si="2"/>
        <v>1</v>
      </c>
      <c r="M41" s="26"/>
    </row>
    <row r="42" spans="1:13" ht="15" customHeight="1">
      <c r="A42" s="25">
        <v>1393472</v>
      </c>
      <c r="B42" s="26" t="s">
        <v>5423</v>
      </c>
      <c r="C42" s="26" t="s">
        <v>5530</v>
      </c>
      <c r="D42" s="26" t="s">
        <v>5531</v>
      </c>
      <c r="E42" s="26" t="s">
        <v>5532</v>
      </c>
      <c r="F42" s="27">
        <v>5019371</v>
      </c>
      <c r="G42" s="27">
        <v>1</v>
      </c>
      <c r="H42" s="27">
        <v>0</v>
      </c>
      <c r="I42" s="27">
        <v>1</v>
      </c>
      <c r="J42" s="30">
        <f t="shared" si="0"/>
        <v>1</v>
      </c>
      <c r="K42" s="30">
        <f t="shared" si="1"/>
        <v>0</v>
      </c>
      <c r="L42" s="26">
        <f t="shared" si="2"/>
        <v>0</v>
      </c>
      <c r="M42" s="26"/>
    </row>
    <row r="43" spans="1:13" ht="15" customHeight="1">
      <c r="A43" s="25">
        <v>1393572</v>
      </c>
      <c r="B43" s="26" t="s">
        <v>5423</v>
      </c>
      <c r="C43" s="26" t="s">
        <v>5533</v>
      </c>
      <c r="D43" s="26" t="s">
        <v>5534</v>
      </c>
      <c r="E43" s="26" t="s">
        <v>5535</v>
      </c>
      <c r="F43" s="27">
        <v>5013808</v>
      </c>
      <c r="G43" s="27">
        <v>0</v>
      </c>
      <c r="H43" s="27">
        <v>0</v>
      </c>
      <c r="I43" s="27">
        <v>0</v>
      </c>
      <c r="J43" s="30">
        <f t="shared" si="0"/>
        <v>0</v>
      </c>
      <c r="K43" s="30">
        <f t="shared" si="1"/>
        <v>0</v>
      </c>
      <c r="L43" s="26">
        <f t="shared" si="2"/>
        <v>0</v>
      </c>
      <c r="M43" s="26">
        <v>0</v>
      </c>
    </row>
    <row r="44" spans="1:13" ht="15" customHeight="1">
      <c r="A44" s="25">
        <v>1393742</v>
      </c>
      <c r="B44" s="26" t="s">
        <v>5427</v>
      </c>
      <c r="C44" s="26" t="s">
        <v>5536</v>
      </c>
      <c r="D44" s="26" t="s">
        <v>5537</v>
      </c>
      <c r="E44" s="26" t="s">
        <v>5514</v>
      </c>
      <c r="F44" s="27">
        <v>5020076</v>
      </c>
      <c r="G44" s="27">
        <v>1</v>
      </c>
      <c r="H44" s="27">
        <v>0</v>
      </c>
      <c r="I44" s="27">
        <v>1</v>
      </c>
      <c r="J44" s="30">
        <f t="shared" si="0"/>
        <v>1</v>
      </c>
      <c r="K44" s="30">
        <f t="shared" si="1"/>
        <v>0</v>
      </c>
      <c r="L44" s="26">
        <f t="shared" si="2"/>
        <v>0</v>
      </c>
      <c r="M44" s="26"/>
    </row>
    <row r="45" spans="1:13" ht="15" customHeight="1">
      <c r="A45" s="25">
        <v>1393999</v>
      </c>
      <c r="B45" s="26" t="s">
        <v>5423</v>
      </c>
      <c r="C45" s="26" t="s">
        <v>5538</v>
      </c>
      <c r="D45" s="26" t="s">
        <v>5539</v>
      </c>
      <c r="E45" s="26" t="s">
        <v>5540</v>
      </c>
      <c r="F45" s="27">
        <v>5012251</v>
      </c>
      <c r="G45" s="27">
        <v>1</v>
      </c>
      <c r="H45" s="27">
        <v>1</v>
      </c>
      <c r="I45" s="27">
        <v>1</v>
      </c>
      <c r="J45" s="30">
        <f t="shared" si="0"/>
        <v>1</v>
      </c>
      <c r="K45" s="30">
        <f t="shared" si="1"/>
        <v>1</v>
      </c>
      <c r="L45" s="26">
        <f t="shared" si="2"/>
        <v>1</v>
      </c>
      <c r="M45" s="26"/>
    </row>
    <row r="46" spans="1:13" ht="15" customHeight="1">
      <c r="A46" s="25">
        <v>1394184</v>
      </c>
      <c r="B46" s="26" t="s">
        <v>5423</v>
      </c>
      <c r="C46" s="26" t="s">
        <v>5541</v>
      </c>
      <c r="D46" s="26" t="s">
        <v>5542</v>
      </c>
      <c r="E46" s="26" t="s">
        <v>5433</v>
      </c>
      <c r="F46" s="27">
        <v>5021650</v>
      </c>
      <c r="G46" s="27">
        <v>1</v>
      </c>
      <c r="H46" s="27">
        <v>0</v>
      </c>
      <c r="I46" s="27">
        <v>1</v>
      </c>
      <c r="J46" s="30">
        <f t="shared" si="0"/>
        <v>1</v>
      </c>
      <c r="K46" s="30">
        <f t="shared" si="1"/>
        <v>0</v>
      </c>
      <c r="L46" s="26">
        <f t="shared" si="2"/>
        <v>0</v>
      </c>
      <c r="M46" s="26"/>
    </row>
    <row r="47" spans="1:13" ht="15" customHeight="1">
      <c r="A47" s="25">
        <v>1394501</v>
      </c>
      <c r="B47" s="26" t="s">
        <v>5427</v>
      </c>
      <c r="C47" s="26" t="s">
        <v>5543</v>
      </c>
      <c r="D47" s="26" t="s">
        <v>5544</v>
      </c>
      <c r="E47" s="26" t="s">
        <v>5545</v>
      </c>
      <c r="F47" s="27">
        <v>4946573</v>
      </c>
      <c r="G47" s="27">
        <v>0</v>
      </c>
      <c r="H47" s="27">
        <v>0</v>
      </c>
      <c r="I47" s="27">
        <v>0</v>
      </c>
      <c r="J47" s="30">
        <f t="shared" si="0"/>
        <v>0</v>
      </c>
      <c r="K47" s="30">
        <f t="shared" si="1"/>
        <v>0</v>
      </c>
      <c r="L47" s="26">
        <f t="shared" si="2"/>
        <v>0</v>
      </c>
      <c r="M47" s="26">
        <v>0</v>
      </c>
    </row>
    <row r="48" spans="1:13" ht="15" customHeight="1">
      <c r="A48" s="25">
        <v>1394533</v>
      </c>
      <c r="B48" s="26" t="s">
        <v>5423</v>
      </c>
      <c r="C48" s="26" t="s">
        <v>5546</v>
      </c>
      <c r="D48" s="26" t="s">
        <v>5547</v>
      </c>
      <c r="E48" s="26" t="s">
        <v>5480</v>
      </c>
      <c r="F48" s="27">
        <v>4948006</v>
      </c>
      <c r="G48" s="27">
        <v>1</v>
      </c>
      <c r="H48" s="27">
        <v>0</v>
      </c>
      <c r="I48" s="27">
        <v>1</v>
      </c>
      <c r="J48" s="30">
        <f t="shared" si="0"/>
        <v>1</v>
      </c>
      <c r="K48" s="30">
        <f t="shared" si="1"/>
        <v>0</v>
      </c>
      <c r="L48" s="26">
        <f t="shared" si="2"/>
        <v>0</v>
      </c>
      <c r="M48" s="26"/>
    </row>
    <row r="49" spans="1:13" ht="15" customHeight="1">
      <c r="A49" s="25">
        <v>1394925</v>
      </c>
      <c r="B49" s="26" t="s">
        <v>5423</v>
      </c>
      <c r="C49" s="26" t="s">
        <v>5548</v>
      </c>
      <c r="D49" s="26" t="s">
        <v>5549</v>
      </c>
      <c r="E49" s="26" t="s">
        <v>5550</v>
      </c>
      <c r="F49" s="27">
        <v>5018976</v>
      </c>
      <c r="G49" s="27">
        <v>1</v>
      </c>
      <c r="H49" s="27">
        <v>1</v>
      </c>
      <c r="I49" s="27">
        <v>1</v>
      </c>
      <c r="J49" s="30">
        <f t="shared" si="0"/>
        <v>1</v>
      </c>
      <c r="K49" s="30">
        <f t="shared" si="1"/>
        <v>1</v>
      </c>
      <c r="L49" s="26">
        <f t="shared" si="2"/>
        <v>1</v>
      </c>
      <c r="M49" s="26"/>
    </row>
    <row r="50" spans="1:13" ht="15" customHeight="1">
      <c r="A50" s="25">
        <v>1394971</v>
      </c>
      <c r="B50" s="26" t="s">
        <v>5423</v>
      </c>
      <c r="C50" s="26" t="s">
        <v>5551</v>
      </c>
      <c r="D50" s="26" t="s">
        <v>5552</v>
      </c>
      <c r="E50" s="26" t="s">
        <v>5433</v>
      </c>
      <c r="F50" s="27">
        <v>5027030</v>
      </c>
      <c r="G50" s="27">
        <v>0</v>
      </c>
      <c r="H50" s="27">
        <v>0</v>
      </c>
      <c r="I50" s="27">
        <v>0</v>
      </c>
      <c r="J50" s="30">
        <f t="shared" si="0"/>
        <v>0</v>
      </c>
      <c r="K50" s="30">
        <f t="shared" si="1"/>
        <v>0</v>
      </c>
      <c r="L50" s="26">
        <f t="shared" si="2"/>
        <v>0</v>
      </c>
      <c r="M50" s="26">
        <v>0</v>
      </c>
    </row>
    <row r="51" spans="1:13" ht="15" customHeight="1">
      <c r="A51" s="25">
        <v>1395007</v>
      </c>
      <c r="B51" s="26" t="s">
        <v>5423</v>
      </c>
      <c r="C51" s="26" t="s">
        <v>5553</v>
      </c>
      <c r="D51" s="26" t="s">
        <v>5554</v>
      </c>
      <c r="E51" s="26" t="s">
        <v>5433</v>
      </c>
      <c r="F51" s="27">
        <v>5024113</v>
      </c>
      <c r="G51" s="27">
        <v>1</v>
      </c>
      <c r="H51" s="27">
        <v>0</v>
      </c>
      <c r="I51" s="27">
        <v>1</v>
      </c>
      <c r="J51" s="30">
        <f t="shared" si="0"/>
        <v>1</v>
      </c>
      <c r="K51" s="30">
        <f t="shared" si="1"/>
        <v>0</v>
      </c>
      <c r="L51" s="26">
        <f t="shared" si="2"/>
        <v>0</v>
      </c>
      <c r="M51" s="26"/>
    </row>
    <row r="52" spans="1:13" ht="15" customHeight="1">
      <c r="A52" s="25">
        <v>1395429</v>
      </c>
      <c r="B52" s="26" t="s">
        <v>5423</v>
      </c>
      <c r="C52" s="26" t="s">
        <v>5555</v>
      </c>
      <c r="D52" s="26" t="s">
        <v>5556</v>
      </c>
      <c r="E52" s="26" t="s">
        <v>5480</v>
      </c>
      <c r="F52" s="27">
        <v>3678171</v>
      </c>
      <c r="G52" s="27">
        <v>0</v>
      </c>
      <c r="H52" s="27">
        <v>0</v>
      </c>
      <c r="I52" s="27">
        <v>0</v>
      </c>
      <c r="J52" s="30">
        <f t="shared" si="0"/>
        <v>0</v>
      </c>
      <c r="K52" s="30">
        <f t="shared" si="1"/>
        <v>0</v>
      </c>
      <c r="L52" s="26">
        <f t="shared" si="2"/>
        <v>0</v>
      </c>
      <c r="M52" s="26" t="s">
        <v>5557</v>
      </c>
    </row>
    <row r="53" spans="1:13" ht="15" customHeight="1">
      <c r="A53" s="25">
        <v>1395641</v>
      </c>
      <c r="B53" s="26" t="s">
        <v>5427</v>
      </c>
      <c r="C53" s="26" t="s">
        <v>5558</v>
      </c>
      <c r="D53" s="26" t="s">
        <v>5559</v>
      </c>
      <c r="E53" s="26" t="s">
        <v>5560</v>
      </c>
      <c r="F53" s="27">
        <v>4977629</v>
      </c>
      <c r="G53" s="27">
        <v>1</v>
      </c>
      <c r="H53" s="27">
        <v>0</v>
      </c>
      <c r="I53" s="27">
        <v>1</v>
      </c>
      <c r="J53" s="30">
        <f t="shared" si="0"/>
        <v>1</v>
      </c>
      <c r="K53" s="30">
        <f t="shared" si="1"/>
        <v>0</v>
      </c>
      <c r="L53" s="26">
        <f t="shared" si="2"/>
        <v>0</v>
      </c>
      <c r="M53" s="26"/>
    </row>
    <row r="54" spans="1:13" ht="15" customHeight="1">
      <c r="A54" s="25">
        <v>1395872</v>
      </c>
      <c r="B54" s="26" t="s">
        <v>5423</v>
      </c>
      <c r="C54" s="26" t="s">
        <v>5561</v>
      </c>
      <c r="D54" s="26" t="s">
        <v>5562</v>
      </c>
      <c r="E54" s="26" t="s">
        <v>5517</v>
      </c>
      <c r="F54" s="27">
        <v>5021277</v>
      </c>
      <c r="G54" s="27">
        <v>0</v>
      </c>
      <c r="H54" s="27">
        <v>1</v>
      </c>
      <c r="I54" s="27">
        <v>1</v>
      </c>
      <c r="J54" s="30">
        <f t="shared" si="0"/>
        <v>0</v>
      </c>
      <c r="K54" s="30">
        <f t="shared" si="1"/>
        <v>1</v>
      </c>
      <c r="L54" s="26">
        <f t="shared" si="2"/>
        <v>0</v>
      </c>
      <c r="M54" s="26"/>
    </row>
    <row r="55" spans="1:13" ht="15" customHeight="1">
      <c r="A55" s="25">
        <v>1395905</v>
      </c>
      <c r="B55" s="26" t="s">
        <v>5423</v>
      </c>
      <c r="C55" s="26" t="s">
        <v>5563</v>
      </c>
      <c r="D55" s="26" t="s">
        <v>5564</v>
      </c>
      <c r="E55" s="26" t="s">
        <v>5522</v>
      </c>
      <c r="F55" s="27">
        <v>5015121</v>
      </c>
      <c r="G55" s="27">
        <v>1</v>
      </c>
      <c r="H55" s="27">
        <v>0</v>
      </c>
      <c r="I55" s="27">
        <v>1</v>
      </c>
      <c r="J55" s="30">
        <f t="shared" si="0"/>
        <v>1</v>
      </c>
      <c r="K55" s="30">
        <f t="shared" si="1"/>
        <v>0</v>
      </c>
      <c r="L55" s="26">
        <f t="shared" si="2"/>
        <v>0</v>
      </c>
      <c r="M55" s="26"/>
    </row>
    <row r="56" spans="1:13" ht="15" customHeight="1">
      <c r="A56" s="25">
        <v>1396247</v>
      </c>
      <c r="B56" s="26" t="s">
        <v>5423</v>
      </c>
      <c r="C56" s="26" t="s">
        <v>5565</v>
      </c>
      <c r="D56" s="26" t="s">
        <v>5566</v>
      </c>
      <c r="E56" s="26" t="s">
        <v>5480</v>
      </c>
      <c r="F56" s="27">
        <v>2484486</v>
      </c>
      <c r="G56" s="27">
        <v>0</v>
      </c>
      <c r="H56" s="27">
        <v>0</v>
      </c>
      <c r="I56" s="27">
        <v>0</v>
      </c>
      <c r="J56" s="30">
        <f t="shared" si="0"/>
        <v>0</v>
      </c>
      <c r="K56" s="30">
        <f t="shared" si="1"/>
        <v>0</v>
      </c>
      <c r="L56" s="26">
        <f t="shared" si="2"/>
        <v>0</v>
      </c>
      <c r="M56" s="26" t="s">
        <v>5567</v>
      </c>
    </row>
    <row r="57" spans="1:13" ht="15" customHeight="1">
      <c r="A57" s="25" t="s">
        <v>5568</v>
      </c>
      <c r="B57" s="26" t="s">
        <v>5427</v>
      </c>
      <c r="C57" s="26" t="s">
        <v>5569</v>
      </c>
      <c r="D57" s="26" t="s">
        <v>5570</v>
      </c>
      <c r="E57" s="26" t="s">
        <v>5532</v>
      </c>
      <c r="F57" s="27">
        <v>3782299</v>
      </c>
      <c r="G57" s="27">
        <v>1</v>
      </c>
      <c r="H57" s="27">
        <v>0</v>
      </c>
      <c r="I57" s="27">
        <v>1</v>
      </c>
      <c r="J57" s="30">
        <f t="shared" si="0"/>
        <v>1</v>
      </c>
      <c r="K57" s="30">
        <f t="shared" si="1"/>
        <v>0</v>
      </c>
      <c r="L57" s="26">
        <f t="shared" si="2"/>
        <v>0</v>
      </c>
      <c r="M57" s="26"/>
    </row>
    <row r="58" spans="1:13" ht="15" customHeight="1">
      <c r="A58" s="25">
        <v>1396453</v>
      </c>
      <c r="B58" s="26" t="s">
        <v>5423</v>
      </c>
      <c r="C58" s="26" t="s">
        <v>5571</v>
      </c>
      <c r="D58" s="26" t="s">
        <v>5572</v>
      </c>
      <c r="E58" s="26" t="s">
        <v>5504</v>
      </c>
      <c r="F58" s="27">
        <v>5005952</v>
      </c>
      <c r="G58" s="27">
        <v>1</v>
      </c>
      <c r="H58" s="27">
        <v>1</v>
      </c>
      <c r="I58" s="27">
        <v>1</v>
      </c>
      <c r="J58" s="30">
        <f t="shared" si="0"/>
        <v>1</v>
      </c>
      <c r="K58" s="30">
        <f t="shared" si="1"/>
        <v>1</v>
      </c>
      <c r="L58" s="26">
        <f t="shared" si="2"/>
        <v>1</v>
      </c>
      <c r="M58" s="26"/>
    </row>
    <row r="59" spans="1:13" ht="15" customHeight="1">
      <c r="A59" s="25">
        <v>1396455</v>
      </c>
      <c r="B59" s="26" t="s">
        <v>5427</v>
      </c>
      <c r="C59" s="26" t="s">
        <v>5573</v>
      </c>
      <c r="D59" s="26" t="s">
        <v>5574</v>
      </c>
      <c r="E59" s="26" t="s">
        <v>5575</v>
      </c>
      <c r="F59" s="27">
        <v>5012744</v>
      </c>
      <c r="G59" s="27">
        <v>1</v>
      </c>
      <c r="H59" s="27">
        <v>0</v>
      </c>
      <c r="I59" s="27">
        <v>1</v>
      </c>
      <c r="J59" s="30">
        <f t="shared" si="0"/>
        <v>1</v>
      </c>
      <c r="K59" s="30">
        <f t="shared" si="1"/>
        <v>0</v>
      </c>
      <c r="L59" s="26">
        <f t="shared" si="2"/>
        <v>0</v>
      </c>
      <c r="M59" s="26"/>
    </row>
    <row r="60" spans="1:13" ht="15" customHeight="1">
      <c r="A60" s="25">
        <v>1396504</v>
      </c>
      <c r="B60" s="26" t="s">
        <v>5423</v>
      </c>
      <c r="C60" s="26" t="s">
        <v>5576</v>
      </c>
      <c r="D60" s="26" t="s">
        <v>5577</v>
      </c>
      <c r="E60" s="26" t="s">
        <v>5480</v>
      </c>
      <c r="F60" s="27">
        <v>4948006</v>
      </c>
      <c r="G60" s="27">
        <v>1</v>
      </c>
      <c r="H60" s="27">
        <v>0</v>
      </c>
      <c r="I60" s="27">
        <v>1</v>
      </c>
      <c r="J60" s="30">
        <f t="shared" si="0"/>
        <v>1</v>
      </c>
      <c r="K60" s="30">
        <f t="shared" si="1"/>
        <v>0</v>
      </c>
      <c r="L60" s="26">
        <f t="shared" si="2"/>
        <v>0</v>
      </c>
      <c r="M60" s="26"/>
    </row>
    <row r="61" spans="1:13" ht="15" customHeight="1">
      <c r="A61" s="25">
        <v>1396835</v>
      </c>
      <c r="B61" s="26" t="s">
        <v>5423</v>
      </c>
      <c r="C61" s="26" t="s">
        <v>5578</v>
      </c>
      <c r="D61" s="26" t="s">
        <v>5579</v>
      </c>
      <c r="E61" s="26" t="s">
        <v>5439</v>
      </c>
      <c r="F61" s="27">
        <v>5028979</v>
      </c>
      <c r="G61" s="27">
        <v>0</v>
      </c>
      <c r="H61" s="27">
        <v>0</v>
      </c>
      <c r="I61" s="27">
        <v>0</v>
      </c>
      <c r="J61" s="30">
        <f t="shared" si="0"/>
        <v>0</v>
      </c>
      <c r="K61" s="30">
        <f t="shared" si="1"/>
        <v>0</v>
      </c>
      <c r="L61" s="26">
        <f t="shared" si="2"/>
        <v>0</v>
      </c>
      <c r="M61" s="26">
        <v>0</v>
      </c>
    </row>
    <row r="62" spans="1:13" ht="15" customHeight="1">
      <c r="A62" s="25">
        <v>1396840</v>
      </c>
      <c r="B62" s="26" t="s">
        <v>5423</v>
      </c>
      <c r="C62" s="26" t="s">
        <v>5580</v>
      </c>
      <c r="D62" s="26" t="s">
        <v>5581</v>
      </c>
      <c r="E62" s="26" t="s">
        <v>5430</v>
      </c>
      <c r="F62" s="27">
        <v>2814993</v>
      </c>
      <c r="G62" s="27">
        <v>1</v>
      </c>
      <c r="H62" s="27">
        <v>0</v>
      </c>
      <c r="I62" s="27">
        <v>1</v>
      </c>
      <c r="J62" s="30">
        <f t="shared" si="0"/>
        <v>1</v>
      </c>
      <c r="K62" s="30">
        <f t="shared" si="1"/>
        <v>0</v>
      </c>
      <c r="L62" s="26">
        <f t="shared" si="2"/>
        <v>0</v>
      </c>
      <c r="M62" s="26"/>
    </row>
    <row r="63" spans="1:13" ht="15" customHeight="1">
      <c r="A63" s="25">
        <v>1397078</v>
      </c>
      <c r="B63" s="26" t="s">
        <v>5423</v>
      </c>
      <c r="C63" s="26" t="s">
        <v>5582</v>
      </c>
      <c r="D63" s="26" t="s">
        <v>5583</v>
      </c>
      <c r="E63" s="26" t="s">
        <v>5517</v>
      </c>
      <c r="F63" s="27">
        <v>5024720</v>
      </c>
      <c r="G63" s="27">
        <v>1</v>
      </c>
      <c r="H63" s="27">
        <v>0</v>
      </c>
      <c r="I63" s="27">
        <v>1</v>
      </c>
      <c r="J63" s="30">
        <f t="shared" si="0"/>
        <v>1</v>
      </c>
      <c r="K63" s="30">
        <f t="shared" si="1"/>
        <v>0</v>
      </c>
      <c r="L63" s="26">
        <f t="shared" si="2"/>
        <v>0</v>
      </c>
      <c r="M63" s="26"/>
    </row>
    <row r="64" spans="1:13" ht="15" customHeight="1">
      <c r="A64" s="25">
        <v>1397393</v>
      </c>
      <c r="B64" s="26" t="s">
        <v>5427</v>
      </c>
      <c r="C64" s="26" t="s">
        <v>5584</v>
      </c>
      <c r="D64" s="26" t="s">
        <v>5585</v>
      </c>
      <c r="E64" s="26" t="s">
        <v>5586</v>
      </c>
      <c r="F64" s="27">
        <v>5031560</v>
      </c>
      <c r="G64" s="27">
        <v>1</v>
      </c>
      <c r="H64" s="27">
        <v>1</v>
      </c>
      <c r="I64" s="27">
        <v>1</v>
      </c>
      <c r="J64" s="30">
        <f t="shared" si="0"/>
        <v>1</v>
      </c>
      <c r="K64" s="30">
        <f t="shared" si="1"/>
        <v>1</v>
      </c>
      <c r="L64" s="26">
        <f t="shared" si="2"/>
        <v>1</v>
      </c>
      <c r="M64" s="26"/>
    </row>
    <row r="65" spans="1:13" ht="15" customHeight="1">
      <c r="A65" s="25">
        <v>1397541</v>
      </c>
      <c r="B65" s="26" t="s">
        <v>5423</v>
      </c>
      <c r="C65" s="26" t="s">
        <v>5587</v>
      </c>
      <c r="D65" s="26" t="s">
        <v>5588</v>
      </c>
      <c r="E65" s="26" t="s">
        <v>5436</v>
      </c>
      <c r="F65" s="27">
        <v>5030843</v>
      </c>
      <c r="G65" s="27">
        <v>0</v>
      </c>
      <c r="H65" s="27">
        <v>0</v>
      </c>
      <c r="I65" s="27">
        <v>0</v>
      </c>
      <c r="J65" s="30">
        <f t="shared" si="0"/>
        <v>0</v>
      </c>
      <c r="K65" s="30">
        <f t="shared" si="1"/>
        <v>0</v>
      </c>
      <c r="L65" s="26">
        <f t="shared" si="2"/>
        <v>0</v>
      </c>
      <c r="M65" s="26">
        <v>0</v>
      </c>
    </row>
    <row r="66" spans="1:13" ht="15" customHeight="1">
      <c r="A66" s="25">
        <v>1397746</v>
      </c>
      <c r="B66" s="26" t="s">
        <v>5423</v>
      </c>
      <c r="C66" s="26" t="s">
        <v>5589</v>
      </c>
      <c r="D66" s="26" t="s">
        <v>5590</v>
      </c>
      <c r="E66" s="26" t="s">
        <v>5504</v>
      </c>
      <c r="F66" s="27">
        <v>5030799</v>
      </c>
      <c r="G66" s="27">
        <v>0</v>
      </c>
      <c r="H66" s="27">
        <v>0</v>
      </c>
      <c r="I66" s="27">
        <v>0</v>
      </c>
      <c r="J66" s="30">
        <f t="shared" ref="J66:J129" si="3">IF(G66&gt;0,1,0)</f>
        <v>0</v>
      </c>
      <c r="K66" s="30">
        <f t="shared" ref="K66:K129" si="4">IF(H66&gt;0,1,0)</f>
        <v>0</v>
      </c>
      <c r="L66" s="26">
        <f t="shared" ref="L66:L129" si="5">IF(G66&gt;0,IF(H66&gt;0,1,0),0)</f>
        <v>0</v>
      </c>
      <c r="M66" s="26">
        <v>0</v>
      </c>
    </row>
    <row r="67" spans="1:13" ht="15" customHeight="1">
      <c r="A67" s="25">
        <v>1397766</v>
      </c>
      <c r="B67" s="26" t="s">
        <v>5423</v>
      </c>
      <c r="C67" s="26" t="s">
        <v>5591</v>
      </c>
      <c r="D67" s="26" t="s">
        <v>5592</v>
      </c>
      <c r="E67" s="26" t="s">
        <v>5436</v>
      </c>
      <c r="F67" s="27">
        <v>5032270</v>
      </c>
      <c r="G67" s="27">
        <v>0</v>
      </c>
      <c r="H67" s="27">
        <v>0</v>
      </c>
      <c r="I67" s="27">
        <v>0</v>
      </c>
      <c r="J67" s="30">
        <f t="shared" si="3"/>
        <v>0</v>
      </c>
      <c r="K67" s="30">
        <f t="shared" si="4"/>
        <v>0</v>
      </c>
      <c r="L67" s="26">
        <f t="shared" si="5"/>
        <v>0</v>
      </c>
      <c r="M67" s="26">
        <v>0</v>
      </c>
    </row>
    <row r="68" spans="1:13" ht="15" customHeight="1">
      <c r="A68" s="25">
        <v>1397839</v>
      </c>
      <c r="B68" s="26" t="s">
        <v>5423</v>
      </c>
      <c r="C68" s="26" t="s">
        <v>5593</v>
      </c>
      <c r="D68" s="26" t="s">
        <v>5594</v>
      </c>
      <c r="E68" s="26" t="s">
        <v>5535</v>
      </c>
      <c r="F68" s="27">
        <v>5032747</v>
      </c>
      <c r="G68" s="27">
        <v>0</v>
      </c>
      <c r="H68" s="27">
        <v>0</v>
      </c>
      <c r="I68" s="27">
        <v>0</v>
      </c>
      <c r="J68" s="30">
        <f t="shared" si="3"/>
        <v>0</v>
      </c>
      <c r="K68" s="30">
        <f t="shared" si="4"/>
        <v>0</v>
      </c>
      <c r="L68" s="26">
        <f t="shared" si="5"/>
        <v>0</v>
      </c>
      <c r="M68" s="26">
        <v>0</v>
      </c>
    </row>
    <row r="69" spans="1:13" ht="15" customHeight="1">
      <c r="A69" s="25">
        <v>1397861</v>
      </c>
      <c r="B69" s="26" t="s">
        <v>5427</v>
      </c>
      <c r="C69" s="26" t="s">
        <v>5595</v>
      </c>
      <c r="D69" s="26" t="s">
        <v>5596</v>
      </c>
      <c r="E69" s="26" t="s">
        <v>5545</v>
      </c>
      <c r="F69" s="27">
        <v>1179606</v>
      </c>
      <c r="G69" s="27">
        <v>1</v>
      </c>
      <c r="H69" s="27">
        <v>0</v>
      </c>
      <c r="I69" s="27">
        <v>1</v>
      </c>
      <c r="J69" s="30">
        <f t="shared" si="3"/>
        <v>1</v>
      </c>
      <c r="K69" s="30">
        <f t="shared" si="4"/>
        <v>0</v>
      </c>
      <c r="L69" s="26">
        <f t="shared" si="5"/>
        <v>0</v>
      </c>
      <c r="M69" s="26"/>
    </row>
    <row r="70" spans="1:13" ht="15" customHeight="1">
      <c r="A70" s="25">
        <v>1398078</v>
      </c>
      <c r="B70" s="26" t="s">
        <v>5423</v>
      </c>
      <c r="C70" s="26" t="s">
        <v>5597</v>
      </c>
      <c r="D70" s="26" t="s">
        <v>5598</v>
      </c>
      <c r="E70" s="26" t="s">
        <v>5532</v>
      </c>
      <c r="F70" s="27">
        <v>5034890</v>
      </c>
      <c r="G70" s="27">
        <v>0</v>
      </c>
      <c r="H70" s="27">
        <v>0</v>
      </c>
      <c r="I70" s="27">
        <v>0</v>
      </c>
      <c r="J70" s="30">
        <f t="shared" si="3"/>
        <v>0</v>
      </c>
      <c r="K70" s="30">
        <f t="shared" si="4"/>
        <v>0</v>
      </c>
      <c r="L70" s="26">
        <f t="shared" si="5"/>
        <v>0</v>
      </c>
      <c r="M70" s="26">
        <v>0</v>
      </c>
    </row>
    <row r="71" spans="1:13" ht="15" customHeight="1">
      <c r="A71" s="25">
        <v>1398086</v>
      </c>
      <c r="B71" s="26" t="s">
        <v>5423</v>
      </c>
      <c r="C71" s="26" t="s">
        <v>5599</v>
      </c>
      <c r="D71" s="26" t="s">
        <v>5600</v>
      </c>
      <c r="E71" s="26" t="s">
        <v>5433</v>
      </c>
      <c r="F71" s="27">
        <v>5033469</v>
      </c>
      <c r="G71" s="27">
        <v>0</v>
      </c>
      <c r="H71" s="27">
        <v>0</v>
      </c>
      <c r="I71" s="27">
        <v>0</v>
      </c>
      <c r="J71" s="30">
        <f t="shared" si="3"/>
        <v>0</v>
      </c>
      <c r="K71" s="30">
        <f t="shared" si="4"/>
        <v>0</v>
      </c>
      <c r="L71" s="26">
        <f t="shared" si="5"/>
        <v>0</v>
      </c>
      <c r="M71" s="26">
        <v>0</v>
      </c>
    </row>
    <row r="72" spans="1:13" ht="15" customHeight="1">
      <c r="A72" s="25">
        <v>1398088</v>
      </c>
      <c r="B72" s="26" t="s">
        <v>5423</v>
      </c>
      <c r="C72" s="26" t="s">
        <v>5601</v>
      </c>
      <c r="D72" s="26" t="s">
        <v>5602</v>
      </c>
      <c r="E72" s="26" t="s">
        <v>5603</v>
      </c>
      <c r="F72" s="27">
        <v>5017127</v>
      </c>
      <c r="G72" s="27">
        <v>1</v>
      </c>
      <c r="H72" s="27">
        <v>0</v>
      </c>
      <c r="I72" s="27">
        <v>1</v>
      </c>
      <c r="J72" s="30">
        <f t="shared" si="3"/>
        <v>1</v>
      </c>
      <c r="K72" s="30">
        <f t="shared" si="4"/>
        <v>0</v>
      </c>
      <c r="L72" s="26">
        <f t="shared" si="5"/>
        <v>0</v>
      </c>
      <c r="M72" s="26"/>
    </row>
    <row r="73" spans="1:13" ht="15" customHeight="1">
      <c r="A73" s="25">
        <v>1398425</v>
      </c>
      <c r="B73" s="26" t="s">
        <v>5423</v>
      </c>
      <c r="C73" s="26" t="s">
        <v>5604</v>
      </c>
      <c r="D73" s="26" t="s">
        <v>5605</v>
      </c>
      <c r="E73" s="26" t="s">
        <v>5436</v>
      </c>
      <c r="F73" s="27">
        <v>5034361</v>
      </c>
      <c r="G73" s="27">
        <v>1</v>
      </c>
      <c r="H73" s="27">
        <v>0</v>
      </c>
      <c r="I73" s="27">
        <v>1</v>
      </c>
      <c r="J73" s="30">
        <f t="shared" si="3"/>
        <v>1</v>
      </c>
      <c r="K73" s="30">
        <f t="shared" si="4"/>
        <v>0</v>
      </c>
      <c r="L73" s="26">
        <f t="shared" si="5"/>
        <v>0</v>
      </c>
      <c r="M73" s="26"/>
    </row>
    <row r="74" spans="1:13" ht="15" customHeight="1">
      <c r="A74" s="25">
        <v>1398481</v>
      </c>
      <c r="B74" s="26" t="s">
        <v>5423</v>
      </c>
      <c r="C74" s="26" t="s">
        <v>5606</v>
      </c>
      <c r="D74" s="26" t="s">
        <v>5607</v>
      </c>
      <c r="E74" s="26" t="s">
        <v>5517</v>
      </c>
      <c r="F74" s="27">
        <v>5034470</v>
      </c>
      <c r="G74" s="27">
        <v>0</v>
      </c>
      <c r="H74" s="27">
        <v>0</v>
      </c>
      <c r="I74" s="27">
        <v>0</v>
      </c>
      <c r="J74" s="30">
        <f t="shared" si="3"/>
        <v>0</v>
      </c>
      <c r="K74" s="30">
        <f t="shared" si="4"/>
        <v>0</v>
      </c>
      <c r="L74" s="26">
        <f t="shared" si="5"/>
        <v>0</v>
      </c>
      <c r="M74" s="26">
        <v>0</v>
      </c>
    </row>
    <row r="75" spans="1:13" ht="15" customHeight="1">
      <c r="A75" s="25">
        <v>1398922</v>
      </c>
      <c r="B75" s="26" t="s">
        <v>5427</v>
      </c>
      <c r="C75" s="26" t="s">
        <v>5608</v>
      </c>
      <c r="D75" s="26" t="s">
        <v>5609</v>
      </c>
      <c r="E75" s="26" t="s">
        <v>5610</v>
      </c>
      <c r="F75" s="27">
        <v>2166029</v>
      </c>
      <c r="G75" s="27">
        <v>2</v>
      </c>
      <c r="H75" s="27">
        <v>0</v>
      </c>
      <c r="I75" s="27">
        <v>1</v>
      </c>
      <c r="J75" s="30">
        <f t="shared" si="3"/>
        <v>1</v>
      </c>
      <c r="K75" s="30">
        <f t="shared" si="4"/>
        <v>0</v>
      </c>
      <c r="L75" s="26">
        <f t="shared" si="5"/>
        <v>0</v>
      </c>
      <c r="M75" s="26" t="s">
        <v>5611</v>
      </c>
    </row>
    <row r="76" spans="1:13" ht="15" customHeight="1">
      <c r="A76" s="25">
        <v>1399010</v>
      </c>
      <c r="B76" s="26" t="s">
        <v>5427</v>
      </c>
      <c r="C76" s="26" t="s">
        <v>5612</v>
      </c>
      <c r="D76" s="26" t="s">
        <v>5613</v>
      </c>
      <c r="E76" s="26" t="s">
        <v>5504</v>
      </c>
      <c r="F76" s="27">
        <v>3615192</v>
      </c>
      <c r="G76" s="27">
        <v>1</v>
      </c>
      <c r="H76" s="27">
        <v>0</v>
      </c>
      <c r="I76" s="27">
        <v>1</v>
      </c>
      <c r="J76" s="30">
        <f t="shared" si="3"/>
        <v>1</v>
      </c>
      <c r="K76" s="30">
        <f t="shared" si="4"/>
        <v>0</v>
      </c>
      <c r="L76" s="26">
        <f t="shared" si="5"/>
        <v>0</v>
      </c>
      <c r="M76" s="26"/>
    </row>
    <row r="77" spans="1:13" ht="15" customHeight="1">
      <c r="A77" s="25">
        <v>1399429</v>
      </c>
      <c r="B77" s="26" t="s">
        <v>5423</v>
      </c>
      <c r="C77" s="26" t="s">
        <v>5614</v>
      </c>
      <c r="D77" s="26" t="s">
        <v>5615</v>
      </c>
      <c r="E77" s="26" t="s">
        <v>5426</v>
      </c>
      <c r="F77" s="27">
        <v>5038113</v>
      </c>
      <c r="G77" s="27">
        <v>1</v>
      </c>
      <c r="H77" s="27">
        <v>0</v>
      </c>
      <c r="I77" s="27">
        <v>1</v>
      </c>
      <c r="J77" s="30">
        <f t="shared" si="3"/>
        <v>1</v>
      </c>
      <c r="K77" s="30">
        <f t="shared" si="4"/>
        <v>0</v>
      </c>
      <c r="L77" s="26">
        <f t="shared" si="5"/>
        <v>0</v>
      </c>
      <c r="M77" s="26"/>
    </row>
    <row r="78" spans="1:13" ht="15" customHeight="1">
      <c r="A78" s="25">
        <v>1399575</v>
      </c>
      <c r="B78" s="26" t="s">
        <v>5423</v>
      </c>
      <c r="C78" s="26" t="s">
        <v>5616</v>
      </c>
      <c r="D78" s="26" t="s">
        <v>5617</v>
      </c>
      <c r="E78" s="26" t="s">
        <v>5458</v>
      </c>
      <c r="F78" s="27">
        <v>5036927</v>
      </c>
      <c r="G78" s="27">
        <v>0</v>
      </c>
      <c r="H78" s="27">
        <v>0</v>
      </c>
      <c r="I78" s="27">
        <v>0</v>
      </c>
      <c r="J78" s="30">
        <f t="shared" si="3"/>
        <v>0</v>
      </c>
      <c r="K78" s="30">
        <f t="shared" si="4"/>
        <v>0</v>
      </c>
      <c r="L78" s="26">
        <f t="shared" si="5"/>
        <v>0</v>
      </c>
      <c r="M78" s="26">
        <v>0</v>
      </c>
    </row>
    <row r="79" spans="1:13" ht="15" customHeight="1">
      <c r="A79" s="25">
        <v>1399583</v>
      </c>
      <c r="B79" s="26" t="s">
        <v>5423</v>
      </c>
      <c r="C79" s="26" t="s">
        <v>5618</v>
      </c>
      <c r="D79" s="26" t="s">
        <v>5619</v>
      </c>
      <c r="E79" s="26" t="s">
        <v>5603</v>
      </c>
      <c r="F79" s="27">
        <v>1734831</v>
      </c>
      <c r="G79" s="27">
        <v>1</v>
      </c>
      <c r="H79" s="27">
        <v>0</v>
      </c>
      <c r="I79" s="27">
        <v>1</v>
      </c>
      <c r="J79" s="30">
        <f t="shared" si="3"/>
        <v>1</v>
      </c>
      <c r="K79" s="30">
        <f t="shared" si="4"/>
        <v>0</v>
      </c>
      <c r="L79" s="26">
        <f t="shared" si="5"/>
        <v>0</v>
      </c>
      <c r="M79" s="26"/>
    </row>
    <row r="80" spans="1:13" ht="15" customHeight="1">
      <c r="A80" s="25">
        <v>1399616</v>
      </c>
      <c r="B80" s="26" t="s">
        <v>5423</v>
      </c>
      <c r="C80" s="26" t="s">
        <v>5620</v>
      </c>
      <c r="D80" s="26" t="s">
        <v>5621</v>
      </c>
      <c r="E80" s="26" t="s">
        <v>5586</v>
      </c>
      <c r="F80" s="27">
        <v>1575081</v>
      </c>
      <c r="G80" s="27">
        <v>0</v>
      </c>
      <c r="H80" s="27">
        <v>0</v>
      </c>
      <c r="I80" s="27">
        <v>0</v>
      </c>
      <c r="J80" s="30">
        <f t="shared" si="3"/>
        <v>0</v>
      </c>
      <c r="K80" s="30">
        <f t="shared" si="4"/>
        <v>0</v>
      </c>
      <c r="L80" s="26">
        <f t="shared" si="5"/>
        <v>0</v>
      </c>
      <c r="M80" s="26">
        <v>0</v>
      </c>
    </row>
    <row r="81" spans="1:13" ht="15" customHeight="1">
      <c r="A81" s="25" t="s">
        <v>5622</v>
      </c>
      <c r="B81" s="26" t="s">
        <v>5423</v>
      </c>
      <c r="C81" s="26" t="s">
        <v>5623</v>
      </c>
      <c r="D81" s="26" t="s">
        <v>5624</v>
      </c>
      <c r="E81" s="26" t="s">
        <v>5442</v>
      </c>
      <c r="F81" s="27">
        <v>5037219</v>
      </c>
      <c r="G81" s="27">
        <v>0</v>
      </c>
      <c r="H81" s="27">
        <v>1</v>
      </c>
      <c r="I81" s="27">
        <v>1</v>
      </c>
      <c r="J81" s="30">
        <f t="shared" si="3"/>
        <v>0</v>
      </c>
      <c r="K81" s="30">
        <f t="shared" si="4"/>
        <v>1</v>
      </c>
      <c r="L81" s="26">
        <f t="shared" si="5"/>
        <v>0</v>
      </c>
      <c r="M81" s="26"/>
    </row>
    <row r="82" spans="1:13" ht="15" customHeight="1">
      <c r="A82" s="25" t="s">
        <v>5625</v>
      </c>
      <c r="B82" s="26" t="s">
        <v>5423</v>
      </c>
      <c r="C82" s="26" t="s">
        <v>5626</v>
      </c>
      <c r="D82" s="26" t="s">
        <v>5627</v>
      </c>
      <c r="E82" s="26" t="s">
        <v>5491</v>
      </c>
      <c r="F82" s="27">
        <v>5030301</v>
      </c>
      <c r="G82" s="27">
        <v>1</v>
      </c>
      <c r="H82" s="27">
        <v>1</v>
      </c>
      <c r="I82" s="27">
        <v>1</v>
      </c>
      <c r="J82" s="30">
        <f t="shared" si="3"/>
        <v>1</v>
      </c>
      <c r="K82" s="30">
        <f t="shared" si="4"/>
        <v>1</v>
      </c>
      <c r="L82" s="26">
        <f t="shared" si="5"/>
        <v>1</v>
      </c>
      <c r="M82" s="26"/>
    </row>
    <row r="83" spans="1:13" ht="15" customHeight="1">
      <c r="A83" s="25" t="s">
        <v>5628</v>
      </c>
      <c r="B83" s="26" t="s">
        <v>5427</v>
      </c>
      <c r="C83" s="26" t="s">
        <v>5629</v>
      </c>
      <c r="D83" s="26" t="s">
        <v>5630</v>
      </c>
      <c r="E83" s="26" t="s">
        <v>5475</v>
      </c>
      <c r="F83" s="27">
        <v>5010555</v>
      </c>
      <c r="G83" s="27">
        <v>1</v>
      </c>
      <c r="H83" s="27">
        <v>0</v>
      </c>
      <c r="I83" s="27">
        <v>1</v>
      </c>
      <c r="J83" s="30">
        <f t="shared" si="3"/>
        <v>1</v>
      </c>
      <c r="K83" s="30">
        <f t="shared" si="4"/>
        <v>0</v>
      </c>
      <c r="L83" s="26">
        <f t="shared" si="5"/>
        <v>0</v>
      </c>
      <c r="M83" s="26"/>
    </row>
    <row r="84" spans="1:13" ht="15" customHeight="1">
      <c r="A84" s="25" t="s">
        <v>5631</v>
      </c>
      <c r="B84" s="26" t="s">
        <v>5427</v>
      </c>
      <c r="C84" s="26" t="s">
        <v>5632</v>
      </c>
      <c r="D84" s="26" t="s">
        <v>5633</v>
      </c>
      <c r="E84" s="26" t="s">
        <v>5550</v>
      </c>
      <c r="F84" s="27">
        <v>5001710</v>
      </c>
      <c r="G84" s="27">
        <v>2</v>
      </c>
      <c r="H84" s="27">
        <v>2</v>
      </c>
      <c r="I84" s="27">
        <v>1</v>
      </c>
      <c r="J84" s="30">
        <f t="shared" si="3"/>
        <v>1</v>
      </c>
      <c r="K84" s="30">
        <f t="shared" si="4"/>
        <v>1</v>
      </c>
      <c r="L84" s="26">
        <f t="shared" si="5"/>
        <v>1</v>
      </c>
      <c r="M84" s="26" t="s">
        <v>5634</v>
      </c>
    </row>
    <row r="85" spans="1:13" ht="15" customHeight="1">
      <c r="A85" s="25" t="s">
        <v>5635</v>
      </c>
      <c r="B85" s="26" t="s">
        <v>5423</v>
      </c>
      <c r="C85" s="26" t="s">
        <v>5636</v>
      </c>
      <c r="D85" s="26" t="s">
        <v>5637</v>
      </c>
      <c r="E85" s="26" t="s">
        <v>5504</v>
      </c>
      <c r="F85" s="27">
        <v>5040627</v>
      </c>
      <c r="G85" s="27">
        <v>1</v>
      </c>
      <c r="H85" s="27">
        <v>0</v>
      </c>
      <c r="I85" s="27">
        <v>1</v>
      </c>
      <c r="J85" s="30">
        <f t="shared" si="3"/>
        <v>1</v>
      </c>
      <c r="K85" s="30">
        <f t="shared" si="4"/>
        <v>0</v>
      </c>
      <c r="L85" s="26">
        <f t="shared" si="5"/>
        <v>0</v>
      </c>
      <c r="M85" s="26"/>
    </row>
    <row r="86" spans="1:13" ht="15" customHeight="1">
      <c r="A86" s="25" t="s">
        <v>5638</v>
      </c>
      <c r="B86" s="26" t="s">
        <v>5423</v>
      </c>
      <c r="C86" s="26" t="s">
        <v>5639</v>
      </c>
      <c r="D86" s="26" t="s">
        <v>5640</v>
      </c>
      <c r="E86" s="26" t="s">
        <v>5532</v>
      </c>
      <c r="F86" s="27">
        <v>4778992</v>
      </c>
      <c r="G86" s="27">
        <v>2</v>
      </c>
      <c r="H86" s="27">
        <v>0</v>
      </c>
      <c r="I86" s="27">
        <v>1</v>
      </c>
      <c r="J86" s="30">
        <f t="shared" si="3"/>
        <v>1</v>
      </c>
      <c r="K86" s="30">
        <f t="shared" si="4"/>
        <v>0</v>
      </c>
      <c r="L86" s="26">
        <f t="shared" si="5"/>
        <v>0</v>
      </c>
      <c r="M86" s="26" t="s">
        <v>5611</v>
      </c>
    </row>
    <row r="87" spans="1:13" ht="15" customHeight="1">
      <c r="A87" s="25" t="s">
        <v>5641</v>
      </c>
      <c r="B87" s="26" t="s">
        <v>5423</v>
      </c>
      <c r="C87" s="26" t="s">
        <v>5642</v>
      </c>
      <c r="D87" s="26" t="s">
        <v>5643</v>
      </c>
      <c r="E87" s="26" t="s">
        <v>5522</v>
      </c>
      <c r="F87" s="27">
        <v>5038410</v>
      </c>
      <c r="G87" s="27">
        <v>1</v>
      </c>
      <c r="H87" s="27">
        <v>0</v>
      </c>
      <c r="I87" s="27">
        <v>1</v>
      </c>
      <c r="J87" s="30">
        <f t="shared" si="3"/>
        <v>1</v>
      </c>
      <c r="K87" s="30">
        <f t="shared" si="4"/>
        <v>0</v>
      </c>
      <c r="L87" s="26">
        <f t="shared" si="5"/>
        <v>0</v>
      </c>
      <c r="M87" s="26"/>
    </row>
    <row r="88" spans="1:13" ht="15" customHeight="1">
      <c r="A88" s="25" t="s">
        <v>5644</v>
      </c>
      <c r="B88" s="26" t="s">
        <v>5427</v>
      </c>
      <c r="C88" s="26" t="s">
        <v>5645</v>
      </c>
      <c r="D88" s="26" t="s">
        <v>5646</v>
      </c>
      <c r="E88" s="26" t="s">
        <v>5433</v>
      </c>
      <c r="F88" s="27">
        <v>5019640</v>
      </c>
      <c r="G88" s="27">
        <v>0</v>
      </c>
      <c r="H88" s="27">
        <v>1</v>
      </c>
      <c r="I88" s="27">
        <v>1</v>
      </c>
      <c r="J88" s="30">
        <f t="shared" si="3"/>
        <v>0</v>
      </c>
      <c r="K88" s="30">
        <f t="shared" si="4"/>
        <v>1</v>
      </c>
      <c r="L88" s="26">
        <f t="shared" si="5"/>
        <v>0</v>
      </c>
      <c r="M88" s="26"/>
    </row>
    <row r="89" spans="1:13" ht="15" customHeight="1">
      <c r="A89" s="25" t="s">
        <v>5647</v>
      </c>
      <c r="B89" s="26" t="s">
        <v>5423</v>
      </c>
      <c r="C89" s="26" t="s">
        <v>5648</v>
      </c>
      <c r="D89" s="26" t="s">
        <v>5649</v>
      </c>
      <c r="E89" s="26" t="s">
        <v>5430</v>
      </c>
      <c r="F89" s="27">
        <v>2814993</v>
      </c>
      <c r="G89" s="27">
        <v>3</v>
      </c>
      <c r="H89" s="27">
        <v>0</v>
      </c>
      <c r="I89" s="27">
        <v>1</v>
      </c>
      <c r="J89" s="30">
        <f t="shared" si="3"/>
        <v>1</v>
      </c>
      <c r="K89" s="30">
        <f t="shared" si="4"/>
        <v>0</v>
      </c>
      <c r="L89" s="26">
        <f t="shared" si="5"/>
        <v>0</v>
      </c>
      <c r="M89" s="26" t="s">
        <v>5650</v>
      </c>
    </row>
    <row r="90" spans="1:13" ht="15" customHeight="1">
      <c r="A90" s="25" t="s">
        <v>5651</v>
      </c>
      <c r="B90" s="26" t="s">
        <v>5427</v>
      </c>
      <c r="C90" s="26" t="s">
        <v>5652</v>
      </c>
      <c r="D90" s="26" t="s">
        <v>5653</v>
      </c>
      <c r="E90" s="26" t="s">
        <v>5654</v>
      </c>
      <c r="F90" s="27">
        <v>3962101</v>
      </c>
      <c r="G90" s="27">
        <v>1</v>
      </c>
      <c r="H90" s="27">
        <v>0</v>
      </c>
      <c r="I90" s="27">
        <v>1</v>
      </c>
      <c r="J90" s="30">
        <f t="shared" si="3"/>
        <v>1</v>
      </c>
      <c r="K90" s="30">
        <f t="shared" si="4"/>
        <v>0</v>
      </c>
      <c r="L90" s="26">
        <f t="shared" si="5"/>
        <v>0</v>
      </c>
      <c r="M90" s="26"/>
    </row>
    <row r="91" spans="1:13" ht="15" customHeight="1">
      <c r="A91" s="25" t="s">
        <v>5655</v>
      </c>
      <c r="B91" s="26" t="s">
        <v>5423</v>
      </c>
      <c r="C91" s="26" t="s">
        <v>5656</v>
      </c>
      <c r="D91" s="26" t="s">
        <v>5657</v>
      </c>
      <c r="E91" s="26" t="s">
        <v>5535</v>
      </c>
      <c r="F91" s="27">
        <v>4576432</v>
      </c>
      <c r="G91" s="27">
        <v>2</v>
      </c>
      <c r="H91" s="27">
        <v>0</v>
      </c>
      <c r="I91" s="27">
        <v>1</v>
      </c>
      <c r="J91" s="30">
        <f t="shared" si="3"/>
        <v>1</v>
      </c>
      <c r="K91" s="30">
        <f t="shared" si="4"/>
        <v>0</v>
      </c>
      <c r="L91" s="26">
        <f t="shared" si="5"/>
        <v>0</v>
      </c>
      <c r="M91" s="26" t="s">
        <v>5611</v>
      </c>
    </row>
    <row r="92" spans="1:13" ht="15" customHeight="1">
      <c r="A92" s="25" t="s">
        <v>5658</v>
      </c>
      <c r="B92" s="26" t="s">
        <v>5423</v>
      </c>
      <c r="C92" s="26" t="s">
        <v>5659</v>
      </c>
      <c r="D92" s="26" t="s">
        <v>5660</v>
      </c>
      <c r="E92" s="26" t="s">
        <v>5504</v>
      </c>
      <c r="F92" s="27">
        <v>4970404</v>
      </c>
      <c r="G92" s="27">
        <v>1</v>
      </c>
      <c r="H92" s="27">
        <v>0</v>
      </c>
      <c r="I92" s="27">
        <v>1</v>
      </c>
      <c r="J92" s="30">
        <f t="shared" si="3"/>
        <v>1</v>
      </c>
      <c r="K92" s="30">
        <f t="shared" si="4"/>
        <v>0</v>
      </c>
      <c r="L92" s="26">
        <f t="shared" si="5"/>
        <v>0</v>
      </c>
      <c r="M92" s="26"/>
    </row>
    <row r="93" spans="1:13" ht="15" customHeight="1">
      <c r="A93" s="25" t="s">
        <v>5661</v>
      </c>
      <c r="B93" s="26" t="s">
        <v>5423</v>
      </c>
      <c r="C93" s="26" t="s">
        <v>5662</v>
      </c>
      <c r="D93" s="26" t="s">
        <v>5663</v>
      </c>
      <c r="E93" s="26" t="s">
        <v>5504</v>
      </c>
      <c r="F93" s="27">
        <v>5027269</v>
      </c>
      <c r="G93" s="27">
        <v>1</v>
      </c>
      <c r="H93" s="27">
        <v>0</v>
      </c>
      <c r="I93" s="27">
        <v>1</v>
      </c>
      <c r="J93" s="30">
        <f t="shared" si="3"/>
        <v>1</v>
      </c>
      <c r="K93" s="30">
        <f t="shared" si="4"/>
        <v>0</v>
      </c>
      <c r="L93" s="26">
        <f t="shared" si="5"/>
        <v>0</v>
      </c>
      <c r="M93" s="26"/>
    </row>
    <row r="94" spans="1:13" ht="15" customHeight="1">
      <c r="A94" s="25" t="s">
        <v>5664</v>
      </c>
      <c r="B94" s="26" t="s">
        <v>5423</v>
      </c>
      <c r="C94" s="26" t="s">
        <v>5665</v>
      </c>
      <c r="D94" s="26" t="s">
        <v>5666</v>
      </c>
      <c r="E94" s="26" t="s">
        <v>5475</v>
      </c>
      <c r="F94" s="27">
        <v>5036818</v>
      </c>
      <c r="G94" s="27">
        <v>0</v>
      </c>
      <c r="H94" s="27">
        <v>0</v>
      </c>
      <c r="I94" s="27">
        <v>0</v>
      </c>
      <c r="J94" s="30">
        <f t="shared" si="3"/>
        <v>0</v>
      </c>
      <c r="K94" s="30">
        <f t="shared" si="4"/>
        <v>0</v>
      </c>
      <c r="L94" s="26">
        <f t="shared" si="5"/>
        <v>0</v>
      </c>
      <c r="M94" s="26">
        <v>0</v>
      </c>
    </row>
    <row r="95" spans="1:13" ht="15" customHeight="1">
      <c r="A95" s="25" t="s">
        <v>5667</v>
      </c>
      <c r="B95" s="26" t="s">
        <v>5423</v>
      </c>
      <c r="C95" s="26" t="s">
        <v>5668</v>
      </c>
      <c r="D95" s="26" t="s">
        <v>5669</v>
      </c>
      <c r="E95" s="26" t="s">
        <v>5485</v>
      </c>
      <c r="F95" s="27">
        <v>5035400</v>
      </c>
      <c r="G95" s="27">
        <v>0</v>
      </c>
      <c r="H95" s="27">
        <v>0</v>
      </c>
      <c r="I95" s="27">
        <v>0</v>
      </c>
      <c r="J95" s="30">
        <f t="shared" si="3"/>
        <v>0</v>
      </c>
      <c r="K95" s="30">
        <f t="shared" si="4"/>
        <v>0</v>
      </c>
      <c r="L95" s="26">
        <f t="shared" si="5"/>
        <v>0</v>
      </c>
      <c r="M95" s="26">
        <v>0</v>
      </c>
    </row>
    <row r="96" spans="1:13" ht="15" customHeight="1">
      <c r="A96" s="25" t="s">
        <v>5670</v>
      </c>
      <c r="B96" s="26" t="s">
        <v>5423</v>
      </c>
      <c r="C96" s="26" t="s">
        <v>5671</v>
      </c>
      <c r="D96" s="26" t="s">
        <v>5672</v>
      </c>
      <c r="E96" s="26" t="s">
        <v>5436</v>
      </c>
      <c r="F96" s="27">
        <v>5042426</v>
      </c>
      <c r="G96" s="27">
        <v>0</v>
      </c>
      <c r="H96" s="27">
        <v>0</v>
      </c>
      <c r="I96" s="27">
        <v>0</v>
      </c>
      <c r="J96" s="30">
        <f t="shared" si="3"/>
        <v>0</v>
      </c>
      <c r="K96" s="30">
        <f t="shared" si="4"/>
        <v>0</v>
      </c>
      <c r="L96" s="26">
        <f t="shared" si="5"/>
        <v>0</v>
      </c>
      <c r="M96" s="26">
        <v>0</v>
      </c>
    </row>
    <row r="97" spans="1:13" ht="15" customHeight="1">
      <c r="A97" s="25" t="s">
        <v>5673</v>
      </c>
      <c r="B97" s="26" t="s">
        <v>5423</v>
      </c>
      <c r="C97" s="26" t="s">
        <v>5674</v>
      </c>
      <c r="D97" s="26" t="s">
        <v>5675</v>
      </c>
      <c r="E97" s="26" t="s">
        <v>5532</v>
      </c>
      <c r="F97" s="27">
        <v>5048342</v>
      </c>
      <c r="G97" s="27">
        <v>0</v>
      </c>
      <c r="H97" s="27">
        <v>0</v>
      </c>
      <c r="I97" s="27">
        <v>0</v>
      </c>
      <c r="J97" s="30">
        <f t="shared" si="3"/>
        <v>0</v>
      </c>
      <c r="K97" s="30">
        <f t="shared" si="4"/>
        <v>0</v>
      </c>
      <c r="L97" s="26">
        <f t="shared" si="5"/>
        <v>0</v>
      </c>
      <c r="M97" s="26">
        <v>0</v>
      </c>
    </row>
    <row r="98" spans="1:13" ht="15" customHeight="1">
      <c r="A98" s="25" t="s">
        <v>5676</v>
      </c>
      <c r="B98" s="26" t="s">
        <v>5423</v>
      </c>
      <c r="C98" s="26" t="s">
        <v>5677</v>
      </c>
      <c r="D98" s="26" t="s">
        <v>5678</v>
      </c>
      <c r="E98" s="26" t="s">
        <v>5679</v>
      </c>
      <c r="F98" s="27">
        <v>5044745</v>
      </c>
      <c r="G98" s="27">
        <v>0</v>
      </c>
      <c r="H98" s="27">
        <v>0</v>
      </c>
      <c r="I98" s="27">
        <v>0</v>
      </c>
      <c r="J98" s="30">
        <f t="shared" si="3"/>
        <v>0</v>
      </c>
      <c r="K98" s="30">
        <f t="shared" si="4"/>
        <v>0</v>
      </c>
      <c r="L98" s="26">
        <f t="shared" si="5"/>
        <v>0</v>
      </c>
      <c r="M98" s="26">
        <v>0</v>
      </c>
    </row>
    <row r="99" spans="1:13" ht="15" customHeight="1">
      <c r="A99" s="25" t="s">
        <v>5680</v>
      </c>
      <c r="B99" s="26" t="s">
        <v>5423</v>
      </c>
      <c r="C99" s="26" t="s">
        <v>5681</v>
      </c>
      <c r="D99" s="26" t="s">
        <v>5682</v>
      </c>
      <c r="E99" s="26" t="s">
        <v>5683</v>
      </c>
      <c r="F99" s="27">
        <v>4950359</v>
      </c>
      <c r="G99" s="27">
        <v>2</v>
      </c>
      <c r="H99" s="27">
        <v>1</v>
      </c>
      <c r="I99" s="27">
        <v>1</v>
      </c>
      <c r="J99" s="30">
        <f t="shared" si="3"/>
        <v>1</v>
      </c>
      <c r="K99" s="30">
        <f t="shared" si="4"/>
        <v>1</v>
      </c>
      <c r="L99" s="26">
        <f t="shared" si="5"/>
        <v>1</v>
      </c>
      <c r="M99" s="26" t="s">
        <v>5611</v>
      </c>
    </row>
    <row r="100" spans="1:13" ht="15" customHeight="1">
      <c r="A100" s="25" t="s">
        <v>5684</v>
      </c>
      <c r="B100" s="26" t="s">
        <v>5423</v>
      </c>
      <c r="C100" s="26" t="s">
        <v>5685</v>
      </c>
      <c r="D100" s="26" t="s">
        <v>5686</v>
      </c>
      <c r="E100" s="26" t="s">
        <v>5442</v>
      </c>
      <c r="F100" s="27">
        <v>5044845</v>
      </c>
      <c r="G100" s="27">
        <v>0</v>
      </c>
      <c r="H100" s="27">
        <v>0</v>
      </c>
      <c r="I100" s="27">
        <v>0</v>
      </c>
      <c r="J100" s="30">
        <f t="shared" si="3"/>
        <v>0</v>
      </c>
      <c r="K100" s="30">
        <f t="shared" si="4"/>
        <v>0</v>
      </c>
      <c r="L100" s="26">
        <f t="shared" si="5"/>
        <v>0</v>
      </c>
      <c r="M100" s="26">
        <v>0</v>
      </c>
    </row>
    <row r="101" spans="1:13" ht="15" customHeight="1">
      <c r="A101" s="25">
        <v>1402872</v>
      </c>
      <c r="B101" s="26" t="s">
        <v>5423</v>
      </c>
      <c r="C101" s="26" t="s">
        <v>5687</v>
      </c>
      <c r="D101" s="26" t="s">
        <v>5688</v>
      </c>
      <c r="E101" s="26" t="s">
        <v>5654</v>
      </c>
      <c r="F101" s="27">
        <v>5029887</v>
      </c>
      <c r="G101" s="27">
        <v>1</v>
      </c>
      <c r="H101" s="27">
        <v>0</v>
      </c>
      <c r="I101" s="27">
        <v>1</v>
      </c>
      <c r="J101" s="30">
        <f t="shared" si="3"/>
        <v>1</v>
      </c>
      <c r="K101" s="30">
        <f t="shared" si="4"/>
        <v>0</v>
      </c>
      <c r="L101" s="26">
        <f t="shared" si="5"/>
        <v>0</v>
      </c>
      <c r="M101" s="26"/>
    </row>
    <row r="102" spans="1:13" ht="15" customHeight="1">
      <c r="A102" s="25">
        <v>1403104</v>
      </c>
      <c r="B102" s="26" t="s">
        <v>5423</v>
      </c>
      <c r="C102" s="26" t="s">
        <v>5689</v>
      </c>
      <c r="D102" s="26" t="s">
        <v>5690</v>
      </c>
      <c r="E102" s="26" t="s">
        <v>5430</v>
      </c>
      <c r="F102" s="27">
        <v>5039015</v>
      </c>
      <c r="G102" s="27">
        <v>1</v>
      </c>
      <c r="H102" s="27">
        <v>0</v>
      </c>
      <c r="I102" s="27">
        <v>1</v>
      </c>
      <c r="J102" s="30">
        <f t="shared" si="3"/>
        <v>1</v>
      </c>
      <c r="K102" s="30">
        <f t="shared" si="4"/>
        <v>0</v>
      </c>
      <c r="L102" s="26">
        <f t="shared" si="5"/>
        <v>0</v>
      </c>
      <c r="M102" s="26"/>
    </row>
    <row r="103" spans="1:13" ht="15" customHeight="1">
      <c r="A103" s="25">
        <v>1403134</v>
      </c>
      <c r="B103" s="26" t="s">
        <v>5423</v>
      </c>
      <c r="C103" s="26" t="s">
        <v>5691</v>
      </c>
      <c r="D103" s="26" t="s">
        <v>5692</v>
      </c>
      <c r="E103" s="26" t="s">
        <v>5560</v>
      </c>
      <c r="F103" s="27">
        <v>4437803</v>
      </c>
      <c r="G103" s="27">
        <v>1</v>
      </c>
      <c r="H103" s="27">
        <v>0</v>
      </c>
      <c r="I103" s="27">
        <v>1</v>
      </c>
      <c r="J103" s="30">
        <f t="shared" si="3"/>
        <v>1</v>
      </c>
      <c r="K103" s="30">
        <f t="shared" si="4"/>
        <v>0</v>
      </c>
      <c r="L103" s="26">
        <f t="shared" si="5"/>
        <v>0</v>
      </c>
      <c r="M103" s="26"/>
    </row>
    <row r="104" spans="1:13" ht="15" customHeight="1">
      <c r="A104" s="25">
        <v>1403203</v>
      </c>
      <c r="B104" s="26" t="s">
        <v>5423</v>
      </c>
      <c r="C104" s="26" t="s">
        <v>5693</v>
      </c>
      <c r="D104" s="26" t="s">
        <v>5694</v>
      </c>
      <c r="E104" s="26" t="s">
        <v>5452</v>
      </c>
      <c r="F104" s="27">
        <v>5047440</v>
      </c>
      <c r="G104" s="27">
        <v>0</v>
      </c>
      <c r="H104" s="27">
        <v>0</v>
      </c>
      <c r="I104" s="27">
        <v>0</v>
      </c>
      <c r="J104" s="30">
        <f t="shared" si="3"/>
        <v>0</v>
      </c>
      <c r="K104" s="30">
        <f t="shared" si="4"/>
        <v>0</v>
      </c>
      <c r="L104" s="26">
        <f t="shared" si="5"/>
        <v>0</v>
      </c>
      <c r="M104" s="26">
        <v>0</v>
      </c>
    </row>
    <row r="105" spans="1:13" ht="15" customHeight="1">
      <c r="A105" s="25">
        <v>1403578</v>
      </c>
      <c r="B105" s="26" t="s">
        <v>5427</v>
      </c>
      <c r="C105" s="26" t="s">
        <v>5695</v>
      </c>
      <c r="D105" s="26" t="s">
        <v>5696</v>
      </c>
      <c r="E105" s="26" t="s">
        <v>5458</v>
      </c>
      <c r="F105" s="27">
        <v>4985370</v>
      </c>
      <c r="G105" s="27">
        <v>1</v>
      </c>
      <c r="H105" s="27">
        <v>0</v>
      </c>
      <c r="I105" s="27">
        <v>1</v>
      </c>
      <c r="J105" s="30">
        <f t="shared" si="3"/>
        <v>1</v>
      </c>
      <c r="K105" s="30">
        <f t="shared" si="4"/>
        <v>0</v>
      </c>
      <c r="L105" s="26">
        <f t="shared" si="5"/>
        <v>0</v>
      </c>
      <c r="M105" s="26"/>
    </row>
    <row r="106" spans="1:13" ht="15" customHeight="1">
      <c r="A106" s="25">
        <v>1404820</v>
      </c>
      <c r="B106" s="26" t="s">
        <v>5423</v>
      </c>
      <c r="C106" s="26" t="s">
        <v>5697</v>
      </c>
      <c r="D106" s="26" t="s">
        <v>5698</v>
      </c>
      <c r="E106" s="26" t="s">
        <v>5426</v>
      </c>
      <c r="F106" s="27">
        <v>4996253</v>
      </c>
      <c r="G106" s="27">
        <v>0</v>
      </c>
      <c r="H106" s="27">
        <v>0</v>
      </c>
      <c r="I106" s="27">
        <v>0</v>
      </c>
      <c r="J106" s="30">
        <f t="shared" si="3"/>
        <v>0</v>
      </c>
      <c r="K106" s="30">
        <f t="shared" si="4"/>
        <v>0</v>
      </c>
      <c r="L106" s="26">
        <f t="shared" si="5"/>
        <v>0</v>
      </c>
      <c r="M106" s="26">
        <v>0</v>
      </c>
    </row>
    <row r="107" spans="1:13" ht="15" customHeight="1">
      <c r="A107" s="25">
        <v>1404954</v>
      </c>
      <c r="B107" s="26" t="s">
        <v>5423</v>
      </c>
      <c r="C107" s="26" t="s">
        <v>5699</v>
      </c>
      <c r="D107" s="26" t="s">
        <v>5700</v>
      </c>
      <c r="E107" s="26" t="s">
        <v>5488</v>
      </c>
      <c r="F107" s="27">
        <v>5052800</v>
      </c>
      <c r="G107" s="27">
        <v>1</v>
      </c>
      <c r="H107" s="27">
        <v>0</v>
      </c>
      <c r="I107" s="27">
        <v>1</v>
      </c>
      <c r="J107" s="30">
        <f t="shared" si="3"/>
        <v>1</v>
      </c>
      <c r="K107" s="30">
        <f t="shared" si="4"/>
        <v>0</v>
      </c>
      <c r="L107" s="26">
        <f t="shared" si="5"/>
        <v>0</v>
      </c>
      <c r="M107" s="26"/>
    </row>
    <row r="108" spans="1:13" ht="15" customHeight="1">
      <c r="A108" s="25">
        <v>1404957</v>
      </c>
      <c r="B108" s="26" t="s">
        <v>5427</v>
      </c>
      <c r="C108" s="26" t="s">
        <v>5701</v>
      </c>
      <c r="D108" s="26" t="s">
        <v>5702</v>
      </c>
      <c r="E108" s="26" t="s">
        <v>5560</v>
      </c>
      <c r="F108" s="27">
        <v>5051338</v>
      </c>
      <c r="G108" s="27">
        <v>0</v>
      </c>
      <c r="H108" s="27">
        <v>0</v>
      </c>
      <c r="I108" s="27">
        <v>0</v>
      </c>
      <c r="J108" s="30">
        <f t="shared" si="3"/>
        <v>0</v>
      </c>
      <c r="K108" s="30">
        <f t="shared" si="4"/>
        <v>0</v>
      </c>
      <c r="L108" s="26">
        <f t="shared" si="5"/>
        <v>0</v>
      </c>
      <c r="M108" s="26">
        <v>0</v>
      </c>
    </row>
    <row r="109" spans="1:13" ht="15" customHeight="1">
      <c r="A109" s="25">
        <v>1405634</v>
      </c>
      <c r="B109" s="26" t="s">
        <v>5427</v>
      </c>
      <c r="C109" s="26" t="s">
        <v>5703</v>
      </c>
      <c r="D109" s="26" t="s">
        <v>5704</v>
      </c>
      <c r="E109" s="26" t="s">
        <v>5485</v>
      </c>
      <c r="F109" s="27">
        <v>2811579</v>
      </c>
      <c r="G109" s="27">
        <v>1</v>
      </c>
      <c r="H109" s="27">
        <v>0</v>
      </c>
      <c r="I109" s="27">
        <v>1</v>
      </c>
      <c r="J109" s="30">
        <f t="shared" si="3"/>
        <v>1</v>
      </c>
      <c r="K109" s="30">
        <f t="shared" si="4"/>
        <v>0</v>
      </c>
      <c r="L109" s="26">
        <f t="shared" si="5"/>
        <v>0</v>
      </c>
      <c r="M109" s="26"/>
    </row>
    <row r="110" spans="1:13" ht="15" customHeight="1">
      <c r="A110" s="25">
        <v>1405881</v>
      </c>
      <c r="B110" s="26" t="s">
        <v>5427</v>
      </c>
      <c r="C110" s="26" t="s">
        <v>5705</v>
      </c>
      <c r="D110" s="26" t="s">
        <v>5706</v>
      </c>
      <c r="E110" s="26" t="s">
        <v>5707</v>
      </c>
      <c r="F110" s="27">
        <v>5051292</v>
      </c>
      <c r="G110" s="27">
        <v>1</v>
      </c>
      <c r="H110" s="27">
        <v>0</v>
      </c>
      <c r="I110" s="27">
        <v>1</v>
      </c>
      <c r="J110" s="30">
        <f t="shared" si="3"/>
        <v>1</v>
      </c>
      <c r="K110" s="30">
        <f t="shared" si="4"/>
        <v>0</v>
      </c>
      <c r="L110" s="26">
        <f t="shared" si="5"/>
        <v>0</v>
      </c>
      <c r="M110" s="26"/>
    </row>
    <row r="111" spans="1:13" ht="15" customHeight="1">
      <c r="A111" s="25">
        <v>1405948</v>
      </c>
      <c r="B111" s="26" t="s">
        <v>5423</v>
      </c>
      <c r="C111" s="26" t="s">
        <v>5708</v>
      </c>
      <c r="D111" s="26" t="s">
        <v>5709</v>
      </c>
      <c r="E111" s="26" t="s">
        <v>5522</v>
      </c>
      <c r="F111" s="27">
        <v>3956339</v>
      </c>
      <c r="G111" s="27">
        <v>1</v>
      </c>
      <c r="H111" s="27">
        <v>0</v>
      </c>
      <c r="I111" s="27">
        <v>1</v>
      </c>
      <c r="J111" s="30">
        <f t="shared" si="3"/>
        <v>1</v>
      </c>
      <c r="K111" s="30">
        <f t="shared" si="4"/>
        <v>0</v>
      </c>
      <c r="L111" s="26">
        <f t="shared" si="5"/>
        <v>0</v>
      </c>
      <c r="M111" s="26"/>
    </row>
    <row r="112" spans="1:13" ht="15" customHeight="1">
      <c r="A112" s="25">
        <v>1406285</v>
      </c>
      <c r="B112" s="26" t="s">
        <v>5427</v>
      </c>
      <c r="C112" s="26" t="s">
        <v>5710</v>
      </c>
      <c r="D112" s="26" t="s">
        <v>5711</v>
      </c>
      <c r="E112" s="26" t="s">
        <v>5540</v>
      </c>
      <c r="F112" s="27">
        <v>5010696</v>
      </c>
      <c r="G112" s="27">
        <v>1</v>
      </c>
      <c r="H112" s="27">
        <v>0</v>
      </c>
      <c r="I112" s="27">
        <v>1</v>
      </c>
      <c r="J112" s="30">
        <f t="shared" si="3"/>
        <v>1</v>
      </c>
      <c r="K112" s="30">
        <f t="shared" si="4"/>
        <v>0</v>
      </c>
      <c r="L112" s="26">
        <f t="shared" si="5"/>
        <v>0</v>
      </c>
      <c r="M112" s="26"/>
    </row>
    <row r="113" spans="1:13" ht="15" customHeight="1">
      <c r="A113" s="25">
        <v>1406366</v>
      </c>
      <c r="B113" s="26" t="s">
        <v>5427</v>
      </c>
      <c r="C113" s="26" t="s">
        <v>5712</v>
      </c>
      <c r="D113" s="26" t="s">
        <v>5713</v>
      </c>
      <c r="E113" s="26" t="s">
        <v>5683</v>
      </c>
      <c r="F113" s="27">
        <v>5057184</v>
      </c>
      <c r="G113" s="27">
        <v>0</v>
      </c>
      <c r="H113" s="27">
        <v>0</v>
      </c>
      <c r="I113" s="27">
        <v>0</v>
      </c>
      <c r="J113" s="30">
        <f t="shared" si="3"/>
        <v>0</v>
      </c>
      <c r="K113" s="30">
        <f t="shared" si="4"/>
        <v>0</v>
      </c>
      <c r="L113" s="26">
        <f t="shared" si="5"/>
        <v>0</v>
      </c>
      <c r="M113" s="26">
        <v>0</v>
      </c>
    </row>
    <row r="114" spans="1:13" ht="15" customHeight="1">
      <c r="A114" s="25">
        <v>1406445</v>
      </c>
      <c r="B114" s="26" t="s">
        <v>5423</v>
      </c>
      <c r="C114" s="26" t="s">
        <v>5714</v>
      </c>
      <c r="D114" s="26" t="s">
        <v>5715</v>
      </c>
      <c r="E114" s="26" t="s">
        <v>5452</v>
      </c>
      <c r="F114" s="27">
        <v>5057211</v>
      </c>
      <c r="G114" s="27">
        <v>0</v>
      </c>
      <c r="H114" s="27">
        <v>0</v>
      </c>
      <c r="I114" s="27">
        <v>0</v>
      </c>
      <c r="J114" s="30">
        <f t="shared" si="3"/>
        <v>0</v>
      </c>
      <c r="K114" s="30">
        <f t="shared" si="4"/>
        <v>0</v>
      </c>
      <c r="L114" s="26">
        <f t="shared" si="5"/>
        <v>0</v>
      </c>
      <c r="M114" s="26">
        <v>0</v>
      </c>
    </row>
    <row r="115" spans="1:13" ht="15" customHeight="1">
      <c r="A115" s="25">
        <v>1406903</v>
      </c>
      <c r="B115" s="26" t="s">
        <v>5423</v>
      </c>
      <c r="C115" s="26" t="s">
        <v>5716</v>
      </c>
      <c r="D115" s="26" t="s">
        <v>5717</v>
      </c>
      <c r="E115" s="26" t="s">
        <v>5718</v>
      </c>
      <c r="F115" s="27">
        <v>5058402</v>
      </c>
      <c r="G115" s="27">
        <v>0</v>
      </c>
      <c r="H115" s="27">
        <v>0</v>
      </c>
      <c r="I115" s="27">
        <v>0</v>
      </c>
      <c r="J115" s="30">
        <f t="shared" si="3"/>
        <v>0</v>
      </c>
      <c r="K115" s="30">
        <f t="shared" si="4"/>
        <v>0</v>
      </c>
      <c r="L115" s="26">
        <f t="shared" si="5"/>
        <v>0</v>
      </c>
      <c r="M115" s="26">
        <v>0</v>
      </c>
    </row>
    <row r="116" spans="1:13" ht="15" customHeight="1">
      <c r="A116" s="25">
        <v>1406913</v>
      </c>
      <c r="B116" s="26" t="s">
        <v>5423</v>
      </c>
      <c r="C116" s="26" t="s">
        <v>5719</v>
      </c>
      <c r="D116" s="26" t="s">
        <v>5720</v>
      </c>
      <c r="E116" s="26" t="s">
        <v>5540</v>
      </c>
      <c r="F116" s="27">
        <v>5065311</v>
      </c>
      <c r="G116" s="27">
        <v>0</v>
      </c>
      <c r="H116" s="27">
        <v>0</v>
      </c>
      <c r="I116" s="27">
        <v>0</v>
      </c>
      <c r="J116" s="30">
        <f t="shared" si="3"/>
        <v>0</v>
      </c>
      <c r="K116" s="30">
        <f t="shared" si="4"/>
        <v>0</v>
      </c>
      <c r="L116" s="26">
        <f t="shared" si="5"/>
        <v>0</v>
      </c>
      <c r="M116" s="26">
        <v>0</v>
      </c>
    </row>
    <row r="117" spans="1:13" ht="15" customHeight="1">
      <c r="A117" s="25">
        <v>1406947</v>
      </c>
      <c r="B117" s="26" t="s">
        <v>5427</v>
      </c>
      <c r="C117" s="26" t="s">
        <v>5721</v>
      </c>
      <c r="D117" s="26" t="s">
        <v>5722</v>
      </c>
      <c r="E117" s="26" t="s">
        <v>5529</v>
      </c>
      <c r="F117" s="27">
        <v>5061269</v>
      </c>
      <c r="G117" s="27">
        <v>0</v>
      </c>
      <c r="H117" s="27">
        <v>0</v>
      </c>
      <c r="I117" s="27">
        <v>0</v>
      </c>
      <c r="J117" s="30">
        <f t="shared" si="3"/>
        <v>0</v>
      </c>
      <c r="K117" s="30">
        <f t="shared" si="4"/>
        <v>0</v>
      </c>
      <c r="L117" s="26">
        <f t="shared" si="5"/>
        <v>0</v>
      </c>
      <c r="M117" s="26">
        <v>0</v>
      </c>
    </row>
    <row r="118" spans="1:13" ht="15" customHeight="1">
      <c r="A118" s="25">
        <v>1406951</v>
      </c>
      <c r="B118" s="26" t="s">
        <v>5427</v>
      </c>
      <c r="C118" s="26" t="s">
        <v>5723</v>
      </c>
      <c r="D118" s="26" t="s">
        <v>5724</v>
      </c>
      <c r="E118" s="26" t="s">
        <v>5458</v>
      </c>
      <c r="F118" s="27">
        <v>4619189</v>
      </c>
      <c r="G118" s="27">
        <v>0</v>
      </c>
      <c r="H118" s="27">
        <v>0</v>
      </c>
      <c r="I118" s="27">
        <v>0</v>
      </c>
      <c r="J118" s="30">
        <f t="shared" si="3"/>
        <v>0</v>
      </c>
      <c r="K118" s="30">
        <f t="shared" si="4"/>
        <v>0</v>
      </c>
      <c r="L118" s="26">
        <f t="shared" si="5"/>
        <v>0</v>
      </c>
      <c r="M118" s="26">
        <v>0</v>
      </c>
    </row>
    <row r="119" spans="1:13" ht="15" customHeight="1">
      <c r="A119" s="25">
        <v>1406958</v>
      </c>
      <c r="B119" s="26" t="s">
        <v>5427</v>
      </c>
      <c r="C119" s="26" t="s">
        <v>5725</v>
      </c>
      <c r="D119" s="26" t="s">
        <v>5726</v>
      </c>
      <c r="E119" s="26" t="s">
        <v>5718</v>
      </c>
      <c r="F119" s="27">
        <v>5058435</v>
      </c>
      <c r="G119" s="27">
        <v>0</v>
      </c>
      <c r="H119" s="27">
        <v>0</v>
      </c>
      <c r="I119" s="27">
        <v>0</v>
      </c>
      <c r="J119" s="30">
        <f t="shared" si="3"/>
        <v>0</v>
      </c>
      <c r="K119" s="30">
        <f t="shared" si="4"/>
        <v>0</v>
      </c>
      <c r="L119" s="26">
        <f t="shared" si="5"/>
        <v>0</v>
      </c>
      <c r="M119" s="26">
        <v>0</v>
      </c>
    </row>
    <row r="120" spans="1:13" ht="15" customHeight="1">
      <c r="A120" s="25">
        <v>1407250</v>
      </c>
      <c r="B120" s="26" t="s">
        <v>5427</v>
      </c>
      <c r="C120" s="26" t="s">
        <v>5727</v>
      </c>
      <c r="D120" s="26" t="s">
        <v>5728</v>
      </c>
      <c r="E120" s="26" t="s">
        <v>5475</v>
      </c>
      <c r="F120" s="27">
        <v>5058369</v>
      </c>
      <c r="G120" s="27">
        <v>0</v>
      </c>
      <c r="H120" s="27">
        <v>0</v>
      </c>
      <c r="I120" s="27">
        <v>0</v>
      </c>
      <c r="J120" s="30">
        <f t="shared" si="3"/>
        <v>0</v>
      </c>
      <c r="K120" s="30">
        <f t="shared" si="4"/>
        <v>0</v>
      </c>
      <c r="L120" s="26">
        <f t="shared" si="5"/>
        <v>0</v>
      </c>
      <c r="M120" s="26">
        <v>0</v>
      </c>
    </row>
    <row r="121" spans="1:13" ht="15" customHeight="1">
      <c r="A121" s="25">
        <v>1407272</v>
      </c>
      <c r="B121" s="26" t="s">
        <v>5423</v>
      </c>
      <c r="C121" s="26" t="s">
        <v>5729</v>
      </c>
      <c r="D121" s="26" t="s">
        <v>5730</v>
      </c>
      <c r="E121" s="26" t="s">
        <v>5535</v>
      </c>
      <c r="F121" s="27">
        <v>5061231</v>
      </c>
      <c r="G121" s="27">
        <v>1</v>
      </c>
      <c r="H121" s="27">
        <v>0</v>
      </c>
      <c r="I121" s="27">
        <v>1</v>
      </c>
      <c r="J121" s="30">
        <f t="shared" si="3"/>
        <v>1</v>
      </c>
      <c r="K121" s="30">
        <f t="shared" si="4"/>
        <v>0</v>
      </c>
      <c r="L121" s="26">
        <f t="shared" si="5"/>
        <v>0</v>
      </c>
      <c r="M121" s="26"/>
    </row>
    <row r="122" spans="1:13" ht="15" customHeight="1">
      <c r="A122" s="25">
        <v>1407289</v>
      </c>
      <c r="B122" s="26" t="s">
        <v>5423</v>
      </c>
      <c r="C122" s="26" t="s">
        <v>5731</v>
      </c>
      <c r="D122" s="26" t="s">
        <v>5732</v>
      </c>
      <c r="E122" s="26" t="s">
        <v>5586</v>
      </c>
      <c r="F122" s="27">
        <v>5059986</v>
      </c>
      <c r="G122" s="27">
        <v>0</v>
      </c>
      <c r="H122" s="27">
        <v>0</v>
      </c>
      <c r="I122" s="27">
        <v>0</v>
      </c>
      <c r="J122" s="30">
        <f t="shared" si="3"/>
        <v>0</v>
      </c>
      <c r="K122" s="30">
        <f t="shared" si="4"/>
        <v>0</v>
      </c>
      <c r="L122" s="26">
        <f t="shared" si="5"/>
        <v>0</v>
      </c>
      <c r="M122" s="26">
        <v>0</v>
      </c>
    </row>
    <row r="123" spans="1:13" ht="15" customHeight="1">
      <c r="A123" s="25">
        <v>1407684</v>
      </c>
      <c r="B123" s="26" t="s">
        <v>5423</v>
      </c>
      <c r="C123" s="26" t="s">
        <v>5733</v>
      </c>
      <c r="D123" s="26" t="s">
        <v>5734</v>
      </c>
      <c r="E123" s="26" t="s">
        <v>5442</v>
      </c>
      <c r="F123" s="27">
        <v>5062055</v>
      </c>
      <c r="G123" s="27">
        <v>1</v>
      </c>
      <c r="H123" s="27">
        <v>0</v>
      </c>
      <c r="I123" s="27">
        <v>1</v>
      </c>
      <c r="J123" s="30">
        <f t="shared" si="3"/>
        <v>1</v>
      </c>
      <c r="K123" s="30">
        <f t="shared" si="4"/>
        <v>0</v>
      </c>
      <c r="L123" s="26">
        <f t="shared" si="5"/>
        <v>0</v>
      </c>
      <c r="M123" s="26"/>
    </row>
    <row r="124" spans="1:13" ht="15" customHeight="1">
      <c r="A124" s="25">
        <v>1407686</v>
      </c>
      <c r="B124" s="26" t="s">
        <v>5427</v>
      </c>
      <c r="C124" s="26" t="s">
        <v>5735</v>
      </c>
      <c r="D124" s="26" t="s">
        <v>5736</v>
      </c>
      <c r="E124" s="26" t="s">
        <v>5504</v>
      </c>
      <c r="F124" s="27">
        <v>3615192</v>
      </c>
      <c r="G124" s="27">
        <v>0</v>
      </c>
      <c r="H124" s="27">
        <v>0</v>
      </c>
      <c r="I124" s="27">
        <v>0</v>
      </c>
      <c r="J124" s="30">
        <f t="shared" si="3"/>
        <v>0</v>
      </c>
      <c r="K124" s="30">
        <f t="shared" si="4"/>
        <v>0</v>
      </c>
      <c r="L124" s="26">
        <f t="shared" si="5"/>
        <v>0</v>
      </c>
      <c r="M124" s="26">
        <v>0</v>
      </c>
    </row>
    <row r="125" spans="1:13" ht="15" customHeight="1">
      <c r="A125" s="25">
        <v>1407979</v>
      </c>
      <c r="B125" s="26" t="s">
        <v>5423</v>
      </c>
      <c r="C125" s="26" t="s">
        <v>5737</v>
      </c>
      <c r="D125" s="26" t="s">
        <v>5738</v>
      </c>
      <c r="E125" s="26" t="s">
        <v>5430</v>
      </c>
      <c r="F125" s="27">
        <v>5031050</v>
      </c>
      <c r="G125" s="27">
        <v>0</v>
      </c>
      <c r="H125" s="27">
        <v>0</v>
      </c>
      <c r="I125" s="27">
        <v>0</v>
      </c>
      <c r="J125" s="30">
        <f t="shared" si="3"/>
        <v>0</v>
      </c>
      <c r="K125" s="30">
        <f t="shared" si="4"/>
        <v>0</v>
      </c>
      <c r="L125" s="26">
        <f t="shared" si="5"/>
        <v>0</v>
      </c>
      <c r="M125" s="26">
        <v>0</v>
      </c>
    </row>
    <row r="126" spans="1:13" ht="15" customHeight="1">
      <c r="A126" s="25">
        <v>1408247</v>
      </c>
      <c r="B126" s="26" t="s">
        <v>5423</v>
      </c>
      <c r="C126" s="26" t="s">
        <v>5739</v>
      </c>
      <c r="D126" s="26" t="s">
        <v>5740</v>
      </c>
      <c r="E126" s="26" t="s">
        <v>5480</v>
      </c>
      <c r="F126" s="27">
        <v>5058557</v>
      </c>
      <c r="G126" s="27">
        <v>1</v>
      </c>
      <c r="H126" s="27">
        <v>0</v>
      </c>
      <c r="I126" s="27">
        <v>1</v>
      </c>
      <c r="J126" s="30">
        <f t="shared" si="3"/>
        <v>1</v>
      </c>
      <c r="K126" s="30">
        <f t="shared" si="4"/>
        <v>0</v>
      </c>
      <c r="L126" s="26">
        <f t="shared" si="5"/>
        <v>0</v>
      </c>
      <c r="M126" s="26"/>
    </row>
    <row r="127" spans="1:13" ht="15" customHeight="1">
      <c r="A127" s="25">
        <v>1408383</v>
      </c>
      <c r="B127" s="26" t="s">
        <v>5423</v>
      </c>
      <c r="C127" s="26" t="s">
        <v>5741</v>
      </c>
      <c r="D127" s="26" t="s">
        <v>5742</v>
      </c>
      <c r="E127" s="26" t="s">
        <v>5718</v>
      </c>
      <c r="F127" s="27">
        <v>5063193</v>
      </c>
      <c r="G127" s="27">
        <v>0</v>
      </c>
      <c r="H127" s="27">
        <v>0</v>
      </c>
      <c r="I127" s="27">
        <v>0</v>
      </c>
      <c r="J127" s="30">
        <f t="shared" si="3"/>
        <v>0</v>
      </c>
      <c r="K127" s="30">
        <f t="shared" si="4"/>
        <v>0</v>
      </c>
      <c r="L127" s="26">
        <f t="shared" si="5"/>
        <v>0</v>
      </c>
      <c r="M127" s="26">
        <v>0</v>
      </c>
    </row>
    <row r="128" spans="1:13" ht="15" customHeight="1">
      <c r="A128" s="25">
        <v>1408727</v>
      </c>
      <c r="B128" s="26" t="s">
        <v>5423</v>
      </c>
      <c r="C128" s="26" t="s">
        <v>5743</v>
      </c>
      <c r="D128" s="26" t="s">
        <v>5744</v>
      </c>
      <c r="E128" s="26" t="s">
        <v>5540</v>
      </c>
      <c r="F128" s="27">
        <v>5053879</v>
      </c>
      <c r="G128" s="27">
        <v>1</v>
      </c>
      <c r="H128" s="27">
        <v>0</v>
      </c>
      <c r="I128" s="27">
        <v>1</v>
      </c>
      <c r="J128" s="30">
        <f t="shared" si="3"/>
        <v>1</v>
      </c>
      <c r="K128" s="30">
        <f t="shared" si="4"/>
        <v>0</v>
      </c>
      <c r="L128" s="26">
        <f t="shared" si="5"/>
        <v>0</v>
      </c>
      <c r="M128" s="26"/>
    </row>
    <row r="129" spans="1:13" ht="15" customHeight="1">
      <c r="A129" s="25">
        <v>1408734</v>
      </c>
      <c r="B129" s="26" t="s">
        <v>5423</v>
      </c>
      <c r="C129" s="26" t="s">
        <v>5745</v>
      </c>
      <c r="D129" s="26" t="s">
        <v>5746</v>
      </c>
      <c r="E129" s="26" t="s">
        <v>5488</v>
      </c>
      <c r="F129" s="27">
        <v>5064548</v>
      </c>
      <c r="G129" s="27">
        <v>0</v>
      </c>
      <c r="H129" s="27">
        <v>0</v>
      </c>
      <c r="I129" s="27">
        <v>0</v>
      </c>
      <c r="J129" s="30">
        <f t="shared" si="3"/>
        <v>0</v>
      </c>
      <c r="K129" s="30">
        <f t="shared" si="4"/>
        <v>0</v>
      </c>
      <c r="L129" s="26">
        <f t="shared" si="5"/>
        <v>0</v>
      </c>
      <c r="M129" s="26">
        <v>0</v>
      </c>
    </row>
    <row r="130" spans="1:13" ht="15" customHeight="1">
      <c r="A130" s="25">
        <v>1408743</v>
      </c>
      <c r="B130" s="26" t="s">
        <v>5427</v>
      </c>
      <c r="C130" s="26" t="s">
        <v>5747</v>
      </c>
      <c r="D130" s="26" t="s">
        <v>5748</v>
      </c>
      <c r="E130" s="26" t="s">
        <v>5535</v>
      </c>
      <c r="F130" s="27">
        <v>5064161</v>
      </c>
      <c r="G130" s="27">
        <v>0</v>
      </c>
      <c r="H130" s="27">
        <v>0</v>
      </c>
      <c r="I130" s="27">
        <v>0</v>
      </c>
      <c r="J130" s="30">
        <f t="shared" ref="J130:J193" si="6">IF(G130&gt;0,1,0)</f>
        <v>0</v>
      </c>
      <c r="K130" s="30">
        <f t="shared" ref="K130:K193" si="7">IF(H130&gt;0,1,0)</f>
        <v>0</v>
      </c>
      <c r="L130" s="26">
        <f t="shared" ref="L130:L193" si="8">IF(G130&gt;0,IF(H130&gt;0,1,0),0)</f>
        <v>0</v>
      </c>
      <c r="M130" s="26">
        <v>0</v>
      </c>
    </row>
    <row r="131" spans="1:13" ht="15" customHeight="1">
      <c r="A131" s="25">
        <v>1408918</v>
      </c>
      <c r="B131" s="26" t="s">
        <v>5427</v>
      </c>
      <c r="C131" s="26" t="s">
        <v>5749</v>
      </c>
      <c r="D131" s="26" t="s">
        <v>5750</v>
      </c>
      <c r="E131" s="26" t="s">
        <v>5433</v>
      </c>
      <c r="F131" s="27">
        <v>5055122</v>
      </c>
      <c r="G131" s="27">
        <v>1</v>
      </c>
      <c r="H131" s="27">
        <v>0</v>
      </c>
      <c r="I131" s="27">
        <v>1</v>
      </c>
      <c r="J131" s="30">
        <f t="shared" si="6"/>
        <v>1</v>
      </c>
      <c r="K131" s="30">
        <f t="shared" si="7"/>
        <v>0</v>
      </c>
      <c r="L131" s="26">
        <f t="shared" si="8"/>
        <v>0</v>
      </c>
      <c r="M131" s="26"/>
    </row>
    <row r="132" spans="1:13" ht="15" customHeight="1">
      <c r="A132" s="25">
        <v>1408940</v>
      </c>
      <c r="B132" s="26" t="s">
        <v>5427</v>
      </c>
      <c r="C132" s="26" t="s">
        <v>5751</v>
      </c>
      <c r="D132" s="26" t="s">
        <v>5752</v>
      </c>
      <c r="E132" s="26" t="s">
        <v>5535</v>
      </c>
      <c r="F132" s="27">
        <v>4921686</v>
      </c>
      <c r="G132" s="27">
        <v>1</v>
      </c>
      <c r="H132" s="27">
        <v>0</v>
      </c>
      <c r="I132" s="27">
        <v>1</v>
      </c>
      <c r="J132" s="30">
        <f t="shared" si="6"/>
        <v>1</v>
      </c>
      <c r="K132" s="30">
        <f t="shared" si="7"/>
        <v>0</v>
      </c>
      <c r="L132" s="26">
        <f t="shared" si="8"/>
        <v>0</v>
      </c>
      <c r="M132" s="26"/>
    </row>
    <row r="133" spans="1:13" ht="15" customHeight="1">
      <c r="A133" s="25">
        <v>1408986</v>
      </c>
      <c r="B133" s="26" t="s">
        <v>5423</v>
      </c>
      <c r="C133" s="26" t="s">
        <v>5753</v>
      </c>
      <c r="D133" s="26" t="s">
        <v>5754</v>
      </c>
      <c r="E133" s="26" t="s">
        <v>5442</v>
      </c>
      <c r="F133" s="27">
        <v>4715795</v>
      </c>
      <c r="G133" s="27">
        <v>1</v>
      </c>
      <c r="H133" s="27">
        <v>1</v>
      </c>
      <c r="I133" s="27">
        <v>1</v>
      </c>
      <c r="J133" s="30">
        <f t="shared" si="6"/>
        <v>1</v>
      </c>
      <c r="K133" s="30">
        <f t="shared" si="7"/>
        <v>1</v>
      </c>
      <c r="L133" s="26">
        <f t="shared" si="8"/>
        <v>1</v>
      </c>
      <c r="M133" s="26"/>
    </row>
    <row r="134" spans="1:13" ht="15" customHeight="1">
      <c r="A134" s="25">
        <v>1409641</v>
      </c>
      <c r="B134" s="26" t="s">
        <v>5423</v>
      </c>
      <c r="C134" s="26" t="s">
        <v>5755</v>
      </c>
      <c r="D134" s="26" t="s">
        <v>5756</v>
      </c>
      <c r="E134" s="26" t="s">
        <v>5458</v>
      </c>
      <c r="F134" s="27">
        <v>4888032</v>
      </c>
      <c r="G134" s="27">
        <v>1</v>
      </c>
      <c r="H134" s="27">
        <v>0</v>
      </c>
      <c r="I134" s="27">
        <v>1</v>
      </c>
      <c r="J134" s="30">
        <f t="shared" si="6"/>
        <v>1</v>
      </c>
      <c r="K134" s="30">
        <f t="shared" si="7"/>
        <v>0</v>
      </c>
      <c r="L134" s="26">
        <f t="shared" si="8"/>
        <v>0</v>
      </c>
      <c r="M134" s="26"/>
    </row>
    <row r="135" spans="1:13" ht="15" customHeight="1">
      <c r="A135" s="25">
        <v>1409693</v>
      </c>
      <c r="B135" s="26" t="s">
        <v>5423</v>
      </c>
      <c r="C135" s="26" t="s">
        <v>5757</v>
      </c>
      <c r="D135" s="26" t="s">
        <v>5758</v>
      </c>
      <c r="E135" s="26" t="s">
        <v>5540</v>
      </c>
      <c r="F135" s="27">
        <v>5066278</v>
      </c>
      <c r="G135" s="27">
        <v>0</v>
      </c>
      <c r="H135" s="27">
        <v>0</v>
      </c>
      <c r="I135" s="27">
        <v>0</v>
      </c>
      <c r="J135" s="30">
        <f t="shared" si="6"/>
        <v>0</v>
      </c>
      <c r="K135" s="30">
        <f t="shared" si="7"/>
        <v>0</v>
      </c>
      <c r="L135" s="26">
        <f t="shared" si="8"/>
        <v>0</v>
      </c>
      <c r="M135" s="26">
        <v>0</v>
      </c>
    </row>
    <row r="136" spans="1:13" ht="15" customHeight="1">
      <c r="A136" s="25">
        <v>1409800</v>
      </c>
      <c r="B136" s="26" t="s">
        <v>5423</v>
      </c>
      <c r="C136" s="26" t="s">
        <v>5759</v>
      </c>
      <c r="D136" s="26" t="s">
        <v>5760</v>
      </c>
      <c r="E136" s="26" t="s">
        <v>5447</v>
      </c>
      <c r="F136" s="27">
        <v>5072453</v>
      </c>
      <c r="G136" s="27">
        <v>0</v>
      </c>
      <c r="H136" s="27">
        <v>0</v>
      </c>
      <c r="I136" s="27">
        <v>0</v>
      </c>
      <c r="J136" s="30">
        <f t="shared" si="6"/>
        <v>0</v>
      </c>
      <c r="K136" s="30">
        <f t="shared" si="7"/>
        <v>0</v>
      </c>
      <c r="L136" s="26">
        <f t="shared" si="8"/>
        <v>0</v>
      </c>
      <c r="M136" s="26">
        <v>0</v>
      </c>
    </row>
    <row r="137" spans="1:13" ht="15" customHeight="1">
      <c r="A137" s="25">
        <v>1409880</v>
      </c>
      <c r="B137" s="26" t="s">
        <v>5427</v>
      </c>
      <c r="C137" s="26" t="s">
        <v>5761</v>
      </c>
      <c r="D137" s="26" t="s">
        <v>5762</v>
      </c>
      <c r="E137" s="26" t="s">
        <v>5763</v>
      </c>
      <c r="F137" s="27">
        <v>5067621</v>
      </c>
      <c r="G137" s="27">
        <v>0</v>
      </c>
      <c r="H137" s="27">
        <v>0</v>
      </c>
      <c r="I137" s="27">
        <v>0</v>
      </c>
      <c r="J137" s="30">
        <f t="shared" si="6"/>
        <v>0</v>
      </c>
      <c r="K137" s="30">
        <f t="shared" si="7"/>
        <v>0</v>
      </c>
      <c r="L137" s="26">
        <f t="shared" si="8"/>
        <v>0</v>
      </c>
      <c r="M137" s="26">
        <v>0</v>
      </c>
    </row>
    <row r="138" spans="1:13" ht="15" customHeight="1">
      <c r="A138" s="25">
        <v>1409988</v>
      </c>
      <c r="B138" s="26" t="s">
        <v>5427</v>
      </c>
      <c r="C138" s="26" t="s">
        <v>5764</v>
      </c>
      <c r="D138" s="26" t="s">
        <v>5765</v>
      </c>
      <c r="E138" s="26" t="s">
        <v>5610</v>
      </c>
      <c r="F138" s="27">
        <v>4978414</v>
      </c>
      <c r="G138" s="27">
        <v>1</v>
      </c>
      <c r="H138" s="27">
        <v>0</v>
      </c>
      <c r="I138" s="27">
        <v>1</v>
      </c>
      <c r="J138" s="30">
        <f t="shared" si="6"/>
        <v>1</v>
      </c>
      <c r="K138" s="30">
        <f t="shared" si="7"/>
        <v>0</v>
      </c>
      <c r="L138" s="26">
        <f t="shared" si="8"/>
        <v>0</v>
      </c>
      <c r="M138" s="26"/>
    </row>
    <row r="139" spans="1:13" ht="15" customHeight="1">
      <c r="A139" s="25">
        <v>1410000</v>
      </c>
      <c r="B139" s="26" t="s">
        <v>5423</v>
      </c>
      <c r="C139" s="26" t="s">
        <v>5766</v>
      </c>
      <c r="D139" s="26" t="s">
        <v>5767</v>
      </c>
      <c r="E139" s="26" t="s">
        <v>5517</v>
      </c>
      <c r="F139" s="27">
        <v>4808628</v>
      </c>
      <c r="G139" s="27">
        <v>1</v>
      </c>
      <c r="H139" s="27">
        <v>0</v>
      </c>
      <c r="I139" s="27">
        <v>1</v>
      </c>
      <c r="J139" s="30">
        <f t="shared" si="6"/>
        <v>1</v>
      </c>
      <c r="K139" s="30">
        <f t="shared" si="7"/>
        <v>0</v>
      </c>
      <c r="L139" s="26">
        <f t="shared" si="8"/>
        <v>0</v>
      </c>
      <c r="M139" s="26"/>
    </row>
    <row r="140" spans="1:13" ht="15" customHeight="1">
      <c r="A140" s="25">
        <v>1410006</v>
      </c>
      <c r="B140" s="26" t="s">
        <v>5423</v>
      </c>
      <c r="C140" s="26" t="s">
        <v>5768</v>
      </c>
      <c r="D140" s="26" t="s">
        <v>5769</v>
      </c>
      <c r="E140" s="26" t="s">
        <v>5603</v>
      </c>
      <c r="F140" s="27">
        <v>5069530</v>
      </c>
      <c r="G140" s="27">
        <v>0</v>
      </c>
      <c r="H140" s="27">
        <v>0</v>
      </c>
      <c r="I140" s="27">
        <v>0</v>
      </c>
      <c r="J140" s="30">
        <f t="shared" si="6"/>
        <v>0</v>
      </c>
      <c r="K140" s="30">
        <f t="shared" si="7"/>
        <v>0</v>
      </c>
      <c r="L140" s="26">
        <f t="shared" si="8"/>
        <v>0</v>
      </c>
      <c r="M140" s="26">
        <v>0</v>
      </c>
    </row>
    <row r="141" spans="1:13" ht="15" customHeight="1">
      <c r="A141" s="25">
        <v>1410009</v>
      </c>
      <c r="B141" s="26" t="s">
        <v>5423</v>
      </c>
      <c r="C141" s="26" t="s">
        <v>5770</v>
      </c>
      <c r="D141" s="26" t="s">
        <v>5771</v>
      </c>
      <c r="E141" s="26" t="s">
        <v>5772</v>
      </c>
      <c r="F141" s="27">
        <v>5068063</v>
      </c>
      <c r="G141" s="27">
        <v>1</v>
      </c>
      <c r="H141" s="27">
        <v>0</v>
      </c>
      <c r="I141" s="27">
        <v>1</v>
      </c>
      <c r="J141" s="30">
        <f t="shared" si="6"/>
        <v>1</v>
      </c>
      <c r="K141" s="30">
        <f t="shared" si="7"/>
        <v>0</v>
      </c>
      <c r="L141" s="26">
        <f t="shared" si="8"/>
        <v>0</v>
      </c>
      <c r="M141" s="26"/>
    </row>
    <row r="142" spans="1:13" ht="15" customHeight="1">
      <c r="A142" s="25">
        <v>1410088</v>
      </c>
      <c r="B142" s="26" t="s">
        <v>5423</v>
      </c>
      <c r="C142" s="26" t="s">
        <v>5773</v>
      </c>
      <c r="D142" s="26" t="s">
        <v>5774</v>
      </c>
      <c r="E142" s="26" t="s">
        <v>5426</v>
      </c>
      <c r="F142" s="27">
        <v>4726362</v>
      </c>
      <c r="G142" s="27">
        <v>0</v>
      </c>
      <c r="H142" s="27">
        <v>1</v>
      </c>
      <c r="I142" s="27">
        <v>1</v>
      </c>
      <c r="J142" s="30">
        <f t="shared" si="6"/>
        <v>0</v>
      </c>
      <c r="K142" s="30">
        <f t="shared" si="7"/>
        <v>1</v>
      </c>
      <c r="L142" s="26">
        <f t="shared" si="8"/>
        <v>0</v>
      </c>
      <c r="M142" s="26"/>
    </row>
    <row r="143" spans="1:13" ht="15" customHeight="1">
      <c r="A143" s="25">
        <v>1410122</v>
      </c>
      <c r="B143" s="26" t="s">
        <v>5423</v>
      </c>
      <c r="C143" s="26" t="s">
        <v>5775</v>
      </c>
      <c r="D143" s="26" t="s">
        <v>5776</v>
      </c>
      <c r="E143" s="26" t="s">
        <v>5426</v>
      </c>
      <c r="F143" s="27">
        <v>5068120</v>
      </c>
      <c r="G143" s="27">
        <v>0</v>
      </c>
      <c r="H143" s="27">
        <v>0</v>
      </c>
      <c r="I143" s="27">
        <v>0</v>
      </c>
      <c r="J143" s="30">
        <f t="shared" si="6"/>
        <v>0</v>
      </c>
      <c r="K143" s="30">
        <f t="shared" si="7"/>
        <v>0</v>
      </c>
      <c r="L143" s="26">
        <f t="shared" si="8"/>
        <v>0</v>
      </c>
      <c r="M143" s="26">
        <v>0</v>
      </c>
    </row>
    <row r="144" spans="1:13" ht="15" customHeight="1">
      <c r="A144" s="25">
        <v>1410571</v>
      </c>
      <c r="B144" s="26" t="s">
        <v>5423</v>
      </c>
      <c r="C144" s="26" t="s">
        <v>5777</v>
      </c>
      <c r="D144" s="26" t="s">
        <v>5778</v>
      </c>
      <c r="E144" s="26" t="s">
        <v>5488</v>
      </c>
      <c r="F144" s="27">
        <v>5069343</v>
      </c>
      <c r="G144" s="27">
        <v>1</v>
      </c>
      <c r="H144" s="27">
        <v>0</v>
      </c>
      <c r="I144" s="27">
        <v>1</v>
      </c>
      <c r="J144" s="30">
        <f t="shared" si="6"/>
        <v>1</v>
      </c>
      <c r="K144" s="30">
        <f t="shared" si="7"/>
        <v>0</v>
      </c>
      <c r="L144" s="26">
        <f t="shared" si="8"/>
        <v>0</v>
      </c>
      <c r="M144" s="26"/>
    </row>
    <row r="145" spans="1:13" ht="15" customHeight="1">
      <c r="A145" s="25">
        <v>1410656</v>
      </c>
      <c r="B145" s="26" t="s">
        <v>5423</v>
      </c>
      <c r="C145" s="26" t="s">
        <v>5779</v>
      </c>
      <c r="D145" s="26" t="s">
        <v>5780</v>
      </c>
      <c r="E145" s="26" t="s">
        <v>5781</v>
      </c>
      <c r="F145" s="27">
        <v>5033954</v>
      </c>
      <c r="G145" s="27">
        <v>1</v>
      </c>
      <c r="H145" s="27">
        <v>1</v>
      </c>
      <c r="I145" s="27">
        <v>1</v>
      </c>
      <c r="J145" s="30">
        <f t="shared" si="6"/>
        <v>1</v>
      </c>
      <c r="K145" s="30">
        <f t="shared" si="7"/>
        <v>1</v>
      </c>
      <c r="L145" s="26">
        <f t="shared" si="8"/>
        <v>1</v>
      </c>
      <c r="M145" s="26"/>
    </row>
    <row r="146" spans="1:13" ht="15" customHeight="1">
      <c r="A146" s="25">
        <v>1410703</v>
      </c>
      <c r="B146" s="26" t="s">
        <v>5423</v>
      </c>
      <c r="C146" s="26" t="s">
        <v>5782</v>
      </c>
      <c r="D146" s="26" t="s">
        <v>5783</v>
      </c>
      <c r="E146" s="26" t="s">
        <v>5517</v>
      </c>
      <c r="F146" s="27">
        <v>4019536</v>
      </c>
      <c r="G146" s="27">
        <v>1</v>
      </c>
      <c r="H146" s="27">
        <v>1</v>
      </c>
      <c r="I146" s="27">
        <v>1</v>
      </c>
      <c r="J146" s="30">
        <f t="shared" si="6"/>
        <v>1</v>
      </c>
      <c r="K146" s="30">
        <f t="shared" si="7"/>
        <v>1</v>
      </c>
      <c r="L146" s="26">
        <f t="shared" si="8"/>
        <v>1</v>
      </c>
      <c r="M146" s="26"/>
    </row>
    <row r="147" spans="1:13" ht="15" customHeight="1">
      <c r="A147" s="25">
        <v>1411222</v>
      </c>
      <c r="B147" s="26" t="s">
        <v>5423</v>
      </c>
      <c r="C147" s="26" t="s">
        <v>5784</v>
      </c>
      <c r="D147" s="26" t="s">
        <v>5785</v>
      </c>
      <c r="E147" s="26" t="s">
        <v>5468</v>
      </c>
      <c r="F147" s="27">
        <v>5063266</v>
      </c>
      <c r="G147" s="27">
        <v>0</v>
      </c>
      <c r="H147" s="27">
        <v>0</v>
      </c>
      <c r="I147" s="27">
        <v>0</v>
      </c>
      <c r="J147" s="30">
        <f t="shared" si="6"/>
        <v>0</v>
      </c>
      <c r="K147" s="30">
        <f t="shared" si="7"/>
        <v>0</v>
      </c>
      <c r="L147" s="26">
        <f t="shared" si="8"/>
        <v>0</v>
      </c>
      <c r="M147" s="26">
        <v>0</v>
      </c>
    </row>
    <row r="148" spans="1:13" ht="15" customHeight="1">
      <c r="A148" s="25">
        <v>1411462</v>
      </c>
      <c r="B148" s="26" t="s">
        <v>5427</v>
      </c>
      <c r="C148" s="26" t="s">
        <v>5786</v>
      </c>
      <c r="D148" s="26" t="s">
        <v>5787</v>
      </c>
      <c r="E148" s="26" t="s">
        <v>5560</v>
      </c>
      <c r="F148" s="27">
        <v>5072739</v>
      </c>
      <c r="G148" s="27">
        <v>1</v>
      </c>
      <c r="H148" s="27">
        <v>0</v>
      </c>
      <c r="I148" s="27">
        <v>1</v>
      </c>
      <c r="J148" s="30">
        <f t="shared" si="6"/>
        <v>1</v>
      </c>
      <c r="K148" s="30">
        <f t="shared" si="7"/>
        <v>0</v>
      </c>
      <c r="L148" s="26">
        <f t="shared" si="8"/>
        <v>0</v>
      </c>
      <c r="M148" s="26"/>
    </row>
    <row r="149" spans="1:13" ht="15" customHeight="1">
      <c r="A149" s="25">
        <v>1411492</v>
      </c>
      <c r="B149" s="26" t="s">
        <v>5423</v>
      </c>
      <c r="C149" s="26" t="s">
        <v>5788</v>
      </c>
      <c r="D149" s="26" t="s">
        <v>5789</v>
      </c>
      <c r="E149" s="26" t="s">
        <v>5468</v>
      </c>
      <c r="F149" s="27">
        <v>5071624</v>
      </c>
      <c r="G149" s="27">
        <v>1</v>
      </c>
      <c r="H149" s="27">
        <v>0</v>
      </c>
      <c r="I149" s="27">
        <v>1</v>
      </c>
      <c r="J149" s="30">
        <f t="shared" si="6"/>
        <v>1</v>
      </c>
      <c r="K149" s="30">
        <f t="shared" si="7"/>
        <v>0</v>
      </c>
      <c r="L149" s="26">
        <f t="shared" si="8"/>
        <v>0</v>
      </c>
      <c r="M149" s="26"/>
    </row>
    <row r="150" spans="1:13" ht="15" customHeight="1">
      <c r="A150" s="25">
        <v>1411536</v>
      </c>
      <c r="B150" s="26" t="s">
        <v>5423</v>
      </c>
      <c r="C150" s="26" t="s">
        <v>5790</v>
      </c>
      <c r="D150" s="26" t="s">
        <v>5791</v>
      </c>
      <c r="E150" s="26" t="s">
        <v>5463</v>
      </c>
      <c r="F150" s="27">
        <v>5067415</v>
      </c>
      <c r="G150" s="27">
        <v>0</v>
      </c>
      <c r="H150" s="27">
        <v>0</v>
      </c>
      <c r="I150" s="27">
        <v>0</v>
      </c>
      <c r="J150" s="30">
        <f t="shared" si="6"/>
        <v>0</v>
      </c>
      <c r="K150" s="30">
        <f t="shared" si="7"/>
        <v>0</v>
      </c>
      <c r="L150" s="26">
        <f t="shared" si="8"/>
        <v>0</v>
      </c>
      <c r="M150" s="26">
        <v>0</v>
      </c>
    </row>
    <row r="151" spans="1:13" ht="15" customHeight="1">
      <c r="A151" s="25">
        <v>1411673</v>
      </c>
      <c r="B151" s="26" t="s">
        <v>5423</v>
      </c>
      <c r="C151" s="26" t="s">
        <v>5792</v>
      </c>
      <c r="D151" s="26" t="s">
        <v>5793</v>
      </c>
      <c r="E151" s="26" t="s">
        <v>5475</v>
      </c>
      <c r="F151" s="27">
        <v>5072946</v>
      </c>
      <c r="G151" s="27">
        <v>1</v>
      </c>
      <c r="H151" s="27">
        <v>0</v>
      </c>
      <c r="I151" s="27">
        <v>1</v>
      </c>
      <c r="J151" s="30">
        <f t="shared" si="6"/>
        <v>1</v>
      </c>
      <c r="K151" s="30">
        <f t="shared" si="7"/>
        <v>0</v>
      </c>
      <c r="L151" s="26">
        <f t="shared" si="8"/>
        <v>0</v>
      </c>
      <c r="M151" s="26"/>
    </row>
    <row r="152" spans="1:13" ht="15" customHeight="1">
      <c r="A152" s="25">
        <v>1411678</v>
      </c>
      <c r="B152" s="26" t="s">
        <v>5427</v>
      </c>
      <c r="C152" s="26" t="s">
        <v>5794</v>
      </c>
      <c r="D152" s="26" t="s">
        <v>5795</v>
      </c>
      <c r="E152" s="26" t="s">
        <v>5529</v>
      </c>
      <c r="F152" s="27">
        <v>5010304</v>
      </c>
      <c r="G152" s="27">
        <v>1</v>
      </c>
      <c r="H152" s="27">
        <v>1</v>
      </c>
      <c r="I152" s="27">
        <v>1</v>
      </c>
      <c r="J152" s="30">
        <f t="shared" si="6"/>
        <v>1</v>
      </c>
      <c r="K152" s="30">
        <f t="shared" si="7"/>
        <v>1</v>
      </c>
      <c r="L152" s="26">
        <f t="shared" si="8"/>
        <v>1</v>
      </c>
      <c r="M152" s="26"/>
    </row>
    <row r="153" spans="1:13" ht="15" customHeight="1">
      <c r="A153" s="25">
        <v>1411725</v>
      </c>
      <c r="B153" s="26" t="s">
        <v>5423</v>
      </c>
      <c r="C153" s="26" t="s">
        <v>5796</v>
      </c>
      <c r="D153" s="26" t="s">
        <v>5797</v>
      </c>
      <c r="E153" s="26" t="s">
        <v>5586</v>
      </c>
      <c r="F153" s="27">
        <v>2095555</v>
      </c>
      <c r="G153" s="27">
        <v>1</v>
      </c>
      <c r="H153" s="27">
        <v>1</v>
      </c>
      <c r="I153" s="27">
        <v>1</v>
      </c>
      <c r="J153" s="30">
        <f t="shared" si="6"/>
        <v>1</v>
      </c>
      <c r="K153" s="30">
        <f t="shared" si="7"/>
        <v>1</v>
      </c>
      <c r="L153" s="26">
        <f t="shared" si="8"/>
        <v>1</v>
      </c>
      <c r="M153" s="26"/>
    </row>
    <row r="154" spans="1:13" ht="15" customHeight="1">
      <c r="A154" s="25">
        <v>1411742</v>
      </c>
      <c r="B154" s="26" t="s">
        <v>5423</v>
      </c>
      <c r="C154" s="26" t="s">
        <v>5798</v>
      </c>
      <c r="D154" s="26" t="s">
        <v>5799</v>
      </c>
      <c r="E154" s="26" t="s">
        <v>5504</v>
      </c>
      <c r="F154" s="27">
        <v>5073511</v>
      </c>
      <c r="G154" s="27">
        <v>0</v>
      </c>
      <c r="H154" s="27">
        <v>0</v>
      </c>
      <c r="I154" s="27">
        <v>0</v>
      </c>
      <c r="J154" s="30">
        <f t="shared" si="6"/>
        <v>0</v>
      </c>
      <c r="K154" s="30">
        <f t="shared" si="7"/>
        <v>0</v>
      </c>
      <c r="L154" s="26">
        <f t="shared" si="8"/>
        <v>0</v>
      </c>
      <c r="M154" s="26">
        <v>0</v>
      </c>
    </row>
    <row r="155" spans="1:13" ht="15" customHeight="1">
      <c r="A155" s="25">
        <v>1411979</v>
      </c>
      <c r="B155" s="26" t="s">
        <v>5423</v>
      </c>
      <c r="C155" s="26" t="s">
        <v>5800</v>
      </c>
      <c r="D155" s="26" t="s">
        <v>5801</v>
      </c>
      <c r="E155" s="26" t="s">
        <v>5654</v>
      </c>
      <c r="F155" s="27">
        <v>5063529</v>
      </c>
      <c r="G155" s="27">
        <v>1</v>
      </c>
      <c r="H155" s="27">
        <v>0</v>
      </c>
      <c r="I155" s="27">
        <v>1</v>
      </c>
      <c r="J155" s="30">
        <f t="shared" si="6"/>
        <v>1</v>
      </c>
      <c r="K155" s="30">
        <f t="shared" si="7"/>
        <v>0</v>
      </c>
      <c r="L155" s="26">
        <f t="shared" si="8"/>
        <v>0</v>
      </c>
      <c r="M155" s="26"/>
    </row>
    <row r="156" spans="1:13" ht="15" customHeight="1">
      <c r="A156" s="25">
        <v>1411982</v>
      </c>
      <c r="B156" s="26" t="s">
        <v>5423</v>
      </c>
      <c r="C156" s="26" t="s">
        <v>5802</v>
      </c>
      <c r="D156" s="26" t="s">
        <v>5803</v>
      </c>
      <c r="E156" s="26" t="s">
        <v>5517</v>
      </c>
      <c r="F156" s="27">
        <v>4381615</v>
      </c>
      <c r="G156" s="27">
        <v>1</v>
      </c>
      <c r="H156" s="27">
        <v>0</v>
      </c>
      <c r="I156" s="27">
        <v>1</v>
      </c>
      <c r="J156" s="30">
        <f t="shared" si="6"/>
        <v>1</v>
      </c>
      <c r="K156" s="30">
        <f t="shared" si="7"/>
        <v>0</v>
      </c>
      <c r="L156" s="26">
        <f t="shared" si="8"/>
        <v>0</v>
      </c>
      <c r="M156" s="26"/>
    </row>
    <row r="157" spans="1:13" ht="15" customHeight="1">
      <c r="A157" s="25">
        <v>1412044</v>
      </c>
      <c r="B157" s="26" t="s">
        <v>5423</v>
      </c>
      <c r="C157" s="26" t="s">
        <v>5804</v>
      </c>
      <c r="D157" s="26" t="s">
        <v>5805</v>
      </c>
      <c r="E157" s="26" t="s">
        <v>5475</v>
      </c>
      <c r="F157" s="27">
        <v>5079038</v>
      </c>
      <c r="G157" s="27">
        <v>0</v>
      </c>
      <c r="H157" s="27">
        <v>0</v>
      </c>
      <c r="I157" s="27">
        <v>0</v>
      </c>
      <c r="J157" s="30">
        <f t="shared" si="6"/>
        <v>0</v>
      </c>
      <c r="K157" s="30">
        <f t="shared" si="7"/>
        <v>0</v>
      </c>
      <c r="L157" s="26">
        <f t="shared" si="8"/>
        <v>0</v>
      </c>
      <c r="M157" s="26">
        <v>0</v>
      </c>
    </row>
    <row r="158" spans="1:13" ht="15" customHeight="1">
      <c r="A158" s="25">
        <v>1412072</v>
      </c>
      <c r="B158" s="26" t="s">
        <v>5427</v>
      </c>
      <c r="C158" s="26" t="s">
        <v>5806</v>
      </c>
      <c r="D158" s="26" t="s">
        <v>5807</v>
      </c>
      <c r="E158" s="26" t="s">
        <v>5504</v>
      </c>
      <c r="F158" s="27">
        <v>5058354</v>
      </c>
      <c r="G158" s="27">
        <v>1</v>
      </c>
      <c r="H158" s="27">
        <v>0</v>
      </c>
      <c r="I158" s="27">
        <v>1</v>
      </c>
      <c r="J158" s="30">
        <f t="shared" si="6"/>
        <v>1</v>
      </c>
      <c r="K158" s="30">
        <f t="shared" si="7"/>
        <v>0</v>
      </c>
      <c r="L158" s="26">
        <f t="shared" si="8"/>
        <v>0</v>
      </c>
      <c r="M158" s="26"/>
    </row>
    <row r="159" spans="1:13" ht="15" customHeight="1">
      <c r="A159" s="25">
        <v>1412733</v>
      </c>
      <c r="B159" s="26" t="s">
        <v>5423</v>
      </c>
      <c r="C159" s="26" t="s">
        <v>5808</v>
      </c>
      <c r="D159" s="26" t="s">
        <v>5809</v>
      </c>
      <c r="E159" s="26" t="s">
        <v>5517</v>
      </c>
      <c r="F159" s="27">
        <v>5078662</v>
      </c>
      <c r="G159" s="27">
        <v>0</v>
      </c>
      <c r="H159" s="27">
        <v>0</v>
      </c>
      <c r="I159" s="27">
        <v>0</v>
      </c>
      <c r="J159" s="30">
        <f t="shared" si="6"/>
        <v>0</v>
      </c>
      <c r="K159" s="30">
        <f t="shared" si="7"/>
        <v>0</v>
      </c>
      <c r="L159" s="26">
        <f t="shared" si="8"/>
        <v>0</v>
      </c>
      <c r="M159" s="26">
        <v>0</v>
      </c>
    </row>
    <row r="160" spans="1:13" ht="15" customHeight="1">
      <c r="A160" s="25">
        <v>1412742</v>
      </c>
      <c r="B160" s="26" t="s">
        <v>5423</v>
      </c>
      <c r="C160" s="26" t="s">
        <v>5810</v>
      </c>
      <c r="D160" s="26" t="s">
        <v>5811</v>
      </c>
      <c r="E160" s="26" t="s">
        <v>5494</v>
      </c>
      <c r="F160" s="27">
        <v>5077268</v>
      </c>
      <c r="G160" s="27">
        <v>0</v>
      </c>
      <c r="H160" s="27">
        <v>0</v>
      </c>
      <c r="I160" s="27">
        <v>0</v>
      </c>
      <c r="J160" s="30">
        <f t="shared" si="6"/>
        <v>0</v>
      </c>
      <c r="K160" s="30">
        <f t="shared" si="7"/>
        <v>0</v>
      </c>
      <c r="L160" s="26">
        <f t="shared" si="8"/>
        <v>0</v>
      </c>
      <c r="M160" s="26">
        <v>0</v>
      </c>
    </row>
    <row r="161" spans="1:13" ht="15" customHeight="1">
      <c r="A161" s="25">
        <v>1412794</v>
      </c>
      <c r="B161" s="26" t="s">
        <v>5423</v>
      </c>
      <c r="C161" s="26" t="s">
        <v>5812</v>
      </c>
      <c r="D161" s="26" t="s">
        <v>5813</v>
      </c>
      <c r="E161" s="26" t="s">
        <v>5430</v>
      </c>
      <c r="F161" s="27">
        <v>5077222</v>
      </c>
      <c r="G161" s="27">
        <v>0</v>
      </c>
      <c r="H161" s="27">
        <v>0</v>
      </c>
      <c r="I161" s="27">
        <v>0</v>
      </c>
      <c r="J161" s="30">
        <f t="shared" si="6"/>
        <v>0</v>
      </c>
      <c r="K161" s="30">
        <f t="shared" si="7"/>
        <v>0</v>
      </c>
      <c r="L161" s="26">
        <f t="shared" si="8"/>
        <v>0</v>
      </c>
      <c r="M161" s="26">
        <v>0</v>
      </c>
    </row>
    <row r="162" spans="1:13" ht="15" customHeight="1">
      <c r="A162" s="25">
        <v>1412864</v>
      </c>
      <c r="B162" s="26" t="s">
        <v>5423</v>
      </c>
      <c r="C162" s="26" t="s">
        <v>5814</v>
      </c>
      <c r="D162" s="26" t="s">
        <v>5815</v>
      </c>
      <c r="E162" s="26" t="s">
        <v>5545</v>
      </c>
      <c r="F162" s="27">
        <v>5042925</v>
      </c>
      <c r="G162" s="27">
        <v>1</v>
      </c>
      <c r="H162" s="27">
        <v>0</v>
      </c>
      <c r="I162" s="27">
        <v>1</v>
      </c>
      <c r="J162" s="30">
        <f t="shared" si="6"/>
        <v>1</v>
      </c>
      <c r="K162" s="30">
        <f t="shared" si="7"/>
        <v>0</v>
      </c>
      <c r="L162" s="26">
        <f t="shared" si="8"/>
        <v>0</v>
      </c>
      <c r="M162" s="26"/>
    </row>
    <row r="163" spans="1:13" ht="15" customHeight="1">
      <c r="A163" s="25">
        <v>1413054</v>
      </c>
      <c r="B163" s="26" t="s">
        <v>5423</v>
      </c>
      <c r="C163" s="26" t="s">
        <v>5816</v>
      </c>
      <c r="D163" s="26" t="s">
        <v>5817</v>
      </c>
      <c r="E163" s="26" t="s">
        <v>5683</v>
      </c>
      <c r="F163" s="27">
        <v>5078009</v>
      </c>
      <c r="G163" s="27">
        <v>1</v>
      </c>
      <c r="H163" s="27">
        <v>0</v>
      </c>
      <c r="I163" s="27">
        <v>1</v>
      </c>
      <c r="J163" s="30">
        <f t="shared" si="6"/>
        <v>1</v>
      </c>
      <c r="K163" s="30">
        <f t="shared" si="7"/>
        <v>0</v>
      </c>
      <c r="L163" s="26">
        <f t="shared" si="8"/>
        <v>0</v>
      </c>
      <c r="M163" s="26"/>
    </row>
    <row r="164" spans="1:13" ht="15" customHeight="1">
      <c r="A164" s="25">
        <v>1413080</v>
      </c>
      <c r="B164" s="26" t="s">
        <v>5423</v>
      </c>
      <c r="C164" s="26" t="s">
        <v>5818</v>
      </c>
      <c r="D164" s="26" t="s">
        <v>5819</v>
      </c>
      <c r="E164" s="26" t="s">
        <v>5517</v>
      </c>
      <c r="F164" s="27">
        <v>5078102</v>
      </c>
      <c r="G164" s="27">
        <v>1</v>
      </c>
      <c r="H164" s="27">
        <v>0</v>
      </c>
      <c r="I164" s="27">
        <v>1</v>
      </c>
      <c r="J164" s="30">
        <f t="shared" si="6"/>
        <v>1</v>
      </c>
      <c r="K164" s="30">
        <f t="shared" si="7"/>
        <v>0</v>
      </c>
      <c r="L164" s="26">
        <f t="shared" si="8"/>
        <v>0</v>
      </c>
      <c r="M164" s="26"/>
    </row>
    <row r="165" spans="1:13" ht="15" customHeight="1">
      <c r="A165" s="25">
        <v>1413589</v>
      </c>
      <c r="B165" s="26" t="s">
        <v>5423</v>
      </c>
      <c r="C165" s="26" t="s">
        <v>5820</v>
      </c>
      <c r="D165" s="26" t="s">
        <v>5821</v>
      </c>
      <c r="E165" s="26" t="s">
        <v>5430</v>
      </c>
      <c r="F165" s="27">
        <v>4321615</v>
      </c>
      <c r="G165" s="27">
        <v>1</v>
      </c>
      <c r="H165" s="27">
        <v>0</v>
      </c>
      <c r="I165" s="27">
        <v>1</v>
      </c>
      <c r="J165" s="30">
        <f t="shared" si="6"/>
        <v>1</v>
      </c>
      <c r="K165" s="30">
        <f t="shared" si="7"/>
        <v>0</v>
      </c>
      <c r="L165" s="26">
        <f t="shared" si="8"/>
        <v>0</v>
      </c>
      <c r="M165" s="26"/>
    </row>
    <row r="166" spans="1:13" ht="15" customHeight="1">
      <c r="A166" s="25">
        <v>1413624</v>
      </c>
      <c r="B166" s="26" t="s">
        <v>5423</v>
      </c>
      <c r="C166" s="26" t="s">
        <v>5822</v>
      </c>
      <c r="D166" s="26" t="s">
        <v>5823</v>
      </c>
      <c r="E166" s="26" t="s">
        <v>5535</v>
      </c>
      <c r="F166" s="27">
        <v>5066798</v>
      </c>
      <c r="G166" s="27">
        <v>1</v>
      </c>
      <c r="H166" s="27">
        <v>0</v>
      </c>
      <c r="I166" s="27">
        <v>1</v>
      </c>
      <c r="J166" s="30">
        <f t="shared" si="6"/>
        <v>1</v>
      </c>
      <c r="K166" s="30">
        <f t="shared" si="7"/>
        <v>0</v>
      </c>
      <c r="L166" s="26">
        <f t="shared" si="8"/>
        <v>0</v>
      </c>
      <c r="M166" s="26"/>
    </row>
    <row r="167" spans="1:13" ht="15" customHeight="1">
      <c r="A167" s="25">
        <v>1413699</v>
      </c>
      <c r="B167" s="26" t="s">
        <v>5423</v>
      </c>
      <c r="C167" s="26" t="s">
        <v>5824</v>
      </c>
      <c r="D167" s="26" t="s">
        <v>5825</v>
      </c>
      <c r="E167" s="26" t="s">
        <v>5426</v>
      </c>
      <c r="F167" s="27">
        <v>5081196</v>
      </c>
      <c r="G167" s="27">
        <v>0</v>
      </c>
      <c r="H167" s="27">
        <v>0</v>
      </c>
      <c r="I167" s="27">
        <v>0</v>
      </c>
      <c r="J167" s="30">
        <f t="shared" si="6"/>
        <v>0</v>
      </c>
      <c r="K167" s="30">
        <f t="shared" si="7"/>
        <v>0</v>
      </c>
      <c r="L167" s="26">
        <f t="shared" si="8"/>
        <v>0</v>
      </c>
      <c r="M167" s="26">
        <v>0</v>
      </c>
    </row>
    <row r="168" spans="1:13" ht="15" customHeight="1">
      <c r="A168" s="25">
        <v>1413813</v>
      </c>
      <c r="B168" s="26" t="s">
        <v>5427</v>
      </c>
      <c r="C168" s="26" t="s">
        <v>5826</v>
      </c>
      <c r="D168" s="26" t="s">
        <v>5827</v>
      </c>
      <c r="E168" s="26" t="s">
        <v>5475</v>
      </c>
      <c r="F168" s="27">
        <v>4994513</v>
      </c>
      <c r="G168" s="27">
        <v>1</v>
      </c>
      <c r="H168" s="27">
        <v>0</v>
      </c>
      <c r="I168" s="27">
        <v>1</v>
      </c>
      <c r="J168" s="30">
        <f t="shared" si="6"/>
        <v>1</v>
      </c>
      <c r="K168" s="30">
        <f t="shared" si="7"/>
        <v>0</v>
      </c>
      <c r="L168" s="26">
        <f t="shared" si="8"/>
        <v>0</v>
      </c>
      <c r="M168" s="26"/>
    </row>
    <row r="169" spans="1:13" ht="15" customHeight="1">
      <c r="A169" s="25">
        <v>1413819</v>
      </c>
      <c r="B169" s="26" t="s">
        <v>5423</v>
      </c>
      <c r="C169" s="26" t="s">
        <v>5828</v>
      </c>
      <c r="D169" s="26" t="s">
        <v>5829</v>
      </c>
      <c r="E169" s="26" t="s">
        <v>5426</v>
      </c>
      <c r="F169" s="27">
        <v>1413819</v>
      </c>
      <c r="G169" s="27">
        <v>0</v>
      </c>
      <c r="H169" s="27">
        <v>1</v>
      </c>
      <c r="I169" s="27">
        <v>1</v>
      </c>
      <c r="J169" s="30">
        <f t="shared" si="6"/>
        <v>0</v>
      </c>
      <c r="K169" s="30">
        <f t="shared" si="7"/>
        <v>1</v>
      </c>
      <c r="L169" s="26">
        <f t="shared" si="8"/>
        <v>0</v>
      </c>
      <c r="M169" s="26"/>
    </row>
    <row r="170" spans="1:13" ht="15" customHeight="1">
      <c r="A170" s="25">
        <v>1414048</v>
      </c>
      <c r="B170" s="26" t="s">
        <v>5427</v>
      </c>
      <c r="C170" s="26" t="s">
        <v>5830</v>
      </c>
      <c r="D170" s="26" t="s">
        <v>5831</v>
      </c>
      <c r="E170" s="26" t="s">
        <v>5442</v>
      </c>
      <c r="F170" s="27">
        <v>5080838</v>
      </c>
      <c r="G170" s="27">
        <v>0</v>
      </c>
      <c r="H170" s="27">
        <v>0</v>
      </c>
      <c r="I170" s="27">
        <v>0</v>
      </c>
      <c r="J170" s="30">
        <f t="shared" si="6"/>
        <v>0</v>
      </c>
      <c r="K170" s="30">
        <f t="shared" si="7"/>
        <v>0</v>
      </c>
      <c r="L170" s="26">
        <f t="shared" si="8"/>
        <v>0</v>
      </c>
      <c r="M170" s="26">
        <v>0</v>
      </c>
    </row>
    <row r="171" spans="1:13" ht="15" customHeight="1">
      <c r="A171" s="25">
        <v>1414055</v>
      </c>
      <c r="B171" s="26" t="s">
        <v>5423</v>
      </c>
      <c r="C171" s="26" t="s">
        <v>5832</v>
      </c>
      <c r="D171" s="26" t="s">
        <v>5833</v>
      </c>
      <c r="E171" s="26" t="s">
        <v>5532</v>
      </c>
      <c r="F171" s="27">
        <v>5080688</v>
      </c>
      <c r="G171" s="27">
        <v>0</v>
      </c>
      <c r="H171" s="27">
        <v>0</v>
      </c>
      <c r="I171" s="27">
        <v>0</v>
      </c>
      <c r="J171" s="30">
        <f t="shared" si="6"/>
        <v>0</v>
      </c>
      <c r="K171" s="30">
        <f t="shared" si="7"/>
        <v>0</v>
      </c>
      <c r="L171" s="26">
        <f t="shared" si="8"/>
        <v>0</v>
      </c>
      <c r="M171" s="26">
        <v>0</v>
      </c>
    </row>
    <row r="172" spans="1:13" ht="15" customHeight="1">
      <c r="A172" s="25">
        <v>1414068</v>
      </c>
      <c r="B172" s="26" t="s">
        <v>5423</v>
      </c>
      <c r="C172" s="26" t="s">
        <v>5834</v>
      </c>
      <c r="D172" s="26" t="s">
        <v>5835</v>
      </c>
      <c r="E172" s="26" t="s">
        <v>5430</v>
      </c>
      <c r="F172" s="27">
        <v>5076192</v>
      </c>
      <c r="G172" s="27">
        <v>0</v>
      </c>
      <c r="H172" s="27">
        <v>0</v>
      </c>
      <c r="I172" s="27">
        <v>0</v>
      </c>
      <c r="J172" s="30">
        <f t="shared" si="6"/>
        <v>0</v>
      </c>
      <c r="K172" s="30">
        <f t="shared" si="7"/>
        <v>0</v>
      </c>
      <c r="L172" s="26">
        <f t="shared" si="8"/>
        <v>0</v>
      </c>
      <c r="M172" s="26">
        <v>0</v>
      </c>
    </row>
    <row r="173" spans="1:13" ht="15" customHeight="1">
      <c r="A173" s="25">
        <v>1414108</v>
      </c>
      <c r="B173" s="26" t="s">
        <v>5423</v>
      </c>
      <c r="C173" s="26" t="s">
        <v>5836</v>
      </c>
      <c r="D173" s="26" t="s">
        <v>5837</v>
      </c>
      <c r="E173" s="26" t="s">
        <v>5480</v>
      </c>
      <c r="F173" s="27">
        <v>5077027</v>
      </c>
      <c r="G173" s="27">
        <v>0</v>
      </c>
      <c r="H173" s="27">
        <v>0</v>
      </c>
      <c r="I173" s="27">
        <v>0</v>
      </c>
      <c r="J173" s="30">
        <f t="shared" si="6"/>
        <v>0</v>
      </c>
      <c r="K173" s="30">
        <f t="shared" si="7"/>
        <v>0</v>
      </c>
      <c r="L173" s="26">
        <f t="shared" si="8"/>
        <v>0</v>
      </c>
      <c r="M173" s="26">
        <v>0</v>
      </c>
    </row>
    <row r="174" spans="1:13" ht="15" customHeight="1">
      <c r="A174" s="25">
        <v>1414122</v>
      </c>
      <c r="B174" s="26" t="s">
        <v>5427</v>
      </c>
      <c r="C174" s="26" t="s">
        <v>5838</v>
      </c>
      <c r="D174" s="26" t="s">
        <v>5839</v>
      </c>
      <c r="E174" s="26" t="s">
        <v>5517</v>
      </c>
      <c r="F174" s="27">
        <v>5080924</v>
      </c>
      <c r="G174" s="27">
        <v>0</v>
      </c>
      <c r="H174" s="27">
        <v>0</v>
      </c>
      <c r="I174" s="27">
        <v>0</v>
      </c>
      <c r="J174" s="30">
        <f t="shared" si="6"/>
        <v>0</v>
      </c>
      <c r="K174" s="30">
        <f t="shared" si="7"/>
        <v>0</v>
      </c>
      <c r="L174" s="26">
        <f t="shared" si="8"/>
        <v>0</v>
      </c>
      <c r="M174" s="26">
        <v>0</v>
      </c>
    </row>
    <row r="175" spans="1:13" ht="15" customHeight="1">
      <c r="A175" s="25">
        <v>1414504</v>
      </c>
      <c r="B175" s="26" t="s">
        <v>5423</v>
      </c>
      <c r="C175" s="26" t="s">
        <v>5840</v>
      </c>
      <c r="D175" s="26" t="s">
        <v>5841</v>
      </c>
      <c r="E175" s="26" t="s">
        <v>5535</v>
      </c>
      <c r="F175" s="27">
        <v>4611677</v>
      </c>
      <c r="G175" s="27">
        <v>1</v>
      </c>
      <c r="H175" s="27">
        <v>0</v>
      </c>
      <c r="I175" s="27">
        <v>1</v>
      </c>
      <c r="J175" s="30">
        <f t="shared" si="6"/>
        <v>1</v>
      </c>
      <c r="K175" s="30">
        <f t="shared" si="7"/>
        <v>0</v>
      </c>
      <c r="L175" s="26">
        <f t="shared" si="8"/>
        <v>0</v>
      </c>
      <c r="M175" s="26"/>
    </row>
    <row r="176" spans="1:13" ht="15" customHeight="1">
      <c r="A176" s="25">
        <v>1415132</v>
      </c>
      <c r="B176" s="26" t="s">
        <v>5423</v>
      </c>
      <c r="C176" s="26" t="s">
        <v>5842</v>
      </c>
      <c r="D176" s="26" t="s">
        <v>5843</v>
      </c>
      <c r="E176" s="26" t="s">
        <v>5475</v>
      </c>
      <c r="F176" s="27">
        <v>5083900</v>
      </c>
      <c r="G176" s="27">
        <v>0</v>
      </c>
      <c r="H176" s="27">
        <v>0</v>
      </c>
      <c r="I176" s="27">
        <v>0</v>
      </c>
      <c r="J176" s="30">
        <f t="shared" si="6"/>
        <v>0</v>
      </c>
      <c r="K176" s="30">
        <f t="shared" si="7"/>
        <v>0</v>
      </c>
      <c r="L176" s="26">
        <f t="shared" si="8"/>
        <v>0</v>
      </c>
      <c r="M176" s="26">
        <v>0</v>
      </c>
    </row>
    <row r="177" spans="1:13" ht="15" customHeight="1">
      <c r="A177" s="25">
        <v>1415137</v>
      </c>
      <c r="B177" s="26" t="s">
        <v>5427</v>
      </c>
      <c r="C177" s="26" t="s">
        <v>5844</v>
      </c>
      <c r="D177" s="26" t="s">
        <v>5845</v>
      </c>
      <c r="E177" s="26" t="s">
        <v>5452</v>
      </c>
      <c r="F177" s="27">
        <v>5084788</v>
      </c>
      <c r="G177" s="27">
        <v>0</v>
      </c>
      <c r="H177" s="27">
        <v>0</v>
      </c>
      <c r="I177" s="27">
        <v>0</v>
      </c>
      <c r="J177" s="30">
        <f t="shared" si="6"/>
        <v>0</v>
      </c>
      <c r="K177" s="30">
        <f t="shared" si="7"/>
        <v>0</v>
      </c>
      <c r="L177" s="26">
        <f t="shared" si="8"/>
        <v>0</v>
      </c>
      <c r="M177" s="26">
        <v>0</v>
      </c>
    </row>
    <row r="178" spans="1:13" ht="15" customHeight="1">
      <c r="A178" s="25">
        <v>1415356</v>
      </c>
      <c r="B178" s="26" t="s">
        <v>5427</v>
      </c>
      <c r="C178" s="26" t="s">
        <v>5846</v>
      </c>
      <c r="D178" s="26" t="s">
        <v>5847</v>
      </c>
      <c r="E178" s="26" t="s">
        <v>5430</v>
      </c>
      <c r="F178" s="27">
        <v>5050521</v>
      </c>
      <c r="G178" s="27">
        <v>1</v>
      </c>
      <c r="H178" s="27">
        <v>1</v>
      </c>
      <c r="I178" s="27">
        <v>1</v>
      </c>
      <c r="J178" s="30">
        <f t="shared" si="6"/>
        <v>1</v>
      </c>
      <c r="K178" s="30">
        <f t="shared" si="7"/>
        <v>1</v>
      </c>
      <c r="L178" s="26">
        <f t="shared" si="8"/>
        <v>1</v>
      </c>
      <c r="M178" s="26"/>
    </row>
    <row r="179" spans="1:13" ht="15" customHeight="1">
      <c r="A179" s="25">
        <v>1415423</v>
      </c>
      <c r="B179" s="26" t="s">
        <v>5427</v>
      </c>
      <c r="C179" s="26" t="s">
        <v>5848</v>
      </c>
      <c r="D179" s="26" t="s">
        <v>5849</v>
      </c>
      <c r="E179" s="26" t="s">
        <v>5426</v>
      </c>
      <c r="F179" s="27">
        <v>5085032</v>
      </c>
      <c r="G179" s="27">
        <v>0</v>
      </c>
      <c r="H179" s="27">
        <v>0</v>
      </c>
      <c r="I179" s="27">
        <v>0</v>
      </c>
      <c r="J179" s="30">
        <f t="shared" si="6"/>
        <v>0</v>
      </c>
      <c r="K179" s="30">
        <f t="shared" si="7"/>
        <v>0</v>
      </c>
      <c r="L179" s="26">
        <f t="shared" si="8"/>
        <v>0</v>
      </c>
      <c r="M179" s="26">
        <v>0</v>
      </c>
    </row>
    <row r="180" spans="1:13" ht="15" customHeight="1">
      <c r="A180" s="25">
        <v>1415610</v>
      </c>
      <c r="B180" s="26" t="s">
        <v>5423</v>
      </c>
      <c r="C180" s="26" t="s">
        <v>5850</v>
      </c>
      <c r="D180" s="26" t="s">
        <v>5851</v>
      </c>
      <c r="E180" s="26" t="s">
        <v>5468</v>
      </c>
      <c r="F180" s="27">
        <v>5085697</v>
      </c>
      <c r="G180" s="27">
        <v>0</v>
      </c>
      <c r="H180" s="27">
        <v>0</v>
      </c>
      <c r="I180" s="27">
        <v>0</v>
      </c>
      <c r="J180" s="30">
        <f t="shared" si="6"/>
        <v>0</v>
      </c>
      <c r="K180" s="30">
        <f t="shared" si="7"/>
        <v>0</v>
      </c>
      <c r="L180" s="26">
        <f t="shared" si="8"/>
        <v>0</v>
      </c>
      <c r="M180" s="26">
        <v>0</v>
      </c>
    </row>
    <row r="181" spans="1:13" ht="15" customHeight="1">
      <c r="A181" s="25">
        <v>1415762</v>
      </c>
      <c r="B181" s="26" t="s">
        <v>5423</v>
      </c>
      <c r="C181" s="26" t="s">
        <v>5852</v>
      </c>
      <c r="D181" s="26" t="s">
        <v>5853</v>
      </c>
      <c r="E181" s="26" t="s">
        <v>5442</v>
      </c>
      <c r="F181" s="27">
        <v>5086172</v>
      </c>
      <c r="G181" s="27">
        <v>0</v>
      </c>
      <c r="H181" s="27">
        <v>0</v>
      </c>
      <c r="I181" s="27">
        <v>0</v>
      </c>
      <c r="J181" s="30">
        <f t="shared" si="6"/>
        <v>0</v>
      </c>
      <c r="K181" s="30">
        <f t="shared" si="7"/>
        <v>0</v>
      </c>
      <c r="L181" s="26">
        <f t="shared" si="8"/>
        <v>0</v>
      </c>
      <c r="M181" s="26">
        <v>0</v>
      </c>
    </row>
    <row r="182" spans="1:13" ht="15" customHeight="1">
      <c r="A182" s="25">
        <v>1415769</v>
      </c>
      <c r="B182" s="26" t="s">
        <v>5423</v>
      </c>
      <c r="C182" s="26" t="s">
        <v>5854</v>
      </c>
      <c r="D182" s="26" t="s">
        <v>5855</v>
      </c>
      <c r="E182" s="26" t="s">
        <v>5522</v>
      </c>
      <c r="F182" s="27">
        <v>1240168</v>
      </c>
      <c r="G182" s="27">
        <v>1</v>
      </c>
      <c r="H182" s="27">
        <v>0</v>
      </c>
      <c r="I182" s="27">
        <v>1</v>
      </c>
      <c r="J182" s="30">
        <f t="shared" si="6"/>
        <v>1</v>
      </c>
      <c r="K182" s="30">
        <f t="shared" si="7"/>
        <v>0</v>
      </c>
      <c r="L182" s="26">
        <f t="shared" si="8"/>
        <v>0</v>
      </c>
      <c r="M182" s="26"/>
    </row>
    <row r="183" spans="1:13" ht="15" customHeight="1">
      <c r="A183" s="25">
        <v>1415801</v>
      </c>
      <c r="B183" s="26" t="s">
        <v>5427</v>
      </c>
      <c r="C183" s="26" t="s">
        <v>5856</v>
      </c>
      <c r="D183" s="26" t="s">
        <v>5857</v>
      </c>
      <c r="E183" s="26" t="s">
        <v>5504</v>
      </c>
      <c r="F183" s="27">
        <v>4994472</v>
      </c>
      <c r="G183" s="27">
        <v>1</v>
      </c>
      <c r="H183" s="27">
        <v>1</v>
      </c>
      <c r="I183" s="27">
        <v>1</v>
      </c>
      <c r="J183" s="30">
        <f t="shared" si="6"/>
        <v>1</v>
      </c>
      <c r="K183" s="30">
        <f t="shared" si="7"/>
        <v>1</v>
      </c>
      <c r="L183" s="26">
        <f t="shared" si="8"/>
        <v>1</v>
      </c>
      <c r="M183" s="26"/>
    </row>
    <row r="184" spans="1:13" ht="15" customHeight="1">
      <c r="A184" s="25">
        <v>1416024</v>
      </c>
      <c r="B184" s="26" t="s">
        <v>5427</v>
      </c>
      <c r="C184" s="26" t="s">
        <v>5858</v>
      </c>
      <c r="D184" s="26" t="s">
        <v>5859</v>
      </c>
      <c r="E184" s="26" t="s">
        <v>5522</v>
      </c>
      <c r="F184" s="27">
        <v>5052533</v>
      </c>
      <c r="G184" s="27">
        <v>1</v>
      </c>
      <c r="H184" s="27">
        <v>0</v>
      </c>
      <c r="I184" s="27">
        <v>1</v>
      </c>
      <c r="J184" s="30">
        <f t="shared" si="6"/>
        <v>1</v>
      </c>
      <c r="K184" s="30">
        <f t="shared" si="7"/>
        <v>0</v>
      </c>
      <c r="L184" s="26">
        <f t="shared" si="8"/>
        <v>0</v>
      </c>
      <c r="M184" s="26"/>
    </row>
    <row r="185" spans="1:13" ht="15" customHeight="1">
      <c r="A185" s="25">
        <v>1416236</v>
      </c>
      <c r="B185" s="26" t="s">
        <v>5423</v>
      </c>
      <c r="C185" s="26" t="s">
        <v>5860</v>
      </c>
      <c r="D185" s="26" t="s">
        <v>5861</v>
      </c>
      <c r="E185" s="26" t="s">
        <v>5426</v>
      </c>
      <c r="F185" s="27">
        <v>5087710</v>
      </c>
      <c r="G185" s="27">
        <v>0</v>
      </c>
      <c r="H185" s="27">
        <v>0</v>
      </c>
      <c r="I185" s="27">
        <v>0</v>
      </c>
      <c r="J185" s="30">
        <f t="shared" si="6"/>
        <v>0</v>
      </c>
      <c r="K185" s="30">
        <f t="shared" si="7"/>
        <v>0</v>
      </c>
      <c r="L185" s="26">
        <f t="shared" si="8"/>
        <v>0</v>
      </c>
      <c r="M185" s="26">
        <v>0</v>
      </c>
    </row>
    <row r="186" spans="1:13" ht="15" customHeight="1">
      <c r="A186" s="25">
        <v>1416467</v>
      </c>
      <c r="B186" s="26" t="s">
        <v>5423</v>
      </c>
      <c r="C186" s="26" t="s">
        <v>5862</v>
      </c>
      <c r="D186" s="26" t="s">
        <v>5863</v>
      </c>
      <c r="E186" s="26" t="s">
        <v>5540</v>
      </c>
      <c r="F186" s="27">
        <v>5057383</v>
      </c>
      <c r="G186" s="27">
        <v>1</v>
      </c>
      <c r="H186" s="27">
        <v>0</v>
      </c>
      <c r="I186" s="27">
        <v>1</v>
      </c>
      <c r="J186" s="30">
        <f t="shared" si="6"/>
        <v>1</v>
      </c>
      <c r="K186" s="30">
        <f t="shared" si="7"/>
        <v>0</v>
      </c>
      <c r="L186" s="26">
        <f t="shared" si="8"/>
        <v>0</v>
      </c>
      <c r="M186" s="26"/>
    </row>
    <row r="187" spans="1:13" ht="15" customHeight="1">
      <c r="A187" s="25">
        <v>1416726</v>
      </c>
      <c r="B187" s="26" t="s">
        <v>5423</v>
      </c>
      <c r="C187" s="26" t="s">
        <v>5864</v>
      </c>
      <c r="D187" s="26" t="s">
        <v>5865</v>
      </c>
      <c r="E187" s="26" t="s">
        <v>5532</v>
      </c>
      <c r="F187" s="27">
        <v>5082143</v>
      </c>
      <c r="G187" s="27">
        <v>1</v>
      </c>
      <c r="H187" s="27">
        <v>0</v>
      </c>
      <c r="I187" s="27">
        <v>1</v>
      </c>
      <c r="J187" s="30">
        <f t="shared" si="6"/>
        <v>1</v>
      </c>
      <c r="K187" s="30">
        <f t="shared" si="7"/>
        <v>0</v>
      </c>
      <c r="L187" s="26">
        <f t="shared" si="8"/>
        <v>0</v>
      </c>
      <c r="M187" s="26"/>
    </row>
    <row r="188" spans="1:13" ht="15" customHeight="1">
      <c r="A188" s="25">
        <v>1416860</v>
      </c>
      <c r="B188" s="26" t="s">
        <v>5423</v>
      </c>
      <c r="C188" s="26" t="s">
        <v>5866</v>
      </c>
      <c r="D188" s="26" t="s">
        <v>5867</v>
      </c>
      <c r="E188" s="26" t="s">
        <v>5452</v>
      </c>
      <c r="F188" s="27">
        <v>5089816</v>
      </c>
      <c r="G188" s="27">
        <v>0</v>
      </c>
      <c r="H188" s="27">
        <v>0</v>
      </c>
      <c r="I188" s="27">
        <v>0</v>
      </c>
      <c r="J188" s="30">
        <f t="shared" si="6"/>
        <v>0</v>
      </c>
      <c r="K188" s="30">
        <f t="shared" si="7"/>
        <v>0</v>
      </c>
      <c r="L188" s="26">
        <f t="shared" si="8"/>
        <v>0</v>
      </c>
      <c r="M188" s="26">
        <v>0</v>
      </c>
    </row>
    <row r="189" spans="1:13" ht="15" customHeight="1">
      <c r="A189" s="25">
        <v>1416865</v>
      </c>
      <c r="B189" s="26" t="s">
        <v>5423</v>
      </c>
      <c r="C189" s="26" t="s">
        <v>5868</v>
      </c>
      <c r="D189" s="26" t="s">
        <v>5869</v>
      </c>
      <c r="E189" s="26" t="s">
        <v>5683</v>
      </c>
      <c r="F189" s="27">
        <v>4656000</v>
      </c>
      <c r="G189" s="27">
        <v>1</v>
      </c>
      <c r="H189" s="27">
        <v>1</v>
      </c>
      <c r="I189" s="27">
        <v>1</v>
      </c>
      <c r="J189" s="30">
        <f t="shared" si="6"/>
        <v>1</v>
      </c>
      <c r="K189" s="30">
        <f t="shared" si="7"/>
        <v>1</v>
      </c>
      <c r="L189" s="26">
        <f t="shared" si="8"/>
        <v>1</v>
      </c>
      <c r="M189" s="26"/>
    </row>
    <row r="190" spans="1:13" ht="15" customHeight="1">
      <c r="A190" s="25">
        <v>1416972</v>
      </c>
      <c r="B190" s="26" t="s">
        <v>5423</v>
      </c>
      <c r="C190" s="26" t="s">
        <v>5870</v>
      </c>
      <c r="D190" s="26" t="s">
        <v>5871</v>
      </c>
      <c r="E190" s="26" t="s">
        <v>5452</v>
      </c>
      <c r="F190" s="27">
        <v>5093581</v>
      </c>
      <c r="G190" s="27">
        <v>0</v>
      </c>
      <c r="H190" s="27">
        <v>0</v>
      </c>
      <c r="I190" s="27">
        <v>0</v>
      </c>
      <c r="J190" s="30">
        <f t="shared" si="6"/>
        <v>0</v>
      </c>
      <c r="K190" s="30">
        <f t="shared" si="7"/>
        <v>0</v>
      </c>
      <c r="L190" s="26">
        <f t="shared" si="8"/>
        <v>0</v>
      </c>
      <c r="M190" s="26">
        <v>0</v>
      </c>
    </row>
    <row r="191" spans="1:13" ht="15" customHeight="1">
      <c r="A191" s="25">
        <v>1417087</v>
      </c>
      <c r="B191" s="26" t="s">
        <v>5423</v>
      </c>
      <c r="C191" s="26" t="s">
        <v>5872</v>
      </c>
      <c r="D191" s="26" t="s">
        <v>5873</v>
      </c>
      <c r="E191" s="26" t="s">
        <v>5458</v>
      </c>
      <c r="F191" s="27">
        <v>5088768</v>
      </c>
      <c r="G191" s="27">
        <v>1</v>
      </c>
      <c r="H191" s="27">
        <v>0</v>
      </c>
      <c r="I191" s="27">
        <v>1</v>
      </c>
      <c r="J191" s="30">
        <f t="shared" si="6"/>
        <v>1</v>
      </c>
      <c r="K191" s="30">
        <f t="shared" si="7"/>
        <v>0</v>
      </c>
      <c r="L191" s="26">
        <f t="shared" si="8"/>
        <v>0</v>
      </c>
      <c r="M191" s="26"/>
    </row>
    <row r="192" spans="1:13" ht="15" customHeight="1">
      <c r="A192" s="25">
        <v>1417139</v>
      </c>
      <c r="B192" s="26" t="s">
        <v>5423</v>
      </c>
      <c r="C192" s="26" t="s">
        <v>5874</v>
      </c>
      <c r="D192" s="26" t="s">
        <v>5875</v>
      </c>
      <c r="E192" s="26" t="s">
        <v>5781</v>
      </c>
      <c r="F192" s="27"/>
      <c r="G192" s="27">
        <v>0</v>
      </c>
      <c r="H192" s="27">
        <v>0</v>
      </c>
      <c r="I192" s="27">
        <v>0</v>
      </c>
      <c r="J192" s="30">
        <f t="shared" si="6"/>
        <v>0</v>
      </c>
      <c r="K192" s="30">
        <f t="shared" si="7"/>
        <v>0</v>
      </c>
      <c r="L192" s="26">
        <f t="shared" si="8"/>
        <v>0</v>
      </c>
      <c r="M192" s="26" t="s">
        <v>5876</v>
      </c>
    </row>
    <row r="193" spans="1:13" ht="15" customHeight="1">
      <c r="A193" s="25">
        <v>1417274</v>
      </c>
      <c r="B193" s="26" t="s">
        <v>5423</v>
      </c>
      <c r="C193" s="26" t="s">
        <v>5877</v>
      </c>
      <c r="D193" s="26" t="s">
        <v>5878</v>
      </c>
      <c r="E193" s="26" t="s">
        <v>5781</v>
      </c>
      <c r="F193" s="27">
        <v>5094102</v>
      </c>
      <c r="G193" s="27">
        <v>0</v>
      </c>
      <c r="H193" s="27">
        <v>0</v>
      </c>
      <c r="I193" s="27">
        <v>0</v>
      </c>
      <c r="J193" s="30">
        <f t="shared" si="6"/>
        <v>0</v>
      </c>
      <c r="K193" s="30">
        <f t="shared" si="7"/>
        <v>0</v>
      </c>
      <c r="L193" s="26">
        <f t="shared" si="8"/>
        <v>0</v>
      </c>
      <c r="M193" s="26"/>
    </row>
    <row r="194" spans="1:13" ht="15" customHeight="1">
      <c r="A194" s="25">
        <v>1417436</v>
      </c>
      <c r="B194" s="26" t="s">
        <v>5423</v>
      </c>
      <c r="C194" s="26" t="s">
        <v>5879</v>
      </c>
      <c r="D194" s="26" t="s">
        <v>5880</v>
      </c>
      <c r="E194" s="26" t="s">
        <v>5532</v>
      </c>
      <c r="F194" s="27">
        <v>5075155</v>
      </c>
      <c r="G194" s="27">
        <v>1</v>
      </c>
      <c r="H194" s="27">
        <v>0</v>
      </c>
      <c r="I194" s="27">
        <v>1</v>
      </c>
      <c r="J194" s="30">
        <f t="shared" ref="J194:J257" si="9">IF(G194&gt;0,1,0)</f>
        <v>1</v>
      </c>
      <c r="K194" s="30">
        <f t="shared" ref="K194:K257" si="10">IF(H194&gt;0,1,0)</f>
        <v>0</v>
      </c>
      <c r="L194" s="26">
        <f t="shared" ref="L194:L257" si="11">IF(G194&gt;0,IF(H194&gt;0,1,0),0)</f>
        <v>0</v>
      </c>
      <c r="M194" s="26"/>
    </row>
    <row r="195" spans="1:13" ht="15" customHeight="1">
      <c r="A195" s="25">
        <v>1417508</v>
      </c>
      <c r="B195" s="26" t="s">
        <v>5423</v>
      </c>
      <c r="C195" s="26" t="s">
        <v>5881</v>
      </c>
      <c r="D195" s="26" t="s">
        <v>5882</v>
      </c>
      <c r="E195" s="26" t="s">
        <v>5504</v>
      </c>
      <c r="F195" s="27">
        <v>4897959</v>
      </c>
      <c r="G195" s="27">
        <v>1</v>
      </c>
      <c r="H195" s="27">
        <v>0</v>
      </c>
      <c r="I195" s="27">
        <v>1</v>
      </c>
      <c r="J195" s="30">
        <f t="shared" si="9"/>
        <v>1</v>
      </c>
      <c r="K195" s="30">
        <f t="shared" si="10"/>
        <v>0</v>
      </c>
      <c r="L195" s="26">
        <f t="shared" si="11"/>
        <v>0</v>
      </c>
      <c r="M195" s="26"/>
    </row>
    <row r="196" spans="1:13" ht="15" customHeight="1">
      <c r="A196" s="25">
        <v>1417528</v>
      </c>
      <c r="B196" s="26" t="s">
        <v>5423</v>
      </c>
      <c r="C196" s="26" t="s">
        <v>5883</v>
      </c>
      <c r="D196" s="26" t="s">
        <v>5884</v>
      </c>
      <c r="E196" s="26" t="s">
        <v>5442</v>
      </c>
      <c r="F196" s="27">
        <v>4978427</v>
      </c>
      <c r="G196" s="27">
        <v>1</v>
      </c>
      <c r="H196" s="27">
        <v>1</v>
      </c>
      <c r="I196" s="27">
        <v>1</v>
      </c>
      <c r="J196" s="30">
        <f t="shared" si="9"/>
        <v>1</v>
      </c>
      <c r="K196" s="30">
        <f t="shared" si="10"/>
        <v>1</v>
      </c>
      <c r="L196" s="26">
        <f t="shared" si="11"/>
        <v>1</v>
      </c>
      <c r="M196" s="26"/>
    </row>
    <row r="197" spans="1:13" ht="15" customHeight="1">
      <c r="A197" s="25">
        <v>1417529</v>
      </c>
      <c r="B197" s="26" t="s">
        <v>5423</v>
      </c>
      <c r="C197" s="26" t="s">
        <v>5885</v>
      </c>
      <c r="D197" s="26" t="s">
        <v>5886</v>
      </c>
      <c r="E197" s="26" t="s">
        <v>5468</v>
      </c>
      <c r="F197" s="27">
        <v>4790048</v>
      </c>
      <c r="G197" s="27">
        <v>1</v>
      </c>
      <c r="H197" s="27">
        <v>1</v>
      </c>
      <c r="I197" s="27">
        <v>1</v>
      </c>
      <c r="J197" s="30">
        <f t="shared" si="9"/>
        <v>1</v>
      </c>
      <c r="K197" s="30">
        <f t="shared" si="10"/>
        <v>1</v>
      </c>
      <c r="L197" s="26">
        <f t="shared" si="11"/>
        <v>1</v>
      </c>
      <c r="M197" s="26"/>
    </row>
    <row r="198" spans="1:13" ht="15" customHeight="1">
      <c r="A198" s="25">
        <v>1417546</v>
      </c>
      <c r="B198" s="26" t="s">
        <v>5423</v>
      </c>
      <c r="C198" s="26" t="s">
        <v>5887</v>
      </c>
      <c r="D198" s="26" t="s">
        <v>5888</v>
      </c>
      <c r="E198" s="26" t="s">
        <v>5491</v>
      </c>
      <c r="F198" s="27">
        <v>5091774</v>
      </c>
      <c r="G198" s="27">
        <v>0</v>
      </c>
      <c r="H198" s="27">
        <v>0</v>
      </c>
      <c r="I198" s="27">
        <v>0</v>
      </c>
      <c r="J198" s="30">
        <f t="shared" si="9"/>
        <v>0</v>
      </c>
      <c r="K198" s="30">
        <f t="shared" si="10"/>
        <v>0</v>
      </c>
      <c r="L198" s="26">
        <f t="shared" si="11"/>
        <v>0</v>
      </c>
      <c r="M198" s="26">
        <v>0</v>
      </c>
    </row>
    <row r="199" spans="1:13" ht="15" customHeight="1">
      <c r="A199" s="25">
        <v>1417715</v>
      </c>
      <c r="B199" s="26" t="s">
        <v>5427</v>
      </c>
      <c r="C199" s="26" t="s">
        <v>5889</v>
      </c>
      <c r="D199" s="26" t="s">
        <v>5890</v>
      </c>
      <c r="E199" s="26" t="s">
        <v>5891</v>
      </c>
      <c r="F199" s="27">
        <v>5093589</v>
      </c>
      <c r="G199" s="27">
        <v>1</v>
      </c>
      <c r="H199" s="27">
        <v>0</v>
      </c>
      <c r="I199" s="27">
        <v>1</v>
      </c>
      <c r="J199" s="30">
        <f t="shared" si="9"/>
        <v>1</v>
      </c>
      <c r="K199" s="30">
        <f t="shared" si="10"/>
        <v>0</v>
      </c>
      <c r="L199" s="26">
        <f t="shared" si="11"/>
        <v>0</v>
      </c>
      <c r="M199" s="26"/>
    </row>
    <row r="200" spans="1:13" ht="15" customHeight="1">
      <c r="A200" s="25">
        <v>1417734</v>
      </c>
      <c r="B200" s="26" t="s">
        <v>5423</v>
      </c>
      <c r="C200" s="26" t="s">
        <v>5892</v>
      </c>
      <c r="D200" s="26" t="s">
        <v>5893</v>
      </c>
      <c r="E200" s="26" t="s">
        <v>5475</v>
      </c>
      <c r="F200" s="27">
        <v>4962978</v>
      </c>
      <c r="G200" s="27">
        <v>1</v>
      </c>
      <c r="H200" s="27">
        <v>1</v>
      </c>
      <c r="I200" s="27">
        <v>1</v>
      </c>
      <c r="J200" s="30">
        <f t="shared" si="9"/>
        <v>1</v>
      </c>
      <c r="K200" s="30">
        <f t="shared" si="10"/>
        <v>1</v>
      </c>
      <c r="L200" s="26">
        <f t="shared" si="11"/>
        <v>1</v>
      </c>
      <c r="M200" s="26"/>
    </row>
    <row r="201" spans="1:13" ht="15" customHeight="1">
      <c r="A201" s="25">
        <v>1417744</v>
      </c>
      <c r="B201" s="26" t="s">
        <v>5427</v>
      </c>
      <c r="C201" s="26" t="s">
        <v>5894</v>
      </c>
      <c r="D201" s="26" t="s">
        <v>5895</v>
      </c>
      <c r="E201" s="26" t="s">
        <v>5485</v>
      </c>
      <c r="F201" s="27">
        <v>5091316</v>
      </c>
      <c r="G201" s="27">
        <v>0</v>
      </c>
      <c r="H201" s="27">
        <v>0</v>
      </c>
      <c r="I201" s="27">
        <v>0</v>
      </c>
      <c r="J201" s="30">
        <f t="shared" si="9"/>
        <v>0</v>
      </c>
      <c r="K201" s="30">
        <f t="shared" si="10"/>
        <v>0</v>
      </c>
      <c r="L201" s="26">
        <f t="shared" si="11"/>
        <v>0</v>
      </c>
      <c r="M201" s="26">
        <v>0</v>
      </c>
    </row>
    <row r="202" spans="1:13" ht="15" customHeight="1">
      <c r="A202" s="25">
        <v>1418021</v>
      </c>
      <c r="B202" s="26" t="s">
        <v>5427</v>
      </c>
      <c r="C202" s="26" t="s">
        <v>5896</v>
      </c>
      <c r="D202" s="26" t="s">
        <v>5897</v>
      </c>
      <c r="E202" s="26" t="s">
        <v>5550</v>
      </c>
      <c r="F202" s="27">
        <v>5093411</v>
      </c>
      <c r="G202" s="27">
        <v>0</v>
      </c>
      <c r="H202" s="27">
        <v>0</v>
      </c>
      <c r="I202" s="27">
        <v>0</v>
      </c>
      <c r="J202" s="30">
        <f t="shared" si="9"/>
        <v>0</v>
      </c>
      <c r="K202" s="30">
        <f t="shared" si="10"/>
        <v>0</v>
      </c>
      <c r="L202" s="26">
        <f t="shared" si="11"/>
        <v>0</v>
      </c>
      <c r="M202" s="26">
        <v>0</v>
      </c>
    </row>
    <row r="203" spans="1:13" ht="15" customHeight="1">
      <c r="A203" s="25">
        <v>1418183</v>
      </c>
      <c r="B203" s="26" t="s">
        <v>5423</v>
      </c>
      <c r="C203" s="26" t="s">
        <v>5898</v>
      </c>
      <c r="D203" s="26" t="s">
        <v>5899</v>
      </c>
      <c r="E203" s="26" t="s">
        <v>5488</v>
      </c>
      <c r="F203" s="27">
        <v>5078815</v>
      </c>
      <c r="G203" s="27">
        <v>1</v>
      </c>
      <c r="H203" s="27">
        <v>0</v>
      </c>
      <c r="I203" s="27">
        <v>1</v>
      </c>
      <c r="J203" s="30">
        <f t="shared" si="9"/>
        <v>1</v>
      </c>
      <c r="K203" s="30">
        <f t="shared" si="10"/>
        <v>0</v>
      </c>
      <c r="L203" s="26">
        <f t="shared" si="11"/>
        <v>0</v>
      </c>
      <c r="M203" s="26"/>
    </row>
    <row r="204" spans="1:13" ht="15" customHeight="1">
      <c r="A204" s="25">
        <v>1418195</v>
      </c>
      <c r="B204" s="26" t="s">
        <v>5427</v>
      </c>
      <c r="C204" s="26" t="s">
        <v>5900</v>
      </c>
      <c r="D204" s="26" t="s">
        <v>5901</v>
      </c>
      <c r="E204" s="26" t="s">
        <v>5772</v>
      </c>
      <c r="F204" s="27">
        <v>5093659</v>
      </c>
      <c r="G204" s="27">
        <v>0</v>
      </c>
      <c r="H204" s="27">
        <v>0</v>
      </c>
      <c r="I204" s="27">
        <v>0</v>
      </c>
      <c r="J204" s="30">
        <f t="shared" si="9"/>
        <v>0</v>
      </c>
      <c r="K204" s="30">
        <f t="shared" si="10"/>
        <v>0</v>
      </c>
      <c r="L204" s="26">
        <f t="shared" si="11"/>
        <v>0</v>
      </c>
      <c r="M204" s="26">
        <v>0</v>
      </c>
    </row>
    <row r="205" spans="1:13" ht="15" customHeight="1">
      <c r="A205" s="25">
        <v>1418209</v>
      </c>
      <c r="B205" s="26" t="s">
        <v>5427</v>
      </c>
      <c r="C205" s="26" t="s">
        <v>5902</v>
      </c>
      <c r="D205" s="26" t="s">
        <v>5903</v>
      </c>
      <c r="E205" s="26" t="s">
        <v>5532</v>
      </c>
      <c r="F205" s="27">
        <v>5094304</v>
      </c>
      <c r="G205" s="27">
        <v>0</v>
      </c>
      <c r="H205" s="27">
        <v>0</v>
      </c>
      <c r="I205" s="27">
        <v>0</v>
      </c>
      <c r="J205" s="30">
        <f t="shared" si="9"/>
        <v>0</v>
      </c>
      <c r="K205" s="30">
        <f t="shared" si="10"/>
        <v>0</v>
      </c>
      <c r="L205" s="26">
        <f t="shared" si="11"/>
        <v>0</v>
      </c>
      <c r="M205" s="26">
        <v>0</v>
      </c>
    </row>
    <row r="206" spans="1:13" ht="15" customHeight="1">
      <c r="A206" s="25">
        <v>1418550</v>
      </c>
      <c r="B206" s="26" t="s">
        <v>5423</v>
      </c>
      <c r="C206" s="26" t="s">
        <v>5904</v>
      </c>
      <c r="D206" s="26" t="s">
        <v>5905</v>
      </c>
      <c r="E206" s="26" t="s">
        <v>5683</v>
      </c>
      <c r="F206" s="27">
        <v>4001891</v>
      </c>
      <c r="G206" s="27">
        <v>0</v>
      </c>
      <c r="H206" s="27">
        <v>0</v>
      </c>
      <c r="I206" s="27">
        <v>0</v>
      </c>
      <c r="J206" s="30">
        <f t="shared" si="9"/>
        <v>0</v>
      </c>
      <c r="K206" s="30">
        <f t="shared" si="10"/>
        <v>0</v>
      </c>
      <c r="L206" s="26">
        <f t="shared" si="11"/>
        <v>0</v>
      </c>
      <c r="M206" s="26">
        <v>0</v>
      </c>
    </row>
    <row r="207" spans="1:13" ht="15" customHeight="1">
      <c r="A207" s="25">
        <v>1419127</v>
      </c>
      <c r="B207" s="26" t="s">
        <v>5423</v>
      </c>
      <c r="C207" s="26" t="s">
        <v>5906</v>
      </c>
      <c r="D207" s="26" t="s">
        <v>5907</v>
      </c>
      <c r="E207" s="26" t="s">
        <v>5463</v>
      </c>
      <c r="F207" s="27">
        <v>4405592</v>
      </c>
      <c r="G207" s="27">
        <v>0</v>
      </c>
      <c r="H207" s="27">
        <v>1</v>
      </c>
      <c r="I207" s="27">
        <v>1</v>
      </c>
      <c r="J207" s="30">
        <f t="shared" si="9"/>
        <v>0</v>
      </c>
      <c r="K207" s="30">
        <f t="shared" si="10"/>
        <v>1</v>
      </c>
      <c r="L207" s="26">
        <f t="shared" si="11"/>
        <v>0</v>
      </c>
      <c r="M207" s="26"/>
    </row>
    <row r="208" spans="1:13" ht="15" customHeight="1">
      <c r="A208" s="25">
        <v>1419205</v>
      </c>
      <c r="B208" s="26" t="s">
        <v>5423</v>
      </c>
      <c r="C208" s="26" t="s">
        <v>5908</v>
      </c>
      <c r="D208" s="26" t="s">
        <v>5909</v>
      </c>
      <c r="E208" s="26" t="s">
        <v>5452</v>
      </c>
      <c r="F208" s="27">
        <v>5096935</v>
      </c>
      <c r="G208" s="27">
        <v>1</v>
      </c>
      <c r="H208" s="27">
        <v>1</v>
      </c>
      <c r="I208" s="27">
        <v>1</v>
      </c>
      <c r="J208" s="30">
        <f t="shared" si="9"/>
        <v>1</v>
      </c>
      <c r="K208" s="30">
        <f t="shared" si="10"/>
        <v>1</v>
      </c>
      <c r="L208" s="26">
        <f t="shared" si="11"/>
        <v>1</v>
      </c>
      <c r="M208" s="26"/>
    </row>
    <row r="209" spans="1:13" ht="15" customHeight="1">
      <c r="A209" s="25">
        <v>1419427</v>
      </c>
      <c r="B209" s="26" t="s">
        <v>5427</v>
      </c>
      <c r="C209" s="26" t="s">
        <v>5910</v>
      </c>
      <c r="D209" s="26" t="s">
        <v>5911</v>
      </c>
      <c r="E209" s="26" t="s">
        <v>5514</v>
      </c>
      <c r="F209" s="27">
        <v>5099656</v>
      </c>
      <c r="G209" s="27">
        <v>0</v>
      </c>
      <c r="H209" s="27">
        <v>0</v>
      </c>
      <c r="I209" s="27">
        <v>0</v>
      </c>
      <c r="J209" s="30">
        <f t="shared" si="9"/>
        <v>0</v>
      </c>
      <c r="K209" s="30">
        <f t="shared" si="10"/>
        <v>0</v>
      </c>
      <c r="L209" s="26">
        <f t="shared" si="11"/>
        <v>0</v>
      </c>
      <c r="M209" s="26">
        <v>0</v>
      </c>
    </row>
    <row r="210" spans="1:13" ht="15" customHeight="1">
      <c r="A210" s="25">
        <v>1419431</v>
      </c>
      <c r="B210" s="26" t="s">
        <v>5423</v>
      </c>
      <c r="C210" s="26" t="s">
        <v>5912</v>
      </c>
      <c r="D210" s="26" t="s">
        <v>5913</v>
      </c>
      <c r="E210" s="26" t="s">
        <v>5550</v>
      </c>
      <c r="F210" s="27">
        <v>5097836</v>
      </c>
      <c r="G210" s="27">
        <v>1</v>
      </c>
      <c r="H210" s="27">
        <v>0</v>
      </c>
      <c r="I210" s="27">
        <v>1</v>
      </c>
      <c r="J210" s="30">
        <f t="shared" si="9"/>
        <v>1</v>
      </c>
      <c r="K210" s="30">
        <f t="shared" si="10"/>
        <v>0</v>
      </c>
      <c r="L210" s="26">
        <f t="shared" si="11"/>
        <v>0</v>
      </c>
      <c r="M210" s="26"/>
    </row>
    <row r="211" spans="1:13" ht="15" customHeight="1">
      <c r="A211" s="25">
        <v>1419514</v>
      </c>
      <c r="B211" s="26" t="s">
        <v>5423</v>
      </c>
      <c r="C211" s="26" t="s">
        <v>5914</v>
      </c>
      <c r="D211" s="26" t="s">
        <v>5915</v>
      </c>
      <c r="E211" s="26" t="s">
        <v>5480</v>
      </c>
      <c r="F211" s="27">
        <v>4790825</v>
      </c>
      <c r="G211" s="27">
        <v>1</v>
      </c>
      <c r="H211" s="27">
        <v>0</v>
      </c>
      <c r="I211" s="27">
        <v>1</v>
      </c>
      <c r="J211" s="30">
        <f t="shared" si="9"/>
        <v>1</v>
      </c>
      <c r="K211" s="30">
        <f t="shared" si="10"/>
        <v>0</v>
      </c>
      <c r="L211" s="26">
        <f t="shared" si="11"/>
        <v>0</v>
      </c>
      <c r="M211" s="26"/>
    </row>
    <row r="212" spans="1:13" ht="15" customHeight="1">
      <c r="A212" s="25">
        <v>1419537</v>
      </c>
      <c r="B212" s="26" t="s">
        <v>5423</v>
      </c>
      <c r="C212" s="26" t="s">
        <v>5916</v>
      </c>
      <c r="D212" s="26" t="s">
        <v>5917</v>
      </c>
      <c r="E212" s="26" t="s">
        <v>5430</v>
      </c>
      <c r="F212" s="27">
        <v>4860945</v>
      </c>
      <c r="G212" s="27">
        <v>1</v>
      </c>
      <c r="H212" s="27">
        <v>0</v>
      </c>
      <c r="I212" s="27">
        <v>1</v>
      </c>
      <c r="J212" s="30">
        <f t="shared" si="9"/>
        <v>1</v>
      </c>
      <c r="K212" s="30">
        <f t="shared" si="10"/>
        <v>0</v>
      </c>
      <c r="L212" s="26">
        <f t="shared" si="11"/>
        <v>0</v>
      </c>
      <c r="M212" s="26"/>
    </row>
    <row r="213" spans="1:13" ht="15" customHeight="1">
      <c r="A213" s="25">
        <v>1419591</v>
      </c>
      <c r="B213" s="26" t="s">
        <v>5427</v>
      </c>
      <c r="C213" s="26" t="s">
        <v>5918</v>
      </c>
      <c r="D213" s="26" t="s">
        <v>5919</v>
      </c>
      <c r="E213" s="26" t="s">
        <v>5439</v>
      </c>
      <c r="F213" s="27">
        <v>4169361</v>
      </c>
      <c r="G213" s="27">
        <v>1</v>
      </c>
      <c r="H213" s="27">
        <v>1</v>
      </c>
      <c r="I213" s="27">
        <v>1</v>
      </c>
      <c r="J213" s="30">
        <f t="shared" si="9"/>
        <v>1</v>
      </c>
      <c r="K213" s="30">
        <f t="shared" si="10"/>
        <v>1</v>
      </c>
      <c r="L213" s="26">
        <f t="shared" si="11"/>
        <v>1</v>
      </c>
      <c r="M213" s="26"/>
    </row>
    <row r="214" spans="1:13" ht="15" customHeight="1">
      <c r="A214" s="25">
        <v>1419612</v>
      </c>
      <c r="B214" s="26" t="s">
        <v>5427</v>
      </c>
      <c r="C214" s="26" t="s">
        <v>5920</v>
      </c>
      <c r="D214" s="26" t="s">
        <v>5921</v>
      </c>
      <c r="E214" s="26" t="s">
        <v>5488</v>
      </c>
      <c r="F214" s="27">
        <v>5098293</v>
      </c>
      <c r="G214" s="27">
        <v>0</v>
      </c>
      <c r="H214" s="27">
        <v>0</v>
      </c>
      <c r="I214" s="27">
        <v>0</v>
      </c>
      <c r="J214" s="30">
        <f t="shared" si="9"/>
        <v>0</v>
      </c>
      <c r="K214" s="30">
        <f t="shared" si="10"/>
        <v>0</v>
      </c>
      <c r="L214" s="26">
        <f t="shared" si="11"/>
        <v>0</v>
      </c>
      <c r="M214" s="26">
        <v>0</v>
      </c>
    </row>
    <row r="215" spans="1:13" ht="15" customHeight="1">
      <c r="A215" s="25">
        <v>1419620</v>
      </c>
      <c r="B215" s="26" t="s">
        <v>5423</v>
      </c>
      <c r="C215" s="26" t="s">
        <v>5922</v>
      </c>
      <c r="D215" s="26" t="s">
        <v>5923</v>
      </c>
      <c r="E215" s="26" t="s">
        <v>5430</v>
      </c>
      <c r="F215" s="27">
        <v>5103309</v>
      </c>
      <c r="G215" s="27">
        <v>0</v>
      </c>
      <c r="H215" s="27">
        <v>0</v>
      </c>
      <c r="I215" s="27">
        <v>0</v>
      </c>
      <c r="J215" s="30">
        <f t="shared" si="9"/>
        <v>0</v>
      </c>
      <c r="K215" s="30">
        <f t="shared" si="10"/>
        <v>0</v>
      </c>
      <c r="L215" s="26">
        <f t="shared" si="11"/>
        <v>0</v>
      </c>
      <c r="M215" s="26">
        <v>0</v>
      </c>
    </row>
    <row r="216" spans="1:13" ht="15" customHeight="1">
      <c r="A216" s="25">
        <v>1419649</v>
      </c>
      <c r="B216" s="26" t="s">
        <v>5427</v>
      </c>
      <c r="C216" s="26" t="s">
        <v>5924</v>
      </c>
      <c r="D216" s="26" t="s">
        <v>5925</v>
      </c>
      <c r="E216" s="26" t="s">
        <v>5439</v>
      </c>
      <c r="F216" s="27">
        <v>4977541</v>
      </c>
      <c r="G216" s="27">
        <v>1</v>
      </c>
      <c r="H216" s="27">
        <v>1</v>
      </c>
      <c r="I216" s="27">
        <v>1</v>
      </c>
      <c r="J216" s="30">
        <f t="shared" si="9"/>
        <v>1</v>
      </c>
      <c r="K216" s="30">
        <f t="shared" si="10"/>
        <v>1</v>
      </c>
      <c r="L216" s="26">
        <f t="shared" si="11"/>
        <v>1</v>
      </c>
      <c r="M216" s="26"/>
    </row>
    <row r="217" spans="1:13" ht="15" customHeight="1">
      <c r="A217" s="25">
        <v>1419816</v>
      </c>
      <c r="B217" s="26" t="s">
        <v>5423</v>
      </c>
      <c r="C217" s="26" t="s">
        <v>5926</v>
      </c>
      <c r="D217" s="26" t="s">
        <v>5927</v>
      </c>
      <c r="E217" s="26" t="s">
        <v>5535</v>
      </c>
      <c r="F217" s="27">
        <v>5098621</v>
      </c>
      <c r="G217" s="27">
        <v>0</v>
      </c>
      <c r="H217" s="27">
        <v>0</v>
      </c>
      <c r="I217" s="27">
        <v>0</v>
      </c>
      <c r="J217" s="30">
        <f t="shared" si="9"/>
        <v>0</v>
      </c>
      <c r="K217" s="30">
        <f t="shared" si="10"/>
        <v>0</v>
      </c>
      <c r="L217" s="26">
        <f t="shared" si="11"/>
        <v>0</v>
      </c>
      <c r="M217" s="26">
        <v>0</v>
      </c>
    </row>
    <row r="218" spans="1:13" ht="15" customHeight="1">
      <c r="A218" s="25">
        <v>1419876</v>
      </c>
      <c r="B218" s="26" t="s">
        <v>5423</v>
      </c>
      <c r="C218" s="26" t="s">
        <v>5928</v>
      </c>
      <c r="D218" s="26" t="s">
        <v>5929</v>
      </c>
      <c r="E218" s="26" t="s">
        <v>5452</v>
      </c>
      <c r="F218" s="27">
        <v>5097449</v>
      </c>
      <c r="G218" s="27">
        <v>0</v>
      </c>
      <c r="H218" s="27">
        <v>0</v>
      </c>
      <c r="I218" s="27">
        <v>0</v>
      </c>
      <c r="J218" s="30">
        <f t="shared" si="9"/>
        <v>0</v>
      </c>
      <c r="K218" s="30">
        <f t="shared" si="10"/>
        <v>0</v>
      </c>
      <c r="L218" s="26">
        <f t="shared" si="11"/>
        <v>0</v>
      </c>
      <c r="M218" s="26">
        <v>0</v>
      </c>
    </row>
    <row r="219" spans="1:13" ht="15" customHeight="1">
      <c r="A219" s="25">
        <v>1419893</v>
      </c>
      <c r="B219" s="26" t="s">
        <v>5427</v>
      </c>
      <c r="C219" s="26" t="s">
        <v>5930</v>
      </c>
      <c r="D219" s="26" t="s">
        <v>5931</v>
      </c>
      <c r="E219" s="26" t="s">
        <v>5586</v>
      </c>
      <c r="F219" s="27">
        <v>5084232</v>
      </c>
      <c r="G219" s="27">
        <v>0</v>
      </c>
      <c r="H219" s="27">
        <v>0</v>
      </c>
      <c r="I219" s="27">
        <v>0</v>
      </c>
      <c r="J219" s="30">
        <f t="shared" si="9"/>
        <v>0</v>
      </c>
      <c r="K219" s="30">
        <f t="shared" si="10"/>
        <v>0</v>
      </c>
      <c r="L219" s="26">
        <f t="shared" si="11"/>
        <v>0</v>
      </c>
      <c r="M219" s="26">
        <v>0</v>
      </c>
    </row>
    <row r="220" spans="1:13" ht="15" customHeight="1">
      <c r="A220" s="25">
        <v>1419960</v>
      </c>
      <c r="B220" s="26" t="s">
        <v>5423</v>
      </c>
      <c r="C220" s="26" t="s">
        <v>5932</v>
      </c>
      <c r="D220" s="26" t="s">
        <v>5933</v>
      </c>
      <c r="E220" s="26" t="s">
        <v>5603</v>
      </c>
      <c r="F220" s="27">
        <v>5070790</v>
      </c>
      <c r="G220" s="27">
        <v>1</v>
      </c>
      <c r="H220" s="27">
        <v>0</v>
      </c>
      <c r="I220" s="27">
        <v>1</v>
      </c>
      <c r="J220" s="30">
        <f t="shared" si="9"/>
        <v>1</v>
      </c>
      <c r="K220" s="30">
        <f t="shared" si="10"/>
        <v>0</v>
      </c>
      <c r="L220" s="26">
        <f t="shared" si="11"/>
        <v>0</v>
      </c>
      <c r="M220" s="26"/>
    </row>
    <row r="221" spans="1:13" ht="15" customHeight="1">
      <c r="A221" s="25">
        <v>1419977</v>
      </c>
      <c r="B221" s="26" t="s">
        <v>5423</v>
      </c>
      <c r="C221" s="26" t="s">
        <v>5934</v>
      </c>
      <c r="D221" s="26" t="s">
        <v>5935</v>
      </c>
      <c r="E221" s="26" t="s">
        <v>5517</v>
      </c>
      <c r="F221" s="27">
        <v>5098265</v>
      </c>
      <c r="G221" s="27">
        <v>1</v>
      </c>
      <c r="H221" s="27">
        <v>0</v>
      </c>
      <c r="I221" s="27">
        <v>1</v>
      </c>
      <c r="J221" s="30">
        <f t="shared" si="9"/>
        <v>1</v>
      </c>
      <c r="K221" s="30">
        <f t="shared" si="10"/>
        <v>0</v>
      </c>
      <c r="L221" s="26">
        <f t="shared" si="11"/>
        <v>0</v>
      </c>
      <c r="M221" s="26"/>
    </row>
    <row r="222" spans="1:13" ht="15" customHeight="1">
      <c r="A222" s="25">
        <v>1420139</v>
      </c>
      <c r="B222" s="26" t="s">
        <v>5423</v>
      </c>
      <c r="C222" s="26" t="s">
        <v>5936</v>
      </c>
      <c r="D222" s="26" t="s">
        <v>5937</v>
      </c>
      <c r="E222" s="26" t="s">
        <v>5781</v>
      </c>
      <c r="F222" s="27">
        <v>5099173</v>
      </c>
      <c r="G222" s="27">
        <v>0</v>
      </c>
      <c r="H222" s="27">
        <v>0</v>
      </c>
      <c r="I222" s="27">
        <v>0</v>
      </c>
      <c r="J222" s="30">
        <f t="shared" si="9"/>
        <v>0</v>
      </c>
      <c r="K222" s="30">
        <f t="shared" si="10"/>
        <v>0</v>
      </c>
      <c r="L222" s="26">
        <f t="shared" si="11"/>
        <v>0</v>
      </c>
      <c r="M222" s="26">
        <v>0</v>
      </c>
    </row>
    <row r="223" spans="1:13" ht="15" customHeight="1">
      <c r="A223" s="25">
        <v>1420280</v>
      </c>
      <c r="B223" s="26" t="s">
        <v>5423</v>
      </c>
      <c r="C223" s="26" t="s">
        <v>5938</v>
      </c>
      <c r="D223" s="26" t="s">
        <v>5939</v>
      </c>
      <c r="E223" s="26" t="s">
        <v>5532</v>
      </c>
      <c r="F223" s="27">
        <v>5103311</v>
      </c>
      <c r="G223" s="27">
        <v>0</v>
      </c>
      <c r="H223" s="27">
        <v>0</v>
      </c>
      <c r="I223" s="27">
        <v>0</v>
      </c>
      <c r="J223" s="30">
        <f t="shared" si="9"/>
        <v>0</v>
      </c>
      <c r="K223" s="30">
        <f t="shared" si="10"/>
        <v>0</v>
      </c>
      <c r="L223" s="26">
        <f t="shared" si="11"/>
        <v>0</v>
      </c>
      <c r="M223" s="26">
        <v>0</v>
      </c>
    </row>
    <row r="224" spans="1:13" ht="15" customHeight="1">
      <c r="A224" s="25">
        <v>1420413</v>
      </c>
      <c r="B224" s="26" t="s">
        <v>5423</v>
      </c>
      <c r="C224" s="26" t="s">
        <v>5940</v>
      </c>
      <c r="D224" s="26" t="s">
        <v>5941</v>
      </c>
      <c r="E224" s="26" t="s">
        <v>5603</v>
      </c>
      <c r="F224" s="27">
        <v>5104233</v>
      </c>
      <c r="G224" s="27">
        <v>0</v>
      </c>
      <c r="H224" s="27">
        <v>0</v>
      </c>
      <c r="I224" s="27">
        <v>0</v>
      </c>
      <c r="J224" s="30">
        <f t="shared" si="9"/>
        <v>0</v>
      </c>
      <c r="K224" s="30">
        <f t="shared" si="10"/>
        <v>0</v>
      </c>
      <c r="L224" s="26">
        <f t="shared" si="11"/>
        <v>0</v>
      </c>
      <c r="M224" s="26">
        <v>0</v>
      </c>
    </row>
    <row r="225" spans="1:13" ht="15" customHeight="1">
      <c r="A225" s="25">
        <v>1420576</v>
      </c>
      <c r="B225" s="26" t="s">
        <v>5423</v>
      </c>
      <c r="C225" s="26" t="s">
        <v>5942</v>
      </c>
      <c r="D225" s="26" t="s">
        <v>5943</v>
      </c>
      <c r="E225" s="26" t="s">
        <v>5532</v>
      </c>
      <c r="F225" s="27">
        <v>5101165</v>
      </c>
      <c r="G225" s="27">
        <v>0</v>
      </c>
      <c r="H225" s="27">
        <v>0</v>
      </c>
      <c r="I225" s="27">
        <v>0</v>
      </c>
      <c r="J225" s="30">
        <f t="shared" si="9"/>
        <v>0</v>
      </c>
      <c r="K225" s="30">
        <f t="shared" si="10"/>
        <v>0</v>
      </c>
      <c r="L225" s="26">
        <f t="shared" si="11"/>
        <v>0</v>
      </c>
      <c r="M225" s="26">
        <v>0</v>
      </c>
    </row>
    <row r="226" spans="1:13" ht="15" customHeight="1">
      <c r="A226" s="25">
        <v>1420618</v>
      </c>
      <c r="B226" s="26" t="s">
        <v>5423</v>
      </c>
      <c r="C226" s="26" t="s">
        <v>5944</v>
      </c>
      <c r="D226" s="26" t="s">
        <v>5945</v>
      </c>
      <c r="E226" s="26" t="s">
        <v>5458</v>
      </c>
      <c r="F226" s="27">
        <v>5101668</v>
      </c>
      <c r="G226" s="27">
        <v>0</v>
      </c>
      <c r="H226" s="27">
        <v>0</v>
      </c>
      <c r="I226" s="27">
        <v>0</v>
      </c>
      <c r="J226" s="30">
        <f t="shared" si="9"/>
        <v>0</v>
      </c>
      <c r="K226" s="30">
        <f t="shared" si="10"/>
        <v>0</v>
      </c>
      <c r="L226" s="26">
        <f t="shared" si="11"/>
        <v>0</v>
      </c>
      <c r="M226" s="26"/>
    </row>
    <row r="227" spans="1:13" ht="15" customHeight="1">
      <c r="A227" s="25">
        <v>1420629</v>
      </c>
      <c r="B227" s="26" t="s">
        <v>5423</v>
      </c>
      <c r="C227" s="26" t="s">
        <v>5946</v>
      </c>
      <c r="D227" s="26" t="s">
        <v>5947</v>
      </c>
      <c r="E227" s="26" t="s">
        <v>5491</v>
      </c>
      <c r="F227" s="27">
        <v>3905687</v>
      </c>
      <c r="G227" s="27">
        <v>1</v>
      </c>
      <c r="H227" s="27">
        <v>1</v>
      </c>
      <c r="I227" s="27">
        <v>1</v>
      </c>
      <c r="J227" s="30">
        <f t="shared" si="9"/>
        <v>1</v>
      </c>
      <c r="K227" s="30">
        <f t="shared" si="10"/>
        <v>1</v>
      </c>
      <c r="L227" s="26">
        <f t="shared" si="11"/>
        <v>1</v>
      </c>
      <c r="M227" s="26"/>
    </row>
    <row r="228" spans="1:13" ht="15" customHeight="1">
      <c r="A228" s="25">
        <v>1421273</v>
      </c>
      <c r="B228" s="26" t="s">
        <v>5423</v>
      </c>
      <c r="C228" s="26" t="s">
        <v>5948</v>
      </c>
      <c r="D228" s="26" t="s">
        <v>5949</v>
      </c>
      <c r="E228" s="26" t="s">
        <v>5485</v>
      </c>
      <c r="F228" s="27">
        <v>5103239</v>
      </c>
      <c r="G228" s="27">
        <v>0</v>
      </c>
      <c r="H228" s="27">
        <v>0</v>
      </c>
      <c r="I228" s="27">
        <v>0</v>
      </c>
      <c r="J228" s="30">
        <f t="shared" si="9"/>
        <v>0</v>
      </c>
      <c r="K228" s="30">
        <f t="shared" si="10"/>
        <v>0</v>
      </c>
      <c r="L228" s="26">
        <f t="shared" si="11"/>
        <v>0</v>
      </c>
      <c r="M228" s="26">
        <v>0</v>
      </c>
    </row>
    <row r="229" spans="1:13" ht="15" customHeight="1">
      <c r="A229" s="25">
        <v>1421472</v>
      </c>
      <c r="B229" s="26" t="s">
        <v>5423</v>
      </c>
      <c r="C229" s="26" t="s">
        <v>5950</v>
      </c>
      <c r="D229" s="26" t="s">
        <v>5951</v>
      </c>
      <c r="E229" s="26" t="s">
        <v>5683</v>
      </c>
      <c r="F229" s="27">
        <v>5106158</v>
      </c>
      <c r="G229" s="27">
        <v>0</v>
      </c>
      <c r="H229" s="27">
        <v>0</v>
      </c>
      <c r="I229" s="27">
        <v>0</v>
      </c>
      <c r="J229" s="30">
        <f t="shared" si="9"/>
        <v>0</v>
      </c>
      <c r="K229" s="30">
        <f t="shared" si="10"/>
        <v>0</v>
      </c>
      <c r="L229" s="26">
        <f t="shared" si="11"/>
        <v>0</v>
      </c>
      <c r="M229" s="26">
        <v>0</v>
      </c>
    </row>
    <row r="230" spans="1:13" ht="15" customHeight="1">
      <c r="A230" s="25">
        <v>1421515</v>
      </c>
      <c r="B230" s="26" t="s">
        <v>5427</v>
      </c>
      <c r="C230" s="26" t="s">
        <v>5952</v>
      </c>
      <c r="D230" s="26" t="s">
        <v>5953</v>
      </c>
      <c r="E230" s="26" t="s">
        <v>5514</v>
      </c>
      <c r="F230" s="27">
        <v>4777260</v>
      </c>
      <c r="G230" s="27">
        <v>1</v>
      </c>
      <c r="H230" s="27">
        <v>1</v>
      </c>
      <c r="I230" s="27">
        <v>1</v>
      </c>
      <c r="J230" s="30">
        <f t="shared" si="9"/>
        <v>1</v>
      </c>
      <c r="K230" s="30">
        <f t="shared" si="10"/>
        <v>1</v>
      </c>
      <c r="L230" s="26">
        <f t="shared" si="11"/>
        <v>1</v>
      </c>
      <c r="M230" s="26"/>
    </row>
    <row r="231" spans="1:13" ht="15" customHeight="1">
      <c r="A231" s="25">
        <v>1421516</v>
      </c>
      <c r="B231" s="26" t="s">
        <v>5427</v>
      </c>
      <c r="C231" s="26" t="s">
        <v>5954</v>
      </c>
      <c r="D231" s="26" t="s">
        <v>5955</v>
      </c>
      <c r="E231" s="26" t="s">
        <v>5463</v>
      </c>
      <c r="F231" s="27">
        <v>5104185</v>
      </c>
      <c r="G231" s="27">
        <v>1</v>
      </c>
      <c r="H231" s="27">
        <v>1</v>
      </c>
      <c r="I231" s="27">
        <v>1</v>
      </c>
      <c r="J231" s="30">
        <f t="shared" si="9"/>
        <v>1</v>
      </c>
      <c r="K231" s="30">
        <f t="shared" si="10"/>
        <v>1</v>
      </c>
      <c r="L231" s="26">
        <f t="shared" si="11"/>
        <v>1</v>
      </c>
      <c r="M231" s="26"/>
    </row>
    <row r="232" spans="1:13" ht="15" customHeight="1">
      <c r="A232" s="25">
        <v>1421531</v>
      </c>
      <c r="B232" s="26" t="s">
        <v>5423</v>
      </c>
      <c r="C232" s="26" t="s">
        <v>5956</v>
      </c>
      <c r="D232" s="26" t="s">
        <v>5957</v>
      </c>
      <c r="E232" s="26" t="s">
        <v>5468</v>
      </c>
      <c r="F232" s="27">
        <v>5104604</v>
      </c>
      <c r="G232" s="27">
        <v>0</v>
      </c>
      <c r="H232" s="27">
        <v>0</v>
      </c>
      <c r="I232" s="27">
        <v>0</v>
      </c>
      <c r="J232" s="30">
        <f t="shared" si="9"/>
        <v>0</v>
      </c>
      <c r="K232" s="30">
        <f t="shared" si="10"/>
        <v>0</v>
      </c>
      <c r="L232" s="26">
        <f t="shared" si="11"/>
        <v>0</v>
      </c>
      <c r="M232" s="26">
        <v>0</v>
      </c>
    </row>
    <row r="233" spans="1:13" ht="15" customHeight="1">
      <c r="A233" s="25">
        <v>1421599</v>
      </c>
      <c r="B233" s="26" t="s">
        <v>5423</v>
      </c>
      <c r="C233" s="26" t="s">
        <v>5958</v>
      </c>
      <c r="D233" s="26" t="s">
        <v>5959</v>
      </c>
      <c r="E233" s="26" t="s">
        <v>5475</v>
      </c>
      <c r="F233" s="27">
        <v>5103199</v>
      </c>
      <c r="G233" s="27">
        <v>1</v>
      </c>
      <c r="H233" s="27">
        <v>0</v>
      </c>
      <c r="I233" s="27">
        <v>1</v>
      </c>
      <c r="J233" s="30">
        <f t="shared" si="9"/>
        <v>1</v>
      </c>
      <c r="K233" s="30">
        <f t="shared" si="10"/>
        <v>0</v>
      </c>
      <c r="L233" s="26">
        <f t="shared" si="11"/>
        <v>0</v>
      </c>
      <c r="M233" s="26"/>
    </row>
    <row r="234" spans="1:13" ht="15" customHeight="1">
      <c r="A234" s="25">
        <v>1421624</v>
      </c>
      <c r="B234" s="26" t="s">
        <v>5423</v>
      </c>
      <c r="C234" s="26" t="s">
        <v>5960</v>
      </c>
      <c r="D234" s="26" t="s">
        <v>5961</v>
      </c>
      <c r="E234" s="26" t="s">
        <v>5545</v>
      </c>
      <c r="F234" s="27">
        <v>5104108</v>
      </c>
      <c r="G234" s="27">
        <v>0</v>
      </c>
      <c r="H234" s="27">
        <v>0</v>
      </c>
      <c r="I234" s="27">
        <v>0</v>
      </c>
      <c r="J234" s="30">
        <f t="shared" si="9"/>
        <v>0</v>
      </c>
      <c r="K234" s="30">
        <f t="shared" si="10"/>
        <v>0</v>
      </c>
      <c r="L234" s="26">
        <f t="shared" si="11"/>
        <v>0</v>
      </c>
      <c r="M234" s="26">
        <v>0</v>
      </c>
    </row>
    <row r="235" spans="1:13" ht="15" customHeight="1">
      <c r="A235" s="25">
        <v>1421639</v>
      </c>
      <c r="B235" s="26" t="s">
        <v>5423</v>
      </c>
      <c r="C235" s="26" t="s">
        <v>5962</v>
      </c>
      <c r="D235" s="26" t="s">
        <v>5963</v>
      </c>
      <c r="E235" s="26" t="s">
        <v>5522</v>
      </c>
      <c r="F235" s="27">
        <v>5104170</v>
      </c>
      <c r="G235" s="27">
        <v>0</v>
      </c>
      <c r="H235" s="27">
        <v>0</v>
      </c>
      <c r="I235" s="27">
        <v>0</v>
      </c>
      <c r="J235" s="30">
        <f t="shared" si="9"/>
        <v>0</v>
      </c>
      <c r="K235" s="30">
        <f t="shared" si="10"/>
        <v>0</v>
      </c>
      <c r="L235" s="26">
        <f t="shared" si="11"/>
        <v>0</v>
      </c>
      <c r="M235" s="26">
        <v>0</v>
      </c>
    </row>
    <row r="236" spans="1:13" ht="15" customHeight="1">
      <c r="A236" s="25">
        <v>1421668</v>
      </c>
      <c r="B236" s="26" t="s">
        <v>5423</v>
      </c>
      <c r="C236" s="26" t="s">
        <v>5964</v>
      </c>
      <c r="D236" s="26" t="s">
        <v>5965</v>
      </c>
      <c r="E236" s="26" t="s">
        <v>5488</v>
      </c>
      <c r="F236" s="27">
        <v>5062536</v>
      </c>
      <c r="G236" s="27">
        <v>1</v>
      </c>
      <c r="H236" s="27">
        <v>0</v>
      </c>
      <c r="I236" s="27">
        <v>1</v>
      </c>
      <c r="J236" s="30">
        <f t="shared" si="9"/>
        <v>1</v>
      </c>
      <c r="K236" s="30">
        <f t="shared" si="10"/>
        <v>0</v>
      </c>
      <c r="L236" s="26">
        <f t="shared" si="11"/>
        <v>0</v>
      </c>
      <c r="M236" s="26"/>
    </row>
    <row r="237" spans="1:13" ht="15" customHeight="1">
      <c r="A237" s="25">
        <v>1421931</v>
      </c>
      <c r="B237" s="26" t="s">
        <v>5423</v>
      </c>
      <c r="C237" s="26" t="s">
        <v>5966</v>
      </c>
      <c r="D237" s="26" t="s">
        <v>5967</v>
      </c>
      <c r="E237" s="26" t="s">
        <v>5968</v>
      </c>
      <c r="F237" s="27">
        <v>5090296</v>
      </c>
      <c r="G237" s="27">
        <v>1</v>
      </c>
      <c r="H237" s="27">
        <v>1</v>
      </c>
      <c r="I237" s="27">
        <v>1</v>
      </c>
      <c r="J237" s="30">
        <f t="shared" si="9"/>
        <v>1</v>
      </c>
      <c r="K237" s="30">
        <f t="shared" si="10"/>
        <v>1</v>
      </c>
      <c r="L237" s="26">
        <f t="shared" si="11"/>
        <v>1</v>
      </c>
      <c r="M237" s="26"/>
    </row>
    <row r="238" spans="1:13" ht="15" customHeight="1">
      <c r="A238" s="25">
        <v>1421981</v>
      </c>
      <c r="B238" s="26" t="s">
        <v>5423</v>
      </c>
      <c r="C238" s="26" t="s">
        <v>5969</v>
      </c>
      <c r="D238" s="26" t="s">
        <v>5970</v>
      </c>
      <c r="E238" s="26" t="s">
        <v>5532</v>
      </c>
      <c r="F238" s="27">
        <v>5104885</v>
      </c>
      <c r="G238" s="27">
        <v>0</v>
      </c>
      <c r="H238" s="27">
        <v>0</v>
      </c>
      <c r="I238" s="27">
        <v>0</v>
      </c>
      <c r="J238" s="30">
        <f t="shared" si="9"/>
        <v>0</v>
      </c>
      <c r="K238" s="30">
        <f t="shared" si="10"/>
        <v>0</v>
      </c>
      <c r="L238" s="26">
        <f t="shared" si="11"/>
        <v>0</v>
      </c>
      <c r="M238" s="26">
        <v>0</v>
      </c>
    </row>
    <row r="239" spans="1:13" ht="15" customHeight="1">
      <c r="A239" s="25">
        <v>1422006</v>
      </c>
      <c r="B239" s="26" t="s">
        <v>5423</v>
      </c>
      <c r="C239" s="26" t="s">
        <v>5971</v>
      </c>
      <c r="D239" s="26" t="s">
        <v>5972</v>
      </c>
      <c r="E239" s="26" t="s">
        <v>5426</v>
      </c>
      <c r="F239" s="27">
        <v>5104326</v>
      </c>
      <c r="G239" s="27">
        <v>0</v>
      </c>
      <c r="H239" s="27">
        <v>0</v>
      </c>
      <c r="I239" s="27">
        <v>0</v>
      </c>
      <c r="J239" s="30">
        <f t="shared" si="9"/>
        <v>0</v>
      </c>
      <c r="K239" s="30">
        <f t="shared" si="10"/>
        <v>0</v>
      </c>
      <c r="L239" s="26">
        <f t="shared" si="11"/>
        <v>0</v>
      </c>
      <c r="M239" s="26">
        <v>0</v>
      </c>
    </row>
    <row r="240" spans="1:13" ht="15" customHeight="1">
      <c r="A240" s="25">
        <v>1422427</v>
      </c>
      <c r="B240" s="26" t="s">
        <v>5423</v>
      </c>
      <c r="C240" s="26" t="s">
        <v>5973</v>
      </c>
      <c r="D240" s="26" t="s">
        <v>5974</v>
      </c>
      <c r="E240" s="26" t="s">
        <v>5718</v>
      </c>
      <c r="F240" s="27">
        <v>5094964</v>
      </c>
      <c r="G240" s="27">
        <v>1</v>
      </c>
      <c r="H240" s="27">
        <v>0</v>
      </c>
      <c r="I240" s="27">
        <v>1</v>
      </c>
      <c r="J240" s="30">
        <f t="shared" si="9"/>
        <v>1</v>
      </c>
      <c r="K240" s="30">
        <f t="shared" si="10"/>
        <v>0</v>
      </c>
      <c r="L240" s="26">
        <f t="shared" si="11"/>
        <v>0</v>
      </c>
      <c r="M240" s="26"/>
    </row>
    <row r="241" spans="1:13" ht="15" customHeight="1">
      <c r="A241" s="25">
        <v>1422498</v>
      </c>
      <c r="B241" s="26" t="s">
        <v>5423</v>
      </c>
      <c r="C241" s="26" t="s">
        <v>5975</v>
      </c>
      <c r="D241" s="26" t="s">
        <v>5976</v>
      </c>
      <c r="E241" s="26" t="s">
        <v>5458</v>
      </c>
      <c r="F241" s="27">
        <v>5106791</v>
      </c>
      <c r="G241" s="27">
        <v>0</v>
      </c>
      <c r="H241" s="27">
        <v>0</v>
      </c>
      <c r="I241" s="27">
        <v>0</v>
      </c>
      <c r="J241" s="30">
        <f t="shared" si="9"/>
        <v>0</v>
      </c>
      <c r="K241" s="30">
        <f t="shared" si="10"/>
        <v>0</v>
      </c>
      <c r="L241" s="26">
        <f t="shared" si="11"/>
        <v>0</v>
      </c>
      <c r="M241" s="26">
        <v>0</v>
      </c>
    </row>
    <row r="242" spans="1:13" ht="15" customHeight="1">
      <c r="A242" s="25">
        <v>1422512</v>
      </c>
      <c r="B242" s="26" t="s">
        <v>5423</v>
      </c>
      <c r="C242" s="26" t="s">
        <v>5977</v>
      </c>
      <c r="D242" s="26" t="s">
        <v>5978</v>
      </c>
      <c r="E242" s="26" t="s">
        <v>5480</v>
      </c>
      <c r="F242" s="27">
        <v>5096732</v>
      </c>
      <c r="G242" s="27">
        <v>1</v>
      </c>
      <c r="H242" s="27">
        <v>0</v>
      </c>
      <c r="I242" s="27">
        <v>1</v>
      </c>
      <c r="J242" s="30">
        <f t="shared" si="9"/>
        <v>1</v>
      </c>
      <c r="K242" s="30">
        <f t="shared" si="10"/>
        <v>0</v>
      </c>
      <c r="L242" s="26">
        <f t="shared" si="11"/>
        <v>0</v>
      </c>
      <c r="M242" s="26"/>
    </row>
    <row r="243" spans="1:13" ht="15" customHeight="1">
      <c r="A243" s="25">
        <v>1422526</v>
      </c>
      <c r="B243" s="26" t="s">
        <v>5423</v>
      </c>
      <c r="C243" s="26" t="s">
        <v>5979</v>
      </c>
      <c r="D243" s="26" t="s">
        <v>5980</v>
      </c>
      <c r="E243" s="26" t="s">
        <v>5718</v>
      </c>
      <c r="F243" s="27">
        <v>5106406</v>
      </c>
      <c r="G243" s="27">
        <v>0</v>
      </c>
      <c r="H243" s="27">
        <v>0</v>
      </c>
      <c r="I243" s="27">
        <v>0</v>
      </c>
      <c r="J243" s="30">
        <f t="shared" si="9"/>
        <v>0</v>
      </c>
      <c r="K243" s="30">
        <f t="shared" si="10"/>
        <v>0</v>
      </c>
      <c r="L243" s="26">
        <f t="shared" si="11"/>
        <v>0</v>
      </c>
      <c r="M243" s="26">
        <v>0</v>
      </c>
    </row>
    <row r="244" spans="1:13" ht="15" customHeight="1">
      <c r="A244" s="25">
        <v>1423023</v>
      </c>
      <c r="B244" s="26" t="s">
        <v>5423</v>
      </c>
      <c r="C244" s="26" t="s">
        <v>5981</v>
      </c>
      <c r="D244" s="26" t="s">
        <v>5982</v>
      </c>
      <c r="E244" s="26" t="s">
        <v>5452</v>
      </c>
      <c r="F244" s="27">
        <v>5108497</v>
      </c>
      <c r="G244" s="27">
        <v>1</v>
      </c>
      <c r="H244" s="27">
        <v>0</v>
      </c>
      <c r="I244" s="27">
        <v>1</v>
      </c>
      <c r="J244" s="30">
        <f t="shared" si="9"/>
        <v>1</v>
      </c>
      <c r="K244" s="30">
        <f t="shared" si="10"/>
        <v>0</v>
      </c>
      <c r="L244" s="26">
        <f t="shared" si="11"/>
        <v>0</v>
      </c>
      <c r="M244" s="26"/>
    </row>
    <row r="245" spans="1:13" ht="15" customHeight="1">
      <c r="A245" s="25">
        <v>1423260</v>
      </c>
      <c r="B245" s="26" t="s">
        <v>5423</v>
      </c>
      <c r="C245" s="26" t="s">
        <v>5983</v>
      </c>
      <c r="D245" s="26" t="s">
        <v>5984</v>
      </c>
      <c r="E245" s="26" t="s">
        <v>5522</v>
      </c>
      <c r="F245" s="27">
        <v>5109329</v>
      </c>
      <c r="G245" s="27">
        <v>0</v>
      </c>
      <c r="H245" s="27">
        <v>0</v>
      </c>
      <c r="I245" s="27">
        <v>0</v>
      </c>
      <c r="J245" s="30">
        <f t="shared" si="9"/>
        <v>0</v>
      </c>
      <c r="K245" s="30">
        <f t="shared" si="10"/>
        <v>0</v>
      </c>
      <c r="L245" s="26">
        <f t="shared" si="11"/>
        <v>0</v>
      </c>
      <c r="M245" s="26">
        <v>0</v>
      </c>
    </row>
    <row r="246" spans="1:13" ht="15" customHeight="1">
      <c r="A246" s="25">
        <v>1423358</v>
      </c>
      <c r="B246" s="26" t="s">
        <v>5423</v>
      </c>
      <c r="C246" s="26" t="s">
        <v>5985</v>
      </c>
      <c r="D246" s="26" t="s">
        <v>5986</v>
      </c>
      <c r="E246" s="26" t="s">
        <v>5532</v>
      </c>
      <c r="F246" s="27">
        <v>4922979</v>
      </c>
      <c r="G246" s="27">
        <v>1</v>
      </c>
      <c r="H246" s="27">
        <v>0</v>
      </c>
      <c r="I246" s="27">
        <v>1</v>
      </c>
      <c r="J246" s="30">
        <f t="shared" si="9"/>
        <v>1</v>
      </c>
      <c r="K246" s="30">
        <f t="shared" si="10"/>
        <v>0</v>
      </c>
      <c r="L246" s="26">
        <f t="shared" si="11"/>
        <v>0</v>
      </c>
      <c r="M246" s="26"/>
    </row>
    <row r="247" spans="1:13" ht="15" customHeight="1">
      <c r="A247" s="25">
        <v>1423717</v>
      </c>
      <c r="B247" s="26" t="s">
        <v>5427</v>
      </c>
      <c r="C247" s="26" t="s">
        <v>5987</v>
      </c>
      <c r="D247" s="26" t="s">
        <v>5988</v>
      </c>
      <c r="E247" s="26" t="s">
        <v>5560</v>
      </c>
      <c r="F247" s="27">
        <v>5112500</v>
      </c>
      <c r="G247" s="27">
        <v>0</v>
      </c>
      <c r="H247" s="27">
        <v>0</v>
      </c>
      <c r="I247" s="27">
        <v>0</v>
      </c>
      <c r="J247" s="30">
        <f t="shared" si="9"/>
        <v>0</v>
      </c>
      <c r="K247" s="30">
        <f t="shared" si="10"/>
        <v>0</v>
      </c>
      <c r="L247" s="26">
        <f t="shared" si="11"/>
        <v>0</v>
      </c>
      <c r="M247" s="26">
        <v>0</v>
      </c>
    </row>
    <row r="248" spans="1:13" ht="15" customHeight="1">
      <c r="A248" s="25">
        <v>1423721</v>
      </c>
      <c r="B248" s="26" t="s">
        <v>5423</v>
      </c>
      <c r="C248" s="26" t="s">
        <v>5989</v>
      </c>
      <c r="D248" s="26" t="s">
        <v>5990</v>
      </c>
      <c r="E248" s="26" t="s">
        <v>5463</v>
      </c>
      <c r="F248" s="27">
        <v>4920638</v>
      </c>
      <c r="G248" s="27">
        <v>1</v>
      </c>
      <c r="H248" s="27">
        <v>1</v>
      </c>
      <c r="I248" s="27">
        <v>1</v>
      </c>
      <c r="J248" s="30">
        <f t="shared" si="9"/>
        <v>1</v>
      </c>
      <c r="K248" s="30">
        <f t="shared" si="10"/>
        <v>1</v>
      </c>
      <c r="L248" s="26">
        <f t="shared" si="11"/>
        <v>1</v>
      </c>
      <c r="M248" s="26"/>
    </row>
    <row r="249" spans="1:13" ht="15" customHeight="1">
      <c r="A249" s="25">
        <v>1423741</v>
      </c>
      <c r="B249" s="26" t="s">
        <v>5427</v>
      </c>
      <c r="C249" s="26" t="s">
        <v>5991</v>
      </c>
      <c r="D249" s="26" t="s">
        <v>5992</v>
      </c>
      <c r="E249" s="26" t="s">
        <v>5458</v>
      </c>
      <c r="F249" s="27">
        <v>5108716</v>
      </c>
      <c r="G249" s="27">
        <v>1</v>
      </c>
      <c r="H249" s="27">
        <v>0</v>
      </c>
      <c r="I249" s="27">
        <v>1</v>
      </c>
      <c r="J249" s="30">
        <f t="shared" si="9"/>
        <v>1</v>
      </c>
      <c r="K249" s="30">
        <f t="shared" si="10"/>
        <v>0</v>
      </c>
      <c r="L249" s="26">
        <f t="shared" si="11"/>
        <v>0</v>
      </c>
      <c r="M249" s="26"/>
    </row>
    <row r="250" spans="1:13" ht="15" customHeight="1">
      <c r="A250" s="25">
        <v>1423751</v>
      </c>
      <c r="B250" s="26" t="s">
        <v>5423</v>
      </c>
      <c r="C250" s="26" t="s">
        <v>5993</v>
      </c>
      <c r="D250" s="26" t="s">
        <v>5994</v>
      </c>
      <c r="E250" s="26" t="s">
        <v>5455</v>
      </c>
      <c r="F250" s="27">
        <v>4234922</v>
      </c>
      <c r="G250" s="27">
        <v>0</v>
      </c>
      <c r="H250" s="27">
        <v>0</v>
      </c>
      <c r="I250" s="27">
        <v>0</v>
      </c>
      <c r="J250" s="30">
        <f t="shared" si="9"/>
        <v>0</v>
      </c>
      <c r="K250" s="30">
        <f t="shared" si="10"/>
        <v>0</v>
      </c>
      <c r="L250" s="26">
        <f t="shared" si="11"/>
        <v>0</v>
      </c>
      <c r="M250" s="26">
        <v>0</v>
      </c>
    </row>
    <row r="251" spans="1:13" ht="15" customHeight="1">
      <c r="A251" s="25">
        <v>1423764</v>
      </c>
      <c r="B251" s="26" t="s">
        <v>5423</v>
      </c>
      <c r="C251" s="26" t="s">
        <v>5995</v>
      </c>
      <c r="D251" s="26" t="s">
        <v>5996</v>
      </c>
      <c r="E251" s="26" t="s">
        <v>5683</v>
      </c>
      <c r="F251" s="27">
        <v>5102112</v>
      </c>
      <c r="G251" s="27">
        <v>1</v>
      </c>
      <c r="H251" s="27">
        <v>0</v>
      </c>
      <c r="I251" s="27">
        <v>1</v>
      </c>
      <c r="J251" s="30">
        <f t="shared" si="9"/>
        <v>1</v>
      </c>
      <c r="K251" s="30">
        <f t="shared" si="10"/>
        <v>0</v>
      </c>
      <c r="L251" s="26">
        <f t="shared" si="11"/>
        <v>0</v>
      </c>
      <c r="M251" s="26"/>
    </row>
    <row r="252" spans="1:13" ht="15" customHeight="1">
      <c r="A252" s="25">
        <v>1423766</v>
      </c>
      <c r="B252" s="26" t="s">
        <v>5423</v>
      </c>
      <c r="C252" s="26" t="s">
        <v>5997</v>
      </c>
      <c r="D252" s="26" t="s">
        <v>5998</v>
      </c>
      <c r="E252" s="26" t="s">
        <v>5463</v>
      </c>
      <c r="F252" s="27">
        <v>3372962</v>
      </c>
      <c r="G252" s="27">
        <v>0</v>
      </c>
      <c r="H252" s="27">
        <v>0</v>
      </c>
      <c r="I252" s="27">
        <v>0</v>
      </c>
      <c r="J252" s="30">
        <f t="shared" si="9"/>
        <v>0</v>
      </c>
      <c r="K252" s="30">
        <f t="shared" si="10"/>
        <v>0</v>
      </c>
      <c r="L252" s="26">
        <f t="shared" si="11"/>
        <v>0</v>
      </c>
      <c r="M252" s="26">
        <v>0</v>
      </c>
    </row>
    <row r="253" spans="1:13" ht="15" customHeight="1">
      <c r="A253" s="25">
        <v>1423788</v>
      </c>
      <c r="B253" s="26" t="s">
        <v>5423</v>
      </c>
      <c r="C253" s="26" t="s">
        <v>5999</v>
      </c>
      <c r="D253" s="26" t="s">
        <v>6000</v>
      </c>
      <c r="E253" s="26" t="s">
        <v>5452</v>
      </c>
      <c r="F253" s="27">
        <v>4098156</v>
      </c>
      <c r="G253" s="27">
        <v>1</v>
      </c>
      <c r="H253" s="27">
        <v>0</v>
      </c>
      <c r="I253" s="27">
        <v>1</v>
      </c>
      <c r="J253" s="30">
        <f t="shared" si="9"/>
        <v>1</v>
      </c>
      <c r="K253" s="30">
        <f t="shared" si="10"/>
        <v>0</v>
      </c>
      <c r="L253" s="26">
        <f t="shared" si="11"/>
        <v>0</v>
      </c>
      <c r="M253" s="26"/>
    </row>
    <row r="254" spans="1:13" ht="15" customHeight="1">
      <c r="A254" s="25">
        <v>1423797</v>
      </c>
      <c r="B254" s="26" t="s">
        <v>5423</v>
      </c>
      <c r="C254" s="26" t="s">
        <v>6001</v>
      </c>
      <c r="D254" s="26" t="s">
        <v>6002</v>
      </c>
      <c r="E254" s="26" t="s">
        <v>5426</v>
      </c>
      <c r="F254" s="27"/>
      <c r="G254" s="27">
        <v>0</v>
      </c>
      <c r="H254" s="27">
        <v>0</v>
      </c>
      <c r="I254" s="27">
        <v>0</v>
      </c>
      <c r="J254" s="30">
        <f t="shared" si="9"/>
        <v>0</v>
      </c>
      <c r="K254" s="30">
        <f t="shared" si="10"/>
        <v>0</v>
      </c>
      <c r="L254" s="26">
        <f t="shared" si="11"/>
        <v>0</v>
      </c>
      <c r="M254" s="26">
        <v>0</v>
      </c>
    </row>
    <row r="255" spans="1:13" ht="15" customHeight="1">
      <c r="A255" s="25">
        <v>1424153</v>
      </c>
      <c r="B255" s="26" t="s">
        <v>5423</v>
      </c>
      <c r="C255" s="26" t="s">
        <v>6003</v>
      </c>
      <c r="D255" s="26" t="s">
        <v>6004</v>
      </c>
      <c r="E255" s="26" t="s">
        <v>5433</v>
      </c>
      <c r="F255" s="27">
        <v>5116459</v>
      </c>
      <c r="G255" s="27">
        <v>0</v>
      </c>
      <c r="H255" s="27">
        <v>0</v>
      </c>
      <c r="I255" s="27">
        <v>0</v>
      </c>
      <c r="J255" s="30">
        <f t="shared" si="9"/>
        <v>0</v>
      </c>
      <c r="K255" s="30">
        <f t="shared" si="10"/>
        <v>0</v>
      </c>
      <c r="L255" s="26">
        <f t="shared" si="11"/>
        <v>0</v>
      </c>
      <c r="M255" s="26">
        <v>0</v>
      </c>
    </row>
    <row r="256" spans="1:13" ht="15" customHeight="1">
      <c r="A256" s="25">
        <v>1424986</v>
      </c>
      <c r="B256" s="26" t="s">
        <v>5423</v>
      </c>
      <c r="C256" s="26" t="s">
        <v>6005</v>
      </c>
      <c r="D256" s="26" t="s">
        <v>6006</v>
      </c>
      <c r="E256" s="26" t="s">
        <v>5436</v>
      </c>
      <c r="F256" s="27">
        <v>5114571</v>
      </c>
      <c r="G256" s="27">
        <v>0</v>
      </c>
      <c r="H256" s="27">
        <v>0</v>
      </c>
      <c r="I256" s="27">
        <v>0</v>
      </c>
      <c r="J256" s="30">
        <f t="shared" si="9"/>
        <v>0</v>
      </c>
      <c r="K256" s="30">
        <f t="shared" si="10"/>
        <v>0</v>
      </c>
      <c r="L256" s="26">
        <f t="shared" si="11"/>
        <v>0</v>
      </c>
      <c r="M256" s="26">
        <v>0</v>
      </c>
    </row>
    <row r="257" spans="1:13" ht="15" customHeight="1">
      <c r="A257" s="25">
        <v>1425328</v>
      </c>
      <c r="B257" s="26" t="s">
        <v>5427</v>
      </c>
      <c r="C257" s="26" t="s">
        <v>6007</v>
      </c>
      <c r="D257" s="26" t="s">
        <v>6008</v>
      </c>
      <c r="E257" s="26" t="s">
        <v>5560</v>
      </c>
      <c r="F257" s="27">
        <v>5115306</v>
      </c>
      <c r="G257" s="27">
        <v>0</v>
      </c>
      <c r="H257" s="27">
        <v>0</v>
      </c>
      <c r="I257" s="27">
        <v>0</v>
      </c>
      <c r="J257" s="30">
        <f t="shared" si="9"/>
        <v>0</v>
      </c>
      <c r="K257" s="30">
        <f t="shared" si="10"/>
        <v>0</v>
      </c>
      <c r="L257" s="26">
        <f t="shared" si="11"/>
        <v>0</v>
      </c>
      <c r="M257" s="26">
        <v>0</v>
      </c>
    </row>
    <row r="258" spans="1:13" ht="15" customHeight="1">
      <c r="A258" s="25">
        <v>1425441</v>
      </c>
      <c r="B258" s="26" t="s">
        <v>5423</v>
      </c>
      <c r="C258" s="26" t="s">
        <v>6009</v>
      </c>
      <c r="D258" s="26" t="s">
        <v>6010</v>
      </c>
      <c r="E258" s="26" t="s">
        <v>5488</v>
      </c>
      <c r="F258" s="27">
        <v>5090374</v>
      </c>
      <c r="G258" s="27">
        <v>1</v>
      </c>
      <c r="H258" s="27">
        <v>1</v>
      </c>
      <c r="I258" s="27">
        <v>1</v>
      </c>
      <c r="J258" s="30">
        <f t="shared" ref="J258:J321" si="12">IF(G258&gt;0,1,0)</f>
        <v>1</v>
      </c>
      <c r="K258" s="30">
        <f t="shared" ref="K258:K321" si="13">IF(H258&gt;0,1,0)</f>
        <v>1</v>
      </c>
      <c r="L258" s="26">
        <f t="shared" ref="L258:L321" si="14">IF(G258&gt;0,IF(H258&gt;0,1,0),0)</f>
        <v>1</v>
      </c>
      <c r="M258" s="26"/>
    </row>
    <row r="259" spans="1:13" ht="15" customHeight="1">
      <c r="A259" s="25">
        <v>1425647</v>
      </c>
      <c r="B259" s="26" t="s">
        <v>5423</v>
      </c>
      <c r="C259" s="26" t="s">
        <v>6011</v>
      </c>
      <c r="D259" s="26" t="s">
        <v>6012</v>
      </c>
      <c r="E259" s="26" t="s">
        <v>5540</v>
      </c>
      <c r="F259" s="27">
        <v>5115969</v>
      </c>
      <c r="G259" s="27">
        <v>0</v>
      </c>
      <c r="H259" s="27">
        <v>0</v>
      </c>
      <c r="I259" s="27">
        <v>0</v>
      </c>
      <c r="J259" s="30">
        <f t="shared" si="12"/>
        <v>0</v>
      </c>
      <c r="K259" s="30">
        <f t="shared" si="13"/>
        <v>0</v>
      </c>
      <c r="L259" s="26">
        <f t="shared" si="14"/>
        <v>0</v>
      </c>
      <c r="M259" s="26">
        <v>0</v>
      </c>
    </row>
    <row r="260" spans="1:13" ht="15" customHeight="1">
      <c r="A260" s="25">
        <v>1426022</v>
      </c>
      <c r="B260" s="26" t="s">
        <v>5427</v>
      </c>
      <c r="C260" s="26" t="s">
        <v>6013</v>
      </c>
      <c r="D260" s="26" t="s">
        <v>6014</v>
      </c>
      <c r="E260" s="26" t="s">
        <v>5535</v>
      </c>
      <c r="F260" s="27">
        <v>5117447</v>
      </c>
      <c r="G260" s="27">
        <v>0</v>
      </c>
      <c r="H260" s="27">
        <v>0</v>
      </c>
      <c r="I260" s="27">
        <v>0</v>
      </c>
      <c r="J260" s="30">
        <f t="shared" si="12"/>
        <v>0</v>
      </c>
      <c r="K260" s="30">
        <f t="shared" si="13"/>
        <v>0</v>
      </c>
      <c r="L260" s="26">
        <f t="shared" si="14"/>
        <v>0</v>
      </c>
      <c r="M260" s="26">
        <v>0</v>
      </c>
    </row>
    <row r="261" spans="1:13" ht="15" customHeight="1">
      <c r="A261" s="25">
        <v>1426056</v>
      </c>
      <c r="B261" s="26" t="s">
        <v>5423</v>
      </c>
      <c r="C261" s="26" t="s">
        <v>6015</v>
      </c>
      <c r="D261" s="26" t="s">
        <v>6016</v>
      </c>
      <c r="E261" s="26" t="s">
        <v>5455</v>
      </c>
      <c r="F261" s="27">
        <v>5117839</v>
      </c>
      <c r="G261" s="27">
        <v>0</v>
      </c>
      <c r="H261" s="27">
        <v>0</v>
      </c>
      <c r="I261" s="27">
        <v>0</v>
      </c>
      <c r="J261" s="30">
        <f t="shared" si="12"/>
        <v>0</v>
      </c>
      <c r="K261" s="30">
        <f t="shared" si="13"/>
        <v>0</v>
      </c>
      <c r="L261" s="26">
        <f t="shared" si="14"/>
        <v>0</v>
      </c>
      <c r="M261" s="26">
        <v>0</v>
      </c>
    </row>
    <row r="262" spans="1:13" ht="15" customHeight="1">
      <c r="A262" s="25">
        <v>1426062</v>
      </c>
      <c r="B262" s="26" t="s">
        <v>5423</v>
      </c>
      <c r="C262" s="26" t="s">
        <v>6017</v>
      </c>
      <c r="D262" s="26" t="s">
        <v>6018</v>
      </c>
      <c r="E262" s="26" t="s">
        <v>5475</v>
      </c>
      <c r="F262" s="27">
        <v>2817829</v>
      </c>
      <c r="G262" s="27">
        <v>0</v>
      </c>
      <c r="H262" s="27">
        <v>0</v>
      </c>
      <c r="I262" s="27">
        <v>0</v>
      </c>
      <c r="J262" s="30">
        <f t="shared" si="12"/>
        <v>0</v>
      </c>
      <c r="K262" s="30">
        <f t="shared" si="13"/>
        <v>0</v>
      </c>
      <c r="L262" s="26">
        <f t="shared" si="14"/>
        <v>0</v>
      </c>
      <c r="M262" s="26">
        <v>0</v>
      </c>
    </row>
    <row r="263" spans="1:13" ht="15" customHeight="1">
      <c r="A263" s="25">
        <v>1426074</v>
      </c>
      <c r="B263" s="26" t="s">
        <v>5427</v>
      </c>
      <c r="C263" s="26" t="s">
        <v>6019</v>
      </c>
      <c r="D263" s="26" t="s">
        <v>6020</v>
      </c>
      <c r="E263" s="26" t="s">
        <v>6021</v>
      </c>
      <c r="F263" s="27">
        <v>5119125</v>
      </c>
      <c r="G263" s="27">
        <v>0</v>
      </c>
      <c r="H263" s="27">
        <v>0</v>
      </c>
      <c r="I263" s="27">
        <v>0</v>
      </c>
      <c r="J263" s="30">
        <f t="shared" si="12"/>
        <v>0</v>
      </c>
      <c r="K263" s="30">
        <f t="shared" si="13"/>
        <v>0</v>
      </c>
      <c r="L263" s="26">
        <f t="shared" si="14"/>
        <v>0</v>
      </c>
      <c r="M263" s="26">
        <v>0</v>
      </c>
    </row>
    <row r="264" spans="1:13" ht="15" customHeight="1">
      <c r="A264" s="25">
        <v>1426333</v>
      </c>
      <c r="B264" s="26" t="s">
        <v>5423</v>
      </c>
      <c r="C264" s="26" t="s">
        <v>6022</v>
      </c>
      <c r="D264" s="26" t="s">
        <v>6023</v>
      </c>
      <c r="E264" s="26" t="s">
        <v>5455</v>
      </c>
      <c r="F264" s="27">
        <v>5117494</v>
      </c>
      <c r="G264" s="27">
        <v>1</v>
      </c>
      <c r="H264" s="27">
        <v>0</v>
      </c>
      <c r="I264" s="27">
        <v>1</v>
      </c>
      <c r="J264" s="30">
        <f t="shared" si="12"/>
        <v>1</v>
      </c>
      <c r="K264" s="30">
        <f t="shared" si="13"/>
        <v>0</v>
      </c>
      <c r="L264" s="26">
        <f t="shared" si="14"/>
        <v>0</v>
      </c>
      <c r="M264" s="26"/>
    </row>
    <row r="265" spans="1:13" ht="15" customHeight="1">
      <c r="A265" s="25">
        <v>1426342</v>
      </c>
      <c r="B265" s="26" t="s">
        <v>5423</v>
      </c>
      <c r="C265" s="26" t="s">
        <v>6024</v>
      </c>
      <c r="D265" s="26" t="s">
        <v>6025</v>
      </c>
      <c r="E265" s="26" t="s">
        <v>5475</v>
      </c>
      <c r="F265" s="27">
        <v>5118074</v>
      </c>
      <c r="G265" s="27">
        <v>0</v>
      </c>
      <c r="H265" s="27">
        <v>0</v>
      </c>
      <c r="I265" s="27">
        <v>0</v>
      </c>
      <c r="J265" s="30">
        <f t="shared" si="12"/>
        <v>0</v>
      </c>
      <c r="K265" s="30">
        <f t="shared" si="13"/>
        <v>0</v>
      </c>
      <c r="L265" s="26">
        <f t="shared" si="14"/>
        <v>0</v>
      </c>
      <c r="M265" s="26">
        <v>0</v>
      </c>
    </row>
    <row r="266" spans="1:13" ht="15" customHeight="1">
      <c r="A266" s="25">
        <v>1426400</v>
      </c>
      <c r="B266" s="26" t="s">
        <v>5423</v>
      </c>
      <c r="C266" s="26" t="s">
        <v>6026</v>
      </c>
      <c r="D266" s="26" t="s">
        <v>6027</v>
      </c>
      <c r="E266" s="26" t="s">
        <v>5439</v>
      </c>
      <c r="F266" s="27">
        <v>5118065</v>
      </c>
      <c r="G266" s="27">
        <v>0</v>
      </c>
      <c r="H266" s="27">
        <v>0</v>
      </c>
      <c r="I266" s="27">
        <v>0</v>
      </c>
      <c r="J266" s="30">
        <f t="shared" si="12"/>
        <v>0</v>
      </c>
      <c r="K266" s="30">
        <f t="shared" si="13"/>
        <v>0</v>
      </c>
      <c r="L266" s="26">
        <f t="shared" si="14"/>
        <v>0</v>
      </c>
      <c r="M266" s="26">
        <v>0</v>
      </c>
    </row>
    <row r="267" spans="1:13" ht="15" customHeight="1">
      <c r="A267" s="25">
        <v>1426477</v>
      </c>
      <c r="B267" s="26" t="s">
        <v>5423</v>
      </c>
      <c r="C267" s="26" t="s">
        <v>6028</v>
      </c>
      <c r="D267" s="26" t="s">
        <v>6029</v>
      </c>
      <c r="E267" s="26" t="s">
        <v>5535</v>
      </c>
      <c r="F267" s="27">
        <v>5118128</v>
      </c>
      <c r="G267" s="27">
        <v>0</v>
      </c>
      <c r="H267" s="27">
        <v>0</v>
      </c>
      <c r="I267" s="27">
        <v>0</v>
      </c>
      <c r="J267" s="30">
        <f t="shared" si="12"/>
        <v>0</v>
      </c>
      <c r="K267" s="30">
        <f t="shared" si="13"/>
        <v>0</v>
      </c>
      <c r="L267" s="26">
        <f t="shared" si="14"/>
        <v>0</v>
      </c>
      <c r="M267" s="26">
        <v>0</v>
      </c>
    </row>
    <row r="268" spans="1:13" ht="15" customHeight="1">
      <c r="A268" s="25">
        <v>1427099</v>
      </c>
      <c r="B268" s="26" t="s">
        <v>5423</v>
      </c>
      <c r="C268" s="26" t="s">
        <v>6030</v>
      </c>
      <c r="D268" s="26" t="s">
        <v>6031</v>
      </c>
      <c r="E268" s="26" t="s">
        <v>5491</v>
      </c>
      <c r="F268" s="27">
        <v>5120745</v>
      </c>
      <c r="G268" s="27">
        <v>0</v>
      </c>
      <c r="H268" s="27">
        <v>0</v>
      </c>
      <c r="I268" s="27">
        <v>0</v>
      </c>
      <c r="J268" s="30">
        <f t="shared" si="12"/>
        <v>0</v>
      </c>
      <c r="K268" s="30">
        <f t="shared" si="13"/>
        <v>0</v>
      </c>
      <c r="L268" s="26">
        <f t="shared" si="14"/>
        <v>0</v>
      </c>
      <c r="M268" s="26">
        <v>0</v>
      </c>
    </row>
    <row r="269" spans="1:13" ht="15" customHeight="1">
      <c r="A269" s="25">
        <v>1427500</v>
      </c>
      <c r="B269" s="26" t="s">
        <v>5423</v>
      </c>
      <c r="C269" s="26" t="s">
        <v>6032</v>
      </c>
      <c r="D269" s="26" t="s">
        <v>6033</v>
      </c>
      <c r="E269" s="26" t="s">
        <v>5436</v>
      </c>
      <c r="F269" s="27">
        <v>5123427</v>
      </c>
      <c r="G269" s="27">
        <v>0</v>
      </c>
      <c r="H269" s="27">
        <v>0</v>
      </c>
      <c r="I269" s="27">
        <v>0</v>
      </c>
      <c r="J269" s="30">
        <f t="shared" si="12"/>
        <v>0</v>
      </c>
      <c r="K269" s="30">
        <f t="shared" si="13"/>
        <v>0</v>
      </c>
      <c r="L269" s="26">
        <f t="shared" si="14"/>
        <v>0</v>
      </c>
      <c r="M269" s="26">
        <v>0</v>
      </c>
    </row>
    <row r="270" spans="1:13" ht="15" customHeight="1">
      <c r="A270" s="25">
        <v>1428035</v>
      </c>
      <c r="B270" s="26" t="s">
        <v>5423</v>
      </c>
      <c r="C270" s="26" t="s">
        <v>6034</v>
      </c>
      <c r="D270" s="26" t="s">
        <v>6035</v>
      </c>
      <c r="E270" s="26" t="s">
        <v>5433</v>
      </c>
      <c r="F270" s="27">
        <v>5114247</v>
      </c>
      <c r="G270" s="27">
        <v>1</v>
      </c>
      <c r="H270" s="27">
        <v>0</v>
      </c>
      <c r="I270" s="27">
        <v>1</v>
      </c>
      <c r="J270" s="30">
        <f t="shared" si="12"/>
        <v>1</v>
      </c>
      <c r="K270" s="30">
        <f t="shared" si="13"/>
        <v>0</v>
      </c>
      <c r="L270" s="26">
        <f t="shared" si="14"/>
        <v>0</v>
      </c>
      <c r="M270" s="26"/>
    </row>
    <row r="271" spans="1:13" ht="15" customHeight="1">
      <c r="A271" s="25">
        <v>1428073</v>
      </c>
      <c r="B271" s="26" t="s">
        <v>5423</v>
      </c>
      <c r="C271" s="26" t="s">
        <v>6036</v>
      </c>
      <c r="D271" s="26" t="s">
        <v>6037</v>
      </c>
      <c r="E271" s="26" t="s">
        <v>5426</v>
      </c>
      <c r="F271" s="27">
        <v>4988540</v>
      </c>
      <c r="G271" s="27">
        <v>1</v>
      </c>
      <c r="H271" s="27">
        <v>1</v>
      </c>
      <c r="I271" s="27">
        <v>1</v>
      </c>
      <c r="J271" s="30">
        <f t="shared" si="12"/>
        <v>1</v>
      </c>
      <c r="K271" s="30">
        <f t="shared" si="13"/>
        <v>1</v>
      </c>
      <c r="L271" s="26">
        <f t="shared" si="14"/>
        <v>1</v>
      </c>
      <c r="M271" s="26"/>
    </row>
    <row r="272" spans="1:13" ht="15" customHeight="1">
      <c r="A272" s="25">
        <v>1428132</v>
      </c>
      <c r="B272" s="26" t="s">
        <v>5423</v>
      </c>
      <c r="C272" s="26" t="s">
        <v>6038</v>
      </c>
      <c r="D272" s="26" t="s">
        <v>6039</v>
      </c>
      <c r="E272" s="26" t="s">
        <v>5517</v>
      </c>
      <c r="F272" s="27">
        <v>5121790</v>
      </c>
      <c r="G272" s="27">
        <v>0</v>
      </c>
      <c r="H272" s="27">
        <v>0</v>
      </c>
      <c r="I272" s="27">
        <v>0</v>
      </c>
      <c r="J272" s="30">
        <f t="shared" si="12"/>
        <v>0</v>
      </c>
      <c r="K272" s="30">
        <f t="shared" si="13"/>
        <v>0</v>
      </c>
      <c r="L272" s="26">
        <f t="shared" si="14"/>
        <v>0</v>
      </c>
      <c r="M272" s="26">
        <v>0</v>
      </c>
    </row>
    <row r="273" spans="1:13" ht="15" customHeight="1">
      <c r="A273" s="25">
        <v>1428134</v>
      </c>
      <c r="B273" s="26" t="s">
        <v>5423</v>
      </c>
      <c r="C273" s="26" t="s">
        <v>6040</v>
      </c>
      <c r="D273" s="26" t="s">
        <v>6041</v>
      </c>
      <c r="E273" s="26" t="s">
        <v>5586</v>
      </c>
      <c r="F273" s="27">
        <v>5126386</v>
      </c>
      <c r="G273" s="27">
        <v>0</v>
      </c>
      <c r="H273" s="27">
        <v>0</v>
      </c>
      <c r="I273" s="27">
        <v>0</v>
      </c>
      <c r="J273" s="30">
        <f t="shared" si="12"/>
        <v>0</v>
      </c>
      <c r="K273" s="30">
        <f t="shared" si="13"/>
        <v>0</v>
      </c>
      <c r="L273" s="26">
        <f t="shared" si="14"/>
        <v>0</v>
      </c>
      <c r="M273" s="26">
        <v>0</v>
      </c>
    </row>
    <row r="274" spans="1:13" ht="15" customHeight="1">
      <c r="A274" s="25">
        <v>1428209</v>
      </c>
      <c r="B274" s="26" t="s">
        <v>5423</v>
      </c>
      <c r="C274" s="26" t="s">
        <v>6042</v>
      </c>
      <c r="D274" s="26" t="s">
        <v>6043</v>
      </c>
      <c r="E274" s="26" t="s">
        <v>6044</v>
      </c>
      <c r="F274" s="27">
        <v>4459652</v>
      </c>
      <c r="G274" s="27">
        <v>1</v>
      </c>
      <c r="H274" s="27">
        <v>1</v>
      </c>
      <c r="I274" s="27">
        <v>1</v>
      </c>
      <c r="J274" s="30">
        <f t="shared" si="12"/>
        <v>1</v>
      </c>
      <c r="K274" s="30">
        <f t="shared" si="13"/>
        <v>1</v>
      </c>
      <c r="L274" s="26">
        <f t="shared" si="14"/>
        <v>1</v>
      </c>
      <c r="M274" s="26"/>
    </row>
    <row r="275" spans="1:13" ht="15" customHeight="1">
      <c r="A275" s="25">
        <v>1428226</v>
      </c>
      <c r="B275" s="26" t="s">
        <v>5427</v>
      </c>
      <c r="C275" s="26" t="s">
        <v>6045</v>
      </c>
      <c r="D275" s="26" t="s">
        <v>6046</v>
      </c>
      <c r="E275" s="26" t="s">
        <v>5458</v>
      </c>
      <c r="F275" s="27">
        <v>5102491</v>
      </c>
      <c r="G275" s="27">
        <v>1</v>
      </c>
      <c r="H275" s="27">
        <v>0</v>
      </c>
      <c r="I275" s="27">
        <v>1</v>
      </c>
      <c r="J275" s="30">
        <f t="shared" si="12"/>
        <v>1</v>
      </c>
      <c r="K275" s="30">
        <f t="shared" si="13"/>
        <v>0</v>
      </c>
      <c r="L275" s="26">
        <f t="shared" si="14"/>
        <v>0</v>
      </c>
      <c r="M275" s="26"/>
    </row>
    <row r="276" spans="1:13" ht="15" customHeight="1">
      <c r="A276" s="25">
        <v>1428234</v>
      </c>
      <c r="B276" s="26" t="s">
        <v>5423</v>
      </c>
      <c r="C276" s="26" t="s">
        <v>6047</v>
      </c>
      <c r="D276" s="26" t="s">
        <v>6048</v>
      </c>
      <c r="E276" s="26" t="s">
        <v>5442</v>
      </c>
      <c r="F276" s="27">
        <v>5096555</v>
      </c>
      <c r="G276" s="27">
        <v>1</v>
      </c>
      <c r="H276" s="27">
        <v>1</v>
      </c>
      <c r="I276" s="27">
        <v>1</v>
      </c>
      <c r="J276" s="30">
        <f t="shared" si="12"/>
        <v>1</v>
      </c>
      <c r="K276" s="30">
        <f t="shared" si="13"/>
        <v>1</v>
      </c>
      <c r="L276" s="26">
        <f t="shared" si="14"/>
        <v>1</v>
      </c>
      <c r="M276" s="26"/>
    </row>
    <row r="277" spans="1:13" ht="15" customHeight="1">
      <c r="A277" s="25">
        <v>1428236</v>
      </c>
      <c r="B277" s="26" t="s">
        <v>5423</v>
      </c>
      <c r="C277" s="26" t="s">
        <v>6049</v>
      </c>
      <c r="D277" s="26" t="s">
        <v>6050</v>
      </c>
      <c r="E277" s="26" t="s">
        <v>5475</v>
      </c>
      <c r="F277" s="27">
        <v>5121166</v>
      </c>
      <c r="G277" s="27">
        <v>0</v>
      </c>
      <c r="H277" s="27">
        <v>0</v>
      </c>
      <c r="I277" s="27">
        <v>0</v>
      </c>
      <c r="J277" s="30">
        <f t="shared" si="12"/>
        <v>0</v>
      </c>
      <c r="K277" s="30">
        <f t="shared" si="13"/>
        <v>0</v>
      </c>
      <c r="L277" s="26">
        <f t="shared" si="14"/>
        <v>0</v>
      </c>
      <c r="M277" s="26">
        <v>0</v>
      </c>
    </row>
    <row r="278" spans="1:13" ht="15" customHeight="1">
      <c r="A278" s="25">
        <v>1428248</v>
      </c>
      <c r="B278" s="26" t="s">
        <v>5423</v>
      </c>
      <c r="C278" s="26" t="s">
        <v>6051</v>
      </c>
      <c r="D278" s="26" t="s">
        <v>6052</v>
      </c>
      <c r="E278" s="26" t="s">
        <v>5439</v>
      </c>
      <c r="F278" s="27">
        <v>5124774</v>
      </c>
      <c r="G278" s="27">
        <v>0</v>
      </c>
      <c r="H278" s="27">
        <v>0</v>
      </c>
      <c r="I278" s="27">
        <v>0</v>
      </c>
      <c r="J278" s="30">
        <f t="shared" si="12"/>
        <v>0</v>
      </c>
      <c r="K278" s="30">
        <f t="shared" si="13"/>
        <v>0</v>
      </c>
      <c r="L278" s="26">
        <f t="shared" si="14"/>
        <v>0</v>
      </c>
      <c r="M278" s="26">
        <v>0</v>
      </c>
    </row>
    <row r="279" spans="1:13" ht="15" customHeight="1">
      <c r="A279" s="25">
        <v>1428469</v>
      </c>
      <c r="B279" s="26" t="s">
        <v>5423</v>
      </c>
      <c r="C279" s="26" t="s">
        <v>6053</v>
      </c>
      <c r="D279" s="26" t="s">
        <v>6054</v>
      </c>
      <c r="E279" s="26" t="s">
        <v>5436</v>
      </c>
      <c r="F279" s="27">
        <v>4112344</v>
      </c>
      <c r="G279" s="27">
        <v>1</v>
      </c>
      <c r="H279" s="27">
        <v>0</v>
      </c>
      <c r="I279" s="27">
        <v>1</v>
      </c>
      <c r="J279" s="30">
        <f t="shared" si="12"/>
        <v>1</v>
      </c>
      <c r="K279" s="30">
        <f t="shared" si="13"/>
        <v>0</v>
      </c>
      <c r="L279" s="26">
        <f t="shared" si="14"/>
        <v>0</v>
      </c>
      <c r="M279" s="26"/>
    </row>
    <row r="280" spans="1:13" ht="15" customHeight="1">
      <c r="A280" s="25">
        <v>1428543</v>
      </c>
      <c r="B280" s="26" t="s">
        <v>5423</v>
      </c>
      <c r="C280" s="26" t="s">
        <v>6055</v>
      </c>
      <c r="D280" s="26" t="s">
        <v>6056</v>
      </c>
      <c r="E280" s="26" t="s">
        <v>5455</v>
      </c>
      <c r="F280" s="27">
        <v>5124751</v>
      </c>
      <c r="G280" s="27">
        <v>0</v>
      </c>
      <c r="H280" s="27">
        <v>0</v>
      </c>
      <c r="I280" s="27">
        <v>0</v>
      </c>
      <c r="J280" s="30">
        <f t="shared" si="12"/>
        <v>0</v>
      </c>
      <c r="K280" s="30">
        <f t="shared" si="13"/>
        <v>0</v>
      </c>
      <c r="L280" s="26">
        <f t="shared" si="14"/>
        <v>0</v>
      </c>
      <c r="M280" s="26">
        <v>0</v>
      </c>
    </row>
    <row r="281" spans="1:13" ht="15" customHeight="1">
      <c r="A281" s="25">
        <v>1428748</v>
      </c>
      <c r="B281" s="26" t="s">
        <v>5423</v>
      </c>
      <c r="C281" s="26" t="s">
        <v>6057</v>
      </c>
      <c r="D281" s="26" t="s">
        <v>6058</v>
      </c>
      <c r="E281" s="26" t="s">
        <v>5491</v>
      </c>
      <c r="F281" s="27"/>
      <c r="G281" s="27">
        <v>0</v>
      </c>
      <c r="H281" s="27">
        <v>0</v>
      </c>
      <c r="I281" s="27">
        <v>0</v>
      </c>
      <c r="J281" s="30">
        <f t="shared" si="12"/>
        <v>0</v>
      </c>
      <c r="K281" s="30">
        <f t="shared" si="13"/>
        <v>0</v>
      </c>
      <c r="L281" s="26">
        <f t="shared" si="14"/>
        <v>0</v>
      </c>
      <c r="M281" s="26">
        <v>0</v>
      </c>
    </row>
    <row r="282" spans="1:13" ht="15" customHeight="1">
      <c r="A282" s="25">
        <v>1429374</v>
      </c>
      <c r="B282" s="26" t="s">
        <v>5427</v>
      </c>
      <c r="C282" s="26" t="s">
        <v>6059</v>
      </c>
      <c r="D282" s="26" t="s">
        <v>6060</v>
      </c>
      <c r="E282" s="26" t="s">
        <v>5436</v>
      </c>
      <c r="F282" s="27">
        <v>5127591</v>
      </c>
      <c r="G282" s="27">
        <v>1</v>
      </c>
      <c r="H282" s="27">
        <v>1</v>
      </c>
      <c r="I282" s="27">
        <v>1</v>
      </c>
      <c r="J282" s="30">
        <f t="shared" si="12"/>
        <v>1</v>
      </c>
      <c r="K282" s="30">
        <f t="shared" si="13"/>
        <v>1</v>
      </c>
      <c r="L282" s="26">
        <f t="shared" si="14"/>
        <v>1</v>
      </c>
      <c r="M282" s="26"/>
    </row>
    <row r="283" spans="1:13" ht="15" customHeight="1">
      <c r="A283" s="25">
        <v>1429696</v>
      </c>
      <c r="B283" s="26" t="s">
        <v>5423</v>
      </c>
      <c r="C283" s="26" t="s">
        <v>6061</v>
      </c>
      <c r="D283" s="26" t="s">
        <v>6062</v>
      </c>
      <c r="E283" s="26" t="s">
        <v>5458</v>
      </c>
      <c r="F283" s="27">
        <v>5127869</v>
      </c>
      <c r="G283" s="27">
        <v>0</v>
      </c>
      <c r="H283" s="27">
        <v>0</v>
      </c>
      <c r="I283" s="27">
        <v>0</v>
      </c>
      <c r="J283" s="30">
        <f t="shared" si="12"/>
        <v>0</v>
      </c>
      <c r="K283" s="30">
        <f t="shared" si="13"/>
        <v>0</v>
      </c>
      <c r="L283" s="26">
        <f t="shared" si="14"/>
        <v>0</v>
      </c>
      <c r="M283" s="26">
        <v>0</v>
      </c>
    </row>
    <row r="284" spans="1:13" ht="15" customHeight="1">
      <c r="A284" s="25">
        <v>1429897</v>
      </c>
      <c r="B284" s="26" t="s">
        <v>5423</v>
      </c>
      <c r="C284" s="26" t="s">
        <v>6063</v>
      </c>
      <c r="D284" s="26" t="s">
        <v>6064</v>
      </c>
      <c r="E284" s="26" t="s">
        <v>5488</v>
      </c>
      <c r="F284" s="27">
        <v>5127884</v>
      </c>
      <c r="G284" s="27">
        <v>0</v>
      </c>
      <c r="H284" s="27">
        <v>0</v>
      </c>
      <c r="I284" s="27">
        <v>0</v>
      </c>
      <c r="J284" s="30">
        <f t="shared" si="12"/>
        <v>0</v>
      </c>
      <c r="K284" s="30">
        <f t="shared" si="13"/>
        <v>0</v>
      </c>
      <c r="L284" s="26">
        <f t="shared" si="14"/>
        <v>0</v>
      </c>
      <c r="M284" s="26">
        <v>0</v>
      </c>
    </row>
    <row r="285" spans="1:13" ht="15" customHeight="1">
      <c r="A285" s="25">
        <v>1429989</v>
      </c>
      <c r="B285" s="26" t="s">
        <v>5423</v>
      </c>
      <c r="C285" s="26" t="s">
        <v>6065</v>
      </c>
      <c r="D285" s="26" t="s">
        <v>6066</v>
      </c>
      <c r="E285" s="26" t="s">
        <v>5514</v>
      </c>
      <c r="F285" s="27">
        <v>5127958</v>
      </c>
      <c r="G285" s="27">
        <v>0</v>
      </c>
      <c r="H285" s="27">
        <v>0</v>
      </c>
      <c r="I285" s="27">
        <v>0</v>
      </c>
      <c r="J285" s="30">
        <f t="shared" si="12"/>
        <v>0</v>
      </c>
      <c r="K285" s="30">
        <f t="shared" si="13"/>
        <v>0</v>
      </c>
      <c r="L285" s="26">
        <f t="shared" si="14"/>
        <v>0</v>
      </c>
      <c r="M285" s="26">
        <v>0</v>
      </c>
    </row>
    <row r="286" spans="1:13" ht="15" customHeight="1">
      <c r="A286" s="25">
        <v>1430070</v>
      </c>
      <c r="B286" s="26" t="s">
        <v>5423</v>
      </c>
      <c r="C286" s="26" t="s">
        <v>6067</v>
      </c>
      <c r="D286" s="26" t="s">
        <v>6068</v>
      </c>
      <c r="E286" s="26" t="s">
        <v>5517</v>
      </c>
      <c r="F286" s="27">
        <v>5126616</v>
      </c>
      <c r="G286" s="27">
        <v>0</v>
      </c>
      <c r="H286" s="27">
        <v>0</v>
      </c>
      <c r="I286" s="27">
        <v>0</v>
      </c>
      <c r="J286" s="30">
        <f t="shared" si="12"/>
        <v>0</v>
      </c>
      <c r="K286" s="30">
        <f t="shared" si="13"/>
        <v>0</v>
      </c>
      <c r="L286" s="26">
        <f t="shared" si="14"/>
        <v>0</v>
      </c>
      <c r="M286" s="26">
        <v>0</v>
      </c>
    </row>
    <row r="287" spans="1:13" ht="15" customHeight="1">
      <c r="A287" s="25">
        <v>1430278</v>
      </c>
      <c r="B287" s="26" t="s">
        <v>5423</v>
      </c>
      <c r="C287" s="26" t="s">
        <v>6069</v>
      </c>
      <c r="D287" s="26" t="s">
        <v>6070</v>
      </c>
      <c r="E287" s="26" t="s">
        <v>5433</v>
      </c>
      <c r="F287" s="27">
        <v>5130015</v>
      </c>
      <c r="G287" s="27">
        <v>0</v>
      </c>
      <c r="H287" s="27">
        <v>0</v>
      </c>
      <c r="I287" s="27">
        <v>0</v>
      </c>
      <c r="J287" s="30">
        <f t="shared" si="12"/>
        <v>0</v>
      </c>
      <c r="K287" s="30">
        <f t="shared" si="13"/>
        <v>0</v>
      </c>
      <c r="L287" s="26">
        <f t="shared" si="14"/>
        <v>0</v>
      </c>
      <c r="M287" s="26">
        <v>0</v>
      </c>
    </row>
    <row r="288" spans="1:13" ht="15" customHeight="1">
      <c r="A288" s="25">
        <v>1430350</v>
      </c>
      <c r="B288" s="26" t="s">
        <v>5423</v>
      </c>
      <c r="C288" s="26" t="s">
        <v>6071</v>
      </c>
      <c r="D288" s="26" t="s">
        <v>6072</v>
      </c>
      <c r="E288" s="26" t="s">
        <v>5540</v>
      </c>
      <c r="F288" s="27">
        <v>5130580</v>
      </c>
      <c r="G288" s="27">
        <v>0</v>
      </c>
      <c r="H288" s="27">
        <v>0</v>
      </c>
      <c r="I288" s="27">
        <v>0</v>
      </c>
      <c r="J288" s="30">
        <f t="shared" si="12"/>
        <v>0</v>
      </c>
      <c r="K288" s="30">
        <f t="shared" si="13"/>
        <v>0</v>
      </c>
      <c r="L288" s="26">
        <f t="shared" si="14"/>
        <v>0</v>
      </c>
      <c r="M288" s="26">
        <v>0</v>
      </c>
    </row>
    <row r="289" spans="1:13" ht="15" customHeight="1">
      <c r="A289" s="25">
        <v>1430359</v>
      </c>
      <c r="B289" s="26" t="s">
        <v>5423</v>
      </c>
      <c r="C289" s="26" t="s">
        <v>6073</v>
      </c>
      <c r="D289" s="26" t="s">
        <v>6074</v>
      </c>
      <c r="E289" s="26" t="s">
        <v>6075</v>
      </c>
      <c r="F289" s="27">
        <v>5130488</v>
      </c>
      <c r="G289" s="27">
        <v>1</v>
      </c>
      <c r="H289" s="27">
        <v>0</v>
      </c>
      <c r="I289" s="27">
        <v>1</v>
      </c>
      <c r="J289" s="30">
        <f t="shared" si="12"/>
        <v>1</v>
      </c>
      <c r="K289" s="30">
        <f t="shared" si="13"/>
        <v>0</v>
      </c>
      <c r="L289" s="26">
        <f t="shared" si="14"/>
        <v>0</v>
      </c>
      <c r="M289" s="26"/>
    </row>
    <row r="290" spans="1:13" ht="15" customHeight="1">
      <c r="A290" s="25">
        <v>1430380</v>
      </c>
      <c r="B290" s="26" t="s">
        <v>5423</v>
      </c>
      <c r="C290" s="26" t="s">
        <v>6076</v>
      </c>
      <c r="D290" s="26" t="s">
        <v>6077</v>
      </c>
      <c r="E290" s="26" t="s">
        <v>5529</v>
      </c>
      <c r="F290" s="27">
        <v>5131684</v>
      </c>
      <c r="G290" s="27">
        <v>1</v>
      </c>
      <c r="H290" s="27">
        <v>0</v>
      </c>
      <c r="I290" s="27">
        <v>1</v>
      </c>
      <c r="J290" s="30">
        <f t="shared" si="12"/>
        <v>1</v>
      </c>
      <c r="K290" s="30">
        <f t="shared" si="13"/>
        <v>0</v>
      </c>
      <c r="L290" s="26">
        <f t="shared" si="14"/>
        <v>0</v>
      </c>
      <c r="M290" s="26"/>
    </row>
    <row r="291" spans="1:13" ht="15" customHeight="1">
      <c r="A291" s="25">
        <v>1430484</v>
      </c>
      <c r="B291" s="26" t="s">
        <v>5427</v>
      </c>
      <c r="C291" s="26" t="s">
        <v>6078</v>
      </c>
      <c r="D291" s="26" t="s">
        <v>6079</v>
      </c>
      <c r="E291" s="26" t="s">
        <v>5507</v>
      </c>
      <c r="F291" s="27">
        <v>5132618</v>
      </c>
      <c r="G291" s="27">
        <v>0</v>
      </c>
      <c r="H291" s="27">
        <v>0</v>
      </c>
      <c r="I291" s="27">
        <v>0</v>
      </c>
      <c r="J291" s="30">
        <f t="shared" si="12"/>
        <v>0</v>
      </c>
      <c r="K291" s="30">
        <f t="shared" si="13"/>
        <v>0</v>
      </c>
      <c r="L291" s="26">
        <f t="shared" si="14"/>
        <v>0</v>
      </c>
      <c r="M291" s="26">
        <v>0</v>
      </c>
    </row>
    <row r="292" spans="1:13" ht="15" customHeight="1">
      <c r="A292" s="25">
        <v>1430520</v>
      </c>
      <c r="B292" s="26" t="s">
        <v>5427</v>
      </c>
      <c r="C292" s="26" t="s">
        <v>6080</v>
      </c>
      <c r="D292" s="26" t="s">
        <v>6081</v>
      </c>
      <c r="E292" s="26" t="s">
        <v>5891</v>
      </c>
      <c r="F292" s="27">
        <v>4204908</v>
      </c>
      <c r="G292" s="27">
        <v>1</v>
      </c>
      <c r="H292" s="27">
        <v>1</v>
      </c>
      <c r="I292" s="27">
        <v>1</v>
      </c>
      <c r="J292" s="30">
        <f t="shared" si="12"/>
        <v>1</v>
      </c>
      <c r="K292" s="30">
        <f t="shared" si="13"/>
        <v>1</v>
      </c>
      <c r="L292" s="26">
        <f t="shared" si="14"/>
        <v>1</v>
      </c>
      <c r="M292" s="26"/>
    </row>
    <row r="293" spans="1:13" ht="15" customHeight="1">
      <c r="A293" s="25">
        <v>1430525</v>
      </c>
      <c r="B293" s="26" t="s">
        <v>5423</v>
      </c>
      <c r="C293" s="26" t="s">
        <v>6082</v>
      </c>
      <c r="D293" s="26" t="s">
        <v>6083</v>
      </c>
      <c r="E293" s="26" t="s">
        <v>5517</v>
      </c>
      <c r="F293" s="27">
        <v>5130719</v>
      </c>
      <c r="G293" s="27">
        <v>0</v>
      </c>
      <c r="H293" s="27">
        <v>0</v>
      </c>
      <c r="I293" s="27">
        <v>0</v>
      </c>
      <c r="J293" s="30">
        <f t="shared" si="12"/>
        <v>0</v>
      </c>
      <c r="K293" s="30">
        <f t="shared" si="13"/>
        <v>0</v>
      </c>
      <c r="L293" s="26">
        <f t="shared" si="14"/>
        <v>0</v>
      </c>
      <c r="M293" s="26">
        <v>0</v>
      </c>
    </row>
    <row r="294" spans="1:13" ht="15" customHeight="1">
      <c r="A294" s="25">
        <v>1430555</v>
      </c>
      <c r="B294" s="26" t="s">
        <v>5427</v>
      </c>
      <c r="C294" s="26" t="s">
        <v>6084</v>
      </c>
      <c r="D294" s="26" t="s">
        <v>6085</v>
      </c>
      <c r="E294" s="26" t="s">
        <v>5891</v>
      </c>
      <c r="F294" s="27">
        <v>5130914</v>
      </c>
      <c r="G294" s="27">
        <v>0</v>
      </c>
      <c r="H294" s="27">
        <v>1</v>
      </c>
      <c r="I294" s="27">
        <v>1</v>
      </c>
      <c r="J294" s="30">
        <f t="shared" si="12"/>
        <v>0</v>
      </c>
      <c r="K294" s="30">
        <f t="shared" si="13"/>
        <v>1</v>
      </c>
      <c r="L294" s="26">
        <f t="shared" si="14"/>
        <v>0</v>
      </c>
      <c r="M294" s="26"/>
    </row>
    <row r="295" spans="1:13" ht="15" customHeight="1">
      <c r="A295" s="25">
        <v>1430831</v>
      </c>
      <c r="B295" s="26" t="s">
        <v>5423</v>
      </c>
      <c r="C295" s="26" t="s">
        <v>6086</v>
      </c>
      <c r="D295" s="26" t="s">
        <v>6087</v>
      </c>
      <c r="E295" s="26" t="s">
        <v>5522</v>
      </c>
      <c r="F295" s="27">
        <v>4209551</v>
      </c>
      <c r="G295" s="27">
        <v>1</v>
      </c>
      <c r="H295" s="27">
        <v>0</v>
      </c>
      <c r="I295" s="27">
        <v>1</v>
      </c>
      <c r="J295" s="30">
        <f t="shared" si="12"/>
        <v>1</v>
      </c>
      <c r="K295" s="30">
        <f t="shared" si="13"/>
        <v>0</v>
      </c>
      <c r="L295" s="26">
        <f t="shared" si="14"/>
        <v>0</v>
      </c>
      <c r="M295" s="26"/>
    </row>
    <row r="296" spans="1:13" ht="15" customHeight="1">
      <c r="A296" s="25">
        <v>1430899</v>
      </c>
      <c r="B296" s="26" t="s">
        <v>5423</v>
      </c>
      <c r="C296" s="26" t="s">
        <v>6088</v>
      </c>
      <c r="D296" s="26" t="s">
        <v>6089</v>
      </c>
      <c r="E296" s="26" t="s">
        <v>5455</v>
      </c>
      <c r="F296" s="27">
        <v>5131786</v>
      </c>
      <c r="G296" s="27">
        <v>0</v>
      </c>
      <c r="H296" s="27">
        <v>0</v>
      </c>
      <c r="I296" s="27">
        <v>0</v>
      </c>
      <c r="J296" s="30">
        <f t="shared" si="12"/>
        <v>0</v>
      </c>
      <c r="K296" s="30">
        <f t="shared" si="13"/>
        <v>0</v>
      </c>
      <c r="L296" s="26">
        <f t="shared" si="14"/>
        <v>0</v>
      </c>
      <c r="M296" s="26">
        <v>0</v>
      </c>
    </row>
    <row r="297" spans="1:13" ht="15" customHeight="1">
      <c r="A297" s="25">
        <v>1431165</v>
      </c>
      <c r="B297" s="26" t="s">
        <v>5423</v>
      </c>
      <c r="C297" s="26" t="s">
        <v>6090</v>
      </c>
      <c r="D297" s="26" t="s">
        <v>6091</v>
      </c>
      <c r="E297" s="26" t="s">
        <v>5683</v>
      </c>
      <c r="F297" s="27">
        <v>4807401</v>
      </c>
      <c r="G297" s="27">
        <v>0</v>
      </c>
      <c r="H297" s="27">
        <v>0</v>
      </c>
      <c r="I297" s="27">
        <v>0</v>
      </c>
      <c r="J297" s="30">
        <f t="shared" si="12"/>
        <v>0</v>
      </c>
      <c r="K297" s="30">
        <f t="shared" si="13"/>
        <v>0</v>
      </c>
      <c r="L297" s="26">
        <f t="shared" si="14"/>
        <v>0</v>
      </c>
      <c r="M297" s="26">
        <v>0</v>
      </c>
    </row>
    <row r="298" spans="1:13" ht="15" customHeight="1">
      <c r="A298" s="25">
        <v>1431712</v>
      </c>
      <c r="B298" s="26" t="s">
        <v>5423</v>
      </c>
      <c r="C298" s="26" t="s">
        <v>6092</v>
      </c>
      <c r="D298" s="26" t="s">
        <v>6093</v>
      </c>
      <c r="E298" s="26" t="s">
        <v>5455</v>
      </c>
      <c r="F298" s="27">
        <v>5121344</v>
      </c>
      <c r="G298" s="27">
        <v>1</v>
      </c>
      <c r="H298" s="27">
        <v>0</v>
      </c>
      <c r="I298" s="27">
        <v>1</v>
      </c>
      <c r="J298" s="30">
        <f t="shared" si="12"/>
        <v>1</v>
      </c>
      <c r="K298" s="30">
        <f t="shared" si="13"/>
        <v>0</v>
      </c>
      <c r="L298" s="26">
        <f t="shared" si="14"/>
        <v>0</v>
      </c>
      <c r="M298" s="26"/>
    </row>
    <row r="299" spans="1:13" ht="15" customHeight="1">
      <c r="A299" s="25">
        <v>1431949</v>
      </c>
      <c r="B299" s="26" t="s">
        <v>5423</v>
      </c>
      <c r="C299" s="26" t="s">
        <v>6094</v>
      </c>
      <c r="D299" s="26" t="s">
        <v>6095</v>
      </c>
      <c r="E299" s="26" t="s">
        <v>5535</v>
      </c>
      <c r="F299" s="27">
        <v>5135510</v>
      </c>
      <c r="G299" s="27">
        <v>0</v>
      </c>
      <c r="H299" s="27">
        <v>0</v>
      </c>
      <c r="I299" s="27">
        <v>0</v>
      </c>
      <c r="J299" s="30">
        <f t="shared" si="12"/>
        <v>0</v>
      </c>
      <c r="K299" s="30">
        <f t="shared" si="13"/>
        <v>0</v>
      </c>
      <c r="L299" s="26">
        <f t="shared" si="14"/>
        <v>0</v>
      </c>
      <c r="M299" s="26">
        <v>0</v>
      </c>
    </row>
    <row r="300" spans="1:13" ht="15" customHeight="1">
      <c r="A300" s="25">
        <v>1432101</v>
      </c>
      <c r="B300" s="26" t="s">
        <v>5423</v>
      </c>
      <c r="C300" s="26" t="s">
        <v>6096</v>
      </c>
      <c r="D300" s="26" t="s">
        <v>6097</v>
      </c>
      <c r="E300" s="26" t="s">
        <v>5485</v>
      </c>
      <c r="F300" s="27">
        <v>5135389</v>
      </c>
      <c r="G300" s="27">
        <v>1</v>
      </c>
      <c r="H300" s="27">
        <v>1</v>
      </c>
      <c r="I300" s="27">
        <v>1</v>
      </c>
      <c r="J300" s="30">
        <f t="shared" si="12"/>
        <v>1</v>
      </c>
      <c r="K300" s="30">
        <f t="shared" si="13"/>
        <v>1</v>
      </c>
      <c r="L300" s="26">
        <f t="shared" si="14"/>
        <v>1</v>
      </c>
      <c r="M300" s="26"/>
    </row>
    <row r="301" spans="1:13" ht="15" customHeight="1">
      <c r="A301" s="25">
        <v>1432217</v>
      </c>
      <c r="B301" s="26" t="s">
        <v>5423</v>
      </c>
      <c r="C301" s="26" t="s">
        <v>6098</v>
      </c>
      <c r="D301" s="26" t="s">
        <v>6099</v>
      </c>
      <c r="E301" s="26" t="s">
        <v>5610</v>
      </c>
      <c r="F301" s="27">
        <v>5134665</v>
      </c>
      <c r="G301" s="27">
        <v>0</v>
      </c>
      <c r="H301" s="27">
        <v>0</v>
      </c>
      <c r="I301" s="27">
        <v>0</v>
      </c>
      <c r="J301" s="30">
        <f t="shared" si="12"/>
        <v>0</v>
      </c>
      <c r="K301" s="30">
        <f t="shared" si="13"/>
        <v>0</v>
      </c>
      <c r="L301" s="26">
        <f t="shared" si="14"/>
        <v>0</v>
      </c>
      <c r="M301" s="26">
        <v>0</v>
      </c>
    </row>
    <row r="302" spans="1:13" ht="15" customHeight="1">
      <c r="A302" s="25">
        <v>1432220</v>
      </c>
      <c r="B302" s="26" t="s">
        <v>5423</v>
      </c>
      <c r="C302" s="26" t="s">
        <v>6100</v>
      </c>
      <c r="D302" s="26" t="s">
        <v>6101</v>
      </c>
      <c r="E302" s="26" t="s">
        <v>6102</v>
      </c>
      <c r="F302" s="27">
        <v>5134593</v>
      </c>
      <c r="G302" s="27">
        <v>0</v>
      </c>
      <c r="H302" s="27">
        <v>0</v>
      </c>
      <c r="I302" s="27">
        <v>0</v>
      </c>
      <c r="J302" s="30">
        <f t="shared" si="12"/>
        <v>0</v>
      </c>
      <c r="K302" s="30">
        <f t="shared" si="13"/>
        <v>0</v>
      </c>
      <c r="L302" s="26">
        <f t="shared" si="14"/>
        <v>0</v>
      </c>
      <c r="M302" s="26">
        <v>0</v>
      </c>
    </row>
    <row r="303" spans="1:13" ht="15" customHeight="1">
      <c r="A303" s="25">
        <v>1432306</v>
      </c>
      <c r="B303" s="26" t="s">
        <v>5423</v>
      </c>
      <c r="C303" s="26" t="s">
        <v>6103</v>
      </c>
      <c r="D303" s="26" t="s">
        <v>6104</v>
      </c>
      <c r="E303" s="26" t="s">
        <v>5485</v>
      </c>
      <c r="F303" s="27">
        <v>5135463</v>
      </c>
      <c r="G303" s="27">
        <v>0</v>
      </c>
      <c r="H303" s="27">
        <v>0</v>
      </c>
      <c r="I303" s="27">
        <v>0</v>
      </c>
      <c r="J303" s="30">
        <f t="shared" si="12"/>
        <v>0</v>
      </c>
      <c r="K303" s="30">
        <f t="shared" si="13"/>
        <v>0</v>
      </c>
      <c r="L303" s="26">
        <f t="shared" si="14"/>
        <v>0</v>
      </c>
      <c r="M303" s="26">
        <v>0</v>
      </c>
    </row>
    <row r="304" spans="1:13" ht="15" customHeight="1">
      <c r="A304" s="25">
        <v>1432376</v>
      </c>
      <c r="B304" s="26" t="s">
        <v>5423</v>
      </c>
      <c r="C304" s="26" t="s">
        <v>6105</v>
      </c>
      <c r="D304" s="26" t="s">
        <v>6106</v>
      </c>
      <c r="E304" s="26" t="s">
        <v>5442</v>
      </c>
      <c r="F304" s="27">
        <v>5134816</v>
      </c>
      <c r="G304" s="27">
        <v>0</v>
      </c>
      <c r="H304" s="27">
        <v>0</v>
      </c>
      <c r="I304" s="27">
        <v>0</v>
      </c>
      <c r="J304" s="30">
        <f t="shared" si="12"/>
        <v>0</v>
      </c>
      <c r="K304" s="30">
        <f t="shared" si="13"/>
        <v>0</v>
      </c>
      <c r="L304" s="26">
        <f t="shared" si="14"/>
        <v>0</v>
      </c>
      <c r="M304" s="26">
        <v>0</v>
      </c>
    </row>
    <row r="305" spans="1:13" ht="15" customHeight="1">
      <c r="A305" s="25">
        <v>1432523</v>
      </c>
      <c r="B305" s="26" t="s">
        <v>5423</v>
      </c>
      <c r="C305" s="26" t="s">
        <v>6107</v>
      </c>
      <c r="D305" s="26" t="s">
        <v>6108</v>
      </c>
      <c r="E305" s="26" t="s">
        <v>5586</v>
      </c>
      <c r="F305" s="27">
        <v>3476797</v>
      </c>
      <c r="G305" s="27">
        <v>1</v>
      </c>
      <c r="H305" s="27">
        <v>1</v>
      </c>
      <c r="I305" s="27">
        <v>1</v>
      </c>
      <c r="J305" s="30">
        <f t="shared" si="12"/>
        <v>1</v>
      </c>
      <c r="K305" s="30">
        <f t="shared" si="13"/>
        <v>1</v>
      </c>
      <c r="L305" s="26">
        <f t="shared" si="14"/>
        <v>1</v>
      </c>
      <c r="M305" s="26"/>
    </row>
    <row r="306" spans="1:13" ht="15" customHeight="1">
      <c r="A306" s="25">
        <v>1432629</v>
      </c>
      <c r="B306" s="26" t="s">
        <v>5423</v>
      </c>
      <c r="C306" s="26" t="s">
        <v>6109</v>
      </c>
      <c r="D306" s="26" t="s">
        <v>6110</v>
      </c>
      <c r="E306" s="26" t="s">
        <v>5455</v>
      </c>
      <c r="F306" s="27">
        <v>5139347</v>
      </c>
      <c r="G306" s="27">
        <v>0</v>
      </c>
      <c r="H306" s="27">
        <v>0</v>
      </c>
      <c r="I306" s="27">
        <v>0</v>
      </c>
      <c r="J306" s="30">
        <f t="shared" si="12"/>
        <v>0</v>
      </c>
      <c r="K306" s="30">
        <f t="shared" si="13"/>
        <v>0</v>
      </c>
      <c r="L306" s="26">
        <f t="shared" si="14"/>
        <v>0</v>
      </c>
      <c r="M306" s="26">
        <v>0</v>
      </c>
    </row>
    <row r="307" spans="1:13" ht="15" customHeight="1">
      <c r="A307" s="25">
        <v>1432663</v>
      </c>
      <c r="B307" s="26" t="s">
        <v>5423</v>
      </c>
      <c r="C307" s="26" t="s">
        <v>6111</v>
      </c>
      <c r="D307" s="26" t="s">
        <v>6112</v>
      </c>
      <c r="E307" s="26" t="s">
        <v>5458</v>
      </c>
      <c r="F307" s="27">
        <v>5139344</v>
      </c>
      <c r="G307" s="27">
        <v>0</v>
      </c>
      <c r="H307" s="27">
        <v>0</v>
      </c>
      <c r="I307" s="27">
        <v>0</v>
      </c>
      <c r="J307" s="30">
        <f t="shared" si="12"/>
        <v>0</v>
      </c>
      <c r="K307" s="30">
        <f t="shared" si="13"/>
        <v>0</v>
      </c>
      <c r="L307" s="26">
        <f t="shared" si="14"/>
        <v>0</v>
      </c>
      <c r="M307" s="26">
        <v>0</v>
      </c>
    </row>
    <row r="308" spans="1:13" ht="15" customHeight="1">
      <c r="A308" s="25">
        <v>1432732</v>
      </c>
      <c r="B308" s="26" t="s">
        <v>5423</v>
      </c>
      <c r="C308" s="26" t="s">
        <v>6113</v>
      </c>
      <c r="D308" s="26" t="s">
        <v>6114</v>
      </c>
      <c r="E308" s="26" t="s">
        <v>5532</v>
      </c>
      <c r="F308" s="27">
        <v>5137360</v>
      </c>
      <c r="G308" s="27">
        <v>0</v>
      </c>
      <c r="H308" s="27">
        <v>0</v>
      </c>
      <c r="I308" s="27">
        <v>0</v>
      </c>
      <c r="J308" s="30">
        <f t="shared" si="12"/>
        <v>0</v>
      </c>
      <c r="K308" s="30">
        <f t="shared" si="13"/>
        <v>0</v>
      </c>
      <c r="L308" s="26">
        <f t="shared" si="14"/>
        <v>0</v>
      </c>
      <c r="M308" s="26">
        <v>0</v>
      </c>
    </row>
    <row r="309" spans="1:13" ht="15" customHeight="1">
      <c r="A309" s="25">
        <v>1432749</v>
      </c>
      <c r="B309" s="26" t="s">
        <v>5423</v>
      </c>
      <c r="C309" s="26" t="s">
        <v>6115</v>
      </c>
      <c r="D309" s="26" t="s">
        <v>6116</v>
      </c>
      <c r="E309" s="26" t="s">
        <v>5529</v>
      </c>
      <c r="F309" s="27">
        <v>5137066</v>
      </c>
      <c r="G309" s="27">
        <v>0</v>
      </c>
      <c r="H309" s="27">
        <v>0</v>
      </c>
      <c r="I309" s="27">
        <v>0</v>
      </c>
      <c r="J309" s="30">
        <f t="shared" si="12"/>
        <v>0</v>
      </c>
      <c r="K309" s="30">
        <f t="shared" si="13"/>
        <v>0</v>
      </c>
      <c r="L309" s="26">
        <f t="shared" si="14"/>
        <v>0</v>
      </c>
      <c r="M309" s="26">
        <v>0</v>
      </c>
    </row>
    <row r="310" spans="1:13" ht="15" customHeight="1">
      <c r="A310" s="25">
        <v>1432783</v>
      </c>
      <c r="B310" s="26" t="s">
        <v>5423</v>
      </c>
      <c r="C310" s="26" t="s">
        <v>6117</v>
      </c>
      <c r="D310" s="26" t="s">
        <v>6118</v>
      </c>
      <c r="E310" s="26" t="s">
        <v>5535</v>
      </c>
      <c r="F310" s="27">
        <v>5137454</v>
      </c>
      <c r="G310" s="27">
        <v>0</v>
      </c>
      <c r="H310" s="27">
        <v>0</v>
      </c>
      <c r="I310" s="27">
        <v>0</v>
      </c>
      <c r="J310" s="30">
        <f t="shared" si="12"/>
        <v>0</v>
      </c>
      <c r="K310" s="30">
        <f t="shared" si="13"/>
        <v>0</v>
      </c>
      <c r="L310" s="26">
        <f t="shared" si="14"/>
        <v>0</v>
      </c>
      <c r="M310" s="26">
        <v>0</v>
      </c>
    </row>
    <row r="311" spans="1:13" ht="15" customHeight="1">
      <c r="A311" s="25">
        <v>1432784</v>
      </c>
      <c r="B311" s="26" t="s">
        <v>5423</v>
      </c>
      <c r="C311" s="26" t="s">
        <v>6119</v>
      </c>
      <c r="D311" s="26" t="s">
        <v>6120</v>
      </c>
      <c r="E311" s="26" t="s">
        <v>5430</v>
      </c>
      <c r="F311" s="27">
        <v>4987027</v>
      </c>
      <c r="G311" s="27">
        <v>1</v>
      </c>
      <c r="H311" s="27">
        <v>1</v>
      </c>
      <c r="I311" s="27">
        <v>1</v>
      </c>
      <c r="J311" s="30">
        <f t="shared" si="12"/>
        <v>1</v>
      </c>
      <c r="K311" s="30">
        <f t="shared" si="13"/>
        <v>1</v>
      </c>
      <c r="L311" s="26">
        <f t="shared" si="14"/>
        <v>1</v>
      </c>
      <c r="M311" s="26"/>
    </row>
    <row r="312" spans="1:13" ht="15" customHeight="1">
      <c r="A312" s="25">
        <v>1432799</v>
      </c>
      <c r="B312" s="26" t="s">
        <v>5427</v>
      </c>
      <c r="C312" s="26" t="s">
        <v>6121</v>
      </c>
      <c r="D312" s="26" t="s">
        <v>6122</v>
      </c>
      <c r="E312" s="26" t="s">
        <v>6123</v>
      </c>
      <c r="F312" s="27">
        <v>5135431</v>
      </c>
      <c r="G312" s="27">
        <v>0</v>
      </c>
      <c r="H312" s="27">
        <v>0</v>
      </c>
      <c r="I312" s="27">
        <v>0</v>
      </c>
      <c r="J312" s="30">
        <f t="shared" si="12"/>
        <v>0</v>
      </c>
      <c r="K312" s="30">
        <f t="shared" si="13"/>
        <v>0</v>
      </c>
      <c r="L312" s="26">
        <f t="shared" si="14"/>
        <v>0</v>
      </c>
      <c r="M312" s="26">
        <v>0</v>
      </c>
    </row>
    <row r="313" spans="1:13" ht="15" customHeight="1">
      <c r="A313" s="25">
        <v>1432800</v>
      </c>
      <c r="B313" s="26" t="s">
        <v>5423</v>
      </c>
      <c r="C313" s="26" t="s">
        <v>6124</v>
      </c>
      <c r="D313" s="26" t="s">
        <v>6125</v>
      </c>
      <c r="E313" s="26" t="s">
        <v>5540</v>
      </c>
      <c r="F313" s="27">
        <v>5137395</v>
      </c>
      <c r="G313" s="27">
        <v>0</v>
      </c>
      <c r="H313" s="27">
        <v>0</v>
      </c>
      <c r="I313" s="27">
        <v>0</v>
      </c>
      <c r="J313" s="30">
        <f t="shared" si="12"/>
        <v>0</v>
      </c>
      <c r="K313" s="30">
        <f t="shared" si="13"/>
        <v>0</v>
      </c>
      <c r="L313" s="26">
        <f t="shared" si="14"/>
        <v>0</v>
      </c>
      <c r="M313" s="26">
        <v>0</v>
      </c>
    </row>
    <row r="314" spans="1:13" ht="15" customHeight="1">
      <c r="A314" s="25">
        <v>1432846</v>
      </c>
      <c r="B314" s="26" t="s">
        <v>5427</v>
      </c>
      <c r="C314" s="26" t="s">
        <v>6126</v>
      </c>
      <c r="D314" s="26" t="s">
        <v>6127</v>
      </c>
      <c r="E314" s="26" t="s">
        <v>5718</v>
      </c>
      <c r="F314" s="27">
        <v>4171836</v>
      </c>
      <c r="G314" s="27">
        <v>0</v>
      </c>
      <c r="H314" s="27">
        <v>0</v>
      </c>
      <c r="I314" s="27">
        <v>0</v>
      </c>
      <c r="J314" s="30">
        <f t="shared" si="12"/>
        <v>0</v>
      </c>
      <c r="K314" s="30">
        <f t="shared" si="13"/>
        <v>0</v>
      </c>
      <c r="L314" s="26">
        <f t="shared" si="14"/>
        <v>0</v>
      </c>
      <c r="M314" s="26">
        <v>0</v>
      </c>
    </row>
    <row r="315" spans="1:13" ht="15" customHeight="1">
      <c r="A315" s="25">
        <v>1432874</v>
      </c>
      <c r="B315" s="26" t="s">
        <v>5423</v>
      </c>
      <c r="C315" s="26" t="s">
        <v>6128</v>
      </c>
      <c r="D315" s="26" t="s">
        <v>6129</v>
      </c>
      <c r="E315" s="26" t="s">
        <v>5442</v>
      </c>
      <c r="F315" s="27">
        <v>5137244</v>
      </c>
      <c r="G315" s="27">
        <v>1</v>
      </c>
      <c r="H315" s="27">
        <v>0</v>
      </c>
      <c r="I315" s="27">
        <v>1</v>
      </c>
      <c r="J315" s="30">
        <f t="shared" si="12"/>
        <v>1</v>
      </c>
      <c r="K315" s="30">
        <f t="shared" si="13"/>
        <v>0</v>
      </c>
      <c r="L315" s="26">
        <f t="shared" si="14"/>
        <v>0</v>
      </c>
      <c r="M315" s="26"/>
    </row>
    <row r="316" spans="1:13" ht="15" customHeight="1">
      <c r="A316" s="25">
        <v>1433100</v>
      </c>
      <c r="B316" s="26" t="s">
        <v>5427</v>
      </c>
      <c r="C316" s="26" t="s">
        <v>6130</v>
      </c>
      <c r="D316" s="26" t="s">
        <v>6131</v>
      </c>
      <c r="E316" s="26" t="s">
        <v>5545</v>
      </c>
      <c r="F316" s="27">
        <v>5049872</v>
      </c>
      <c r="G316" s="27">
        <v>1</v>
      </c>
      <c r="H316" s="27">
        <v>1</v>
      </c>
      <c r="I316" s="27">
        <v>1</v>
      </c>
      <c r="J316" s="30">
        <f t="shared" si="12"/>
        <v>1</v>
      </c>
      <c r="K316" s="30">
        <f t="shared" si="13"/>
        <v>1</v>
      </c>
      <c r="L316" s="26">
        <f t="shared" si="14"/>
        <v>1</v>
      </c>
      <c r="M316" s="26"/>
    </row>
    <row r="317" spans="1:13" ht="15" customHeight="1">
      <c r="A317" s="25">
        <v>1433134</v>
      </c>
      <c r="B317" s="26" t="s">
        <v>5423</v>
      </c>
      <c r="C317" s="26" t="s">
        <v>6132</v>
      </c>
      <c r="D317" s="26" t="s">
        <v>6133</v>
      </c>
      <c r="E317" s="26" t="s">
        <v>5707</v>
      </c>
      <c r="F317" s="27">
        <v>5138280</v>
      </c>
      <c r="G317" s="27">
        <v>0</v>
      </c>
      <c r="H317" s="27">
        <v>0</v>
      </c>
      <c r="I317" s="27">
        <v>0</v>
      </c>
      <c r="J317" s="30">
        <f t="shared" si="12"/>
        <v>0</v>
      </c>
      <c r="K317" s="30">
        <f t="shared" si="13"/>
        <v>0</v>
      </c>
      <c r="L317" s="26">
        <f t="shared" si="14"/>
        <v>0</v>
      </c>
      <c r="M317" s="26">
        <v>0</v>
      </c>
    </row>
    <row r="318" spans="1:13" ht="15" customHeight="1">
      <c r="A318" s="25">
        <v>1433269</v>
      </c>
      <c r="B318" s="26" t="s">
        <v>5423</v>
      </c>
      <c r="C318" s="26" t="s">
        <v>6134</v>
      </c>
      <c r="D318" s="26" t="s">
        <v>6135</v>
      </c>
      <c r="E318" s="26" t="s">
        <v>5485</v>
      </c>
      <c r="F318" s="27">
        <v>2198719</v>
      </c>
      <c r="G318" s="27">
        <v>1</v>
      </c>
      <c r="H318" s="27">
        <v>1</v>
      </c>
      <c r="I318" s="27">
        <v>1</v>
      </c>
      <c r="J318" s="30">
        <f t="shared" si="12"/>
        <v>1</v>
      </c>
      <c r="K318" s="30">
        <f t="shared" si="13"/>
        <v>1</v>
      </c>
      <c r="L318" s="26">
        <f t="shared" si="14"/>
        <v>1</v>
      </c>
      <c r="M318" s="26"/>
    </row>
    <row r="319" spans="1:13" ht="15" customHeight="1">
      <c r="A319" s="25">
        <v>1433980</v>
      </c>
      <c r="B319" s="26" t="s">
        <v>5423</v>
      </c>
      <c r="C319" s="26" t="s">
        <v>6136</v>
      </c>
      <c r="D319" s="26" t="s">
        <v>6137</v>
      </c>
      <c r="E319" s="26" t="s">
        <v>5683</v>
      </c>
      <c r="F319" s="27">
        <v>5141003</v>
      </c>
      <c r="G319" s="27">
        <v>0</v>
      </c>
      <c r="H319" s="27">
        <v>1</v>
      </c>
      <c r="I319" s="27">
        <v>1</v>
      </c>
      <c r="J319" s="30">
        <f t="shared" si="12"/>
        <v>0</v>
      </c>
      <c r="K319" s="30">
        <f t="shared" si="13"/>
        <v>1</v>
      </c>
      <c r="L319" s="26">
        <f t="shared" si="14"/>
        <v>0</v>
      </c>
      <c r="M319" s="26"/>
    </row>
    <row r="320" spans="1:13" ht="15" customHeight="1">
      <c r="A320" s="25">
        <v>1434054</v>
      </c>
      <c r="B320" s="26" t="s">
        <v>5423</v>
      </c>
      <c r="C320" s="26" t="s">
        <v>6138</v>
      </c>
      <c r="D320" s="26" t="s">
        <v>6139</v>
      </c>
      <c r="E320" s="26" t="s">
        <v>5463</v>
      </c>
      <c r="F320" s="27">
        <v>5136397</v>
      </c>
      <c r="G320" s="27">
        <v>0</v>
      </c>
      <c r="H320" s="27">
        <v>0</v>
      </c>
      <c r="I320" s="27">
        <v>0</v>
      </c>
      <c r="J320" s="30">
        <f t="shared" si="12"/>
        <v>0</v>
      </c>
      <c r="K320" s="30">
        <f t="shared" si="13"/>
        <v>0</v>
      </c>
      <c r="L320" s="26">
        <f t="shared" si="14"/>
        <v>0</v>
      </c>
      <c r="M320" s="26">
        <v>0</v>
      </c>
    </row>
    <row r="321" spans="1:13" ht="15" customHeight="1">
      <c r="A321" s="25">
        <v>1434328</v>
      </c>
      <c r="B321" s="26" t="s">
        <v>5423</v>
      </c>
      <c r="C321" s="26" t="s">
        <v>6140</v>
      </c>
      <c r="D321" s="26" t="s">
        <v>6141</v>
      </c>
      <c r="E321" s="26" t="s">
        <v>5442</v>
      </c>
      <c r="F321" s="27">
        <v>5141904</v>
      </c>
      <c r="G321" s="27">
        <v>0</v>
      </c>
      <c r="H321" s="27">
        <v>0</v>
      </c>
      <c r="I321" s="27">
        <v>0</v>
      </c>
      <c r="J321" s="30">
        <f t="shared" si="12"/>
        <v>0</v>
      </c>
      <c r="K321" s="30">
        <f t="shared" si="13"/>
        <v>0</v>
      </c>
      <c r="L321" s="26">
        <f t="shared" si="14"/>
        <v>0</v>
      </c>
      <c r="M321" s="26">
        <v>0</v>
      </c>
    </row>
    <row r="322" spans="1:13" ht="15" customHeight="1">
      <c r="A322" s="25">
        <v>1434330</v>
      </c>
      <c r="B322" s="26" t="s">
        <v>5423</v>
      </c>
      <c r="C322" s="26" t="s">
        <v>6142</v>
      </c>
      <c r="D322" s="26" t="s">
        <v>6143</v>
      </c>
      <c r="E322" s="26" t="s">
        <v>5707</v>
      </c>
      <c r="F322" s="27">
        <v>5110379</v>
      </c>
      <c r="G322" s="27">
        <v>1</v>
      </c>
      <c r="H322" s="27">
        <v>1</v>
      </c>
      <c r="I322" s="27">
        <v>1</v>
      </c>
      <c r="J322" s="30">
        <f t="shared" ref="J322:J385" si="15">IF(G322&gt;0,1,0)</f>
        <v>1</v>
      </c>
      <c r="K322" s="30">
        <f t="shared" ref="K322:K385" si="16">IF(H322&gt;0,1,0)</f>
        <v>1</v>
      </c>
      <c r="L322" s="26">
        <f t="shared" ref="L322:L385" si="17">IF(G322&gt;0,IF(H322&gt;0,1,0),0)</f>
        <v>1</v>
      </c>
      <c r="M322" s="26"/>
    </row>
    <row r="323" spans="1:13" ht="15" customHeight="1">
      <c r="A323" s="25">
        <v>1434598</v>
      </c>
      <c r="B323" s="26" t="s">
        <v>5423</v>
      </c>
      <c r="C323" s="26" t="s">
        <v>6144</v>
      </c>
      <c r="D323" s="26" t="s">
        <v>6145</v>
      </c>
      <c r="E323" s="26" t="s">
        <v>5522</v>
      </c>
      <c r="F323" s="27">
        <v>5142930</v>
      </c>
      <c r="G323" s="27">
        <v>0</v>
      </c>
      <c r="H323" s="27">
        <v>0</v>
      </c>
      <c r="I323" s="27">
        <v>0</v>
      </c>
      <c r="J323" s="30">
        <f t="shared" si="15"/>
        <v>0</v>
      </c>
      <c r="K323" s="30">
        <f t="shared" si="16"/>
        <v>0</v>
      </c>
      <c r="L323" s="26">
        <f t="shared" si="17"/>
        <v>0</v>
      </c>
      <c r="M323" s="26">
        <v>0</v>
      </c>
    </row>
    <row r="324" spans="1:13" ht="15" customHeight="1">
      <c r="A324" s="25">
        <v>1434622</v>
      </c>
      <c r="B324" s="26" t="s">
        <v>5423</v>
      </c>
      <c r="C324" s="26" t="s">
        <v>6146</v>
      </c>
      <c r="D324" s="26" t="s">
        <v>6147</v>
      </c>
      <c r="E324" s="26" t="s">
        <v>5504</v>
      </c>
      <c r="F324" s="27">
        <v>1884130</v>
      </c>
      <c r="G324" s="27">
        <v>1</v>
      </c>
      <c r="H324" s="27">
        <v>0</v>
      </c>
      <c r="I324" s="27">
        <v>1</v>
      </c>
      <c r="J324" s="30">
        <f t="shared" si="15"/>
        <v>1</v>
      </c>
      <c r="K324" s="30">
        <f t="shared" si="16"/>
        <v>0</v>
      </c>
      <c r="L324" s="26">
        <f t="shared" si="17"/>
        <v>0</v>
      </c>
      <c r="M324" s="26"/>
    </row>
    <row r="325" spans="1:13" ht="15" customHeight="1">
      <c r="A325" s="25">
        <v>1434647</v>
      </c>
      <c r="B325" s="26" t="s">
        <v>5427</v>
      </c>
      <c r="C325" s="26" t="s">
        <v>6148</v>
      </c>
      <c r="D325" s="26" t="s">
        <v>6149</v>
      </c>
      <c r="E325" s="26" t="s">
        <v>5763</v>
      </c>
      <c r="F325" s="27">
        <v>5135806</v>
      </c>
      <c r="G325" s="27">
        <v>0</v>
      </c>
      <c r="H325" s="27">
        <v>0</v>
      </c>
      <c r="I325" s="27">
        <v>0</v>
      </c>
      <c r="J325" s="30">
        <f t="shared" si="15"/>
        <v>0</v>
      </c>
      <c r="K325" s="30">
        <f t="shared" si="16"/>
        <v>0</v>
      </c>
      <c r="L325" s="26">
        <f t="shared" si="17"/>
        <v>0</v>
      </c>
      <c r="M325" s="26">
        <v>0</v>
      </c>
    </row>
    <row r="326" spans="1:13" ht="15" customHeight="1">
      <c r="A326" s="25">
        <v>1434657</v>
      </c>
      <c r="B326" s="26" t="s">
        <v>5423</v>
      </c>
      <c r="C326" s="26" t="s">
        <v>6150</v>
      </c>
      <c r="D326" s="26" t="s">
        <v>6151</v>
      </c>
      <c r="E326" s="26" t="s">
        <v>5458</v>
      </c>
      <c r="F326" s="27">
        <v>5142637</v>
      </c>
      <c r="G326" s="27">
        <v>0</v>
      </c>
      <c r="H326" s="27">
        <v>0</v>
      </c>
      <c r="I326" s="27">
        <v>0</v>
      </c>
      <c r="J326" s="30">
        <f t="shared" si="15"/>
        <v>0</v>
      </c>
      <c r="K326" s="30">
        <f t="shared" si="16"/>
        <v>0</v>
      </c>
      <c r="L326" s="26">
        <f t="shared" si="17"/>
        <v>0</v>
      </c>
      <c r="M326" s="26">
        <v>0</v>
      </c>
    </row>
    <row r="327" spans="1:13" ht="15" customHeight="1">
      <c r="A327" s="25">
        <v>1434672</v>
      </c>
      <c r="B327" s="26" t="s">
        <v>5423</v>
      </c>
      <c r="C327" s="26" t="s">
        <v>6152</v>
      </c>
      <c r="D327" s="26" t="s">
        <v>6153</v>
      </c>
      <c r="E327" s="26" t="s">
        <v>5517</v>
      </c>
      <c r="F327" s="27">
        <v>5142939</v>
      </c>
      <c r="G327" s="27">
        <v>0</v>
      </c>
      <c r="H327" s="27">
        <v>0</v>
      </c>
      <c r="I327" s="27">
        <v>0</v>
      </c>
      <c r="J327" s="30">
        <f t="shared" si="15"/>
        <v>0</v>
      </c>
      <c r="K327" s="30">
        <f t="shared" si="16"/>
        <v>0</v>
      </c>
      <c r="L327" s="26">
        <f t="shared" si="17"/>
        <v>0</v>
      </c>
      <c r="M327" s="26">
        <v>0</v>
      </c>
    </row>
    <row r="328" spans="1:13" ht="15" customHeight="1">
      <c r="A328" s="25">
        <v>1434864</v>
      </c>
      <c r="B328" s="26" t="s">
        <v>5423</v>
      </c>
      <c r="C328" s="26" t="s">
        <v>6154</v>
      </c>
      <c r="D328" s="26" t="s">
        <v>6155</v>
      </c>
      <c r="E328" s="26" t="s">
        <v>5540</v>
      </c>
      <c r="F328" s="27">
        <v>3888411</v>
      </c>
      <c r="G328" s="27">
        <v>0</v>
      </c>
      <c r="H328" s="27">
        <v>0</v>
      </c>
      <c r="I328" s="27">
        <v>0</v>
      </c>
      <c r="J328" s="30">
        <f t="shared" si="15"/>
        <v>0</v>
      </c>
      <c r="K328" s="30">
        <f t="shared" si="16"/>
        <v>0</v>
      </c>
      <c r="L328" s="26">
        <f t="shared" si="17"/>
        <v>0</v>
      </c>
      <c r="M328" s="26">
        <v>0</v>
      </c>
    </row>
    <row r="329" spans="1:13" ht="15" customHeight="1">
      <c r="A329" s="25">
        <v>1434906</v>
      </c>
      <c r="B329" s="26" t="s">
        <v>5423</v>
      </c>
      <c r="C329" s="26" t="s">
        <v>6156</v>
      </c>
      <c r="D329" s="26" t="s">
        <v>6157</v>
      </c>
      <c r="E329" s="26" t="s">
        <v>5436</v>
      </c>
      <c r="F329" s="27">
        <v>5143523</v>
      </c>
      <c r="G329" s="27">
        <v>0</v>
      </c>
      <c r="H329" s="27">
        <v>0</v>
      </c>
      <c r="I329" s="27">
        <v>0</v>
      </c>
      <c r="J329" s="30">
        <f t="shared" si="15"/>
        <v>0</v>
      </c>
      <c r="K329" s="30">
        <f t="shared" si="16"/>
        <v>0</v>
      </c>
      <c r="L329" s="26">
        <f t="shared" si="17"/>
        <v>0</v>
      </c>
      <c r="M329" s="26">
        <v>0</v>
      </c>
    </row>
    <row r="330" spans="1:13" ht="15" customHeight="1">
      <c r="A330" s="25">
        <v>1434924</v>
      </c>
      <c r="B330" s="26" t="s">
        <v>5427</v>
      </c>
      <c r="C330" s="26" t="s">
        <v>6158</v>
      </c>
      <c r="D330" s="26" t="s">
        <v>6159</v>
      </c>
      <c r="E330" s="26" t="s">
        <v>5442</v>
      </c>
      <c r="F330" s="27">
        <v>1226383</v>
      </c>
      <c r="G330" s="27">
        <v>1</v>
      </c>
      <c r="H330" s="27">
        <v>1</v>
      </c>
      <c r="I330" s="27">
        <v>1</v>
      </c>
      <c r="J330" s="30">
        <f t="shared" si="15"/>
        <v>1</v>
      </c>
      <c r="K330" s="30">
        <f t="shared" si="16"/>
        <v>1</v>
      </c>
      <c r="L330" s="26">
        <f t="shared" si="17"/>
        <v>1</v>
      </c>
      <c r="M330" s="26"/>
    </row>
    <row r="331" spans="1:13" ht="15" customHeight="1">
      <c r="A331" s="25">
        <v>1435361</v>
      </c>
      <c r="B331" s="26" t="s">
        <v>5427</v>
      </c>
      <c r="C331" s="26" t="s">
        <v>6160</v>
      </c>
      <c r="D331" s="26" t="s">
        <v>6161</v>
      </c>
      <c r="E331" s="26" t="s">
        <v>5575</v>
      </c>
      <c r="F331" s="27">
        <v>5144623</v>
      </c>
      <c r="G331" s="27">
        <v>0</v>
      </c>
      <c r="H331" s="27">
        <v>0</v>
      </c>
      <c r="I331" s="27">
        <v>0</v>
      </c>
      <c r="J331" s="30">
        <f t="shared" si="15"/>
        <v>0</v>
      </c>
      <c r="K331" s="30">
        <f t="shared" si="16"/>
        <v>0</v>
      </c>
      <c r="L331" s="26">
        <f t="shared" si="17"/>
        <v>0</v>
      </c>
      <c r="M331" s="26">
        <v>0</v>
      </c>
    </row>
    <row r="332" spans="1:13" ht="15" customHeight="1">
      <c r="A332" s="25">
        <v>1435388</v>
      </c>
      <c r="B332" s="26" t="s">
        <v>5423</v>
      </c>
      <c r="C332" s="26" t="s">
        <v>6162</v>
      </c>
      <c r="D332" s="26" t="s">
        <v>6163</v>
      </c>
      <c r="E332" s="26" t="s">
        <v>5504</v>
      </c>
      <c r="F332" s="27">
        <v>5146452</v>
      </c>
      <c r="G332" s="27">
        <v>0</v>
      </c>
      <c r="H332" s="27">
        <v>0</v>
      </c>
      <c r="I332" s="27">
        <v>0</v>
      </c>
      <c r="J332" s="30">
        <f t="shared" si="15"/>
        <v>0</v>
      </c>
      <c r="K332" s="30">
        <f t="shared" si="16"/>
        <v>0</v>
      </c>
      <c r="L332" s="26">
        <f t="shared" si="17"/>
        <v>0</v>
      </c>
      <c r="M332" s="26">
        <v>0</v>
      </c>
    </row>
    <row r="333" spans="1:13" ht="15" customHeight="1">
      <c r="A333" s="25">
        <v>1435779</v>
      </c>
      <c r="B333" s="26" t="s">
        <v>5423</v>
      </c>
      <c r="C333" s="26" t="s">
        <v>6164</v>
      </c>
      <c r="D333" s="26" t="s">
        <v>6165</v>
      </c>
      <c r="E333" s="26" t="s">
        <v>5452</v>
      </c>
      <c r="F333" s="27">
        <v>5145772</v>
      </c>
      <c r="G333" s="27">
        <v>0</v>
      </c>
      <c r="H333" s="27">
        <v>0</v>
      </c>
      <c r="I333" s="27">
        <v>0</v>
      </c>
      <c r="J333" s="30">
        <f t="shared" si="15"/>
        <v>0</v>
      </c>
      <c r="K333" s="30">
        <f t="shared" si="16"/>
        <v>0</v>
      </c>
      <c r="L333" s="26">
        <f t="shared" si="17"/>
        <v>0</v>
      </c>
      <c r="M333" s="26">
        <v>0</v>
      </c>
    </row>
    <row r="334" spans="1:13" ht="15" customHeight="1">
      <c r="A334" s="25" t="s">
        <v>6166</v>
      </c>
      <c r="B334" s="26" t="s">
        <v>5423</v>
      </c>
      <c r="C334" s="26" t="s">
        <v>6167</v>
      </c>
      <c r="D334" s="26" t="s">
        <v>6168</v>
      </c>
      <c r="E334" s="26" t="s">
        <v>5452</v>
      </c>
      <c r="F334" s="27">
        <v>5143667</v>
      </c>
      <c r="G334" s="27">
        <v>0</v>
      </c>
      <c r="H334" s="27">
        <v>0</v>
      </c>
      <c r="I334" s="27">
        <v>0</v>
      </c>
      <c r="J334" s="30">
        <f t="shared" si="15"/>
        <v>0</v>
      </c>
      <c r="K334" s="30">
        <f t="shared" si="16"/>
        <v>0</v>
      </c>
      <c r="L334" s="26">
        <f t="shared" si="17"/>
        <v>0</v>
      </c>
      <c r="M334" s="26">
        <v>0</v>
      </c>
    </row>
    <row r="335" spans="1:13" ht="15" customHeight="1">
      <c r="A335" s="25" t="s">
        <v>6169</v>
      </c>
      <c r="B335" s="26" t="s">
        <v>5423</v>
      </c>
      <c r="C335" s="26" t="s">
        <v>6170</v>
      </c>
      <c r="D335" s="26" t="s">
        <v>6171</v>
      </c>
      <c r="E335" s="26" t="s">
        <v>5586</v>
      </c>
      <c r="F335" s="27">
        <v>5147760</v>
      </c>
      <c r="G335" s="27">
        <v>0</v>
      </c>
      <c r="H335" s="27">
        <v>0</v>
      </c>
      <c r="I335" s="27">
        <v>0</v>
      </c>
      <c r="J335" s="30">
        <f t="shared" si="15"/>
        <v>0</v>
      </c>
      <c r="K335" s="30">
        <f t="shared" si="16"/>
        <v>0</v>
      </c>
      <c r="L335" s="26">
        <f t="shared" si="17"/>
        <v>0</v>
      </c>
      <c r="M335" s="26">
        <v>0</v>
      </c>
    </row>
    <row r="336" spans="1:13" ht="15" customHeight="1">
      <c r="A336" s="25" t="s">
        <v>6172</v>
      </c>
      <c r="B336" s="26" t="s">
        <v>5423</v>
      </c>
      <c r="C336" s="26" t="s">
        <v>6173</v>
      </c>
      <c r="D336" s="26" t="s">
        <v>6174</v>
      </c>
      <c r="E336" s="26" t="s">
        <v>5475</v>
      </c>
      <c r="F336" s="27">
        <v>5147850</v>
      </c>
      <c r="G336" s="27">
        <v>0</v>
      </c>
      <c r="H336" s="27">
        <v>0</v>
      </c>
      <c r="I336" s="27">
        <v>0</v>
      </c>
      <c r="J336" s="30">
        <f t="shared" si="15"/>
        <v>0</v>
      </c>
      <c r="K336" s="30">
        <f t="shared" si="16"/>
        <v>0</v>
      </c>
      <c r="L336" s="26">
        <f t="shared" si="17"/>
        <v>0</v>
      </c>
      <c r="M336" s="26">
        <v>0</v>
      </c>
    </row>
    <row r="337" spans="1:13" ht="15" customHeight="1">
      <c r="A337" s="25" t="s">
        <v>6175</v>
      </c>
      <c r="B337" s="26" t="s">
        <v>5423</v>
      </c>
      <c r="C337" s="26" t="s">
        <v>6176</v>
      </c>
      <c r="D337" s="26" t="s">
        <v>6177</v>
      </c>
      <c r="E337" s="26" t="s">
        <v>5522</v>
      </c>
      <c r="F337" s="27">
        <v>5131092</v>
      </c>
      <c r="G337" s="27">
        <v>1</v>
      </c>
      <c r="H337" s="27">
        <v>0</v>
      </c>
      <c r="I337" s="27">
        <v>1</v>
      </c>
      <c r="J337" s="30">
        <f t="shared" si="15"/>
        <v>1</v>
      </c>
      <c r="K337" s="30">
        <f t="shared" si="16"/>
        <v>0</v>
      </c>
      <c r="L337" s="26">
        <f t="shared" si="17"/>
        <v>0</v>
      </c>
      <c r="M337" s="26"/>
    </row>
    <row r="338" spans="1:13" ht="15" customHeight="1">
      <c r="A338" s="25" t="s">
        <v>6178</v>
      </c>
      <c r="B338" s="26" t="s">
        <v>5427</v>
      </c>
      <c r="C338" s="26" t="s">
        <v>6179</v>
      </c>
      <c r="D338" s="26" t="s">
        <v>6180</v>
      </c>
      <c r="E338" s="26" t="s">
        <v>5545</v>
      </c>
      <c r="F338" s="27">
        <v>5123710</v>
      </c>
      <c r="G338" s="27">
        <v>1</v>
      </c>
      <c r="H338" s="27">
        <v>0</v>
      </c>
      <c r="I338" s="27">
        <v>1</v>
      </c>
      <c r="J338" s="30">
        <f t="shared" si="15"/>
        <v>1</v>
      </c>
      <c r="K338" s="30">
        <f t="shared" si="16"/>
        <v>0</v>
      </c>
      <c r="L338" s="26">
        <f t="shared" si="17"/>
        <v>0</v>
      </c>
      <c r="M338" s="26"/>
    </row>
    <row r="339" spans="1:13" ht="15" customHeight="1">
      <c r="A339" s="25" t="s">
        <v>6181</v>
      </c>
      <c r="B339" s="26" t="s">
        <v>5423</v>
      </c>
      <c r="C339" s="26" t="s">
        <v>6182</v>
      </c>
      <c r="D339" s="26" t="s">
        <v>6183</v>
      </c>
      <c r="E339" s="26" t="s">
        <v>5475</v>
      </c>
      <c r="F339" s="27">
        <v>5150328</v>
      </c>
      <c r="G339" s="27">
        <v>0</v>
      </c>
      <c r="H339" s="27">
        <v>0</v>
      </c>
      <c r="I339" s="27">
        <v>0</v>
      </c>
      <c r="J339" s="30">
        <f t="shared" si="15"/>
        <v>0</v>
      </c>
      <c r="K339" s="30">
        <f t="shared" si="16"/>
        <v>0</v>
      </c>
      <c r="L339" s="26">
        <f t="shared" si="17"/>
        <v>0</v>
      </c>
      <c r="M339" s="26">
        <v>0</v>
      </c>
    </row>
    <row r="340" spans="1:13" ht="15" customHeight="1">
      <c r="A340" s="25" t="s">
        <v>6184</v>
      </c>
      <c r="B340" s="26" t="s">
        <v>5423</v>
      </c>
      <c r="C340" s="26" t="s">
        <v>6185</v>
      </c>
      <c r="D340" s="26" t="s">
        <v>6186</v>
      </c>
      <c r="E340" s="26" t="s">
        <v>5968</v>
      </c>
      <c r="F340" s="27">
        <v>5151529</v>
      </c>
      <c r="G340" s="27">
        <v>1</v>
      </c>
      <c r="H340" s="27">
        <v>0</v>
      </c>
      <c r="I340" s="27">
        <v>1</v>
      </c>
      <c r="J340" s="30">
        <f t="shared" si="15"/>
        <v>1</v>
      </c>
      <c r="K340" s="30">
        <f t="shared" si="16"/>
        <v>0</v>
      </c>
      <c r="L340" s="26">
        <f t="shared" si="17"/>
        <v>0</v>
      </c>
      <c r="M340" s="26"/>
    </row>
    <row r="341" spans="1:13" ht="15" customHeight="1">
      <c r="A341" s="25" t="s">
        <v>6187</v>
      </c>
      <c r="B341" s="26" t="s">
        <v>5423</v>
      </c>
      <c r="C341" s="26" t="s">
        <v>6188</v>
      </c>
      <c r="D341" s="26" t="s">
        <v>6189</v>
      </c>
      <c r="E341" s="26" t="s">
        <v>5458</v>
      </c>
      <c r="F341" s="27">
        <v>4200305</v>
      </c>
      <c r="G341" s="27">
        <v>0</v>
      </c>
      <c r="H341" s="27">
        <v>0</v>
      </c>
      <c r="I341" s="27">
        <v>0</v>
      </c>
      <c r="J341" s="30">
        <f t="shared" si="15"/>
        <v>0</v>
      </c>
      <c r="K341" s="30">
        <f t="shared" si="16"/>
        <v>0</v>
      </c>
      <c r="L341" s="26">
        <f t="shared" si="17"/>
        <v>0</v>
      </c>
      <c r="M341" s="26">
        <v>0</v>
      </c>
    </row>
    <row r="342" spans="1:13" ht="15" customHeight="1">
      <c r="A342" s="25" t="s">
        <v>6190</v>
      </c>
      <c r="B342" s="26" t="s">
        <v>5423</v>
      </c>
      <c r="C342" s="26" t="s">
        <v>6191</v>
      </c>
      <c r="D342" s="26" t="s">
        <v>6192</v>
      </c>
      <c r="E342" s="26" t="s">
        <v>5545</v>
      </c>
      <c r="F342" s="27">
        <v>5125817</v>
      </c>
      <c r="G342" s="27">
        <v>1</v>
      </c>
      <c r="H342" s="27">
        <v>1</v>
      </c>
      <c r="I342" s="27">
        <v>1</v>
      </c>
      <c r="J342" s="30">
        <f t="shared" si="15"/>
        <v>1</v>
      </c>
      <c r="K342" s="30">
        <f t="shared" si="16"/>
        <v>1</v>
      </c>
      <c r="L342" s="26">
        <f t="shared" si="17"/>
        <v>1</v>
      </c>
      <c r="M342" s="26"/>
    </row>
    <row r="343" spans="1:13" ht="15" customHeight="1">
      <c r="A343" s="25" t="s">
        <v>6193</v>
      </c>
      <c r="B343" s="26" t="s">
        <v>5423</v>
      </c>
      <c r="C343" s="26" t="s">
        <v>6194</v>
      </c>
      <c r="D343" s="26" t="s">
        <v>6195</v>
      </c>
      <c r="E343" s="26" t="s">
        <v>5455</v>
      </c>
      <c r="F343" s="27">
        <v>5113938</v>
      </c>
      <c r="G343" s="27">
        <v>2</v>
      </c>
      <c r="H343" s="27">
        <v>1</v>
      </c>
      <c r="I343" s="27">
        <v>1</v>
      </c>
      <c r="J343" s="30">
        <f t="shared" si="15"/>
        <v>1</v>
      </c>
      <c r="K343" s="30">
        <f t="shared" si="16"/>
        <v>1</v>
      </c>
      <c r="L343" s="26">
        <f t="shared" si="17"/>
        <v>1</v>
      </c>
      <c r="M343" s="26" t="s">
        <v>5611</v>
      </c>
    </row>
    <row r="344" spans="1:13" ht="15" customHeight="1">
      <c r="A344" s="25" t="s">
        <v>6196</v>
      </c>
      <c r="B344" s="26" t="s">
        <v>5423</v>
      </c>
      <c r="C344" s="26" t="s">
        <v>6197</v>
      </c>
      <c r="D344" s="26" t="s">
        <v>6198</v>
      </c>
      <c r="E344" s="26" t="s">
        <v>5603</v>
      </c>
      <c r="F344" s="27">
        <v>5148631</v>
      </c>
      <c r="G344" s="27">
        <v>0</v>
      </c>
      <c r="H344" s="27">
        <v>0</v>
      </c>
      <c r="I344" s="27">
        <v>0</v>
      </c>
      <c r="J344" s="30">
        <f t="shared" si="15"/>
        <v>0</v>
      </c>
      <c r="K344" s="30">
        <f t="shared" si="16"/>
        <v>0</v>
      </c>
      <c r="L344" s="26">
        <f t="shared" si="17"/>
        <v>0</v>
      </c>
      <c r="M344" s="26">
        <v>0</v>
      </c>
    </row>
    <row r="345" spans="1:13" ht="15" customHeight="1">
      <c r="A345" s="25" t="s">
        <v>6199</v>
      </c>
      <c r="B345" s="26" t="s">
        <v>5423</v>
      </c>
      <c r="C345" s="26" t="s">
        <v>6200</v>
      </c>
      <c r="D345" s="26" t="s">
        <v>6201</v>
      </c>
      <c r="E345" s="26" t="s">
        <v>5522</v>
      </c>
      <c r="F345" s="27">
        <v>5123697</v>
      </c>
      <c r="G345" s="27">
        <v>1</v>
      </c>
      <c r="H345" s="27">
        <v>1</v>
      </c>
      <c r="I345" s="27">
        <v>1</v>
      </c>
      <c r="J345" s="30">
        <f t="shared" si="15"/>
        <v>1</v>
      </c>
      <c r="K345" s="30">
        <f t="shared" si="16"/>
        <v>1</v>
      </c>
      <c r="L345" s="26">
        <f t="shared" si="17"/>
        <v>1</v>
      </c>
      <c r="M345" s="26"/>
    </row>
    <row r="346" spans="1:13" ht="15" customHeight="1">
      <c r="A346" s="25" t="s">
        <v>6202</v>
      </c>
      <c r="B346" s="26" t="s">
        <v>5427</v>
      </c>
      <c r="C346" s="26" t="s">
        <v>6203</v>
      </c>
      <c r="D346" s="26" t="s">
        <v>6204</v>
      </c>
      <c r="E346" s="26" t="s">
        <v>5540</v>
      </c>
      <c r="F346" s="27">
        <v>3152800</v>
      </c>
      <c r="G346" s="27">
        <v>0</v>
      </c>
      <c r="H346" s="27">
        <v>0</v>
      </c>
      <c r="I346" s="27">
        <v>0</v>
      </c>
      <c r="J346" s="30">
        <f t="shared" si="15"/>
        <v>0</v>
      </c>
      <c r="K346" s="30">
        <f t="shared" si="16"/>
        <v>0</v>
      </c>
      <c r="L346" s="26">
        <f t="shared" si="17"/>
        <v>0</v>
      </c>
      <c r="M346" s="26">
        <v>0</v>
      </c>
    </row>
    <row r="347" spans="1:13" ht="15" customHeight="1">
      <c r="A347" s="25" t="s">
        <v>6205</v>
      </c>
      <c r="B347" s="26" t="s">
        <v>5423</v>
      </c>
      <c r="C347" s="26" t="s">
        <v>6206</v>
      </c>
      <c r="D347" s="26" t="s">
        <v>6207</v>
      </c>
      <c r="E347" s="26" t="s">
        <v>5433</v>
      </c>
      <c r="F347" s="27">
        <v>5131068</v>
      </c>
      <c r="G347" s="27">
        <v>1</v>
      </c>
      <c r="H347" s="27">
        <v>0</v>
      </c>
      <c r="I347" s="27">
        <v>1</v>
      </c>
      <c r="J347" s="30">
        <f t="shared" si="15"/>
        <v>1</v>
      </c>
      <c r="K347" s="30">
        <f t="shared" si="16"/>
        <v>0</v>
      </c>
      <c r="L347" s="26">
        <f t="shared" si="17"/>
        <v>0</v>
      </c>
      <c r="M347" s="26"/>
    </row>
    <row r="348" spans="1:13" ht="15" customHeight="1">
      <c r="A348" s="25" t="s">
        <v>6208</v>
      </c>
      <c r="B348" s="26" t="s">
        <v>5427</v>
      </c>
      <c r="C348" s="26" t="s">
        <v>6209</v>
      </c>
      <c r="D348" s="26" t="s">
        <v>6210</v>
      </c>
      <c r="E348" s="26" t="s">
        <v>5480</v>
      </c>
      <c r="F348" s="27">
        <v>3861495</v>
      </c>
      <c r="G348" s="27">
        <v>1</v>
      </c>
      <c r="H348" s="27">
        <v>0</v>
      </c>
      <c r="I348" s="27">
        <v>1</v>
      </c>
      <c r="J348" s="30">
        <f t="shared" si="15"/>
        <v>1</v>
      </c>
      <c r="K348" s="30">
        <f t="shared" si="16"/>
        <v>0</v>
      </c>
      <c r="L348" s="26">
        <f t="shared" si="17"/>
        <v>0</v>
      </c>
      <c r="M348" s="26"/>
    </row>
    <row r="349" spans="1:13" ht="15" customHeight="1">
      <c r="A349" s="25" t="s">
        <v>6211</v>
      </c>
      <c r="B349" s="26" t="s">
        <v>5423</v>
      </c>
      <c r="C349" s="26" t="s">
        <v>6212</v>
      </c>
      <c r="D349" s="26" t="s">
        <v>6213</v>
      </c>
      <c r="E349" s="26" t="s">
        <v>5433</v>
      </c>
      <c r="F349" s="27">
        <v>4291127</v>
      </c>
      <c r="G349" s="27">
        <v>0</v>
      </c>
      <c r="H349" s="27">
        <v>0</v>
      </c>
      <c r="I349" s="27">
        <v>0</v>
      </c>
      <c r="J349" s="30">
        <f t="shared" si="15"/>
        <v>0</v>
      </c>
      <c r="K349" s="30">
        <f t="shared" si="16"/>
        <v>0</v>
      </c>
      <c r="L349" s="26">
        <f t="shared" si="17"/>
        <v>0</v>
      </c>
      <c r="M349" s="26">
        <v>0</v>
      </c>
    </row>
    <row r="350" spans="1:13" ht="15" customHeight="1">
      <c r="A350" s="25" t="s">
        <v>6214</v>
      </c>
      <c r="B350" s="26" t="s">
        <v>5423</v>
      </c>
      <c r="C350" s="26" t="s">
        <v>6215</v>
      </c>
      <c r="D350" s="26" t="s">
        <v>6216</v>
      </c>
      <c r="E350" s="26" t="s">
        <v>5439</v>
      </c>
      <c r="F350" s="27">
        <v>5152040</v>
      </c>
      <c r="G350" s="27">
        <v>0</v>
      </c>
      <c r="H350" s="27">
        <v>0</v>
      </c>
      <c r="I350" s="27">
        <v>0</v>
      </c>
      <c r="J350" s="30">
        <f t="shared" si="15"/>
        <v>0</v>
      </c>
      <c r="K350" s="30">
        <f t="shared" si="16"/>
        <v>0</v>
      </c>
      <c r="L350" s="26">
        <f t="shared" si="17"/>
        <v>0</v>
      </c>
      <c r="M350" s="26">
        <v>0</v>
      </c>
    </row>
    <row r="351" spans="1:13" ht="15" customHeight="1">
      <c r="A351" s="25" t="s">
        <v>6217</v>
      </c>
      <c r="B351" s="26" t="s">
        <v>5423</v>
      </c>
      <c r="C351" s="26" t="s">
        <v>6218</v>
      </c>
      <c r="D351" s="26" t="s">
        <v>6219</v>
      </c>
      <c r="E351" s="26" t="s">
        <v>5463</v>
      </c>
      <c r="F351" s="27">
        <v>5154541</v>
      </c>
      <c r="G351" s="27">
        <v>0</v>
      </c>
      <c r="H351" s="27">
        <v>0</v>
      </c>
      <c r="I351" s="27">
        <v>0</v>
      </c>
      <c r="J351" s="30">
        <f t="shared" si="15"/>
        <v>0</v>
      </c>
      <c r="K351" s="30">
        <f t="shared" si="16"/>
        <v>0</v>
      </c>
      <c r="L351" s="26">
        <f t="shared" si="17"/>
        <v>0</v>
      </c>
      <c r="M351" s="26">
        <v>0</v>
      </c>
    </row>
    <row r="352" spans="1:13" ht="15" customHeight="1">
      <c r="A352" s="25" t="s">
        <v>6220</v>
      </c>
      <c r="B352" s="26" t="s">
        <v>5423</v>
      </c>
      <c r="C352" s="26" t="s">
        <v>6221</v>
      </c>
      <c r="D352" s="26" t="s">
        <v>6222</v>
      </c>
      <c r="E352" s="26" t="s">
        <v>5504</v>
      </c>
      <c r="F352" s="27">
        <v>5136583</v>
      </c>
      <c r="G352" s="27">
        <v>1</v>
      </c>
      <c r="H352" s="27">
        <v>0</v>
      </c>
      <c r="I352" s="27">
        <v>1</v>
      </c>
      <c r="J352" s="30">
        <f t="shared" si="15"/>
        <v>1</v>
      </c>
      <c r="K352" s="30">
        <f t="shared" si="16"/>
        <v>0</v>
      </c>
      <c r="L352" s="26">
        <f t="shared" si="17"/>
        <v>0</v>
      </c>
      <c r="M352" s="26"/>
    </row>
    <row r="353" spans="1:13" ht="15" customHeight="1">
      <c r="A353" s="25" t="s">
        <v>6223</v>
      </c>
      <c r="B353" s="26" t="s">
        <v>5423</v>
      </c>
      <c r="C353" s="26" t="s">
        <v>6224</v>
      </c>
      <c r="D353" s="26" t="s">
        <v>6225</v>
      </c>
      <c r="E353" s="26" t="s">
        <v>5436</v>
      </c>
      <c r="F353" s="27">
        <v>5158596</v>
      </c>
      <c r="G353" s="27">
        <v>0</v>
      </c>
      <c r="H353" s="27">
        <v>0</v>
      </c>
      <c r="I353" s="27">
        <v>0</v>
      </c>
      <c r="J353" s="30">
        <f t="shared" si="15"/>
        <v>0</v>
      </c>
      <c r="K353" s="30">
        <f t="shared" si="16"/>
        <v>0</v>
      </c>
      <c r="L353" s="26">
        <f t="shared" si="17"/>
        <v>0</v>
      </c>
      <c r="M353" s="26">
        <v>0</v>
      </c>
    </row>
    <row r="354" spans="1:13" ht="15" customHeight="1">
      <c r="A354" s="25" t="s">
        <v>6226</v>
      </c>
      <c r="B354" s="26" t="s">
        <v>5423</v>
      </c>
      <c r="C354" s="26" t="s">
        <v>6227</v>
      </c>
      <c r="D354" s="26" t="s">
        <v>6228</v>
      </c>
      <c r="E354" s="26" t="s">
        <v>5517</v>
      </c>
      <c r="F354" s="27">
        <v>5127908</v>
      </c>
      <c r="G354" s="27">
        <v>2</v>
      </c>
      <c r="H354" s="27">
        <v>1</v>
      </c>
      <c r="I354" s="27">
        <v>1</v>
      </c>
      <c r="J354" s="30">
        <f t="shared" si="15"/>
        <v>1</v>
      </c>
      <c r="K354" s="30">
        <f t="shared" si="16"/>
        <v>1</v>
      </c>
      <c r="L354" s="26">
        <f t="shared" si="17"/>
        <v>1</v>
      </c>
      <c r="M354" s="26" t="s">
        <v>5611</v>
      </c>
    </row>
    <row r="355" spans="1:13" ht="15" customHeight="1">
      <c r="A355" s="25" t="s">
        <v>6229</v>
      </c>
      <c r="B355" s="26" t="s">
        <v>5423</v>
      </c>
      <c r="C355" s="26" t="s">
        <v>6230</v>
      </c>
      <c r="D355" s="26" t="s">
        <v>6231</v>
      </c>
      <c r="E355" s="26" t="s">
        <v>5485</v>
      </c>
      <c r="F355" s="27">
        <v>5157780</v>
      </c>
      <c r="G355" s="27">
        <v>1</v>
      </c>
      <c r="H355" s="27">
        <v>2</v>
      </c>
      <c r="I355" s="27">
        <v>1</v>
      </c>
      <c r="J355" s="30">
        <f t="shared" si="15"/>
        <v>1</v>
      </c>
      <c r="K355" s="30">
        <f t="shared" si="16"/>
        <v>1</v>
      </c>
      <c r="L355" s="26">
        <f t="shared" si="17"/>
        <v>1</v>
      </c>
      <c r="M355" s="26" t="s">
        <v>6232</v>
      </c>
    </row>
    <row r="356" spans="1:13" ht="15" customHeight="1">
      <c r="A356" s="25" t="s">
        <v>6233</v>
      </c>
      <c r="B356" s="26" t="s">
        <v>5427</v>
      </c>
      <c r="C356" s="26" t="s">
        <v>6234</v>
      </c>
      <c r="D356" s="26" t="s">
        <v>6235</v>
      </c>
      <c r="E356" s="26" t="s">
        <v>5586</v>
      </c>
      <c r="F356" s="27">
        <v>2621343</v>
      </c>
      <c r="G356" s="27">
        <v>1</v>
      </c>
      <c r="H356" s="27">
        <v>0</v>
      </c>
      <c r="I356" s="27">
        <v>1</v>
      </c>
      <c r="J356" s="30">
        <f t="shared" si="15"/>
        <v>1</v>
      </c>
      <c r="K356" s="30">
        <f t="shared" si="16"/>
        <v>0</v>
      </c>
      <c r="L356" s="26">
        <f t="shared" si="17"/>
        <v>0</v>
      </c>
      <c r="M356" s="26"/>
    </row>
    <row r="357" spans="1:13" ht="15" customHeight="1">
      <c r="A357" s="25" t="s">
        <v>6236</v>
      </c>
      <c r="B357" s="26" t="s">
        <v>5427</v>
      </c>
      <c r="C357" s="26" t="s">
        <v>6237</v>
      </c>
      <c r="D357" s="26" t="s">
        <v>6238</v>
      </c>
      <c r="E357" s="26" t="s">
        <v>5475</v>
      </c>
      <c r="F357" s="27">
        <v>5143310</v>
      </c>
      <c r="G357" s="27">
        <v>1</v>
      </c>
      <c r="H357" s="27">
        <v>0</v>
      </c>
      <c r="I357" s="27">
        <v>1</v>
      </c>
      <c r="J357" s="30">
        <f t="shared" si="15"/>
        <v>1</v>
      </c>
      <c r="K357" s="30">
        <f t="shared" si="16"/>
        <v>0</v>
      </c>
      <c r="L357" s="26">
        <f t="shared" si="17"/>
        <v>0</v>
      </c>
      <c r="M357" s="26"/>
    </row>
    <row r="358" spans="1:13" ht="15" customHeight="1">
      <c r="A358" s="25" t="s">
        <v>6239</v>
      </c>
      <c r="B358" s="26" t="s">
        <v>5423</v>
      </c>
      <c r="C358" s="26" t="s">
        <v>6240</v>
      </c>
      <c r="D358" s="26" t="s">
        <v>6241</v>
      </c>
      <c r="E358" s="26" t="s">
        <v>5430</v>
      </c>
      <c r="F358" s="27">
        <v>2384673</v>
      </c>
      <c r="G358" s="27">
        <v>1</v>
      </c>
      <c r="H358" s="27">
        <v>0</v>
      </c>
      <c r="I358" s="27">
        <v>1</v>
      </c>
      <c r="J358" s="30">
        <f t="shared" si="15"/>
        <v>1</v>
      </c>
      <c r="K358" s="30">
        <f t="shared" si="16"/>
        <v>0</v>
      </c>
      <c r="L358" s="26">
        <f t="shared" si="17"/>
        <v>0</v>
      </c>
      <c r="M358" s="26"/>
    </row>
    <row r="359" spans="1:13" ht="15" customHeight="1">
      <c r="A359" s="25" t="s">
        <v>6242</v>
      </c>
      <c r="B359" s="26" t="s">
        <v>5423</v>
      </c>
      <c r="C359" s="26" t="s">
        <v>6243</v>
      </c>
      <c r="D359" s="26" t="s">
        <v>6244</v>
      </c>
      <c r="E359" s="26" t="s">
        <v>5968</v>
      </c>
      <c r="F359" s="27">
        <v>1130785</v>
      </c>
      <c r="G359" s="27">
        <v>1</v>
      </c>
      <c r="H359" s="27">
        <v>1</v>
      </c>
      <c r="I359" s="27">
        <v>1</v>
      </c>
      <c r="J359" s="30">
        <f t="shared" si="15"/>
        <v>1</v>
      </c>
      <c r="K359" s="30">
        <f t="shared" si="16"/>
        <v>1</v>
      </c>
      <c r="L359" s="26">
        <f t="shared" si="17"/>
        <v>1</v>
      </c>
      <c r="M359" s="26"/>
    </row>
    <row r="360" spans="1:13" ht="15" customHeight="1">
      <c r="A360" s="25">
        <v>1439855</v>
      </c>
      <c r="B360" s="26" t="s">
        <v>5427</v>
      </c>
      <c r="C360" s="26" t="s">
        <v>6245</v>
      </c>
      <c r="D360" s="26" t="s">
        <v>6246</v>
      </c>
      <c r="E360" s="26" t="s">
        <v>5603</v>
      </c>
      <c r="F360" s="27">
        <v>4373794</v>
      </c>
      <c r="G360" s="27">
        <v>0</v>
      </c>
      <c r="H360" s="27">
        <v>0</v>
      </c>
      <c r="I360" s="27">
        <v>0</v>
      </c>
      <c r="J360" s="30">
        <f t="shared" si="15"/>
        <v>0</v>
      </c>
      <c r="K360" s="30">
        <f t="shared" si="16"/>
        <v>0</v>
      </c>
      <c r="L360" s="26">
        <f t="shared" si="17"/>
        <v>0</v>
      </c>
      <c r="M360" s="26">
        <v>0</v>
      </c>
    </row>
    <row r="361" spans="1:13" ht="15" customHeight="1">
      <c r="A361" s="25" t="s">
        <v>6247</v>
      </c>
      <c r="B361" s="26" t="s">
        <v>5427</v>
      </c>
      <c r="C361" s="26" t="s">
        <v>6248</v>
      </c>
      <c r="D361" s="26" t="s">
        <v>6249</v>
      </c>
      <c r="E361" s="26" t="s">
        <v>5603</v>
      </c>
      <c r="F361" s="27">
        <v>5158258</v>
      </c>
      <c r="G361" s="27">
        <v>0</v>
      </c>
      <c r="H361" s="27">
        <v>0</v>
      </c>
      <c r="I361" s="27">
        <v>0</v>
      </c>
      <c r="J361" s="30">
        <f t="shared" si="15"/>
        <v>0</v>
      </c>
      <c r="K361" s="30">
        <f t="shared" si="16"/>
        <v>0</v>
      </c>
      <c r="L361" s="26">
        <f t="shared" si="17"/>
        <v>0</v>
      </c>
      <c r="M361" s="26">
        <v>0</v>
      </c>
    </row>
    <row r="362" spans="1:13" ht="15" customHeight="1">
      <c r="A362" s="25">
        <v>1440197</v>
      </c>
      <c r="B362" s="26" t="s">
        <v>5423</v>
      </c>
      <c r="C362" s="26" t="s">
        <v>6250</v>
      </c>
      <c r="D362" s="26" t="s">
        <v>6251</v>
      </c>
      <c r="E362" s="26" t="s">
        <v>5683</v>
      </c>
      <c r="F362" s="27">
        <v>4981554</v>
      </c>
      <c r="G362" s="27">
        <v>1</v>
      </c>
      <c r="H362" s="27">
        <v>0</v>
      </c>
      <c r="I362" s="27">
        <v>1</v>
      </c>
      <c r="J362" s="30">
        <f t="shared" si="15"/>
        <v>1</v>
      </c>
      <c r="K362" s="30">
        <f t="shared" si="16"/>
        <v>0</v>
      </c>
      <c r="L362" s="26">
        <f t="shared" si="17"/>
        <v>0</v>
      </c>
      <c r="M362" s="26"/>
    </row>
    <row r="363" spans="1:13" ht="15" customHeight="1">
      <c r="A363" s="25" t="s">
        <v>6252</v>
      </c>
      <c r="B363" s="26" t="s">
        <v>5427</v>
      </c>
      <c r="C363" s="26" t="s">
        <v>6253</v>
      </c>
      <c r="D363" s="26" t="s">
        <v>6254</v>
      </c>
      <c r="E363" s="26" t="s">
        <v>5517</v>
      </c>
      <c r="F363" s="27">
        <v>5159190</v>
      </c>
      <c r="G363" s="27">
        <v>0</v>
      </c>
      <c r="H363" s="27">
        <v>0</v>
      </c>
      <c r="I363" s="27">
        <v>0</v>
      </c>
      <c r="J363" s="30">
        <f t="shared" si="15"/>
        <v>0</v>
      </c>
      <c r="K363" s="30">
        <f t="shared" si="16"/>
        <v>0</v>
      </c>
      <c r="L363" s="26">
        <f t="shared" si="17"/>
        <v>0</v>
      </c>
      <c r="M363" s="26">
        <v>0</v>
      </c>
    </row>
    <row r="364" spans="1:13" ht="15" customHeight="1">
      <c r="A364" s="25">
        <v>1440452</v>
      </c>
      <c r="B364" s="26" t="s">
        <v>5427</v>
      </c>
      <c r="C364" s="26" t="s">
        <v>6255</v>
      </c>
      <c r="D364" s="26" t="s">
        <v>6256</v>
      </c>
      <c r="E364" s="26" t="s">
        <v>5683</v>
      </c>
      <c r="F364" s="27">
        <v>5157622</v>
      </c>
      <c r="G364" s="27">
        <v>1</v>
      </c>
      <c r="H364" s="27">
        <v>0</v>
      </c>
      <c r="I364" s="27">
        <v>1</v>
      </c>
      <c r="J364" s="30">
        <f t="shared" si="15"/>
        <v>1</v>
      </c>
      <c r="K364" s="30">
        <f t="shared" si="16"/>
        <v>0</v>
      </c>
      <c r="L364" s="26">
        <f t="shared" si="17"/>
        <v>0</v>
      </c>
      <c r="M364" s="26"/>
    </row>
    <row r="365" spans="1:13" ht="15" customHeight="1">
      <c r="A365" s="25" t="s">
        <v>6257</v>
      </c>
      <c r="B365" s="26" t="s">
        <v>5423</v>
      </c>
      <c r="C365" s="26" t="s">
        <v>6258</v>
      </c>
      <c r="D365" s="26" t="s">
        <v>6259</v>
      </c>
      <c r="E365" s="26" t="s">
        <v>5447</v>
      </c>
      <c r="F365" s="27">
        <v>5160543</v>
      </c>
      <c r="G365" s="27">
        <v>0</v>
      </c>
      <c r="H365" s="27">
        <v>0</v>
      </c>
      <c r="I365" s="27">
        <v>0</v>
      </c>
      <c r="J365" s="30">
        <f t="shared" si="15"/>
        <v>0</v>
      </c>
      <c r="K365" s="30">
        <f t="shared" si="16"/>
        <v>0</v>
      </c>
      <c r="L365" s="26">
        <f t="shared" si="17"/>
        <v>0</v>
      </c>
      <c r="M365" s="26">
        <v>0</v>
      </c>
    </row>
    <row r="366" spans="1:13" ht="15" customHeight="1">
      <c r="A366" s="25" t="s">
        <v>6260</v>
      </c>
      <c r="B366" s="26" t="s">
        <v>5423</v>
      </c>
      <c r="C366" s="26" t="s">
        <v>6261</v>
      </c>
      <c r="D366" s="26" t="s">
        <v>6262</v>
      </c>
      <c r="E366" s="26" t="s">
        <v>5433</v>
      </c>
      <c r="F366" s="27">
        <v>5160727</v>
      </c>
      <c r="G366" s="27">
        <v>0</v>
      </c>
      <c r="H366" s="27">
        <v>0</v>
      </c>
      <c r="I366" s="27">
        <v>0</v>
      </c>
      <c r="J366" s="30">
        <f t="shared" si="15"/>
        <v>0</v>
      </c>
      <c r="K366" s="30">
        <f t="shared" si="16"/>
        <v>0</v>
      </c>
      <c r="L366" s="26">
        <f t="shared" si="17"/>
        <v>0</v>
      </c>
      <c r="M366" s="26">
        <v>0</v>
      </c>
    </row>
    <row r="367" spans="1:13" ht="15" customHeight="1">
      <c r="A367" s="25" t="s">
        <v>6263</v>
      </c>
      <c r="B367" s="26" t="s">
        <v>5423</v>
      </c>
      <c r="C367" s="26" t="s">
        <v>6264</v>
      </c>
      <c r="D367" s="26" t="s">
        <v>6265</v>
      </c>
      <c r="E367" s="26" t="s">
        <v>5586</v>
      </c>
      <c r="F367" s="27">
        <v>5161353</v>
      </c>
      <c r="G367" s="27">
        <v>1</v>
      </c>
      <c r="H367" s="27">
        <v>1</v>
      </c>
      <c r="I367" s="27">
        <v>1</v>
      </c>
      <c r="J367" s="30">
        <f t="shared" si="15"/>
        <v>1</v>
      </c>
      <c r="K367" s="30">
        <f t="shared" si="16"/>
        <v>1</v>
      </c>
      <c r="L367" s="26">
        <f t="shared" si="17"/>
        <v>1</v>
      </c>
      <c r="M367" s="26"/>
    </row>
    <row r="368" spans="1:13" ht="15" customHeight="1">
      <c r="A368" s="25" t="s">
        <v>6266</v>
      </c>
      <c r="B368" s="26" t="s">
        <v>5423</v>
      </c>
      <c r="C368" s="26" t="s">
        <v>6267</v>
      </c>
      <c r="D368" s="26" t="s">
        <v>6268</v>
      </c>
      <c r="E368" s="26" t="s">
        <v>5610</v>
      </c>
      <c r="F368" s="27">
        <v>5161331</v>
      </c>
      <c r="G368" s="27">
        <v>0</v>
      </c>
      <c r="H368" s="27">
        <v>0</v>
      </c>
      <c r="I368" s="27">
        <v>0</v>
      </c>
      <c r="J368" s="30">
        <f t="shared" si="15"/>
        <v>0</v>
      </c>
      <c r="K368" s="30">
        <f t="shared" si="16"/>
        <v>0</v>
      </c>
      <c r="L368" s="26">
        <f t="shared" si="17"/>
        <v>0</v>
      </c>
      <c r="M368" s="26">
        <v>0</v>
      </c>
    </row>
    <row r="369" spans="1:13" ht="15" customHeight="1">
      <c r="A369" s="25" t="s">
        <v>6269</v>
      </c>
      <c r="B369" s="26" t="s">
        <v>5423</v>
      </c>
      <c r="C369" s="26" t="s">
        <v>6270</v>
      </c>
      <c r="D369" s="26" t="s">
        <v>6271</v>
      </c>
      <c r="E369" s="26" t="s">
        <v>5535</v>
      </c>
      <c r="F369" s="27">
        <v>5161036</v>
      </c>
      <c r="G369" s="27">
        <v>0</v>
      </c>
      <c r="H369" s="27">
        <v>0</v>
      </c>
      <c r="I369" s="27">
        <v>0</v>
      </c>
      <c r="J369" s="30">
        <f t="shared" si="15"/>
        <v>0</v>
      </c>
      <c r="K369" s="30">
        <f t="shared" si="16"/>
        <v>0</v>
      </c>
      <c r="L369" s="26">
        <f t="shared" si="17"/>
        <v>0</v>
      </c>
      <c r="M369" s="26">
        <v>0</v>
      </c>
    </row>
    <row r="370" spans="1:13" ht="15" customHeight="1">
      <c r="A370" s="25" t="s">
        <v>6272</v>
      </c>
      <c r="B370" s="26" t="s">
        <v>5423</v>
      </c>
      <c r="C370" s="26" t="s">
        <v>6273</v>
      </c>
      <c r="D370" s="26" t="s">
        <v>6274</v>
      </c>
      <c r="E370" s="26" t="s">
        <v>5522</v>
      </c>
      <c r="F370" s="27">
        <v>5157040</v>
      </c>
      <c r="G370" s="27">
        <v>1</v>
      </c>
      <c r="H370" s="27">
        <v>0</v>
      </c>
      <c r="I370" s="27">
        <v>1</v>
      </c>
      <c r="J370" s="30">
        <f t="shared" si="15"/>
        <v>1</v>
      </c>
      <c r="K370" s="30">
        <f t="shared" si="16"/>
        <v>0</v>
      </c>
      <c r="L370" s="26">
        <f t="shared" si="17"/>
        <v>0</v>
      </c>
      <c r="M370" s="26"/>
    </row>
    <row r="371" spans="1:13" ht="15" customHeight="1">
      <c r="A371" s="25" t="s">
        <v>6275</v>
      </c>
      <c r="B371" s="26" t="s">
        <v>5427</v>
      </c>
      <c r="C371" s="26" t="s">
        <v>6276</v>
      </c>
      <c r="D371" s="26" t="s">
        <v>6277</v>
      </c>
      <c r="E371" s="26" t="s">
        <v>5491</v>
      </c>
      <c r="F371" s="27">
        <v>3663645</v>
      </c>
      <c r="G371" s="27">
        <v>0</v>
      </c>
      <c r="H371" s="27">
        <v>1</v>
      </c>
      <c r="I371" s="27">
        <v>1</v>
      </c>
      <c r="J371" s="30">
        <f t="shared" si="15"/>
        <v>0</v>
      </c>
      <c r="K371" s="30">
        <f t="shared" si="16"/>
        <v>1</v>
      </c>
      <c r="L371" s="26">
        <f t="shared" si="17"/>
        <v>0</v>
      </c>
      <c r="M371" s="26"/>
    </row>
    <row r="372" spans="1:13" ht="15" customHeight="1">
      <c r="A372" s="25" t="s">
        <v>6278</v>
      </c>
      <c r="B372" s="26" t="s">
        <v>5423</v>
      </c>
      <c r="C372" s="26" t="s">
        <v>6279</v>
      </c>
      <c r="D372" s="26" t="s">
        <v>6280</v>
      </c>
      <c r="E372" s="26" t="s">
        <v>5504</v>
      </c>
      <c r="F372" s="27">
        <v>5162818</v>
      </c>
      <c r="G372" s="27">
        <v>1</v>
      </c>
      <c r="H372" s="27">
        <v>0</v>
      </c>
      <c r="I372" s="27">
        <v>1</v>
      </c>
      <c r="J372" s="30">
        <f t="shared" si="15"/>
        <v>1</v>
      </c>
      <c r="K372" s="30">
        <f t="shared" si="16"/>
        <v>0</v>
      </c>
      <c r="L372" s="26">
        <f t="shared" si="17"/>
        <v>0</v>
      </c>
      <c r="M372" s="26"/>
    </row>
    <row r="373" spans="1:13" ht="15" customHeight="1">
      <c r="A373" s="25">
        <v>1441530</v>
      </c>
      <c r="B373" s="26" t="s">
        <v>5423</v>
      </c>
      <c r="C373" s="26" t="s">
        <v>6281</v>
      </c>
      <c r="D373" s="26" t="s">
        <v>6282</v>
      </c>
      <c r="E373" s="26" t="s">
        <v>5683</v>
      </c>
      <c r="F373" s="27">
        <v>5164082</v>
      </c>
      <c r="G373" s="27">
        <v>1</v>
      </c>
      <c r="H373" s="27">
        <v>1</v>
      </c>
      <c r="I373" s="27">
        <v>1</v>
      </c>
      <c r="J373" s="30">
        <f t="shared" si="15"/>
        <v>1</v>
      </c>
      <c r="K373" s="30">
        <f t="shared" si="16"/>
        <v>1</v>
      </c>
      <c r="L373" s="26">
        <f t="shared" si="17"/>
        <v>1</v>
      </c>
      <c r="M373" s="26"/>
    </row>
    <row r="374" spans="1:13" ht="15" customHeight="1">
      <c r="A374" s="25" t="s">
        <v>6283</v>
      </c>
      <c r="B374" s="26" t="s">
        <v>5427</v>
      </c>
      <c r="C374" s="26" t="s">
        <v>6284</v>
      </c>
      <c r="D374" s="26" t="s">
        <v>6285</v>
      </c>
      <c r="E374" s="26" t="s">
        <v>5439</v>
      </c>
      <c r="F374" s="27">
        <v>5146003</v>
      </c>
      <c r="G374" s="27">
        <v>1</v>
      </c>
      <c r="H374" s="27">
        <v>0</v>
      </c>
      <c r="I374" s="27">
        <v>1</v>
      </c>
      <c r="J374" s="30">
        <f t="shared" si="15"/>
        <v>1</v>
      </c>
      <c r="K374" s="30">
        <f t="shared" si="16"/>
        <v>0</v>
      </c>
      <c r="L374" s="26">
        <f t="shared" si="17"/>
        <v>0</v>
      </c>
      <c r="M374" s="26"/>
    </row>
    <row r="375" spans="1:13" ht="15" customHeight="1">
      <c r="A375" s="25">
        <v>1441670</v>
      </c>
      <c r="B375" s="26" t="s">
        <v>5427</v>
      </c>
      <c r="C375" s="26" t="s">
        <v>6286</v>
      </c>
      <c r="D375" s="26" t="s">
        <v>6287</v>
      </c>
      <c r="E375" s="26" t="s">
        <v>5480</v>
      </c>
      <c r="F375" s="27">
        <v>5160618</v>
      </c>
      <c r="G375" s="27">
        <v>0</v>
      </c>
      <c r="H375" s="27">
        <v>1</v>
      </c>
      <c r="I375" s="27">
        <v>0</v>
      </c>
      <c r="J375" s="30">
        <f t="shared" si="15"/>
        <v>0</v>
      </c>
      <c r="K375" s="30">
        <f t="shared" si="16"/>
        <v>1</v>
      </c>
      <c r="L375" s="26">
        <f t="shared" si="17"/>
        <v>0</v>
      </c>
      <c r="M375" s="26"/>
    </row>
    <row r="376" spans="1:13" ht="15" customHeight="1">
      <c r="A376" s="25" t="s">
        <v>6288</v>
      </c>
      <c r="B376" s="26" t="s">
        <v>5423</v>
      </c>
      <c r="C376" s="26" t="s">
        <v>6289</v>
      </c>
      <c r="D376" s="26" t="s">
        <v>6290</v>
      </c>
      <c r="E376" s="26" t="s">
        <v>5540</v>
      </c>
      <c r="F376" s="27">
        <v>5163529</v>
      </c>
      <c r="G376" s="27">
        <v>0</v>
      </c>
      <c r="H376" s="27">
        <v>0</v>
      </c>
      <c r="I376" s="27">
        <v>0</v>
      </c>
      <c r="J376" s="30">
        <f t="shared" si="15"/>
        <v>0</v>
      </c>
      <c r="K376" s="30">
        <f t="shared" si="16"/>
        <v>0</v>
      </c>
      <c r="L376" s="26">
        <f t="shared" si="17"/>
        <v>0</v>
      </c>
      <c r="M376" s="26">
        <v>0</v>
      </c>
    </row>
    <row r="377" spans="1:13" ht="15" customHeight="1">
      <c r="A377" s="25" t="s">
        <v>6291</v>
      </c>
      <c r="B377" s="26" t="s">
        <v>5423</v>
      </c>
      <c r="C377" s="26" t="s">
        <v>6292</v>
      </c>
      <c r="D377" s="26" t="s">
        <v>6293</v>
      </c>
      <c r="E377" s="26" t="s">
        <v>5683</v>
      </c>
      <c r="F377" s="27">
        <v>5164018</v>
      </c>
      <c r="G377" s="27">
        <v>0</v>
      </c>
      <c r="H377" s="27">
        <v>0</v>
      </c>
      <c r="I377" s="27">
        <v>0</v>
      </c>
      <c r="J377" s="30">
        <f t="shared" si="15"/>
        <v>0</v>
      </c>
      <c r="K377" s="30">
        <f t="shared" si="16"/>
        <v>0</v>
      </c>
      <c r="L377" s="26">
        <f t="shared" si="17"/>
        <v>0</v>
      </c>
      <c r="M377" s="26">
        <v>0</v>
      </c>
    </row>
    <row r="378" spans="1:13" ht="15" customHeight="1">
      <c r="A378" s="25" t="s">
        <v>6294</v>
      </c>
      <c r="B378" s="26" t="s">
        <v>5423</v>
      </c>
      <c r="C378" s="26" t="s">
        <v>6295</v>
      </c>
      <c r="D378" s="26" t="s">
        <v>6296</v>
      </c>
      <c r="E378" s="26" t="s">
        <v>5683</v>
      </c>
      <c r="F378" s="27">
        <v>5129950</v>
      </c>
      <c r="G378" s="27">
        <v>1</v>
      </c>
      <c r="H378" s="27">
        <v>0</v>
      </c>
      <c r="I378" s="27">
        <v>1</v>
      </c>
      <c r="J378" s="30">
        <f t="shared" si="15"/>
        <v>1</v>
      </c>
      <c r="K378" s="30">
        <f t="shared" si="16"/>
        <v>0</v>
      </c>
      <c r="L378" s="26">
        <f t="shared" si="17"/>
        <v>0</v>
      </c>
      <c r="M378" s="26"/>
    </row>
    <row r="379" spans="1:13" ht="15" customHeight="1">
      <c r="A379" s="25" t="s">
        <v>6297</v>
      </c>
      <c r="B379" s="26" t="s">
        <v>5427</v>
      </c>
      <c r="C379" s="26" t="s">
        <v>6298</v>
      </c>
      <c r="D379" s="26" t="s">
        <v>6299</v>
      </c>
      <c r="E379" s="26" t="s">
        <v>5439</v>
      </c>
      <c r="F379" s="27">
        <v>5162736</v>
      </c>
      <c r="G379" s="27">
        <v>0</v>
      </c>
      <c r="H379" s="27">
        <v>0</v>
      </c>
      <c r="I379" s="27">
        <v>0</v>
      </c>
      <c r="J379" s="30">
        <f t="shared" si="15"/>
        <v>0</v>
      </c>
      <c r="K379" s="30">
        <f t="shared" si="16"/>
        <v>0</v>
      </c>
      <c r="L379" s="26">
        <f t="shared" si="17"/>
        <v>0</v>
      </c>
      <c r="M379" s="26">
        <v>0</v>
      </c>
    </row>
    <row r="380" spans="1:13" ht="15" customHeight="1">
      <c r="A380" s="25" t="s">
        <v>6300</v>
      </c>
      <c r="B380" s="26" t="s">
        <v>5427</v>
      </c>
      <c r="C380" s="26" t="s">
        <v>6301</v>
      </c>
      <c r="D380" s="26" t="s">
        <v>6302</v>
      </c>
      <c r="E380" s="26" t="s">
        <v>5718</v>
      </c>
      <c r="F380" s="27">
        <v>5132890</v>
      </c>
      <c r="G380" s="27">
        <v>1</v>
      </c>
      <c r="H380" s="27">
        <v>2</v>
      </c>
      <c r="I380" s="27">
        <v>1</v>
      </c>
      <c r="J380" s="30">
        <f t="shared" si="15"/>
        <v>1</v>
      </c>
      <c r="K380" s="30">
        <f t="shared" si="16"/>
        <v>1</v>
      </c>
      <c r="L380" s="26">
        <f t="shared" si="17"/>
        <v>1</v>
      </c>
      <c r="M380" s="26" t="s">
        <v>6232</v>
      </c>
    </row>
    <row r="381" spans="1:13" ht="15" customHeight="1">
      <c r="A381" s="25" t="s">
        <v>6303</v>
      </c>
      <c r="B381" s="26" t="s">
        <v>5423</v>
      </c>
      <c r="C381" s="26" t="s">
        <v>6304</v>
      </c>
      <c r="D381" s="26" t="s">
        <v>6296</v>
      </c>
      <c r="E381" s="26" t="s">
        <v>5540</v>
      </c>
      <c r="F381" s="27">
        <v>3318759</v>
      </c>
      <c r="G381" s="27">
        <v>3</v>
      </c>
      <c r="H381" s="27">
        <v>0</v>
      </c>
      <c r="I381" s="27">
        <v>1</v>
      </c>
      <c r="J381" s="30">
        <f t="shared" si="15"/>
        <v>1</v>
      </c>
      <c r="K381" s="30">
        <f t="shared" si="16"/>
        <v>0</v>
      </c>
      <c r="L381" s="26">
        <f t="shared" si="17"/>
        <v>0</v>
      </c>
      <c r="M381" s="26" t="s">
        <v>5650</v>
      </c>
    </row>
    <row r="382" spans="1:13" ht="15" customHeight="1">
      <c r="A382" s="25" t="s">
        <v>6305</v>
      </c>
      <c r="B382" s="26" t="s">
        <v>5423</v>
      </c>
      <c r="C382" s="26" t="s">
        <v>6306</v>
      </c>
      <c r="D382" s="26" t="s">
        <v>6307</v>
      </c>
      <c r="E382" s="26" t="s">
        <v>5458</v>
      </c>
      <c r="F382" s="27">
        <v>5165302</v>
      </c>
      <c r="G382" s="27">
        <v>1</v>
      </c>
      <c r="H382" s="27">
        <v>0</v>
      </c>
      <c r="I382" s="27">
        <v>1</v>
      </c>
      <c r="J382" s="30">
        <f t="shared" si="15"/>
        <v>1</v>
      </c>
      <c r="K382" s="30">
        <f t="shared" si="16"/>
        <v>0</v>
      </c>
      <c r="L382" s="26">
        <f t="shared" si="17"/>
        <v>0</v>
      </c>
      <c r="M382" s="26"/>
    </row>
    <row r="383" spans="1:13" ht="15" customHeight="1">
      <c r="A383" s="25">
        <v>1442811</v>
      </c>
      <c r="B383" s="26" t="s">
        <v>5423</v>
      </c>
      <c r="C383" s="26" t="s">
        <v>6308</v>
      </c>
      <c r="D383" s="26" t="s">
        <v>6309</v>
      </c>
      <c r="E383" s="26" t="s">
        <v>5468</v>
      </c>
      <c r="F383" s="27"/>
      <c r="G383" s="27">
        <v>0</v>
      </c>
      <c r="H383" s="27">
        <v>0</v>
      </c>
      <c r="I383" s="27">
        <v>0</v>
      </c>
      <c r="J383" s="30">
        <f t="shared" si="15"/>
        <v>0</v>
      </c>
      <c r="K383" s="30">
        <f t="shared" si="16"/>
        <v>0</v>
      </c>
      <c r="L383" s="26">
        <f t="shared" si="17"/>
        <v>0</v>
      </c>
      <c r="M383" s="26" t="s">
        <v>6310</v>
      </c>
    </row>
    <row r="384" spans="1:13" ht="15" customHeight="1">
      <c r="A384" s="25" t="s">
        <v>6311</v>
      </c>
      <c r="B384" s="26" t="s">
        <v>5427</v>
      </c>
      <c r="C384" s="26" t="s">
        <v>6312</v>
      </c>
      <c r="D384" s="26" t="s">
        <v>6313</v>
      </c>
      <c r="E384" s="26" t="s">
        <v>5586</v>
      </c>
      <c r="F384" s="27">
        <v>5167644</v>
      </c>
      <c r="G384" s="27">
        <v>0</v>
      </c>
      <c r="H384" s="27">
        <v>0</v>
      </c>
      <c r="I384" s="27">
        <v>0</v>
      </c>
      <c r="J384" s="30">
        <f t="shared" si="15"/>
        <v>0</v>
      </c>
      <c r="K384" s="30">
        <f t="shared" si="16"/>
        <v>0</v>
      </c>
      <c r="L384" s="26">
        <f t="shared" si="17"/>
        <v>0</v>
      </c>
      <c r="M384" s="26">
        <v>0</v>
      </c>
    </row>
    <row r="385" spans="1:13" ht="15" customHeight="1">
      <c r="A385" s="25" t="s">
        <v>6314</v>
      </c>
      <c r="B385" s="26" t="s">
        <v>5423</v>
      </c>
      <c r="C385" s="26" t="s">
        <v>6315</v>
      </c>
      <c r="D385" s="26" t="s">
        <v>6316</v>
      </c>
      <c r="E385" s="26" t="s">
        <v>5504</v>
      </c>
      <c r="F385" s="27">
        <v>5167776</v>
      </c>
      <c r="G385" s="27">
        <v>0</v>
      </c>
      <c r="H385" s="27">
        <v>0</v>
      </c>
      <c r="I385" s="27">
        <v>0</v>
      </c>
      <c r="J385" s="30">
        <f t="shared" si="15"/>
        <v>0</v>
      </c>
      <c r="K385" s="30">
        <f t="shared" si="16"/>
        <v>0</v>
      </c>
      <c r="L385" s="26">
        <f t="shared" si="17"/>
        <v>0</v>
      </c>
      <c r="M385" s="26">
        <v>0</v>
      </c>
    </row>
    <row r="386" spans="1:13" ht="15" customHeight="1">
      <c r="A386" s="25">
        <v>1442900</v>
      </c>
      <c r="B386" s="26" t="s">
        <v>5423</v>
      </c>
      <c r="C386" s="26" t="s">
        <v>6317</v>
      </c>
      <c r="D386" s="26" t="s">
        <v>6318</v>
      </c>
      <c r="E386" s="26" t="s">
        <v>5447</v>
      </c>
      <c r="F386" s="27">
        <v>5168266</v>
      </c>
      <c r="G386" s="27">
        <v>0</v>
      </c>
      <c r="H386" s="27">
        <v>0</v>
      </c>
      <c r="I386" s="27">
        <v>0</v>
      </c>
      <c r="J386" s="30">
        <f t="shared" ref="J386:J449" si="18">IF(G386&gt;0,1,0)</f>
        <v>0</v>
      </c>
      <c r="K386" s="30">
        <f t="shared" ref="K386:K449" si="19">IF(H386&gt;0,1,0)</f>
        <v>0</v>
      </c>
      <c r="L386" s="26">
        <f t="shared" ref="L386:L449" si="20">IF(G386&gt;0,IF(H386&gt;0,1,0),0)</f>
        <v>0</v>
      </c>
      <c r="M386" s="26">
        <v>0</v>
      </c>
    </row>
    <row r="387" spans="1:13" ht="15" customHeight="1">
      <c r="A387" s="25" t="s">
        <v>6319</v>
      </c>
      <c r="B387" s="26" t="s">
        <v>5423</v>
      </c>
      <c r="C387" s="26" t="s">
        <v>6320</v>
      </c>
      <c r="D387" s="26" t="s">
        <v>6321</v>
      </c>
      <c r="E387" s="26" t="s">
        <v>5468</v>
      </c>
      <c r="F387" s="27">
        <v>3848621</v>
      </c>
      <c r="G387" s="27">
        <v>0</v>
      </c>
      <c r="H387" s="27">
        <v>0</v>
      </c>
      <c r="I387" s="27">
        <v>0</v>
      </c>
      <c r="J387" s="30">
        <f t="shared" si="18"/>
        <v>0</v>
      </c>
      <c r="K387" s="30">
        <f t="shared" si="19"/>
        <v>0</v>
      </c>
      <c r="L387" s="26">
        <f t="shared" si="20"/>
        <v>0</v>
      </c>
      <c r="M387" s="26">
        <v>0</v>
      </c>
    </row>
    <row r="388" spans="1:13" ht="15" customHeight="1">
      <c r="A388" s="25" t="s">
        <v>6322</v>
      </c>
      <c r="B388" s="26" t="s">
        <v>5423</v>
      </c>
      <c r="C388" s="26" t="s">
        <v>6323</v>
      </c>
      <c r="D388" s="26" t="s">
        <v>6324</v>
      </c>
      <c r="E388" s="26" t="s">
        <v>5475</v>
      </c>
      <c r="F388" s="27"/>
      <c r="G388" s="27">
        <v>0</v>
      </c>
      <c r="H388" s="27">
        <v>0</v>
      </c>
      <c r="I388" s="27">
        <v>0</v>
      </c>
      <c r="J388" s="30">
        <f t="shared" si="18"/>
        <v>0</v>
      </c>
      <c r="K388" s="30">
        <f t="shared" si="19"/>
        <v>0</v>
      </c>
      <c r="L388" s="26">
        <f t="shared" si="20"/>
        <v>0</v>
      </c>
      <c r="M388" s="26">
        <v>0</v>
      </c>
    </row>
    <row r="389" spans="1:13" ht="15" customHeight="1">
      <c r="A389" s="25" t="s">
        <v>6325</v>
      </c>
      <c r="B389" s="26" t="s">
        <v>5423</v>
      </c>
      <c r="C389" s="26" t="s">
        <v>6326</v>
      </c>
      <c r="D389" s="26" t="s">
        <v>6327</v>
      </c>
      <c r="E389" s="26" t="s">
        <v>5447</v>
      </c>
      <c r="F389" s="27">
        <v>5161751</v>
      </c>
      <c r="G389" s="27">
        <v>0</v>
      </c>
      <c r="H389" s="27">
        <v>0</v>
      </c>
      <c r="I389" s="27">
        <v>0</v>
      </c>
      <c r="J389" s="30">
        <f t="shared" si="18"/>
        <v>0</v>
      </c>
      <c r="K389" s="30">
        <f t="shared" si="19"/>
        <v>0</v>
      </c>
      <c r="L389" s="26">
        <f t="shared" si="20"/>
        <v>0</v>
      </c>
      <c r="M389" s="26">
        <v>0</v>
      </c>
    </row>
    <row r="390" spans="1:13" ht="15" customHeight="1">
      <c r="A390" s="25" t="s">
        <v>6328</v>
      </c>
      <c r="B390" s="26" t="s">
        <v>5427</v>
      </c>
      <c r="C390" s="26" t="s">
        <v>6329</v>
      </c>
      <c r="D390" s="26" t="s">
        <v>6330</v>
      </c>
      <c r="E390" s="26" t="s">
        <v>5535</v>
      </c>
      <c r="F390" s="27">
        <v>5168710</v>
      </c>
      <c r="G390" s="27">
        <v>0</v>
      </c>
      <c r="H390" s="27">
        <v>1</v>
      </c>
      <c r="I390" s="27">
        <v>1</v>
      </c>
      <c r="J390" s="30">
        <f t="shared" si="18"/>
        <v>0</v>
      </c>
      <c r="K390" s="30">
        <f t="shared" si="19"/>
        <v>1</v>
      </c>
      <c r="L390" s="26">
        <f t="shared" si="20"/>
        <v>0</v>
      </c>
      <c r="M390" s="26"/>
    </row>
    <row r="391" spans="1:13" ht="15" customHeight="1">
      <c r="A391" s="25" t="s">
        <v>6331</v>
      </c>
      <c r="B391" s="26" t="s">
        <v>5423</v>
      </c>
      <c r="C391" s="26" t="s">
        <v>6332</v>
      </c>
      <c r="D391" s="26" t="s">
        <v>6333</v>
      </c>
      <c r="E391" s="26" t="s">
        <v>5763</v>
      </c>
      <c r="F391" s="27">
        <v>5168218</v>
      </c>
      <c r="G391" s="27">
        <v>0</v>
      </c>
      <c r="H391" s="27">
        <v>0</v>
      </c>
      <c r="I391" s="27">
        <v>0</v>
      </c>
      <c r="J391" s="30">
        <f t="shared" si="18"/>
        <v>0</v>
      </c>
      <c r="K391" s="30">
        <f t="shared" si="19"/>
        <v>0</v>
      </c>
      <c r="L391" s="26">
        <f t="shared" si="20"/>
        <v>0</v>
      </c>
      <c r="M391" s="26">
        <v>0</v>
      </c>
    </row>
    <row r="392" spans="1:13" ht="15" customHeight="1">
      <c r="A392" s="25" t="s">
        <v>6334</v>
      </c>
      <c r="B392" s="26" t="s">
        <v>5423</v>
      </c>
      <c r="C392" s="26" t="s">
        <v>6335</v>
      </c>
      <c r="D392" s="26" t="s">
        <v>6336</v>
      </c>
      <c r="E392" s="26" t="s">
        <v>5763</v>
      </c>
      <c r="F392" s="27">
        <v>5169880</v>
      </c>
      <c r="G392" s="27">
        <v>0</v>
      </c>
      <c r="H392" s="27">
        <v>0</v>
      </c>
      <c r="I392" s="27">
        <v>0</v>
      </c>
      <c r="J392" s="30">
        <f t="shared" si="18"/>
        <v>0</v>
      </c>
      <c r="K392" s="30">
        <f t="shared" si="19"/>
        <v>0</v>
      </c>
      <c r="L392" s="26">
        <f t="shared" si="20"/>
        <v>0</v>
      </c>
      <c r="M392" s="26">
        <v>0</v>
      </c>
    </row>
    <row r="393" spans="1:13" ht="15" customHeight="1">
      <c r="A393" s="25" t="s">
        <v>6337</v>
      </c>
      <c r="B393" s="26" t="s">
        <v>5423</v>
      </c>
      <c r="C393" s="26" t="s">
        <v>6338</v>
      </c>
      <c r="D393" s="26" t="s">
        <v>6339</v>
      </c>
      <c r="E393" s="26" t="s">
        <v>5532</v>
      </c>
      <c r="F393" s="27">
        <v>5170235</v>
      </c>
      <c r="G393" s="27">
        <v>1</v>
      </c>
      <c r="H393" s="27">
        <v>0</v>
      </c>
      <c r="I393" s="27">
        <v>1</v>
      </c>
      <c r="J393" s="30">
        <f t="shared" si="18"/>
        <v>1</v>
      </c>
      <c r="K393" s="30">
        <f t="shared" si="19"/>
        <v>0</v>
      </c>
      <c r="L393" s="26">
        <f t="shared" si="20"/>
        <v>0</v>
      </c>
      <c r="M393" s="26"/>
    </row>
    <row r="394" spans="1:13" ht="15" customHeight="1">
      <c r="A394" s="25" t="s">
        <v>6340</v>
      </c>
      <c r="B394" s="26" t="s">
        <v>5427</v>
      </c>
      <c r="C394" s="26" t="s">
        <v>6341</v>
      </c>
      <c r="D394" s="26" t="s">
        <v>6342</v>
      </c>
      <c r="E394" s="26" t="s">
        <v>5550</v>
      </c>
      <c r="F394" s="27">
        <v>5170464</v>
      </c>
      <c r="G394" s="27">
        <v>0</v>
      </c>
      <c r="H394" s="27">
        <v>0</v>
      </c>
      <c r="I394" s="27">
        <v>0</v>
      </c>
      <c r="J394" s="30">
        <f t="shared" si="18"/>
        <v>0</v>
      </c>
      <c r="K394" s="30">
        <f t="shared" si="19"/>
        <v>0</v>
      </c>
      <c r="L394" s="26">
        <f t="shared" si="20"/>
        <v>0</v>
      </c>
      <c r="M394" s="26">
        <v>0</v>
      </c>
    </row>
    <row r="395" spans="1:13" ht="15" customHeight="1">
      <c r="A395" s="25" t="s">
        <v>6343</v>
      </c>
      <c r="B395" s="26" t="s">
        <v>5423</v>
      </c>
      <c r="C395" s="26" t="s">
        <v>6344</v>
      </c>
      <c r="D395" s="26" t="s">
        <v>6345</v>
      </c>
      <c r="E395" s="26" t="s">
        <v>5480</v>
      </c>
      <c r="F395" s="27">
        <v>5170882</v>
      </c>
      <c r="G395" s="27">
        <v>1</v>
      </c>
      <c r="H395" s="27">
        <v>0</v>
      </c>
      <c r="I395" s="27">
        <v>1</v>
      </c>
      <c r="J395" s="30">
        <f t="shared" si="18"/>
        <v>1</v>
      </c>
      <c r="K395" s="30">
        <f t="shared" si="19"/>
        <v>0</v>
      </c>
      <c r="L395" s="26">
        <f t="shared" si="20"/>
        <v>0</v>
      </c>
      <c r="M395" s="26"/>
    </row>
    <row r="396" spans="1:13" ht="15" customHeight="1">
      <c r="A396" s="25" t="s">
        <v>6346</v>
      </c>
      <c r="B396" s="26" t="s">
        <v>5427</v>
      </c>
      <c r="C396" s="26" t="s">
        <v>6347</v>
      </c>
      <c r="D396" s="26" t="s">
        <v>6348</v>
      </c>
      <c r="E396" s="26" t="s">
        <v>6349</v>
      </c>
      <c r="F396" s="27">
        <v>5168226</v>
      </c>
      <c r="G396" s="27">
        <v>0</v>
      </c>
      <c r="H396" s="27">
        <v>0</v>
      </c>
      <c r="I396" s="27">
        <v>0</v>
      </c>
      <c r="J396" s="30">
        <f t="shared" si="18"/>
        <v>0</v>
      </c>
      <c r="K396" s="30">
        <f t="shared" si="19"/>
        <v>0</v>
      </c>
      <c r="L396" s="26">
        <f t="shared" si="20"/>
        <v>0</v>
      </c>
      <c r="M396" s="26">
        <v>0</v>
      </c>
    </row>
    <row r="397" spans="1:13" ht="15" customHeight="1">
      <c r="A397" s="25" t="s">
        <v>6350</v>
      </c>
      <c r="B397" s="26" t="s">
        <v>5423</v>
      </c>
      <c r="C397" s="26" t="s">
        <v>6351</v>
      </c>
      <c r="D397" s="26" t="s">
        <v>6352</v>
      </c>
      <c r="E397" s="26" t="s">
        <v>5439</v>
      </c>
      <c r="F397" s="27">
        <v>5172384</v>
      </c>
      <c r="G397" s="27">
        <v>0</v>
      </c>
      <c r="H397" s="27">
        <v>1</v>
      </c>
      <c r="I397" s="27">
        <v>1</v>
      </c>
      <c r="J397" s="30">
        <f t="shared" si="18"/>
        <v>0</v>
      </c>
      <c r="K397" s="30">
        <f t="shared" si="19"/>
        <v>1</v>
      </c>
      <c r="L397" s="26">
        <f t="shared" si="20"/>
        <v>0</v>
      </c>
      <c r="M397" s="26"/>
    </row>
    <row r="398" spans="1:13" ht="15" customHeight="1">
      <c r="A398" s="25" t="s">
        <v>6353</v>
      </c>
      <c r="B398" s="26" t="s">
        <v>5423</v>
      </c>
      <c r="C398" s="26" t="s">
        <v>6354</v>
      </c>
      <c r="D398" s="26" t="s">
        <v>6355</v>
      </c>
      <c r="E398" s="26" t="s">
        <v>5504</v>
      </c>
      <c r="F398" s="27">
        <v>5165871</v>
      </c>
      <c r="G398" s="27">
        <v>1</v>
      </c>
      <c r="H398" s="27">
        <v>0</v>
      </c>
      <c r="I398" s="27">
        <v>1</v>
      </c>
      <c r="J398" s="30">
        <f t="shared" si="18"/>
        <v>1</v>
      </c>
      <c r="K398" s="30">
        <f t="shared" si="19"/>
        <v>0</v>
      </c>
      <c r="L398" s="26">
        <f t="shared" si="20"/>
        <v>0</v>
      </c>
      <c r="M398" s="26"/>
    </row>
    <row r="399" spans="1:13" ht="15" customHeight="1">
      <c r="A399" s="25" t="s">
        <v>6356</v>
      </c>
      <c r="B399" s="26" t="s">
        <v>5423</v>
      </c>
      <c r="C399" s="26" t="s">
        <v>6357</v>
      </c>
      <c r="D399" s="26" t="s">
        <v>6358</v>
      </c>
      <c r="E399" s="26" t="s">
        <v>5540</v>
      </c>
      <c r="F399" s="27">
        <v>4751456</v>
      </c>
      <c r="G399" s="27">
        <v>2</v>
      </c>
      <c r="H399" s="27">
        <v>0</v>
      </c>
      <c r="I399" s="27">
        <v>1</v>
      </c>
      <c r="J399" s="30">
        <f t="shared" si="18"/>
        <v>1</v>
      </c>
      <c r="K399" s="30">
        <f t="shared" si="19"/>
        <v>0</v>
      </c>
      <c r="L399" s="26">
        <f t="shared" si="20"/>
        <v>0</v>
      </c>
      <c r="M399" s="26" t="s">
        <v>5611</v>
      </c>
    </row>
    <row r="400" spans="1:13" ht="15" customHeight="1">
      <c r="A400" s="25" t="s">
        <v>6359</v>
      </c>
      <c r="B400" s="26" t="s">
        <v>5423</v>
      </c>
      <c r="C400" s="26" t="s">
        <v>6360</v>
      </c>
      <c r="D400" s="26" t="s">
        <v>6361</v>
      </c>
      <c r="E400" s="26" t="s">
        <v>5517</v>
      </c>
      <c r="F400" s="27">
        <v>5170808</v>
      </c>
      <c r="G400" s="27">
        <v>0</v>
      </c>
      <c r="H400" s="27">
        <v>0</v>
      </c>
      <c r="I400" s="27">
        <v>0</v>
      </c>
      <c r="J400" s="30">
        <f t="shared" si="18"/>
        <v>0</v>
      </c>
      <c r="K400" s="30">
        <f t="shared" si="19"/>
        <v>0</v>
      </c>
      <c r="L400" s="26">
        <f t="shared" si="20"/>
        <v>0</v>
      </c>
      <c r="M400" s="26">
        <v>0</v>
      </c>
    </row>
    <row r="401" spans="1:13" ht="15" customHeight="1">
      <c r="A401" s="25">
        <v>1444355</v>
      </c>
      <c r="B401" s="26" t="s">
        <v>5423</v>
      </c>
      <c r="C401" s="26" t="s">
        <v>6362</v>
      </c>
      <c r="D401" s="26" t="s">
        <v>6363</v>
      </c>
      <c r="E401" s="26" t="s">
        <v>5540</v>
      </c>
      <c r="F401" s="27"/>
      <c r="G401" s="27">
        <v>0</v>
      </c>
      <c r="H401" s="27">
        <v>0</v>
      </c>
      <c r="I401" s="27">
        <v>0</v>
      </c>
      <c r="J401" s="30">
        <f t="shared" si="18"/>
        <v>0</v>
      </c>
      <c r="K401" s="30">
        <f t="shared" si="19"/>
        <v>0</v>
      </c>
      <c r="L401" s="26">
        <f t="shared" si="20"/>
        <v>0</v>
      </c>
      <c r="M401" s="26">
        <v>0</v>
      </c>
    </row>
    <row r="402" spans="1:13" ht="15" customHeight="1">
      <c r="A402" s="25">
        <v>1444385</v>
      </c>
      <c r="B402" s="26" t="s">
        <v>5423</v>
      </c>
      <c r="C402" s="26" t="s">
        <v>6364</v>
      </c>
      <c r="D402" s="26" t="s">
        <v>6365</v>
      </c>
      <c r="E402" s="26" t="s">
        <v>5535</v>
      </c>
      <c r="F402" s="27">
        <v>5171634</v>
      </c>
      <c r="G402" s="27">
        <v>0</v>
      </c>
      <c r="H402" s="27">
        <v>0</v>
      </c>
      <c r="I402" s="27">
        <v>0</v>
      </c>
      <c r="J402" s="30">
        <f t="shared" si="18"/>
        <v>0</v>
      </c>
      <c r="K402" s="30">
        <f t="shared" si="19"/>
        <v>0</v>
      </c>
      <c r="L402" s="26">
        <f t="shared" si="20"/>
        <v>0</v>
      </c>
      <c r="M402" s="26">
        <v>0</v>
      </c>
    </row>
    <row r="403" spans="1:13" ht="15" customHeight="1">
      <c r="A403" s="25" t="s">
        <v>6366</v>
      </c>
      <c r="B403" s="26" t="s">
        <v>5423</v>
      </c>
      <c r="C403" s="26" t="s">
        <v>6367</v>
      </c>
      <c r="D403" s="26" t="s">
        <v>6368</v>
      </c>
      <c r="E403" s="26" t="s">
        <v>5529</v>
      </c>
      <c r="F403" s="27"/>
      <c r="G403" s="27">
        <v>0</v>
      </c>
      <c r="H403" s="27">
        <v>0</v>
      </c>
      <c r="I403" s="27">
        <v>0</v>
      </c>
      <c r="J403" s="30">
        <f t="shared" si="18"/>
        <v>0</v>
      </c>
      <c r="K403" s="30">
        <f t="shared" si="19"/>
        <v>0</v>
      </c>
      <c r="L403" s="26">
        <f t="shared" si="20"/>
        <v>0</v>
      </c>
      <c r="M403" s="26">
        <v>0</v>
      </c>
    </row>
    <row r="404" spans="1:13" ht="15" customHeight="1">
      <c r="A404" s="25" t="s">
        <v>6369</v>
      </c>
      <c r="B404" s="26" t="s">
        <v>5423</v>
      </c>
      <c r="C404" s="26" t="s">
        <v>6370</v>
      </c>
      <c r="D404" s="26" t="s">
        <v>6371</v>
      </c>
      <c r="E404" s="26" t="s">
        <v>5532</v>
      </c>
      <c r="F404" s="27">
        <v>5167020</v>
      </c>
      <c r="G404" s="27">
        <v>1</v>
      </c>
      <c r="H404" s="27">
        <v>0</v>
      </c>
      <c r="I404" s="27">
        <v>1</v>
      </c>
      <c r="J404" s="30">
        <f t="shared" si="18"/>
        <v>1</v>
      </c>
      <c r="K404" s="30">
        <f t="shared" si="19"/>
        <v>0</v>
      </c>
      <c r="L404" s="26">
        <f t="shared" si="20"/>
        <v>0</v>
      </c>
      <c r="M404" s="26"/>
    </row>
    <row r="405" spans="1:13" ht="15" customHeight="1">
      <c r="A405" s="25" t="s">
        <v>6372</v>
      </c>
      <c r="B405" s="26" t="s">
        <v>5423</v>
      </c>
      <c r="C405" s="26" t="s">
        <v>6373</v>
      </c>
      <c r="D405" s="26" t="s">
        <v>6374</v>
      </c>
      <c r="E405" s="26" t="s">
        <v>5463</v>
      </c>
      <c r="F405" s="27">
        <v>5174252</v>
      </c>
      <c r="G405" s="27">
        <v>0</v>
      </c>
      <c r="H405" s="27">
        <v>0</v>
      </c>
      <c r="I405" s="27">
        <v>0</v>
      </c>
      <c r="J405" s="30">
        <f t="shared" si="18"/>
        <v>0</v>
      </c>
      <c r="K405" s="30">
        <f t="shared" si="19"/>
        <v>0</v>
      </c>
      <c r="L405" s="26">
        <f t="shared" si="20"/>
        <v>0</v>
      </c>
      <c r="M405" s="26">
        <v>0</v>
      </c>
    </row>
    <row r="406" spans="1:13" ht="15" customHeight="1">
      <c r="A406" s="25" t="s">
        <v>6375</v>
      </c>
      <c r="B406" s="26" t="s">
        <v>5423</v>
      </c>
      <c r="C406" s="26" t="s">
        <v>6376</v>
      </c>
      <c r="D406" s="26" t="s">
        <v>6377</v>
      </c>
      <c r="E406" s="26" t="s">
        <v>5463</v>
      </c>
      <c r="F406" s="27">
        <v>5168274</v>
      </c>
      <c r="G406" s="27">
        <v>1</v>
      </c>
      <c r="H406" s="27">
        <v>1</v>
      </c>
      <c r="I406" s="27">
        <v>1</v>
      </c>
      <c r="J406" s="30">
        <f t="shared" si="18"/>
        <v>1</v>
      </c>
      <c r="K406" s="30">
        <f t="shared" si="19"/>
        <v>1</v>
      </c>
      <c r="L406" s="26">
        <f t="shared" si="20"/>
        <v>1</v>
      </c>
      <c r="M406" s="26"/>
    </row>
    <row r="407" spans="1:13" ht="15" customHeight="1">
      <c r="A407" s="25" t="s">
        <v>6378</v>
      </c>
      <c r="B407" s="26" t="s">
        <v>5427</v>
      </c>
      <c r="C407" s="26" t="s">
        <v>6379</v>
      </c>
      <c r="D407" s="26" t="s">
        <v>6380</v>
      </c>
      <c r="E407" s="26" t="s">
        <v>5439</v>
      </c>
      <c r="F407" s="27">
        <v>5115661</v>
      </c>
      <c r="G407" s="27">
        <v>1</v>
      </c>
      <c r="H407" s="27">
        <v>1</v>
      </c>
      <c r="I407" s="27">
        <v>1</v>
      </c>
      <c r="J407" s="30">
        <f t="shared" si="18"/>
        <v>1</v>
      </c>
      <c r="K407" s="30">
        <f t="shared" si="19"/>
        <v>1</v>
      </c>
      <c r="L407" s="26">
        <f t="shared" si="20"/>
        <v>1</v>
      </c>
      <c r="M407" s="26"/>
    </row>
    <row r="408" spans="1:13" ht="15" customHeight="1">
      <c r="A408" s="25" t="s">
        <v>6381</v>
      </c>
      <c r="B408" s="26" t="s">
        <v>5423</v>
      </c>
      <c r="C408" s="26" t="s">
        <v>6382</v>
      </c>
      <c r="D408" s="26" t="s">
        <v>6383</v>
      </c>
      <c r="E408" s="26" t="s">
        <v>5532</v>
      </c>
      <c r="F408" s="27">
        <v>5174617</v>
      </c>
      <c r="G408" s="27">
        <v>0</v>
      </c>
      <c r="H408" s="27">
        <v>1</v>
      </c>
      <c r="I408" s="27">
        <v>1</v>
      </c>
      <c r="J408" s="30">
        <f t="shared" si="18"/>
        <v>0</v>
      </c>
      <c r="K408" s="30">
        <f t="shared" si="19"/>
        <v>1</v>
      </c>
      <c r="L408" s="26">
        <f t="shared" si="20"/>
        <v>0</v>
      </c>
      <c r="M408" s="26"/>
    </row>
    <row r="409" spans="1:13" ht="15" customHeight="1">
      <c r="A409" s="25" t="s">
        <v>6384</v>
      </c>
      <c r="B409" s="26" t="s">
        <v>5423</v>
      </c>
      <c r="C409" s="26" t="s">
        <v>6385</v>
      </c>
      <c r="D409" s="26" t="s">
        <v>6386</v>
      </c>
      <c r="E409" s="26" t="s">
        <v>5452</v>
      </c>
      <c r="F409" s="27">
        <v>5132405</v>
      </c>
      <c r="G409" s="27">
        <v>1</v>
      </c>
      <c r="H409" s="27">
        <v>0</v>
      </c>
      <c r="I409" s="27">
        <v>1</v>
      </c>
      <c r="J409" s="30">
        <f t="shared" si="18"/>
        <v>1</v>
      </c>
      <c r="K409" s="30">
        <f t="shared" si="19"/>
        <v>0</v>
      </c>
      <c r="L409" s="26">
        <f t="shared" si="20"/>
        <v>0</v>
      </c>
      <c r="M409" s="26"/>
    </row>
    <row r="410" spans="1:13" ht="15" customHeight="1">
      <c r="A410" s="25" t="s">
        <v>6387</v>
      </c>
      <c r="B410" s="26" t="s">
        <v>5423</v>
      </c>
      <c r="C410" s="26" t="s">
        <v>6388</v>
      </c>
      <c r="D410" s="26" t="s">
        <v>6389</v>
      </c>
      <c r="E410" s="26" t="s">
        <v>5763</v>
      </c>
      <c r="F410" s="27">
        <v>5175878</v>
      </c>
      <c r="G410" s="27">
        <v>0</v>
      </c>
      <c r="H410" s="27">
        <v>1</v>
      </c>
      <c r="I410" s="27">
        <v>1</v>
      </c>
      <c r="J410" s="30">
        <f t="shared" si="18"/>
        <v>0</v>
      </c>
      <c r="K410" s="30">
        <f t="shared" si="19"/>
        <v>1</v>
      </c>
      <c r="L410" s="26">
        <f t="shared" si="20"/>
        <v>0</v>
      </c>
      <c r="M410" s="26"/>
    </row>
    <row r="411" spans="1:13" ht="15" customHeight="1">
      <c r="A411" s="25" t="s">
        <v>6390</v>
      </c>
      <c r="B411" s="26" t="s">
        <v>5423</v>
      </c>
      <c r="C411" s="26" t="s">
        <v>6391</v>
      </c>
      <c r="D411" s="26" t="s">
        <v>6392</v>
      </c>
      <c r="E411" s="26" t="s">
        <v>5535</v>
      </c>
      <c r="F411" s="27">
        <v>5175479</v>
      </c>
      <c r="G411" s="27">
        <v>0</v>
      </c>
      <c r="H411" s="27">
        <v>0</v>
      </c>
      <c r="I411" s="27">
        <v>0</v>
      </c>
      <c r="J411" s="30">
        <f t="shared" si="18"/>
        <v>0</v>
      </c>
      <c r="K411" s="30">
        <f t="shared" si="19"/>
        <v>0</v>
      </c>
      <c r="L411" s="26">
        <f t="shared" si="20"/>
        <v>0</v>
      </c>
      <c r="M411" s="26">
        <v>0</v>
      </c>
    </row>
    <row r="412" spans="1:13" ht="15" customHeight="1">
      <c r="A412" s="25" t="s">
        <v>6393</v>
      </c>
      <c r="B412" s="26" t="s">
        <v>5423</v>
      </c>
      <c r="C412" s="26" t="s">
        <v>6394</v>
      </c>
      <c r="D412" s="26" t="s">
        <v>6395</v>
      </c>
      <c r="E412" s="26" t="s">
        <v>5545</v>
      </c>
      <c r="F412" s="27">
        <v>5176356</v>
      </c>
      <c r="G412" s="27">
        <v>1</v>
      </c>
      <c r="H412" s="27">
        <v>0</v>
      </c>
      <c r="I412" s="27">
        <v>1</v>
      </c>
      <c r="J412" s="30">
        <f t="shared" si="18"/>
        <v>1</v>
      </c>
      <c r="K412" s="30">
        <f t="shared" si="19"/>
        <v>0</v>
      </c>
      <c r="L412" s="26">
        <f t="shared" si="20"/>
        <v>0</v>
      </c>
      <c r="M412" s="26"/>
    </row>
    <row r="413" spans="1:13" ht="15" customHeight="1">
      <c r="A413" s="25" t="s">
        <v>6396</v>
      </c>
      <c r="B413" s="26" t="s">
        <v>5423</v>
      </c>
      <c r="C413" s="26" t="s">
        <v>6397</v>
      </c>
      <c r="D413" s="26" t="s">
        <v>6398</v>
      </c>
      <c r="E413" s="26" t="s">
        <v>5452</v>
      </c>
      <c r="F413" s="27">
        <v>5175332</v>
      </c>
      <c r="G413" s="27">
        <v>1</v>
      </c>
      <c r="H413" s="27">
        <v>0</v>
      </c>
      <c r="I413" s="27">
        <v>1</v>
      </c>
      <c r="J413" s="30">
        <f t="shared" si="18"/>
        <v>1</v>
      </c>
      <c r="K413" s="30">
        <f t="shared" si="19"/>
        <v>0</v>
      </c>
      <c r="L413" s="26">
        <f t="shared" si="20"/>
        <v>0</v>
      </c>
      <c r="M413" s="26"/>
    </row>
    <row r="414" spans="1:13" ht="15" customHeight="1">
      <c r="A414" s="25" t="s">
        <v>6399</v>
      </c>
      <c r="B414" s="26" t="s">
        <v>5427</v>
      </c>
      <c r="C414" s="26" t="s">
        <v>6400</v>
      </c>
      <c r="D414" s="26" t="s">
        <v>6401</v>
      </c>
      <c r="E414" s="26" t="s">
        <v>5475</v>
      </c>
      <c r="F414" s="27">
        <v>5128717</v>
      </c>
      <c r="G414" s="27">
        <v>1</v>
      </c>
      <c r="H414" s="27">
        <v>0</v>
      </c>
      <c r="I414" s="27">
        <v>1</v>
      </c>
      <c r="J414" s="30">
        <f t="shared" si="18"/>
        <v>1</v>
      </c>
      <c r="K414" s="30">
        <f t="shared" si="19"/>
        <v>0</v>
      </c>
      <c r="L414" s="26">
        <f t="shared" si="20"/>
        <v>0</v>
      </c>
      <c r="M414" s="26"/>
    </row>
    <row r="415" spans="1:13" ht="15" customHeight="1">
      <c r="A415" s="25" t="s">
        <v>6402</v>
      </c>
      <c r="B415" s="26" t="s">
        <v>5423</v>
      </c>
      <c r="C415" s="26" t="s">
        <v>6403</v>
      </c>
      <c r="D415" s="26" t="s">
        <v>6404</v>
      </c>
      <c r="E415" s="26" t="s">
        <v>5707</v>
      </c>
      <c r="F415" s="27">
        <v>5162984</v>
      </c>
      <c r="G415" s="27">
        <v>1</v>
      </c>
      <c r="H415" s="27">
        <v>0</v>
      </c>
      <c r="I415" s="27">
        <v>1</v>
      </c>
      <c r="J415" s="30">
        <f t="shared" si="18"/>
        <v>1</v>
      </c>
      <c r="K415" s="30">
        <f t="shared" si="19"/>
        <v>0</v>
      </c>
      <c r="L415" s="26">
        <f t="shared" si="20"/>
        <v>0</v>
      </c>
      <c r="M415" s="26"/>
    </row>
    <row r="416" spans="1:13" ht="15" customHeight="1">
      <c r="A416" s="25" t="s">
        <v>6405</v>
      </c>
      <c r="B416" s="26" t="s">
        <v>5427</v>
      </c>
      <c r="C416" s="26" t="s">
        <v>6406</v>
      </c>
      <c r="D416" s="26" t="s">
        <v>6407</v>
      </c>
      <c r="E416" s="26" t="s">
        <v>5442</v>
      </c>
      <c r="F416" s="27">
        <v>5175900</v>
      </c>
      <c r="G416" s="27">
        <v>1</v>
      </c>
      <c r="H416" s="27">
        <v>0</v>
      </c>
      <c r="I416" s="27">
        <v>1</v>
      </c>
      <c r="J416" s="30">
        <f t="shared" si="18"/>
        <v>1</v>
      </c>
      <c r="K416" s="30">
        <f t="shared" si="19"/>
        <v>0</v>
      </c>
      <c r="L416" s="26">
        <f t="shared" si="20"/>
        <v>0</v>
      </c>
      <c r="M416" s="26"/>
    </row>
    <row r="417" spans="1:13" ht="15" customHeight="1">
      <c r="A417" s="25" t="s">
        <v>6408</v>
      </c>
      <c r="B417" s="26" t="s">
        <v>5423</v>
      </c>
      <c r="C417" s="26" t="s">
        <v>6409</v>
      </c>
      <c r="D417" s="26" t="s">
        <v>6410</v>
      </c>
      <c r="E417" s="26" t="s">
        <v>5522</v>
      </c>
      <c r="F417" s="27">
        <v>5177336</v>
      </c>
      <c r="G417" s="27">
        <v>1</v>
      </c>
      <c r="H417" s="27">
        <v>0</v>
      </c>
      <c r="I417" s="27">
        <v>1</v>
      </c>
      <c r="J417" s="30">
        <f t="shared" si="18"/>
        <v>1</v>
      </c>
      <c r="K417" s="30">
        <f t="shared" si="19"/>
        <v>0</v>
      </c>
      <c r="L417" s="26">
        <f t="shared" si="20"/>
        <v>0</v>
      </c>
      <c r="M417" s="26"/>
    </row>
    <row r="418" spans="1:13" ht="15" customHeight="1">
      <c r="A418" s="25" t="s">
        <v>6411</v>
      </c>
      <c r="B418" s="26" t="s">
        <v>5427</v>
      </c>
      <c r="C418" s="26" t="s">
        <v>6412</v>
      </c>
      <c r="D418" s="26" t="s">
        <v>6413</v>
      </c>
      <c r="E418" s="26" t="s">
        <v>5447</v>
      </c>
      <c r="F418" s="27">
        <v>5178180</v>
      </c>
      <c r="G418" s="27">
        <v>0</v>
      </c>
      <c r="H418" s="27">
        <v>0</v>
      </c>
      <c r="I418" s="27">
        <v>0</v>
      </c>
      <c r="J418" s="30">
        <f t="shared" si="18"/>
        <v>0</v>
      </c>
      <c r="K418" s="30">
        <f t="shared" si="19"/>
        <v>0</v>
      </c>
      <c r="L418" s="26">
        <f t="shared" si="20"/>
        <v>0</v>
      </c>
      <c r="M418" s="26">
        <v>0</v>
      </c>
    </row>
    <row r="419" spans="1:13" ht="15" customHeight="1">
      <c r="A419" s="25" t="s">
        <v>6414</v>
      </c>
      <c r="B419" s="26" t="s">
        <v>5427</v>
      </c>
      <c r="C419" s="26" t="s">
        <v>6415</v>
      </c>
      <c r="D419" s="26" t="s">
        <v>6416</v>
      </c>
      <c r="E419" s="26" t="s">
        <v>5540</v>
      </c>
      <c r="F419" s="27">
        <v>4412006</v>
      </c>
      <c r="G419" s="27">
        <v>0</v>
      </c>
      <c r="H419" s="27">
        <v>1</v>
      </c>
      <c r="I419" s="27">
        <v>1</v>
      </c>
      <c r="J419" s="30">
        <f t="shared" si="18"/>
        <v>0</v>
      </c>
      <c r="K419" s="30">
        <f t="shared" si="19"/>
        <v>1</v>
      </c>
      <c r="L419" s="26">
        <f t="shared" si="20"/>
        <v>0</v>
      </c>
      <c r="M419" s="26"/>
    </row>
    <row r="420" spans="1:13" ht="15" customHeight="1">
      <c r="A420" s="25" t="s">
        <v>6417</v>
      </c>
      <c r="B420" s="26" t="s">
        <v>5423</v>
      </c>
      <c r="C420" s="26" t="s">
        <v>6418</v>
      </c>
      <c r="D420" s="26" t="s">
        <v>6419</v>
      </c>
      <c r="E420" s="26" t="s">
        <v>5535</v>
      </c>
      <c r="F420" s="27">
        <v>5179203</v>
      </c>
      <c r="G420" s="27">
        <v>0</v>
      </c>
      <c r="H420" s="27">
        <v>0</v>
      </c>
      <c r="I420" s="27">
        <v>0</v>
      </c>
      <c r="J420" s="30">
        <f t="shared" si="18"/>
        <v>0</v>
      </c>
      <c r="K420" s="30">
        <f t="shared" si="19"/>
        <v>0</v>
      </c>
      <c r="L420" s="26">
        <f t="shared" si="20"/>
        <v>0</v>
      </c>
      <c r="M420" s="26">
        <v>0</v>
      </c>
    </row>
    <row r="421" spans="1:13" ht="15" customHeight="1">
      <c r="A421" s="25" t="s">
        <v>6420</v>
      </c>
      <c r="B421" s="26" t="s">
        <v>5423</v>
      </c>
      <c r="C421" s="26" t="s">
        <v>6421</v>
      </c>
      <c r="D421" s="26" t="s">
        <v>6422</v>
      </c>
      <c r="E421" s="26" t="s">
        <v>6423</v>
      </c>
      <c r="F421" s="27">
        <v>3081983</v>
      </c>
      <c r="G421" s="27">
        <v>1</v>
      </c>
      <c r="H421" s="27">
        <v>1</v>
      </c>
      <c r="I421" s="27">
        <v>1</v>
      </c>
      <c r="J421" s="30">
        <f t="shared" si="18"/>
        <v>1</v>
      </c>
      <c r="K421" s="30">
        <f t="shared" si="19"/>
        <v>1</v>
      </c>
      <c r="L421" s="26">
        <f t="shared" si="20"/>
        <v>1</v>
      </c>
      <c r="M421" s="26"/>
    </row>
    <row r="422" spans="1:13" ht="15" customHeight="1">
      <c r="A422" s="25" t="s">
        <v>6424</v>
      </c>
      <c r="B422" s="26" t="s">
        <v>5423</v>
      </c>
      <c r="C422" s="26" t="s">
        <v>6425</v>
      </c>
      <c r="D422" s="26" t="s">
        <v>6426</v>
      </c>
      <c r="E422" s="26" t="s">
        <v>5475</v>
      </c>
      <c r="F422" s="27">
        <v>5183395</v>
      </c>
      <c r="G422" s="27">
        <v>0</v>
      </c>
      <c r="H422" s="27">
        <v>0</v>
      </c>
      <c r="I422" s="27">
        <v>0</v>
      </c>
      <c r="J422" s="30">
        <f t="shared" si="18"/>
        <v>0</v>
      </c>
      <c r="K422" s="30">
        <f t="shared" si="19"/>
        <v>0</v>
      </c>
      <c r="L422" s="26">
        <f t="shared" si="20"/>
        <v>0</v>
      </c>
      <c r="M422" s="26">
        <v>0</v>
      </c>
    </row>
    <row r="423" spans="1:13" ht="15" customHeight="1">
      <c r="A423" s="25" t="s">
        <v>6427</v>
      </c>
      <c r="B423" s="26" t="s">
        <v>5423</v>
      </c>
      <c r="C423" s="26" t="s">
        <v>6428</v>
      </c>
      <c r="D423" s="26" t="s">
        <v>6429</v>
      </c>
      <c r="E423" s="26" t="s">
        <v>5517</v>
      </c>
      <c r="F423" s="27">
        <v>3511847</v>
      </c>
      <c r="G423" s="27">
        <v>0</v>
      </c>
      <c r="H423" s="27">
        <v>0</v>
      </c>
      <c r="I423" s="27">
        <v>0</v>
      </c>
      <c r="J423" s="30">
        <f t="shared" si="18"/>
        <v>0</v>
      </c>
      <c r="K423" s="30">
        <f t="shared" si="19"/>
        <v>0</v>
      </c>
      <c r="L423" s="26">
        <f t="shared" si="20"/>
        <v>0</v>
      </c>
      <c r="M423" s="26">
        <v>0</v>
      </c>
    </row>
    <row r="424" spans="1:13" ht="15" customHeight="1">
      <c r="A424" s="25" t="s">
        <v>6430</v>
      </c>
      <c r="B424" s="26" t="s">
        <v>5423</v>
      </c>
      <c r="C424" s="26" t="s">
        <v>6431</v>
      </c>
      <c r="D424" s="26" t="s">
        <v>6432</v>
      </c>
      <c r="E424" s="26" t="s">
        <v>5452</v>
      </c>
      <c r="F424" s="27">
        <v>5182435</v>
      </c>
      <c r="G424" s="27">
        <v>0</v>
      </c>
      <c r="H424" s="27">
        <v>1</v>
      </c>
      <c r="I424" s="27">
        <v>1</v>
      </c>
      <c r="J424" s="30">
        <f t="shared" si="18"/>
        <v>0</v>
      </c>
      <c r="K424" s="30">
        <f t="shared" si="19"/>
        <v>1</v>
      </c>
      <c r="L424" s="26">
        <f t="shared" si="20"/>
        <v>0</v>
      </c>
      <c r="M424" s="26"/>
    </row>
    <row r="425" spans="1:13" ht="15" customHeight="1">
      <c r="A425" s="25" t="s">
        <v>6433</v>
      </c>
      <c r="B425" s="26" t="s">
        <v>5427</v>
      </c>
      <c r="C425" s="26" t="s">
        <v>6434</v>
      </c>
      <c r="D425" s="26" t="s">
        <v>6435</v>
      </c>
      <c r="E425" s="26" t="s">
        <v>5463</v>
      </c>
      <c r="F425" s="27">
        <v>5181582</v>
      </c>
      <c r="G425" s="27">
        <v>1</v>
      </c>
      <c r="H425" s="27">
        <v>0</v>
      </c>
      <c r="I425" s="27">
        <v>1</v>
      </c>
      <c r="J425" s="30">
        <f t="shared" si="18"/>
        <v>1</v>
      </c>
      <c r="K425" s="30">
        <f t="shared" si="19"/>
        <v>0</v>
      </c>
      <c r="L425" s="26">
        <f t="shared" si="20"/>
        <v>0</v>
      </c>
      <c r="M425" s="26"/>
    </row>
    <row r="426" spans="1:13" ht="15" customHeight="1">
      <c r="A426" s="25" t="s">
        <v>6436</v>
      </c>
      <c r="B426" s="26" t="s">
        <v>5427</v>
      </c>
      <c r="C426" s="26" t="s">
        <v>6437</v>
      </c>
      <c r="D426" s="26" t="s">
        <v>6438</v>
      </c>
      <c r="E426" s="26" t="s">
        <v>5463</v>
      </c>
      <c r="F426" s="27">
        <v>4674604</v>
      </c>
      <c r="G426" s="27">
        <v>1</v>
      </c>
      <c r="H426" s="27">
        <v>1</v>
      </c>
      <c r="I426" s="27">
        <v>1</v>
      </c>
      <c r="J426" s="30">
        <f t="shared" si="18"/>
        <v>1</v>
      </c>
      <c r="K426" s="30">
        <f t="shared" si="19"/>
        <v>1</v>
      </c>
      <c r="L426" s="26">
        <f t="shared" si="20"/>
        <v>1</v>
      </c>
      <c r="M426" s="26"/>
    </row>
    <row r="427" spans="1:13" ht="15" customHeight="1">
      <c r="A427" s="25" t="s">
        <v>6439</v>
      </c>
      <c r="B427" s="26" t="s">
        <v>5427</v>
      </c>
      <c r="C427" s="26" t="s">
        <v>6440</v>
      </c>
      <c r="D427" s="26" t="s">
        <v>6441</v>
      </c>
      <c r="E427" s="26" t="s">
        <v>5683</v>
      </c>
      <c r="F427" s="27">
        <v>5182439</v>
      </c>
      <c r="G427" s="27">
        <v>0</v>
      </c>
      <c r="H427" s="27">
        <v>0</v>
      </c>
      <c r="I427" s="27">
        <v>0</v>
      </c>
      <c r="J427" s="30">
        <f t="shared" si="18"/>
        <v>0</v>
      </c>
      <c r="K427" s="30">
        <f t="shared" si="19"/>
        <v>0</v>
      </c>
      <c r="L427" s="26">
        <f t="shared" si="20"/>
        <v>0</v>
      </c>
      <c r="M427" s="26">
        <v>0</v>
      </c>
    </row>
    <row r="428" spans="1:13" ht="15" customHeight="1">
      <c r="A428" s="25" t="s">
        <v>6442</v>
      </c>
      <c r="B428" s="26" t="s">
        <v>5427</v>
      </c>
      <c r="C428" s="26" t="s">
        <v>6443</v>
      </c>
      <c r="D428" s="26" t="s">
        <v>6444</v>
      </c>
      <c r="E428" s="26" t="s">
        <v>5654</v>
      </c>
      <c r="F428" s="27">
        <v>5182942</v>
      </c>
      <c r="G428" s="27">
        <v>0</v>
      </c>
      <c r="H428" s="27">
        <v>0</v>
      </c>
      <c r="I428" s="27">
        <v>0</v>
      </c>
      <c r="J428" s="30">
        <f t="shared" si="18"/>
        <v>0</v>
      </c>
      <c r="K428" s="30">
        <f t="shared" si="19"/>
        <v>0</v>
      </c>
      <c r="L428" s="26">
        <f t="shared" si="20"/>
        <v>0</v>
      </c>
      <c r="M428" s="26">
        <v>0</v>
      </c>
    </row>
    <row r="429" spans="1:13" ht="15" customHeight="1">
      <c r="A429" s="25" t="s">
        <v>6445</v>
      </c>
      <c r="B429" s="26" t="s">
        <v>5423</v>
      </c>
      <c r="C429" s="26" t="s">
        <v>6446</v>
      </c>
      <c r="D429" s="26" t="s">
        <v>6447</v>
      </c>
      <c r="E429" s="26" t="s">
        <v>5532</v>
      </c>
      <c r="F429" s="27">
        <v>5184122</v>
      </c>
      <c r="G429" s="27">
        <v>0</v>
      </c>
      <c r="H429" s="27">
        <v>0</v>
      </c>
      <c r="I429" s="27">
        <v>0</v>
      </c>
      <c r="J429" s="30">
        <f t="shared" si="18"/>
        <v>0</v>
      </c>
      <c r="K429" s="30">
        <f t="shared" si="19"/>
        <v>0</v>
      </c>
      <c r="L429" s="26">
        <f t="shared" si="20"/>
        <v>0</v>
      </c>
      <c r="M429" s="26">
        <v>0</v>
      </c>
    </row>
    <row r="430" spans="1:13" ht="15" customHeight="1">
      <c r="A430" s="25" t="s">
        <v>6448</v>
      </c>
      <c r="B430" s="26" t="s">
        <v>5427</v>
      </c>
      <c r="C430" s="26" t="s">
        <v>6449</v>
      </c>
      <c r="D430" s="26" t="s">
        <v>6450</v>
      </c>
      <c r="E430" s="26" t="s">
        <v>5447</v>
      </c>
      <c r="F430" s="27">
        <v>5183083</v>
      </c>
      <c r="G430" s="27">
        <v>0</v>
      </c>
      <c r="H430" s="27">
        <v>0</v>
      </c>
      <c r="I430" s="27">
        <v>0</v>
      </c>
      <c r="J430" s="30">
        <f t="shared" si="18"/>
        <v>0</v>
      </c>
      <c r="K430" s="30">
        <f t="shared" si="19"/>
        <v>0</v>
      </c>
      <c r="L430" s="26">
        <f t="shared" si="20"/>
        <v>0</v>
      </c>
      <c r="M430" s="26">
        <v>0</v>
      </c>
    </row>
    <row r="431" spans="1:13" ht="15" customHeight="1">
      <c r="A431" s="25" t="s">
        <v>6451</v>
      </c>
      <c r="B431" s="26" t="s">
        <v>5423</v>
      </c>
      <c r="C431" s="26" t="s">
        <v>6452</v>
      </c>
      <c r="D431" s="26" t="s">
        <v>6453</v>
      </c>
      <c r="E431" s="26" t="s">
        <v>5763</v>
      </c>
      <c r="F431" s="27">
        <v>5184319</v>
      </c>
      <c r="G431" s="27">
        <v>0</v>
      </c>
      <c r="H431" s="27">
        <v>0</v>
      </c>
      <c r="I431" s="27">
        <v>0</v>
      </c>
      <c r="J431" s="30">
        <f t="shared" si="18"/>
        <v>0</v>
      </c>
      <c r="K431" s="30">
        <f t="shared" si="19"/>
        <v>0</v>
      </c>
      <c r="L431" s="26">
        <f t="shared" si="20"/>
        <v>0</v>
      </c>
      <c r="M431" s="26">
        <v>0</v>
      </c>
    </row>
    <row r="432" spans="1:13" ht="15" customHeight="1">
      <c r="A432" s="25" t="s">
        <v>6454</v>
      </c>
      <c r="B432" s="26" t="s">
        <v>5423</v>
      </c>
      <c r="C432" s="26" t="s">
        <v>6455</v>
      </c>
      <c r="D432" s="26" t="s">
        <v>6456</v>
      </c>
      <c r="E432" s="26" t="s">
        <v>5532</v>
      </c>
      <c r="F432" s="27">
        <v>5137213</v>
      </c>
      <c r="G432" s="27">
        <v>1</v>
      </c>
      <c r="H432" s="27">
        <v>1</v>
      </c>
      <c r="I432" s="27">
        <v>1</v>
      </c>
      <c r="J432" s="30">
        <f t="shared" si="18"/>
        <v>1</v>
      </c>
      <c r="K432" s="30">
        <f t="shared" si="19"/>
        <v>1</v>
      </c>
      <c r="L432" s="26">
        <f t="shared" si="20"/>
        <v>1</v>
      </c>
      <c r="M432" s="26"/>
    </row>
    <row r="433" spans="1:13" ht="15" customHeight="1">
      <c r="A433" s="25" t="s">
        <v>6457</v>
      </c>
      <c r="B433" s="26" t="s">
        <v>5423</v>
      </c>
      <c r="C433" s="26" t="s">
        <v>6458</v>
      </c>
      <c r="D433" s="26" t="s">
        <v>6459</v>
      </c>
      <c r="E433" s="26" t="s">
        <v>5763</v>
      </c>
      <c r="F433" s="27">
        <v>5175878</v>
      </c>
      <c r="G433" s="27">
        <v>0</v>
      </c>
      <c r="H433" s="27">
        <v>1</v>
      </c>
      <c r="I433" s="27">
        <v>1</v>
      </c>
      <c r="J433" s="30">
        <f t="shared" si="18"/>
        <v>0</v>
      </c>
      <c r="K433" s="30">
        <f t="shared" si="19"/>
        <v>1</v>
      </c>
      <c r="L433" s="26">
        <f t="shared" si="20"/>
        <v>0</v>
      </c>
      <c r="M433" s="26"/>
    </row>
    <row r="434" spans="1:13" ht="15" customHeight="1">
      <c r="A434" s="25" t="s">
        <v>6460</v>
      </c>
      <c r="B434" s="26" t="s">
        <v>5423</v>
      </c>
      <c r="C434" s="26" t="s">
        <v>6461</v>
      </c>
      <c r="D434" s="26" t="s">
        <v>6462</v>
      </c>
      <c r="E434" s="26" t="s">
        <v>5529</v>
      </c>
      <c r="F434" s="27"/>
      <c r="G434" s="27">
        <v>0</v>
      </c>
      <c r="H434" s="27">
        <v>0</v>
      </c>
      <c r="I434" s="27">
        <v>0</v>
      </c>
      <c r="J434" s="30">
        <f t="shared" si="18"/>
        <v>0</v>
      </c>
      <c r="K434" s="30">
        <f t="shared" si="19"/>
        <v>0</v>
      </c>
      <c r="L434" s="26">
        <f t="shared" si="20"/>
        <v>0</v>
      </c>
      <c r="M434" s="26" t="s">
        <v>6310</v>
      </c>
    </row>
    <row r="435" spans="1:13" ht="15" customHeight="1">
      <c r="A435" s="25" t="s">
        <v>6463</v>
      </c>
      <c r="B435" s="26" t="s">
        <v>5423</v>
      </c>
      <c r="C435" s="26" t="s">
        <v>6464</v>
      </c>
      <c r="D435" s="26" t="s">
        <v>6465</v>
      </c>
      <c r="E435" s="26" t="s">
        <v>5532</v>
      </c>
      <c r="F435" s="27">
        <v>5186023</v>
      </c>
      <c r="G435" s="27">
        <v>0</v>
      </c>
      <c r="H435" s="27">
        <v>0</v>
      </c>
      <c r="I435" s="27">
        <v>0</v>
      </c>
      <c r="J435" s="30">
        <f t="shared" si="18"/>
        <v>0</v>
      </c>
      <c r="K435" s="30">
        <f t="shared" si="19"/>
        <v>0</v>
      </c>
      <c r="L435" s="26">
        <f t="shared" si="20"/>
        <v>0</v>
      </c>
      <c r="M435" s="26">
        <v>0</v>
      </c>
    </row>
    <row r="436" spans="1:13" ht="15" customHeight="1">
      <c r="A436" s="25" t="s">
        <v>6466</v>
      </c>
      <c r="B436" s="26" t="s">
        <v>5423</v>
      </c>
      <c r="C436" s="26" t="s">
        <v>6467</v>
      </c>
      <c r="D436" s="26" t="s">
        <v>6468</v>
      </c>
      <c r="E436" s="26" t="s">
        <v>5442</v>
      </c>
      <c r="F436" s="27">
        <v>5154143</v>
      </c>
      <c r="G436" s="27">
        <v>1</v>
      </c>
      <c r="H436" s="27">
        <v>0</v>
      </c>
      <c r="I436" s="27">
        <v>1</v>
      </c>
      <c r="J436" s="30">
        <f t="shared" si="18"/>
        <v>1</v>
      </c>
      <c r="K436" s="30">
        <f t="shared" si="19"/>
        <v>0</v>
      </c>
      <c r="L436" s="26">
        <f t="shared" si="20"/>
        <v>0</v>
      </c>
      <c r="M436" s="26"/>
    </row>
    <row r="437" spans="1:13" ht="15" customHeight="1">
      <c r="A437" s="25" t="s">
        <v>6469</v>
      </c>
      <c r="B437" s="26" t="s">
        <v>5427</v>
      </c>
      <c r="C437" s="26" t="s">
        <v>6470</v>
      </c>
      <c r="D437" s="26" t="s">
        <v>6471</v>
      </c>
      <c r="E437" s="26" t="s">
        <v>5532</v>
      </c>
      <c r="F437" s="27">
        <v>5184698</v>
      </c>
      <c r="G437" s="27">
        <v>0</v>
      </c>
      <c r="H437" s="27">
        <v>0</v>
      </c>
      <c r="I437" s="27">
        <v>0</v>
      </c>
      <c r="J437" s="30">
        <f t="shared" si="18"/>
        <v>0</v>
      </c>
      <c r="K437" s="30">
        <f t="shared" si="19"/>
        <v>0</v>
      </c>
      <c r="L437" s="26">
        <f t="shared" si="20"/>
        <v>0</v>
      </c>
      <c r="M437" s="26">
        <v>0</v>
      </c>
    </row>
    <row r="438" spans="1:13" ht="15" customHeight="1">
      <c r="A438" s="25" t="s">
        <v>6472</v>
      </c>
      <c r="B438" s="26" t="s">
        <v>5423</v>
      </c>
      <c r="C438" s="26" t="s">
        <v>6473</v>
      </c>
      <c r="D438" s="26" t="s">
        <v>6474</v>
      </c>
      <c r="E438" s="26" t="s">
        <v>5475</v>
      </c>
      <c r="F438" s="27">
        <v>4908352</v>
      </c>
      <c r="G438" s="27">
        <v>0</v>
      </c>
      <c r="H438" s="27">
        <v>0</v>
      </c>
      <c r="I438" s="27">
        <v>0</v>
      </c>
      <c r="J438" s="30">
        <f t="shared" si="18"/>
        <v>0</v>
      </c>
      <c r="K438" s="30">
        <f t="shared" si="19"/>
        <v>0</v>
      </c>
      <c r="L438" s="26">
        <f t="shared" si="20"/>
        <v>0</v>
      </c>
      <c r="M438" s="26">
        <v>0</v>
      </c>
    </row>
    <row r="439" spans="1:13" ht="15" customHeight="1">
      <c r="A439" s="25" t="s">
        <v>6475</v>
      </c>
      <c r="B439" s="26" t="s">
        <v>5423</v>
      </c>
      <c r="C439" s="26" t="s">
        <v>6476</v>
      </c>
      <c r="D439" s="26" t="s">
        <v>6477</v>
      </c>
      <c r="E439" s="26" t="s">
        <v>5491</v>
      </c>
      <c r="F439" s="27">
        <v>5186539</v>
      </c>
      <c r="G439" s="27">
        <v>0</v>
      </c>
      <c r="H439" s="27">
        <v>0</v>
      </c>
      <c r="I439" s="27">
        <v>0</v>
      </c>
      <c r="J439" s="30">
        <f t="shared" si="18"/>
        <v>0</v>
      </c>
      <c r="K439" s="30">
        <f t="shared" si="19"/>
        <v>0</v>
      </c>
      <c r="L439" s="26">
        <f t="shared" si="20"/>
        <v>0</v>
      </c>
      <c r="M439" s="26">
        <v>0</v>
      </c>
    </row>
    <row r="440" spans="1:13" ht="15" customHeight="1">
      <c r="A440" s="25" t="s">
        <v>6478</v>
      </c>
      <c r="B440" s="26" t="s">
        <v>5423</v>
      </c>
      <c r="C440" s="26" t="s">
        <v>6479</v>
      </c>
      <c r="D440" s="26" t="s">
        <v>6480</v>
      </c>
      <c r="E440" s="26" t="s">
        <v>5463</v>
      </c>
      <c r="F440" s="27"/>
      <c r="G440" s="27">
        <v>0</v>
      </c>
      <c r="H440" s="27">
        <v>0</v>
      </c>
      <c r="I440" s="27">
        <v>0</v>
      </c>
      <c r="J440" s="30">
        <f t="shared" si="18"/>
        <v>0</v>
      </c>
      <c r="K440" s="30">
        <f t="shared" si="19"/>
        <v>0</v>
      </c>
      <c r="L440" s="26">
        <f t="shared" si="20"/>
        <v>0</v>
      </c>
      <c r="M440" s="26">
        <v>0</v>
      </c>
    </row>
    <row r="441" spans="1:13" ht="15" customHeight="1">
      <c r="A441" s="25" t="s">
        <v>6481</v>
      </c>
      <c r="B441" s="26" t="s">
        <v>5423</v>
      </c>
      <c r="C441" s="26" t="s">
        <v>6482</v>
      </c>
      <c r="D441" s="26" t="s">
        <v>6483</v>
      </c>
      <c r="E441" s="26" t="s">
        <v>5433</v>
      </c>
      <c r="F441" s="27">
        <v>5189384</v>
      </c>
      <c r="G441" s="27">
        <v>0</v>
      </c>
      <c r="H441" s="27">
        <v>1</v>
      </c>
      <c r="I441" s="27">
        <v>1</v>
      </c>
      <c r="J441" s="30">
        <f t="shared" si="18"/>
        <v>0</v>
      </c>
      <c r="K441" s="30">
        <f t="shared" si="19"/>
        <v>1</v>
      </c>
      <c r="L441" s="26">
        <f t="shared" si="20"/>
        <v>0</v>
      </c>
      <c r="M441" s="26"/>
    </row>
    <row r="442" spans="1:13" ht="15" customHeight="1">
      <c r="A442" s="25" t="s">
        <v>6484</v>
      </c>
      <c r="B442" s="26" t="s">
        <v>5427</v>
      </c>
      <c r="C442" s="26" t="s">
        <v>6485</v>
      </c>
      <c r="D442" s="26" t="s">
        <v>6486</v>
      </c>
      <c r="E442" s="26" t="s">
        <v>5586</v>
      </c>
      <c r="F442" s="27">
        <v>4282805</v>
      </c>
      <c r="G442" s="27">
        <v>0</v>
      </c>
      <c r="H442" s="27">
        <v>0</v>
      </c>
      <c r="I442" s="27">
        <v>0</v>
      </c>
      <c r="J442" s="30">
        <f t="shared" si="18"/>
        <v>0</v>
      </c>
      <c r="K442" s="30">
        <f t="shared" si="19"/>
        <v>0</v>
      </c>
      <c r="L442" s="26">
        <f t="shared" si="20"/>
        <v>0</v>
      </c>
      <c r="M442" s="26">
        <v>0</v>
      </c>
    </row>
    <row r="443" spans="1:13" ht="15" customHeight="1">
      <c r="A443" s="25" t="s">
        <v>6487</v>
      </c>
      <c r="B443" s="26" t="s">
        <v>5423</v>
      </c>
      <c r="C443" s="26" t="s">
        <v>6488</v>
      </c>
      <c r="D443" s="26" t="s">
        <v>6489</v>
      </c>
      <c r="E443" s="26" t="s">
        <v>5455</v>
      </c>
      <c r="F443" s="27">
        <v>5189348</v>
      </c>
      <c r="G443" s="27">
        <v>0</v>
      </c>
      <c r="H443" s="27">
        <v>0</v>
      </c>
      <c r="I443" s="27">
        <v>0</v>
      </c>
      <c r="J443" s="30">
        <f t="shared" si="18"/>
        <v>0</v>
      </c>
      <c r="K443" s="30">
        <f t="shared" si="19"/>
        <v>0</v>
      </c>
      <c r="L443" s="26">
        <f t="shared" si="20"/>
        <v>0</v>
      </c>
      <c r="M443" s="26">
        <v>0</v>
      </c>
    </row>
    <row r="444" spans="1:13" ht="15" customHeight="1">
      <c r="A444" s="25" t="s">
        <v>6490</v>
      </c>
      <c r="B444" s="26" t="s">
        <v>5423</v>
      </c>
      <c r="C444" s="26" t="s">
        <v>6491</v>
      </c>
      <c r="D444" s="26" t="s">
        <v>6492</v>
      </c>
      <c r="E444" s="26" t="s">
        <v>5532</v>
      </c>
      <c r="F444" s="27">
        <v>5161003</v>
      </c>
      <c r="G444" s="27">
        <v>1</v>
      </c>
      <c r="H444" s="27">
        <v>1</v>
      </c>
      <c r="I444" s="27">
        <v>1</v>
      </c>
      <c r="J444" s="30">
        <f t="shared" si="18"/>
        <v>1</v>
      </c>
      <c r="K444" s="30">
        <f t="shared" si="19"/>
        <v>1</v>
      </c>
      <c r="L444" s="26">
        <f t="shared" si="20"/>
        <v>1</v>
      </c>
      <c r="M444" s="26"/>
    </row>
    <row r="445" spans="1:13" ht="15" customHeight="1">
      <c r="A445" s="25" t="s">
        <v>6493</v>
      </c>
      <c r="B445" s="26" t="s">
        <v>5423</v>
      </c>
      <c r="C445" s="26" t="s">
        <v>6494</v>
      </c>
      <c r="D445" s="26" t="s">
        <v>6495</v>
      </c>
      <c r="E445" s="26" t="s">
        <v>5463</v>
      </c>
      <c r="F445" s="27">
        <v>5189135</v>
      </c>
      <c r="G445" s="27">
        <v>1</v>
      </c>
      <c r="H445" s="27">
        <v>0</v>
      </c>
      <c r="I445" s="27">
        <v>1</v>
      </c>
      <c r="J445" s="30">
        <f t="shared" si="18"/>
        <v>1</v>
      </c>
      <c r="K445" s="30">
        <f t="shared" si="19"/>
        <v>0</v>
      </c>
      <c r="L445" s="26">
        <f t="shared" si="20"/>
        <v>0</v>
      </c>
      <c r="M445" s="26"/>
    </row>
    <row r="446" spans="1:13" ht="15" customHeight="1">
      <c r="A446" s="25" t="s">
        <v>6496</v>
      </c>
      <c r="B446" s="26" t="s">
        <v>5423</v>
      </c>
      <c r="C446" s="26" t="s">
        <v>6497</v>
      </c>
      <c r="D446" s="26" t="s">
        <v>6498</v>
      </c>
      <c r="E446" s="26" t="s">
        <v>5480</v>
      </c>
      <c r="F446" s="27">
        <v>5190304</v>
      </c>
      <c r="G446" s="27">
        <v>0</v>
      </c>
      <c r="H446" s="27">
        <v>0</v>
      </c>
      <c r="I446" s="27">
        <v>0</v>
      </c>
      <c r="J446" s="30">
        <f t="shared" si="18"/>
        <v>0</v>
      </c>
      <c r="K446" s="30">
        <f t="shared" si="19"/>
        <v>0</v>
      </c>
      <c r="L446" s="26">
        <f t="shared" si="20"/>
        <v>0</v>
      </c>
      <c r="M446" s="26">
        <v>0</v>
      </c>
    </row>
    <row r="447" spans="1:13" ht="15" customHeight="1">
      <c r="A447" s="25" t="s">
        <v>6499</v>
      </c>
      <c r="B447" s="26" t="s">
        <v>5427</v>
      </c>
      <c r="C447" s="26" t="s">
        <v>6500</v>
      </c>
      <c r="D447" s="26" t="s">
        <v>6501</v>
      </c>
      <c r="E447" s="26" t="s">
        <v>5517</v>
      </c>
      <c r="F447" s="27">
        <v>5016686</v>
      </c>
      <c r="G447" s="27">
        <v>0</v>
      </c>
      <c r="H447" s="27">
        <v>1</v>
      </c>
      <c r="I447" s="27">
        <v>1</v>
      </c>
      <c r="J447" s="30">
        <f t="shared" si="18"/>
        <v>0</v>
      </c>
      <c r="K447" s="30">
        <f t="shared" si="19"/>
        <v>1</v>
      </c>
      <c r="L447" s="26">
        <f t="shared" si="20"/>
        <v>0</v>
      </c>
      <c r="M447" s="26"/>
    </row>
    <row r="448" spans="1:13" ht="15" customHeight="1">
      <c r="A448" s="25" t="s">
        <v>6502</v>
      </c>
      <c r="B448" s="26" t="s">
        <v>5423</v>
      </c>
      <c r="C448" s="26" t="s">
        <v>6503</v>
      </c>
      <c r="D448" s="26" t="s">
        <v>6504</v>
      </c>
      <c r="E448" s="26" t="s">
        <v>5532</v>
      </c>
      <c r="F448" s="27">
        <v>5190778</v>
      </c>
      <c r="G448" s="27">
        <v>0</v>
      </c>
      <c r="H448" s="27">
        <v>0</v>
      </c>
      <c r="I448" s="27">
        <v>0</v>
      </c>
      <c r="J448" s="30">
        <f t="shared" si="18"/>
        <v>0</v>
      </c>
      <c r="K448" s="30">
        <f t="shared" si="19"/>
        <v>0</v>
      </c>
      <c r="L448" s="26">
        <f t="shared" si="20"/>
        <v>0</v>
      </c>
      <c r="M448" s="26">
        <v>0</v>
      </c>
    </row>
    <row r="449" spans="1:13" ht="15" customHeight="1">
      <c r="A449" s="25" t="s">
        <v>6505</v>
      </c>
      <c r="B449" s="26" t="s">
        <v>5427</v>
      </c>
      <c r="C449" s="26" t="s">
        <v>6506</v>
      </c>
      <c r="D449" s="26" t="s">
        <v>6507</v>
      </c>
      <c r="E449" s="26" t="s">
        <v>5439</v>
      </c>
      <c r="F449" s="27">
        <v>5174737</v>
      </c>
      <c r="G449" s="27">
        <v>0</v>
      </c>
      <c r="H449" s="27">
        <v>0</v>
      </c>
      <c r="I449" s="27">
        <v>0</v>
      </c>
      <c r="J449" s="30">
        <f t="shared" si="18"/>
        <v>0</v>
      </c>
      <c r="K449" s="30">
        <f t="shared" si="19"/>
        <v>0</v>
      </c>
      <c r="L449" s="26">
        <f t="shared" si="20"/>
        <v>0</v>
      </c>
      <c r="M449" s="26">
        <v>0</v>
      </c>
    </row>
    <row r="450" spans="1:13" ht="15" customHeight="1">
      <c r="A450" s="25" t="s">
        <v>6508</v>
      </c>
      <c r="B450" s="26" t="s">
        <v>5423</v>
      </c>
      <c r="C450" s="26" t="s">
        <v>6509</v>
      </c>
      <c r="D450" s="26" t="s">
        <v>6510</v>
      </c>
      <c r="E450" s="26" t="s">
        <v>5683</v>
      </c>
      <c r="F450" s="27">
        <v>5192926</v>
      </c>
      <c r="G450" s="27">
        <v>0</v>
      </c>
      <c r="H450" s="27">
        <v>1</v>
      </c>
      <c r="I450" s="27">
        <v>1</v>
      </c>
      <c r="J450" s="30">
        <f t="shared" ref="J450:J513" si="21">IF(G450&gt;0,1,0)</f>
        <v>0</v>
      </c>
      <c r="K450" s="30">
        <f t="shared" ref="K450:K513" si="22">IF(H450&gt;0,1,0)</f>
        <v>1</v>
      </c>
      <c r="L450" s="26">
        <f t="shared" ref="L450:L513" si="23">IF(G450&gt;0,IF(H450&gt;0,1,0),0)</f>
        <v>0</v>
      </c>
      <c r="M450" s="26"/>
    </row>
    <row r="451" spans="1:13" ht="15" customHeight="1">
      <c r="A451" s="25" t="s">
        <v>6511</v>
      </c>
      <c r="B451" s="26" t="s">
        <v>5427</v>
      </c>
      <c r="C451" s="26" t="s">
        <v>6512</v>
      </c>
      <c r="D451" s="26" t="s">
        <v>6513</v>
      </c>
      <c r="E451" s="26" t="s">
        <v>5447</v>
      </c>
      <c r="F451" s="27">
        <v>5193091</v>
      </c>
      <c r="G451" s="27">
        <v>1</v>
      </c>
      <c r="H451" s="27">
        <v>0</v>
      </c>
      <c r="I451" s="27">
        <v>1</v>
      </c>
      <c r="J451" s="30">
        <f t="shared" si="21"/>
        <v>1</v>
      </c>
      <c r="K451" s="30">
        <f t="shared" si="22"/>
        <v>0</v>
      </c>
      <c r="L451" s="26">
        <f t="shared" si="23"/>
        <v>0</v>
      </c>
      <c r="M451" s="26"/>
    </row>
    <row r="452" spans="1:13" ht="15" customHeight="1">
      <c r="A452" s="25" t="s">
        <v>6514</v>
      </c>
      <c r="B452" s="26" t="s">
        <v>5423</v>
      </c>
      <c r="C452" s="26" t="s">
        <v>6515</v>
      </c>
      <c r="D452" s="26" t="s">
        <v>6516</v>
      </c>
      <c r="E452" s="26" t="s">
        <v>5439</v>
      </c>
      <c r="F452" s="27">
        <v>5148246</v>
      </c>
      <c r="G452" s="27">
        <v>0</v>
      </c>
      <c r="H452" s="27">
        <v>0</v>
      </c>
      <c r="I452" s="27">
        <v>0</v>
      </c>
      <c r="J452" s="30">
        <f t="shared" si="21"/>
        <v>0</v>
      </c>
      <c r="K452" s="30">
        <f t="shared" si="22"/>
        <v>0</v>
      </c>
      <c r="L452" s="26">
        <f t="shared" si="23"/>
        <v>0</v>
      </c>
      <c r="M452" s="26">
        <v>0</v>
      </c>
    </row>
    <row r="453" spans="1:13" ht="15" customHeight="1">
      <c r="A453" s="25" t="s">
        <v>6517</v>
      </c>
      <c r="B453" s="26" t="s">
        <v>5423</v>
      </c>
      <c r="C453" s="26" t="s">
        <v>6518</v>
      </c>
      <c r="D453" s="26" t="s">
        <v>6519</v>
      </c>
      <c r="E453" s="26" t="s">
        <v>5426</v>
      </c>
      <c r="F453" s="27">
        <v>5189238</v>
      </c>
      <c r="G453" s="27">
        <v>1</v>
      </c>
      <c r="H453" s="27">
        <v>1</v>
      </c>
      <c r="I453" s="27">
        <v>1</v>
      </c>
      <c r="J453" s="30">
        <f t="shared" si="21"/>
        <v>1</v>
      </c>
      <c r="K453" s="30">
        <f t="shared" si="22"/>
        <v>1</v>
      </c>
      <c r="L453" s="26">
        <f t="shared" si="23"/>
        <v>1</v>
      </c>
      <c r="M453" s="26"/>
    </row>
    <row r="454" spans="1:13" ht="15" customHeight="1">
      <c r="A454" s="25" t="s">
        <v>6520</v>
      </c>
      <c r="B454" s="26" t="s">
        <v>5423</v>
      </c>
      <c r="C454" s="26" t="s">
        <v>6521</v>
      </c>
      <c r="D454" s="26" t="s">
        <v>6522</v>
      </c>
      <c r="E454" s="26" t="s">
        <v>5463</v>
      </c>
      <c r="F454" s="27">
        <v>5192284</v>
      </c>
      <c r="G454" s="27">
        <v>0</v>
      </c>
      <c r="H454" s="27">
        <v>0</v>
      </c>
      <c r="I454" s="27">
        <v>0</v>
      </c>
      <c r="J454" s="30">
        <f t="shared" si="21"/>
        <v>0</v>
      </c>
      <c r="K454" s="30">
        <f t="shared" si="22"/>
        <v>0</v>
      </c>
      <c r="L454" s="26">
        <f t="shared" si="23"/>
        <v>0</v>
      </c>
      <c r="M454" s="26">
        <v>0</v>
      </c>
    </row>
    <row r="455" spans="1:13" ht="15" customHeight="1">
      <c r="A455" s="25" t="s">
        <v>6523</v>
      </c>
      <c r="B455" s="26" t="s">
        <v>5423</v>
      </c>
      <c r="C455" s="26" t="s">
        <v>6524</v>
      </c>
      <c r="D455" s="26" t="s">
        <v>6525</v>
      </c>
      <c r="E455" s="26" t="s">
        <v>5683</v>
      </c>
      <c r="F455" s="27">
        <v>3891921</v>
      </c>
      <c r="G455" s="27">
        <v>1</v>
      </c>
      <c r="H455" s="27">
        <v>1</v>
      </c>
      <c r="I455" s="27">
        <v>1</v>
      </c>
      <c r="J455" s="30">
        <f t="shared" si="21"/>
        <v>1</v>
      </c>
      <c r="K455" s="30">
        <f t="shared" si="22"/>
        <v>1</v>
      </c>
      <c r="L455" s="26">
        <f t="shared" si="23"/>
        <v>1</v>
      </c>
      <c r="M455" s="26"/>
    </row>
    <row r="456" spans="1:13" ht="15" customHeight="1">
      <c r="A456" s="25" t="s">
        <v>6526</v>
      </c>
      <c r="B456" s="26" t="s">
        <v>5427</v>
      </c>
      <c r="C456" s="26" t="s">
        <v>6527</v>
      </c>
      <c r="D456" s="26" t="s">
        <v>6528</v>
      </c>
      <c r="E456" s="26" t="s">
        <v>5683</v>
      </c>
      <c r="F456" s="27">
        <v>5167711</v>
      </c>
      <c r="G456" s="27">
        <v>1</v>
      </c>
      <c r="H456" s="27">
        <v>0</v>
      </c>
      <c r="I456" s="27">
        <v>1</v>
      </c>
      <c r="J456" s="30">
        <f t="shared" si="21"/>
        <v>1</v>
      </c>
      <c r="K456" s="30">
        <f t="shared" si="22"/>
        <v>0</v>
      </c>
      <c r="L456" s="26">
        <f t="shared" si="23"/>
        <v>0</v>
      </c>
      <c r="M456" s="26"/>
    </row>
    <row r="457" spans="1:13" ht="15" customHeight="1">
      <c r="A457" s="25" t="s">
        <v>6529</v>
      </c>
      <c r="B457" s="26" t="s">
        <v>5423</v>
      </c>
      <c r="C457" s="26" t="s">
        <v>6530</v>
      </c>
      <c r="D457" s="26" t="s">
        <v>6531</v>
      </c>
      <c r="E457" s="26" t="s">
        <v>5426</v>
      </c>
      <c r="F457" s="27">
        <v>5192681</v>
      </c>
      <c r="G457" s="27">
        <v>1</v>
      </c>
      <c r="H457" s="27">
        <v>0</v>
      </c>
      <c r="I457" s="27">
        <v>1</v>
      </c>
      <c r="J457" s="30">
        <f t="shared" si="21"/>
        <v>1</v>
      </c>
      <c r="K457" s="30">
        <f t="shared" si="22"/>
        <v>0</v>
      </c>
      <c r="L457" s="26">
        <f t="shared" si="23"/>
        <v>0</v>
      </c>
      <c r="M457" s="26"/>
    </row>
    <row r="458" spans="1:13" ht="15" customHeight="1">
      <c r="A458" s="25" t="s">
        <v>6532</v>
      </c>
      <c r="B458" s="26" t="s">
        <v>5427</v>
      </c>
      <c r="C458" s="26" t="s">
        <v>6533</v>
      </c>
      <c r="D458" s="26" t="s">
        <v>6534</v>
      </c>
      <c r="E458" s="26" t="s">
        <v>5447</v>
      </c>
      <c r="F458" s="27">
        <v>5193831</v>
      </c>
      <c r="G458" s="27">
        <v>1</v>
      </c>
      <c r="H458" s="27">
        <v>0</v>
      </c>
      <c r="I458" s="27">
        <v>1</v>
      </c>
      <c r="J458" s="30">
        <f t="shared" si="21"/>
        <v>1</v>
      </c>
      <c r="K458" s="30">
        <f t="shared" si="22"/>
        <v>0</v>
      </c>
      <c r="L458" s="26">
        <f t="shared" si="23"/>
        <v>0</v>
      </c>
      <c r="M458" s="26"/>
    </row>
    <row r="459" spans="1:13" ht="15" customHeight="1">
      <c r="A459" s="25" t="s">
        <v>6535</v>
      </c>
      <c r="B459" s="26" t="s">
        <v>5423</v>
      </c>
      <c r="C459" s="26" t="s">
        <v>6536</v>
      </c>
      <c r="D459" s="26" t="s">
        <v>6537</v>
      </c>
      <c r="E459" s="26" t="s">
        <v>5468</v>
      </c>
      <c r="F459" s="27">
        <v>5193526</v>
      </c>
      <c r="G459" s="27">
        <v>1</v>
      </c>
      <c r="H459" s="27">
        <v>0</v>
      </c>
      <c r="I459" s="27">
        <v>1</v>
      </c>
      <c r="J459" s="30">
        <f t="shared" si="21"/>
        <v>1</v>
      </c>
      <c r="K459" s="30">
        <f t="shared" si="22"/>
        <v>0</v>
      </c>
      <c r="L459" s="26">
        <f t="shared" si="23"/>
        <v>0</v>
      </c>
      <c r="M459" s="26"/>
    </row>
    <row r="460" spans="1:13" ht="15" customHeight="1">
      <c r="A460" s="25" t="s">
        <v>6538</v>
      </c>
      <c r="B460" s="26" t="s">
        <v>5423</v>
      </c>
      <c r="C460" s="26" t="s">
        <v>6539</v>
      </c>
      <c r="D460" s="26" t="s">
        <v>6540</v>
      </c>
      <c r="E460" s="26" t="s">
        <v>6541</v>
      </c>
      <c r="F460" s="27">
        <v>5178400</v>
      </c>
      <c r="G460" s="27">
        <v>1</v>
      </c>
      <c r="H460" s="27">
        <v>1</v>
      </c>
      <c r="I460" s="27">
        <v>1</v>
      </c>
      <c r="J460" s="30">
        <f t="shared" si="21"/>
        <v>1</v>
      </c>
      <c r="K460" s="30">
        <f t="shared" si="22"/>
        <v>1</v>
      </c>
      <c r="L460" s="26">
        <f t="shared" si="23"/>
        <v>1</v>
      </c>
      <c r="M460" s="26"/>
    </row>
    <row r="461" spans="1:13" ht="15" customHeight="1">
      <c r="A461" s="25" t="s">
        <v>6542</v>
      </c>
      <c r="B461" s="26" t="s">
        <v>5423</v>
      </c>
      <c r="C461" s="26" t="s">
        <v>6543</v>
      </c>
      <c r="D461" s="26" t="s">
        <v>6544</v>
      </c>
      <c r="E461" s="26" t="s">
        <v>5491</v>
      </c>
      <c r="F461" s="27">
        <v>4978901</v>
      </c>
      <c r="G461" s="27">
        <v>1</v>
      </c>
      <c r="H461" s="27">
        <v>0</v>
      </c>
      <c r="I461" s="27">
        <v>1</v>
      </c>
      <c r="J461" s="30">
        <f t="shared" si="21"/>
        <v>1</v>
      </c>
      <c r="K461" s="30">
        <f t="shared" si="22"/>
        <v>0</v>
      </c>
      <c r="L461" s="26">
        <f t="shared" si="23"/>
        <v>0</v>
      </c>
      <c r="M461" s="26"/>
    </row>
    <row r="462" spans="1:13" ht="15" customHeight="1">
      <c r="A462" s="25">
        <v>1452100</v>
      </c>
      <c r="B462" s="26" t="s">
        <v>5423</v>
      </c>
      <c r="C462" s="26" t="s">
        <v>6545</v>
      </c>
      <c r="D462" s="26" t="s">
        <v>6546</v>
      </c>
      <c r="E462" s="26" t="s">
        <v>5603</v>
      </c>
      <c r="F462" s="27">
        <v>5189698</v>
      </c>
      <c r="G462" s="27">
        <v>1</v>
      </c>
      <c r="H462" s="27">
        <v>0</v>
      </c>
      <c r="I462" s="27">
        <v>1</v>
      </c>
      <c r="J462" s="30">
        <f t="shared" si="21"/>
        <v>1</v>
      </c>
      <c r="K462" s="30">
        <f t="shared" si="22"/>
        <v>0</v>
      </c>
      <c r="L462" s="26">
        <f t="shared" si="23"/>
        <v>0</v>
      </c>
      <c r="M462" s="26"/>
    </row>
    <row r="463" spans="1:13" ht="15" customHeight="1">
      <c r="A463" s="25">
        <v>1452744</v>
      </c>
      <c r="B463" s="26" t="s">
        <v>5423</v>
      </c>
      <c r="C463" s="26" t="s">
        <v>6547</v>
      </c>
      <c r="D463" s="26" t="s">
        <v>6548</v>
      </c>
      <c r="E463" s="26" t="s">
        <v>5683</v>
      </c>
      <c r="F463" s="27">
        <v>5197336</v>
      </c>
      <c r="G463" s="27">
        <v>1</v>
      </c>
      <c r="H463" s="27">
        <v>0</v>
      </c>
      <c r="I463" s="27">
        <v>1</v>
      </c>
      <c r="J463" s="30">
        <f t="shared" si="21"/>
        <v>1</v>
      </c>
      <c r="K463" s="30">
        <f t="shared" si="22"/>
        <v>0</v>
      </c>
      <c r="L463" s="26">
        <f t="shared" si="23"/>
        <v>0</v>
      </c>
      <c r="M463" s="26"/>
    </row>
    <row r="464" spans="1:13" ht="15" customHeight="1">
      <c r="A464" s="25" t="s">
        <v>6549</v>
      </c>
      <c r="B464" s="26" t="s">
        <v>5423</v>
      </c>
      <c r="C464" s="26" t="s">
        <v>6550</v>
      </c>
      <c r="D464" s="26" t="s">
        <v>6551</v>
      </c>
      <c r="E464" s="26" t="s">
        <v>5455</v>
      </c>
      <c r="F464" s="27">
        <v>5188526</v>
      </c>
      <c r="G464" s="27">
        <v>0</v>
      </c>
      <c r="H464" s="27">
        <v>0</v>
      </c>
      <c r="I464" s="27">
        <v>0</v>
      </c>
      <c r="J464" s="30">
        <f t="shared" si="21"/>
        <v>0</v>
      </c>
      <c r="K464" s="30">
        <f t="shared" si="22"/>
        <v>0</v>
      </c>
      <c r="L464" s="26">
        <f t="shared" si="23"/>
        <v>0</v>
      </c>
      <c r="M464" s="26">
        <v>0</v>
      </c>
    </row>
    <row r="465" spans="1:13" ht="15" customHeight="1">
      <c r="A465" s="25">
        <v>1453010</v>
      </c>
      <c r="B465" s="26" t="s">
        <v>5423</v>
      </c>
      <c r="C465" s="26" t="s">
        <v>6552</v>
      </c>
      <c r="D465" s="26" t="s">
        <v>6553</v>
      </c>
      <c r="E465" s="26" t="s">
        <v>5529</v>
      </c>
      <c r="F465" s="27">
        <v>5198837</v>
      </c>
      <c r="G465" s="27">
        <v>1</v>
      </c>
      <c r="H465" s="27">
        <v>0</v>
      </c>
      <c r="I465" s="27">
        <v>1</v>
      </c>
      <c r="J465" s="30">
        <f t="shared" si="21"/>
        <v>1</v>
      </c>
      <c r="K465" s="30">
        <f t="shared" si="22"/>
        <v>0</v>
      </c>
      <c r="L465" s="26">
        <f t="shared" si="23"/>
        <v>0</v>
      </c>
      <c r="M465" s="26"/>
    </row>
    <row r="466" spans="1:13" ht="15" customHeight="1">
      <c r="A466" s="25">
        <v>1453454</v>
      </c>
      <c r="B466" s="26" t="s">
        <v>5423</v>
      </c>
      <c r="C466" s="26" t="s">
        <v>6554</v>
      </c>
      <c r="D466" s="26" t="s">
        <v>6555</v>
      </c>
      <c r="E466" s="26" t="s">
        <v>5535</v>
      </c>
      <c r="F466" s="27">
        <v>677970</v>
      </c>
      <c r="G466" s="27">
        <v>0</v>
      </c>
      <c r="H466" s="27">
        <v>0</v>
      </c>
      <c r="I466" s="27">
        <v>0</v>
      </c>
      <c r="J466" s="30">
        <f t="shared" si="21"/>
        <v>0</v>
      </c>
      <c r="K466" s="30">
        <f t="shared" si="22"/>
        <v>0</v>
      </c>
      <c r="L466" s="26">
        <f t="shared" si="23"/>
        <v>0</v>
      </c>
      <c r="M466" s="26">
        <v>0</v>
      </c>
    </row>
    <row r="467" spans="1:13" ht="15" customHeight="1">
      <c r="A467" s="25">
        <v>1453570</v>
      </c>
      <c r="B467" s="26" t="s">
        <v>5423</v>
      </c>
      <c r="C467" s="26" t="s">
        <v>6556</v>
      </c>
      <c r="D467" s="26" t="s">
        <v>6557</v>
      </c>
      <c r="E467" s="26" t="s">
        <v>5439</v>
      </c>
      <c r="F467" s="27">
        <v>5200055</v>
      </c>
      <c r="G467" s="27">
        <v>1</v>
      </c>
      <c r="H467" s="27">
        <v>0</v>
      </c>
      <c r="I467" s="27">
        <v>1</v>
      </c>
      <c r="J467" s="30">
        <f t="shared" si="21"/>
        <v>1</v>
      </c>
      <c r="K467" s="30">
        <f t="shared" si="22"/>
        <v>0</v>
      </c>
      <c r="L467" s="26">
        <f t="shared" si="23"/>
        <v>0</v>
      </c>
      <c r="M467" s="26"/>
    </row>
    <row r="468" spans="1:13" ht="15" customHeight="1">
      <c r="A468" s="25">
        <v>1453574</v>
      </c>
      <c r="B468" s="26" t="s">
        <v>5423</v>
      </c>
      <c r="C468" s="26" t="s">
        <v>6558</v>
      </c>
      <c r="D468" s="26" t="s">
        <v>6559</v>
      </c>
      <c r="E468" s="26" t="s">
        <v>5447</v>
      </c>
      <c r="F468" s="27">
        <v>5155717</v>
      </c>
      <c r="G468" s="27">
        <v>1</v>
      </c>
      <c r="H468" s="27">
        <v>0</v>
      </c>
      <c r="I468" s="27">
        <v>1</v>
      </c>
      <c r="J468" s="30">
        <f t="shared" si="21"/>
        <v>1</v>
      </c>
      <c r="K468" s="30">
        <f t="shared" si="22"/>
        <v>0</v>
      </c>
      <c r="L468" s="26">
        <f t="shared" si="23"/>
        <v>0</v>
      </c>
      <c r="M468" s="26"/>
    </row>
    <row r="469" spans="1:13" ht="15" customHeight="1">
      <c r="A469" s="25" t="s">
        <v>6560</v>
      </c>
      <c r="B469" s="26" t="s">
        <v>5423</v>
      </c>
      <c r="C469" s="26" t="s">
        <v>6561</v>
      </c>
      <c r="D469" s="26" t="s">
        <v>6562</v>
      </c>
      <c r="E469" s="26" t="s">
        <v>5430</v>
      </c>
      <c r="F469" s="27"/>
      <c r="G469" s="27">
        <v>0</v>
      </c>
      <c r="H469" s="27">
        <v>0</v>
      </c>
      <c r="I469" s="27">
        <v>0</v>
      </c>
      <c r="J469" s="30">
        <f t="shared" si="21"/>
        <v>0</v>
      </c>
      <c r="K469" s="30">
        <f t="shared" si="22"/>
        <v>0</v>
      </c>
      <c r="L469" s="26">
        <f t="shared" si="23"/>
        <v>0</v>
      </c>
      <c r="M469" s="26">
        <v>0</v>
      </c>
    </row>
    <row r="470" spans="1:13" ht="15" customHeight="1">
      <c r="A470" s="25" t="s">
        <v>6563</v>
      </c>
      <c r="B470" s="26" t="s">
        <v>5423</v>
      </c>
      <c r="C470" s="26" t="s">
        <v>6564</v>
      </c>
      <c r="D470" s="26" t="s">
        <v>6565</v>
      </c>
      <c r="E470" s="26" t="s">
        <v>5439</v>
      </c>
      <c r="F470" s="27">
        <v>5200180</v>
      </c>
      <c r="G470" s="27">
        <v>1</v>
      </c>
      <c r="H470" s="27">
        <v>0</v>
      </c>
      <c r="I470" s="27">
        <v>1</v>
      </c>
      <c r="J470" s="30">
        <f t="shared" si="21"/>
        <v>1</v>
      </c>
      <c r="K470" s="30">
        <f t="shared" si="22"/>
        <v>0</v>
      </c>
      <c r="L470" s="26">
        <f t="shared" si="23"/>
        <v>0</v>
      </c>
      <c r="M470" s="26"/>
    </row>
    <row r="471" spans="1:13" ht="15" customHeight="1">
      <c r="A471" s="25" t="s">
        <v>6566</v>
      </c>
      <c r="B471" s="26" t="s">
        <v>5423</v>
      </c>
      <c r="C471" s="26" t="s">
        <v>6567</v>
      </c>
      <c r="D471" s="26" t="s">
        <v>6568</v>
      </c>
      <c r="E471" s="26" t="s">
        <v>5707</v>
      </c>
      <c r="F471" s="27">
        <v>5199215</v>
      </c>
      <c r="G471" s="27">
        <v>0</v>
      </c>
      <c r="H471" s="27">
        <v>0</v>
      </c>
      <c r="I471" s="27">
        <v>0</v>
      </c>
      <c r="J471" s="30">
        <f t="shared" si="21"/>
        <v>0</v>
      </c>
      <c r="K471" s="30">
        <f t="shared" si="22"/>
        <v>0</v>
      </c>
      <c r="L471" s="26">
        <f t="shared" si="23"/>
        <v>0</v>
      </c>
      <c r="M471" s="26">
        <v>0</v>
      </c>
    </row>
    <row r="472" spans="1:13" ht="15" customHeight="1">
      <c r="A472" s="25" t="s">
        <v>6569</v>
      </c>
      <c r="B472" s="26" t="s">
        <v>5423</v>
      </c>
      <c r="C472" s="26" t="s">
        <v>6570</v>
      </c>
      <c r="D472" s="26" t="s">
        <v>6571</v>
      </c>
      <c r="E472" s="26" t="s">
        <v>5491</v>
      </c>
      <c r="F472" s="27">
        <v>5200801</v>
      </c>
      <c r="G472" s="27">
        <v>0</v>
      </c>
      <c r="H472" s="27">
        <v>0</v>
      </c>
      <c r="I472" s="27">
        <v>0</v>
      </c>
      <c r="J472" s="30">
        <f t="shared" si="21"/>
        <v>0</v>
      </c>
      <c r="K472" s="30">
        <f t="shared" si="22"/>
        <v>0</v>
      </c>
      <c r="L472" s="26">
        <f t="shared" si="23"/>
        <v>0</v>
      </c>
      <c r="M472" s="26">
        <v>0</v>
      </c>
    </row>
    <row r="473" spans="1:13" ht="15" customHeight="1">
      <c r="A473" s="25" t="s">
        <v>6572</v>
      </c>
      <c r="B473" s="26" t="s">
        <v>5423</v>
      </c>
      <c r="C473" s="26" t="s">
        <v>6573</v>
      </c>
      <c r="D473" s="26" t="s">
        <v>6574</v>
      </c>
      <c r="E473" s="26" t="s">
        <v>5436</v>
      </c>
      <c r="F473" s="27">
        <v>5201438</v>
      </c>
      <c r="G473" s="27">
        <v>0</v>
      </c>
      <c r="H473" s="27">
        <v>0</v>
      </c>
      <c r="I473" s="27">
        <v>0</v>
      </c>
      <c r="J473" s="30">
        <f t="shared" si="21"/>
        <v>0</v>
      </c>
      <c r="K473" s="30">
        <f t="shared" si="22"/>
        <v>0</v>
      </c>
      <c r="L473" s="26">
        <f t="shared" si="23"/>
        <v>0</v>
      </c>
      <c r="M473" s="26">
        <v>0</v>
      </c>
    </row>
    <row r="474" spans="1:13" ht="15" customHeight="1">
      <c r="A474" s="25" t="s">
        <v>6575</v>
      </c>
      <c r="B474" s="26" t="s">
        <v>5423</v>
      </c>
      <c r="C474" s="26" t="s">
        <v>6576</v>
      </c>
      <c r="D474" s="26" t="s">
        <v>6577</v>
      </c>
      <c r="E474" s="26" t="s">
        <v>5488</v>
      </c>
      <c r="F474" s="27">
        <v>5204559</v>
      </c>
      <c r="G474" s="27">
        <v>0</v>
      </c>
      <c r="H474" s="27">
        <v>0</v>
      </c>
      <c r="I474" s="27">
        <v>0</v>
      </c>
      <c r="J474" s="30">
        <f t="shared" si="21"/>
        <v>0</v>
      </c>
      <c r="K474" s="30">
        <f t="shared" si="22"/>
        <v>0</v>
      </c>
      <c r="L474" s="26">
        <f t="shared" si="23"/>
        <v>0</v>
      </c>
      <c r="M474" s="26">
        <v>0</v>
      </c>
    </row>
    <row r="475" spans="1:13" ht="15" customHeight="1">
      <c r="A475" s="25" t="s">
        <v>6578</v>
      </c>
      <c r="B475" s="26" t="s">
        <v>5423</v>
      </c>
      <c r="C475" s="26" t="s">
        <v>6579</v>
      </c>
      <c r="D475" s="26" t="s">
        <v>6580</v>
      </c>
      <c r="E475" s="26" t="s">
        <v>5517</v>
      </c>
      <c r="F475" s="27">
        <v>5204911</v>
      </c>
      <c r="G475" s="27">
        <v>0</v>
      </c>
      <c r="H475" s="27">
        <v>0</v>
      </c>
      <c r="I475" s="27">
        <v>0</v>
      </c>
      <c r="J475" s="30">
        <f t="shared" si="21"/>
        <v>0</v>
      </c>
      <c r="K475" s="30">
        <f t="shared" si="22"/>
        <v>0</v>
      </c>
      <c r="L475" s="26">
        <f t="shared" si="23"/>
        <v>0</v>
      </c>
      <c r="M475" s="26">
        <v>0</v>
      </c>
    </row>
    <row r="476" spans="1:13" ht="15" customHeight="1">
      <c r="A476" s="25" t="s">
        <v>6581</v>
      </c>
      <c r="B476" s="26" t="s">
        <v>5423</v>
      </c>
      <c r="C476" s="26" t="s">
        <v>6582</v>
      </c>
      <c r="D476" s="26" t="s">
        <v>6583</v>
      </c>
      <c r="E476" s="26" t="s">
        <v>5436</v>
      </c>
      <c r="F476" s="27">
        <v>5206478</v>
      </c>
      <c r="G476" s="27">
        <v>1</v>
      </c>
      <c r="H476" s="27">
        <v>0</v>
      </c>
      <c r="I476" s="27">
        <v>1</v>
      </c>
      <c r="J476" s="30">
        <f t="shared" si="21"/>
        <v>1</v>
      </c>
      <c r="K476" s="30">
        <f t="shared" si="22"/>
        <v>0</v>
      </c>
      <c r="L476" s="26">
        <f t="shared" si="23"/>
        <v>0</v>
      </c>
      <c r="M476" s="26"/>
    </row>
    <row r="477" spans="1:13" ht="15" customHeight="1">
      <c r="A477" s="25" t="s">
        <v>6584</v>
      </c>
      <c r="B477" s="26" t="s">
        <v>5423</v>
      </c>
      <c r="C477" s="26" t="s">
        <v>6585</v>
      </c>
      <c r="D477" s="26" t="s">
        <v>6586</v>
      </c>
      <c r="E477" s="26" t="s">
        <v>5463</v>
      </c>
      <c r="F477" s="27">
        <v>5206893</v>
      </c>
      <c r="G477" s="27">
        <v>1</v>
      </c>
      <c r="H477" s="27">
        <v>0</v>
      </c>
      <c r="I477" s="27">
        <v>1</v>
      </c>
      <c r="J477" s="30">
        <f t="shared" si="21"/>
        <v>1</v>
      </c>
      <c r="K477" s="30">
        <f t="shared" si="22"/>
        <v>0</v>
      </c>
      <c r="L477" s="26">
        <f t="shared" si="23"/>
        <v>0</v>
      </c>
      <c r="M477" s="26"/>
    </row>
    <row r="478" spans="1:13" ht="15" customHeight="1">
      <c r="A478" s="25" t="s">
        <v>6587</v>
      </c>
      <c r="B478" s="26" t="s">
        <v>5427</v>
      </c>
      <c r="C478" s="26" t="s">
        <v>6588</v>
      </c>
      <c r="D478" s="26" t="s">
        <v>6589</v>
      </c>
      <c r="E478" s="26" t="s">
        <v>5436</v>
      </c>
      <c r="F478" s="27">
        <v>5207572</v>
      </c>
      <c r="G478" s="27">
        <v>1</v>
      </c>
      <c r="H478" s="27">
        <v>0</v>
      </c>
      <c r="I478" s="27">
        <v>1</v>
      </c>
      <c r="J478" s="30">
        <f t="shared" si="21"/>
        <v>1</v>
      </c>
      <c r="K478" s="30">
        <f t="shared" si="22"/>
        <v>0</v>
      </c>
      <c r="L478" s="26">
        <f t="shared" si="23"/>
        <v>0</v>
      </c>
      <c r="M478" s="26"/>
    </row>
    <row r="479" spans="1:13" ht="15" customHeight="1">
      <c r="A479" s="25" t="s">
        <v>6590</v>
      </c>
      <c r="B479" s="26" t="s">
        <v>5423</v>
      </c>
      <c r="C479" s="26" t="s">
        <v>6591</v>
      </c>
      <c r="D479" s="26" t="s">
        <v>6592</v>
      </c>
      <c r="E479" s="26" t="s">
        <v>5522</v>
      </c>
      <c r="F479" s="27">
        <v>5213132</v>
      </c>
      <c r="G479" s="27">
        <v>0</v>
      </c>
      <c r="H479" s="27">
        <v>0</v>
      </c>
      <c r="I479" s="27">
        <v>0</v>
      </c>
      <c r="J479" s="30">
        <f t="shared" si="21"/>
        <v>0</v>
      </c>
      <c r="K479" s="30">
        <f t="shared" si="22"/>
        <v>0</v>
      </c>
      <c r="L479" s="26">
        <f t="shared" si="23"/>
        <v>0</v>
      </c>
      <c r="M479" s="26">
        <v>0</v>
      </c>
    </row>
    <row r="480" spans="1:13" ht="15" customHeight="1">
      <c r="A480" s="25" t="s">
        <v>6593</v>
      </c>
      <c r="B480" s="26" t="s">
        <v>5423</v>
      </c>
      <c r="C480" s="26" t="s">
        <v>6594</v>
      </c>
      <c r="D480" s="26" t="s">
        <v>6595</v>
      </c>
      <c r="E480" s="26" t="s">
        <v>5540</v>
      </c>
      <c r="F480" s="27">
        <v>5206600</v>
      </c>
      <c r="G480" s="27">
        <v>0</v>
      </c>
      <c r="H480" s="27">
        <v>0</v>
      </c>
      <c r="I480" s="27">
        <v>0</v>
      </c>
      <c r="J480" s="30">
        <f t="shared" si="21"/>
        <v>0</v>
      </c>
      <c r="K480" s="30">
        <f t="shared" si="22"/>
        <v>0</v>
      </c>
      <c r="L480" s="26">
        <f t="shared" si="23"/>
        <v>0</v>
      </c>
      <c r="M480" s="26">
        <v>0</v>
      </c>
    </row>
    <row r="481" spans="1:13" ht="15" customHeight="1">
      <c r="A481" s="25" t="s">
        <v>6596</v>
      </c>
      <c r="B481" s="26" t="s">
        <v>5423</v>
      </c>
      <c r="C481" s="26" t="s">
        <v>6597</v>
      </c>
      <c r="D481" s="26" t="s">
        <v>6598</v>
      </c>
      <c r="E481" s="26" t="s">
        <v>5532</v>
      </c>
      <c r="F481" s="27">
        <v>5206633</v>
      </c>
      <c r="G481" s="27">
        <v>0</v>
      </c>
      <c r="H481" s="27">
        <v>0</v>
      </c>
      <c r="I481" s="27">
        <v>0</v>
      </c>
      <c r="J481" s="30">
        <f t="shared" si="21"/>
        <v>0</v>
      </c>
      <c r="K481" s="30">
        <f t="shared" si="22"/>
        <v>0</v>
      </c>
      <c r="L481" s="26">
        <f t="shared" si="23"/>
        <v>0</v>
      </c>
      <c r="M481" s="26">
        <v>0</v>
      </c>
    </row>
    <row r="482" spans="1:13" ht="15" customHeight="1">
      <c r="A482" s="25" t="s">
        <v>6599</v>
      </c>
      <c r="B482" s="26" t="s">
        <v>5427</v>
      </c>
      <c r="C482" s="26" t="s">
        <v>6600</v>
      </c>
      <c r="D482" s="26" t="s">
        <v>6601</v>
      </c>
      <c r="E482" s="26" t="s">
        <v>5522</v>
      </c>
      <c r="F482" s="27">
        <v>5213009</v>
      </c>
      <c r="G482" s="27">
        <v>0</v>
      </c>
      <c r="H482" s="27">
        <v>0</v>
      </c>
      <c r="I482" s="27">
        <v>0</v>
      </c>
      <c r="J482" s="30">
        <f t="shared" si="21"/>
        <v>0</v>
      </c>
      <c r="K482" s="30">
        <f t="shared" si="22"/>
        <v>0</v>
      </c>
      <c r="L482" s="26">
        <f t="shared" si="23"/>
        <v>0</v>
      </c>
      <c r="M482" s="26">
        <v>0</v>
      </c>
    </row>
    <row r="483" spans="1:13" ht="15" customHeight="1">
      <c r="A483" s="25" t="s">
        <v>6602</v>
      </c>
      <c r="B483" s="26" t="s">
        <v>5423</v>
      </c>
      <c r="C483" s="26" t="s">
        <v>6603</v>
      </c>
      <c r="D483" s="26" t="s">
        <v>6604</v>
      </c>
      <c r="E483" s="26" t="s">
        <v>5781</v>
      </c>
      <c r="F483" s="27">
        <v>5209956</v>
      </c>
      <c r="G483" s="27">
        <v>0</v>
      </c>
      <c r="H483" s="27">
        <v>0</v>
      </c>
      <c r="I483" s="27">
        <v>0</v>
      </c>
      <c r="J483" s="30">
        <f t="shared" si="21"/>
        <v>0</v>
      </c>
      <c r="K483" s="30">
        <f t="shared" si="22"/>
        <v>0</v>
      </c>
      <c r="L483" s="26">
        <f t="shared" si="23"/>
        <v>0</v>
      </c>
      <c r="M483" s="26">
        <v>0</v>
      </c>
    </row>
    <row r="484" spans="1:13" ht="15" customHeight="1">
      <c r="A484" s="25" t="s">
        <v>6605</v>
      </c>
      <c r="B484" s="26" t="s">
        <v>5423</v>
      </c>
      <c r="C484" s="26" t="s">
        <v>6606</v>
      </c>
      <c r="D484" s="26" t="s">
        <v>6607</v>
      </c>
      <c r="E484" s="26" t="s">
        <v>5522</v>
      </c>
      <c r="F484" s="27">
        <v>5211052</v>
      </c>
      <c r="G484" s="27">
        <v>1</v>
      </c>
      <c r="H484" s="27">
        <v>0</v>
      </c>
      <c r="I484" s="27">
        <v>1</v>
      </c>
      <c r="J484" s="30">
        <f t="shared" si="21"/>
        <v>1</v>
      </c>
      <c r="K484" s="30">
        <f t="shared" si="22"/>
        <v>0</v>
      </c>
      <c r="L484" s="26">
        <f t="shared" si="23"/>
        <v>0</v>
      </c>
      <c r="M484" s="26"/>
    </row>
    <row r="485" spans="1:13" ht="15" customHeight="1">
      <c r="A485" s="25">
        <v>1457456</v>
      </c>
      <c r="B485" s="26" t="s">
        <v>5423</v>
      </c>
      <c r="C485" s="26" t="s">
        <v>6608</v>
      </c>
      <c r="D485" s="26" t="s">
        <v>6609</v>
      </c>
      <c r="E485" s="26" t="s">
        <v>5517</v>
      </c>
      <c r="F485" s="27">
        <v>5127908</v>
      </c>
      <c r="G485" s="27">
        <v>1</v>
      </c>
      <c r="H485" s="27">
        <v>1</v>
      </c>
      <c r="I485" s="27">
        <v>1</v>
      </c>
      <c r="J485" s="30">
        <f t="shared" si="21"/>
        <v>1</v>
      </c>
      <c r="K485" s="30">
        <f t="shared" si="22"/>
        <v>1</v>
      </c>
      <c r="L485" s="26">
        <f t="shared" si="23"/>
        <v>1</v>
      </c>
      <c r="M485" s="26"/>
    </row>
    <row r="486" spans="1:13" ht="15" customHeight="1">
      <c r="A486" s="25" t="s">
        <v>6610</v>
      </c>
      <c r="B486" s="26" t="s">
        <v>5423</v>
      </c>
      <c r="C486" s="26" t="s">
        <v>6611</v>
      </c>
      <c r="D486" s="26" t="s">
        <v>6612</v>
      </c>
      <c r="E486" s="26" t="s">
        <v>5430</v>
      </c>
      <c r="F486" s="27">
        <v>5210865</v>
      </c>
      <c r="G486" s="27">
        <v>0</v>
      </c>
      <c r="H486" s="27">
        <v>0</v>
      </c>
      <c r="I486" s="27">
        <v>0</v>
      </c>
      <c r="J486" s="30">
        <f t="shared" si="21"/>
        <v>0</v>
      </c>
      <c r="K486" s="30">
        <f t="shared" si="22"/>
        <v>0</v>
      </c>
      <c r="L486" s="26">
        <f t="shared" si="23"/>
        <v>0</v>
      </c>
      <c r="M486" s="26">
        <v>0</v>
      </c>
    </row>
    <row r="487" spans="1:13" ht="15" customHeight="1">
      <c r="A487" s="25" t="s">
        <v>6613</v>
      </c>
      <c r="B487" s="26" t="s">
        <v>5423</v>
      </c>
      <c r="C487" s="26" t="s">
        <v>6614</v>
      </c>
      <c r="D487" s="26" t="s">
        <v>6615</v>
      </c>
      <c r="E487" s="26" t="s">
        <v>5718</v>
      </c>
      <c r="F487" s="27">
        <v>4723240</v>
      </c>
      <c r="G487" s="27">
        <v>1</v>
      </c>
      <c r="H487" s="27">
        <v>0</v>
      </c>
      <c r="I487" s="27">
        <v>1</v>
      </c>
      <c r="J487" s="30">
        <f t="shared" si="21"/>
        <v>1</v>
      </c>
      <c r="K487" s="30">
        <f t="shared" si="22"/>
        <v>0</v>
      </c>
      <c r="L487" s="26">
        <f t="shared" si="23"/>
        <v>0</v>
      </c>
      <c r="M487" s="26"/>
    </row>
    <row r="488" spans="1:13" ht="15" customHeight="1">
      <c r="A488" s="25" t="s">
        <v>6616</v>
      </c>
      <c r="B488" s="26" t="s">
        <v>5423</v>
      </c>
      <c r="C488" s="26" t="s">
        <v>6617</v>
      </c>
      <c r="D488" s="26" t="s">
        <v>6618</v>
      </c>
      <c r="E488" s="26" t="s">
        <v>5488</v>
      </c>
      <c r="F488" s="27">
        <v>5211420</v>
      </c>
      <c r="G488" s="27">
        <v>0</v>
      </c>
      <c r="H488" s="27">
        <v>0</v>
      </c>
      <c r="I488" s="27">
        <v>0</v>
      </c>
      <c r="J488" s="30">
        <f t="shared" si="21"/>
        <v>0</v>
      </c>
      <c r="K488" s="30">
        <f t="shared" si="22"/>
        <v>0</v>
      </c>
      <c r="L488" s="26">
        <f t="shared" si="23"/>
        <v>0</v>
      </c>
      <c r="M488" s="26">
        <v>0</v>
      </c>
    </row>
    <row r="489" spans="1:13" ht="15" customHeight="1">
      <c r="A489" s="25" t="s">
        <v>6619</v>
      </c>
      <c r="B489" s="26" t="s">
        <v>5423</v>
      </c>
      <c r="C489" s="26" t="s">
        <v>6620</v>
      </c>
      <c r="D489" s="26" t="s">
        <v>6621</v>
      </c>
      <c r="E489" s="26" t="s">
        <v>5522</v>
      </c>
      <c r="F489" s="27">
        <v>5210831</v>
      </c>
      <c r="G489" s="27">
        <v>0</v>
      </c>
      <c r="H489" s="27">
        <v>1</v>
      </c>
      <c r="I489" s="27">
        <v>1</v>
      </c>
      <c r="J489" s="30">
        <f t="shared" si="21"/>
        <v>0</v>
      </c>
      <c r="K489" s="30">
        <f t="shared" si="22"/>
        <v>1</v>
      </c>
      <c r="L489" s="26">
        <f t="shared" si="23"/>
        <v>0</v>
      </c>
      <c r="M489" s="26"/>
    </row>
    <row r="490" spans="1:13" ht="15" customHeight="1">
      <c r="A490" s="25" t="s">
        <v>6622</v>
      </c>
      <c r="B490" s="26" t="s">
        <v>5427</v>
      </c>
      <c r="C490" s="26" t="s">
        <v>6623</v>
      </c>
      <c r="D490" s="26" t="s">
        <v>6624</v>
      </c>
      <c r="E490" s="26" t="s">
        <v>5891</v>
      </c>
      <c r="F490" s="27">
        <v>5197883</v>
      </c>
      <c r="G490" s="27">
        <v>2</v>
      </c>
      <c r="H490" s="27">
        <v>1</v>
      </c>
      <c r="I490" s="27">
        <v>1</v>
      </c>
      <c r="J490" s="30">
        <f t="shared" si="21"/>
        <v>1</v>
      </c>
      <c r="K490" s="30">
        <f t="shared" si="22"/>
        <v>1</v>
      </c>
      <c r="L490" s="26">
        <f t="shared" si="23"/>
        <v>1</v>
      </c>
      <c r="M490" s="26" t="s">
        <v>6232</v>
      </c>
    </row>
    <row r="491" spans="1:13" ht="15" customHeight="1">
      <c r="A491" s="25" t="s">
        <v>6625</v>
      </c>
      <c r="B491" s="26" t="s">
        <v>5427</v>
      </c>
      <c r="C491" s="26" t="s">
        <v>6626</v>
      </c>
      <c r="D491" s="26" t="s">
        <v>6627</v>
      </c>
      <c r="E491" s="26" t="s">
        <v>6075</v>
      </c>
      <c r="F491" s="27">
        <v>5214299</v>
      </c>
      <c r="G491" s="27">
        <v>0</v>
      </c>
      <c r="H491" s="27">
        <v>0</v>
      </c>
      <c r="I491" s="27">
        <v>0</v>
      </c>
      <c r="J491" s="30">
        <f t="shared" si="21"/>
        <v>0</v>
      </c>
      <c r="K491" s="30">
        <f t="shared" si="22"/>
        <v>0</v>
      </c>
      <c r="L491" s="26">
        <f t="shared" si="23"/>
        <v>0</v>
      </c>
      <c r="M491" s="26">
        <v>0</v>
      </c>
    </row>
    <row r="492" spans="1:13" ht="15" customHeight="1">
      <c r="A492" s="25" t="s">
        <v>6628</v>
      </c>
      <c r="B492" s="26" t="s">
        <v>5423</v>
      </c>
      <c r="C492" s="26" t="s">
        <v>6629</v>
      </c>
      <c r="D492" s="26" t="s">
        <v>6630</v>
      </c>
      <c r="E492" s="26" t="s">
        <v>5491</v>
      </c>
      <c r="F492" s="27">
        <v>5212851</v>
      </c>
      <c r="G492" s="27">
        <v>1</v>
      </c>
      <c r="H492" s="27">
        <v>1</v>
      </c>
      <c r="I492" s="27">
        <v>1</v>
      </c>
      <c r="J492" s="30">
        <f t="shared" si="21"/>
        <v>1</v>
      </c>
      <c r="K492" s="30">
        <f t="shared" si="22"/>
        <v>1</v>
      </c>
      <c r="L492" s="26">
        <f t="shared" si="23"/>
        <v>1</v>
      </c>
      <c r="M492" s="26"/>
    </row>
    <row r="493" spans="1:13" ht="15" customHeight="1">
      <c r="A493" s="25" t="s">
        <v>6631</v>
      </c>
      <c r="B493" s="26" t="s">
        <v>5423</v>
      </c>
      <c r="C493" s="26" t="s">
        <v>6632</v>
      </c>
      <c r="D493" s="26" t="s">
        <v>6633</v>
      </c>
      <c r="E493" s="26" t="s">
        <v>5458</v>
      </c>
      <c r="F493" s="27">
        <v>5212603</v>
      </c>
      <c r="G493" s="27">
        <v>1</v>
      </c>
      <c r="H493" s="27">
        <v>1</v>
      </c>
      <c r="I493" s="27">
        <v>1</v>
      </c>
      <c r="J493" s="30">
        <f t="shared" si="21"/>
        <v>1</v>
      </c>
      <c r="K493" s="30">
        <f t="shared" si="22"/>
        <v>1</v>
      </c>
      <c r="L493" s="26">
        <f t="shared" si="23"/>
        <v>1</v>
      </c>
      <c r="M493" s="26"/>
    </row>
    <row r="494" spans="1:13" ht="15" customHeight="1">
      <c r="A494" s="25" t="s">
        <v>6634</v>
      </c>
      <c r="B494" s="26" t="s">
        <v>5427</v>
      </c>
      <c r="C494" s="26" t="s">
        <v>6635</v>
      </c>
      <c r="D494" s="26" t="s">
        <v>6636</v>
      </c>
      <c r="E494" s="26" t="s">
        <v>5436</v>
      </c>
      <c r="F494" s="27">
        <v>5211083</v>
      </c>
      <c r="G494" s="27">
        <v>1</v>
      </c>
      <c r="H494" s="27">
        <v>1</v>
      </c>
      <c r="I494" s="27">
        <v>1</v>
      </c>
      <c r="J494" s="30">
        <f t="shared" si="21"/>
        <v>1</v>
      </c>
      <c r="K494" s="30">
        <f t="shared" si="22"/>
        <v>1</v>
      </c>
      <c r="L494" s="26">
        <f t="shared" si="23"/>
        <v>1</v>
      </c>
      <c r="M494" s="26" t="s">
        <v>6637</v>
      </c>
    </row>
    <row r="495" spans="1:13" ht="15" customHeight="1">
      <c r="A495" s="25" t="s">
        <v>6638</v>
      </c>
      <c r="B495" s="26" t="s">
        <v>5427</v>
      </c>
      <c r="C495" s="26" t="s">
        <v>6639</v>
      </c>
      <c r="D495" s="26" t="s">
        <v>6640</v>
      </c>
      <c r="E495" s="26" t="s">
        <v>6349</v>
      </c>
      <c r="F495" s="27">
        <v>5168226</v>
      </c>
      <c r="G495" s="27">
        <v>0</v>
      </c>
      <c r="H495" s="27">
        <v>0</v>
      </c>
      <c r="I495" s="27">
        <v>0</v>
      </c>
      <c r="J495" s="30">
        <f t="shared" si="21"/>
        <v>0</v>
      </c>
      <c r="K495" s="30">
        <f t="shared" si="22"/>
        <v>0</v>
      </c>
      <c r="L495" s="26">
        <f t="shared" si="23"/>
        <v>0</v>
      </c>
      <c r="M495" s="26">
        <v>0</v>
      </c>
    </row>
    <row r="496" spans="1:13" ht="15" customHeight="1">
      <c r="A496" s="25" t="s">
        <v>6641</v>
      </c>
      <c r="B496" s="26" t="s">
        <v>5423</v>
      </c>
      <c r="C496" s="26" t="s">
        <v>6642</v>
      </c>
      <c r="D496" s="26" t="s">
        <v>6643</v>
      </c>
      <c r="E496" s="26" t="s">
        <v>5517</v>
      </c>
      <c r="F496" s="27">
        <v>1133924</v>
      </c>
      <c r="G496" s="27">
        <v>0</v>
      </c>
      <c r="H496" s="27">
        <v>0</v>
      </c>
      <c r="I496" s="27">
        <v>0</v>
      </c>
      <c r="J496" s="30">
        <f t="shared" si="21"/>
        <v>0</v>
      </c>
      <c r="K496" s="30">
        <f t="shared" si="22"/>
        <v>0</v>
      </c>
      <c r="L496" s="26">
        <f t="shared" si="23"/>
        <v>0</v>
      </c>
      <c r="M496" s="26" t="s">
        <v>5567</v>
      </c>
    </row>
    <row r="497" spans="1:13" ht="15" customHeight="1">
      <c r="A497" s="25" t="s">
        <v>6644</v>
      </c>
      <c r="B497" s="26" t="s">
        <v>5423</v>
      </c>
      <c r="C497" s="26" t="s">
        <v>6645</v>
      </c>
      <c r="D497" s="26" t="s">
        <v>6646</v>
      </c>
      <c r="E497" s="26" t="s">
        <v>5430</v>
      </c>
      <c r="F497" s="27">
        <v>4996350</v>
      </c>
      <c r="G497" s="27">
        <v>1</v>
      </c>
      <c r="H497" s="27">
        <v>0</v>
      </c>
      <c r="I497" s="27">
        <v>1</v>
      </c>
      <c r="J497" s="30">
        <f t="shared" si="21"/>
        <v>1</v>
      </c>
      <c r="K497" s="30">
        <f t="shared" si="22"/>
        <v>0</v>
      </c>
      <c r="L497" s="26">
        <f t="shared" si="23"/>
        <v>0</v>
      </c>
      <c r="M497" s="26"/>
    </row>
    <row r="498" spans="1:13" ht="15" customHeight="1">
      <c r="A498" s="25" t="s">
        <v>6647</v>
      </c>
      <c r="B498" s="26" t="s">
        <v>5423</v>
      </c>
      <c r="C498" s="26" t="s">
        <v>6648</v>
      </c>
      <c r="D498" s="26" t="s">
        <v>6649</v>
      </c>
      <c r="E498" s="26" t="s">
        <v>5488</v>
      </c>
      <c r="F498" s="27">
        <v>5093281</v>
      </c>
      <c r="G498" s="27">
        <v>0</v>
      </c>
      <c r="H498" s="27">
        <v>0</v>
      </c>
      <c r="I498" s="27">
        <v>0</v>
      </c>
      <c r="J498" s="30">
        <f t="shared" si="21"/>
        <v>0</v>
      </c>
      <c r="K498" s="30">
        <f t="shared" si="22"/>
        <v>0</v>
      </c>
      <c r="L498" s="26">
        <f t="shared" si="23"/>
        <v>0</v>
      </c>
      <c r="M498" s="26">
        <v>0</v>
      </c>
    </row>
    <row r="499" spans="1:13" ht="15" customHeight="1">
      <c r="A499" s="25" t="s">
        <v>6650</v>
      </c>
      <c r="B499" s="26" t="s">
        <v>5427</v>
      </c>
      <c r="C499" s="26" t="s">
        <v>6651</v>
      </c>
      <c r="D499" s="26" t="s">
        <v>6652</v>
      </c>
      <c r="E499" s="26" t="s">
        <v>5504</v>
      </c>
      <c r="F499" s="27">
        <v>5214519</v>
      </c>
      <c r="G499" s="27">
        <v>0</v>
      </c>
      <c r="H499" s="27">
        <v>1</v>
      </c>
      <c r="I499" s="27">
        <v>1</v>
      </c>
      <c r="J499" s="30">
        <f t="shared" si="21"/>
        <v>0</v>
      </c>
      <c r="K499" s="30">
        <f t="shared" si="22"/>
        <v>1</v>
      </c>
      <c r="L499" s="26">
        <f t="shared" si="23"/>
        <v>0</v>
      </c>
      <c r="M499" s="26"/>
    </row>
    <row r="500" spans="1:13" ht="15" customHeight="1">
      <c r="A500" s="25" t="s">
        <v>6653</v>
      </c>
      <c r="B500" s="26" t="s">
        <v>5423</v>
      </c>
      <c r="C500" s="26" t="s">
        <v>6654</v>
      </c>
      <c r="D500" s="26" t="s">
        <v>6655</v>
      </c>
      <c r="E500" s="26" t="s">
        <v>5488</v>
      </c>
      <c r="F500" s="27">
        <v>5212441</v>
      </c>
      <c r="G500" s="27">
        <v>1</v>
      </c>
      <c r="H500" s="27">
        <v>0</v>
      </c>
      <c r="I500" s="27">
        <v>1</v>
      </c>
      <c r="J500" s="30">
        <f t="shared" si="21"/>
        <v>1</v>
      </c>
      <c r="K500" s="30">
        <f t="shared" si="22"/>
        <v>0</v>
      </c>
      <c r="L500" s="26">
        <f t="shared" si="23"/>
        <v>0</v>
      </c>
      <c r="M500" s="26"/>
    </row>
    <row r="501" spans="1:13" ht="15" customHeight="1">
      <c r="A501" s="25" t="s">
        <v>6656</v>
      </c>
      <c r="B501" s="26" t="s">
        <v>5423</v>
      </c>
      <c r="C501" s="26" t="s">
        <v>6657</v>
      </c>
      <c r="D501" s="26" t="s">
        <v>6658</v>
      </c>
      <c r="E501" s="26" t="s">
        <v>5426</v>
      </c>
      <c r="F501" s="27">
        <v>5208878</v>
      </c>
      <c r="G501" s="27">
        <v>0</v>
      </c>
      <c r="H501" s="27">
        <v>0</v>
      </c>
      <c r="I501" s="27">
        <v>0</v>
      </c>
      <c r="J501" s="30">
        <f t="shared" si="21"/>
        <v>0</v>
      </c>
      <c r="K501" s="30">
        <f t="shared" si="22"/>
        <v>0</v>
      </c>
      <c r="L501" s="26">
        <f t="shared" si="23"/>
        <v>0</v>
      </c>
      <c r="M501" s="26">
        <v>0</v>
      </c>
    </row>
    <row r="502" spans="1:13" ht="15" customHeight="1">
      <c r="A502" s="25" t="s">
        <v>6659</v>
      </c>
      <c r="B502" s="26" t="s">
        <v>5423</v>
      </c>
      <c r="C502" s="26" t="s">
        <v>6660</v>
      </c>
      <c r="D502" s="26" t="s">
        <v>6661</v>
      </c>
      <c r="E502" s="26" t="s">
        <v>5488</v>
      </c>
      <c r="F502" s="27">
        <v>5212953</v>
      </c>
      <c r="G502" s="27">
        <v>0</v>
      </c>
      <c r="H502" s="27">
        <v>0</v>
      </c>
      <c r="I502" s="27">
        <v>0</v>
      </c>
      <c r="J502" s="30">
        <f t="shared" si="21"/>
        <v>0</v>
      </c>
      <c r="K502" s="30">
        <f t="shared" si="22"/>
        <v>0</v>
      </c>
      <c r="L502" s="26">
        <f t="shared" si="23"/>
        <v>0</v>
      </c>
      <c r="M502" s="26">
        <v>0</v>
      </c>
    </row>
    <row r="503" spans="1:13" ht="15" customHeight="1">
      <c r="A503" s="25" t="s">
        <v>6662</v>
      </c>
      <c r="B503" s="26" t="s">
        <v>5423</v>
      </c>
      <c r="C503" s="26" t="s">
        <v>6663</v>
      </c>
      <c r="D503" s="26" t="s">
        <v>6664</v>
      </c>
      <c r="E503" s="26" t="s">
        <v>5718</v>
      </c>
      <c r="F503" s="27">
        <v>5213823</v>
      </c>
      <c r="G503" s="27">
        <v>1</v>
      </c>
      <c r="H503" s="27">
        <v>1</v>
      </c>
      <c r="I503" s="27">
        <v>1</v>
      </c>
      <c r="J503" s="30">
        <f t="shared" si="21"/>
        <v>1</v>
      </c>
      <c r="K503" s="30">
        <f t="shared" si="22"/>
        <v>1</v>
      </c>
      <c r="L503" s="26">
        <f t="shared" si="23"/>
        <v>1</v>
      </c>
      <c r="M503" s="26"/>
    </row>
    <row r="504" spans="1:13" ht="15" customHeight="1">
      <c r="A504" s="25" t="s">
        <v>6665</v>
      </c>
      <c r="B504" s="26" t="s">
        <v>5423</v>
      </c>
      <c r="C504" s="26" t="s">
        <v>6666</v>
      </c>
      <c r="D504" s="26" t="s">
        <v>6667</v>
      </c>
      <c r="E504" s="26" t="s">
        <v>5707</v>
      </c>
      <c r="F504" s="27">
        <v>5216661</v>
      </c>
      <c r="G504" s="27">
        <v>0</v>
      </c>
      <c r="H504" s="27">
        <v>0</v>
      </c>
      <c r="I504" s="27">
        <v>0</v>
      </c>
      <c r="J504" s="30">
        <f t="shared" si="21"/>
        <v>0</v>
      </c>
      <c r="K504" s="30">
        <f t="shared" si="22"/>
        <v>0</v>
      </c>
      <c r="L504" s="26">
        <f t="shared" si="23"/>
        <v>0</v>
      </c>
      <c r="M504" s="26">
        <v>0</v>
      </c>
    </row>
    <row r="505" spans="1:13" ht="15" customHeight="1">
      <c r="A505" s="25" t="s">
        <v>6668</v>
      </c>
      <c r="B505" s="26" t="s">
        <v>5423</v>
      </c>
      <c r="C505" s="26" t="s">
        <v>6669</v>
      </c>
      <c r="D505" s="26" t="s">
        <v>6670</v>
      </c>
      <c r="E505" s="26" t="s">
        <v>5610</v>
      </c>
      <c r="F505" s="27">
        <v>5162620</v>
      </c>
      <c r="G505" s="27">
        <v>0</v>
      </c>
      <c r="H505" s="27">
        <v>1</v>
      </c>
      <c r="I505" s="27">
        <v>1</v>
      </c>
      <c r="J505" s="30">
        <f t="shared" si="21"/>
        <v>0</v>
      </c>
      <c r="K505" s="30">
        <f t="shared" si="22"/>
        <v>1</v>
      </c>
      <c r="L505" s="26">
        <f t="shared" si="23"/>
        <v>0</v>
      </c>
      <c r="M505" s="26"/>
    </row>
    <row r="506" spans="1:13" ht="15" customHeight="1">
      <c r="A506" s="25" t="s">
        <v>6671</v>
      </c>
      <c r="B506" s="26" t="s">
        <v>5427</v>
      </c>
      <c r="C506" s="26" t="s">
        <v>6672</v>
      </c>
      <c r="D506" s="26" t="s">
        <v>6673</v>
      </c>
      <c r="E506" s="26" t="s">
        <v>5532</v>
      </c>
      <c r="F506" s="27">
        <v>5195055</v>
      </c>
      <c r="G506" s="27">
        <v>1</v>
      </c>
      <c r="H506" s="27">
        <v>1</v>
      </c>
      <c r="I506" s="27">
        <v>1</v>
      </c>
      <c r="J506" s="30">
        <f t="shared" si="21"/>
        <v>1</v>
      </c>
      <c r="K506" s="30">
        <f t="shared" si="22"/>
        <v>1</v>
      </c>
      <c r="L506" s="26">
        <f t="shared" si="23"/>
        <v>1</v>
      </c>
      <c r="M506" s="26"/>
    </row>
    <row r="507" spans="1:13" ht="15" customHeight="1">
      <c r="A507" s="25" t="s">
        <v>6674</v>
      </c>
      <c r="B507" s="26" t="s">
        <v>5427</v>
      </c>
      <c r="C507" s="26" t="s">
        <v>6675</v>
      </c>
      <c r="D507" s="26" t="s">
        <v>6676</v>
      </c>
      <c r="E507" s="26" t="s">
        <v>5654</v>
      </c>
      <c r="F507" s="27">
        <v>5215477</v>
      </c>
      <c r="G507" s="27">
        <v>0</v>
      </c>
      <c r="H507" s="27">
        <v>0</v>
      </c>
      <c r="I507" s="27">
        <v>0</v>
      </c>
      <c r="J507" s="30">
        <f t="shared" si="21"/>
        <v>0</v>
      </c>
      <c r="K507" s="30">
        <f t="shared" si="22"/>
        <v>0</v>
      </c>
      <c r="L507" s="26">
        <f t="shared" si="23"/>
        <v>0</v>
      </c>
      <c r="M507" s="26">
        <v>0</v>
      </c>
    </row>
    <row r="508" spans="1:13" ht="15" customHeight="1">
      <c r="A508" s="25" t="s">
        <v>6677</v>
      </c>
      <c r="B508" s="26" t="s">
        <v>5423</v>
      </c>
      <c r="C508" s="26" t="s">
        <v>6678</v>
      </c>
      <c r="D508" s="26" t="s">
        <v>6679</v>
      </c>
      <c r="E508" s="26" t="s">
        <v>5433</v>
      </c>
      <c r="F508" s="27">
        <v>5214333</v>
      </c>
      <c r="G508" s="27">
        <v>0</v>
      </c>
      <c r="H508" s="27">
        <v>0</v>
      </c>
      <c r="I508" s="27">
        <v>0</v>
      </c>
      <c r="J508" s="30">
        <f t="shared" si="21"/>
        <v>0</v>
      </c>
      <c r="K508" s="30">
        <f t="shared" si="22"/>
        <v>0</v>
      </c>
      <c r="L508" s="26">
        <f t="shared" si="23"/>
        <v>0</v>
      </c>
      <c r="M508" s="26">
        <v>0</v>
      </c>
    </row>
    <row r="509" spans="1:13" ht="15" customHeight="1">
      <c r="A509" s="25" t="s">
        <v>6680</v>
      </c>
      <c r="B509" s="26" t="s">
        <v>5423</v>
      </c>
      <c r="C509" s="26" t="s">
        <v>6681</v>
      </c>
      <c r="D509" s="26" t="s">
        <v>6682</v>
      </c>
      <c r="E509" s="26" t="s">
        <v>5540</v>
      </c>
      <c r="F509" s="27">
        <v>5130038</v>
      </c>
      <c r="G509" s="27">
        <v>1</v>
      </c>
      <c r="H509" s="27">
        <v>0</v>
      </c>
      <c r="I509" s="27">
        <v>1</v>
      </c>
      <c r="J509" s="30">
        <f t="shared" si="21"/>
        <v>1</v>
      </c>
      <c r="K509" s="30">
        <f t="shared" si="22"/>
        <v>0</v>
      </c>
      <c r="L509" s="26">
        <f t="shared" si="23"/>
        <v>0</v>
      </c>
      <c r="M509" s="26"/>
    </row>
    <row r="510" spans="1:13" ht="15" customHeight="1">
      <c r="A510" s="25" t="s">
        <v>6683</v>
      </c>
      <c r="B510" s="26" t="s">
        <v>5427</v>
      </c>
      <c r="C510" s="26" t="s">
        <v>6684</v>
      </c>
      <c r="D510" s="26" t="s">
        <v>6685</v>
      </c>
      <c r="E510" s="26" t="s">
        <v>5491</v>
      </c>
      <c r="F510" s="27">
        <v>5221976</v>
      </c>
      <c r="G510" s="27">
        <v>0</v>
      </c>
      <c r="H510" s="27">
        <v>0</v>
      </c>
      <c r="I510" s="27">
        <v>0</v>
      </c>
      <c r="J510" s="30">
        <f t="shared" si="21"/>
        <v>0</v>
      </c>
      <c r="K510" s="30">
        <f t="shared" si="22"/>
        <v>0</v>
      </c>
      <c r="L510" s="26">
        <f t="shared" si="23"/>
        <v>0</v>
      </c>
      <c r="M510" s="26">
        <v>0</v>
      </c>
    </row>
    <row r="511" spans="1:13" ht="15" customHeight="1">
      <c r="A511" s="25" t="s">
        <v>6686</v>
      </c>
      <c r="B511" s="26" t="s">
        <v>5423</v>
      </c>
      <c r="C511" s="26" t="s">
        <v>6687</v>
      </c>
      <c r="D511" s="26" t="s">
        <v>6688</v>
      </c>
      <c r="E511" s="26" t="s">
        <v>5763</v>
      </c>
      <c r="F511" s="27">
        <v>4813076</v>
      </c>
      <c r="G511" s="27">
        <v>1</v>
      </c>
      <c r="H511" s="27">
        <v>1</v>
      </c>
      <c r="I511" s="27">
        <v>1</v>
      </c>
      <c r="J511" s="30">
        <f t="shared" si="21"/>
        <v>1</v>
      </c>
      <c r="K511" s="30">
        <f t="shared" si="22"/>
        <v>1</v>
      </c>
      <c r="L511" s="26">
        <f t="shared" si="23"/>
        <v>1</v>
      </c>
      <c r="M511" s="26"/>
    </row>
    <row r="512" spans="1:13" ht="15" customHeight="1">
      <c r="A512" s="25" t="s">
        <v>6689</v>
      </c>
      <c r="B512" s="26" t="s">
        <v>5423</v>
      </c>
      <c r="C512" s="26" t="s">
        <v>6690</v>
      </c>
      <c r="D512" s="26" t="s">
        <v>6691</v>
      </c>
      <c r="E512" s="26" t="s">
        <v>5439</v>
      </c>
      <c r="F512" s="27">
        <v>5220690</v>
      </c>
      <c r="G512" s="27">
        <v>1</v>
      </c>
      <c r="H512" s="27">
        <v>0</v>
      </c>
      <c r="I512" s="27">
        <v>1</v>
      </c>
      <c r="J512" s="30">
        <f t="shared" si="21"/>
        <v>1</v>
      </c>
      <c r="K512" s="30">
        <f t="shared" si="22"/>
        <v>0</v>
      </c>
      <c r="L512" s="26">
        <f t="shared" si="23"/>
        <v>0</v>
      </c>
      <c r="M512" s="26"/>
    </row>
    <row r="513" spans="1:13" ht="15" customHeight="1">
      <c r="A513" s="25" t="s">
        <v>6692</v>
      </c>
      <c r="B513" s="26" t="s">
        <v>5423</v>
      </c>
      <c r="C513" s="26" t="s">
        <v>6693</v>
      </c>
      <c r="D513" s="26" t="s">
        <v>6694</v>
      </c>
      <c r="E513" s="26" t="s">
        <v>5586</v>
      </c>
      <c r="F513" s="27">
        <v>5220967</v>
      </c>
      <c r="G513" s="27">
        <v>1</v>
      </c>
      <c r="H513" s="27">
        <v>0</v>
      </c>
      <c r="I513" s="27">
        <v>1</v>
      </c>
      <c r="J513" s="30">
        <f t="shared" si="21"/>
        <v>1</v>
      </c>
      <c r="K513" s="30">
        <f t="shared" si="22"/>
        <v>0</v>
      </c>
      <c r="L513" s="26">
        <f t="shared" si="23"/>
        <v>0</v>
      </c>
      <c r="M513" s="26"/>
    </row>
    <row r="514" spans="1:13" ht="15" customHeight="1">
      <c r="A514" s="25" t="s">
        <v>6695</v>
      </c>
      <c r="B514" s="26" t="s">
        <v>5423</v>
      </c>
      <c r="C514" s="26" t="s">
        <v>6696</v>
      </c>
      <c r="D514" s="26" t="s">
        <v>6697</v>
      </c>
      <c r="E514" s="26" t="s">
        <v>5439</v>
      </c>
      <c r="F514" s="27">
        <v>4740030</v>
      </c>
      <c r="G514" s="27">
        <v>1</v>
      </c>
      <c r="H514" s="27">
        <v>0</v>
      </c>
      <c r="I514" s="27">
        <v>1</v>
      </c>
      <c r="J514" s="30">
        <f t="shared" ref="J514:J577" si="24">IF(G514&gt;0,1,0)</f>
        <v>1</v>
      </c>
      <c r="K514" s="30">
        <f t="shared" ref="K514:K577" si="25">IF(H514&gt;0,1,0)</f>
        <v>0</v>
      </c>
      <c r="L514" s="26">
        <f t="shared" ref="L514:L577" si="26">IF(G514&gt;0,IF(H514&gt;0,1,0),0)</f>
        <v>0</v>
      </c>
      <c r="M514" s="26"/>
    </row>
    <row r="515" spans="1:13" ht="15" customHeight="1">
      <c r="A515" s="25" t="s">
        <v>6698</v>
      </c>
      <c r="B515" s="26" t="s">
        <v>5423</v>
      </c>
      <c r="C515" s="26" t="s">
        <v>6699</v>
      </c>
      <c r="D515" s="26" t="s">
        <v>6700</v>
      </c>
      <c r="E515" s="26" t="s">
        <v>5430</v>
      </c>
      <c r="F515" s="27">
        <v>5215610</v>
      </c>
      <c r="G515" s="27">
        <v>1</v>
      </c>
      <c r="H515" s="27">
        <v>0</v>
      </c>
      <c r="I515" s="27">
        <v>1</v>
      </c>
      <c r="J515" s="30">
        <f t="shared" si="24"/>
        <v>1</v>
      </c>
      <c r="K515" s="30">
        <f t="shared" si="25"/>
        <v>0</v>
      </c>
      <c r="L515" s="26">
        <f t="shared" si="26"/>
        <v>0</v>
      </c>
      <c r="M515" s="26"/>
    </row>
    <row r="516" spans="1:13" ht="15" customHeight="1">
      <c r="A516" s="25" t="s">
        <v>6701</v>
      </c>
      <c r="B516" s="26" t="s">
        <v>5423</v>
      </c>
      <c r="C516" s="26" t="s">
        <v>6702</v>
      </c>
      <c r="D516" s="26" t="s">
        <v>6703</v>
      </c>
      <c r="E516" s="26" t="s">
        <v>5517</v>
      </c>
      <c r="F516" s="27">
        <v>5220384</v>
      </c>
      <c r="G516" s="27">
        <v>1</v>
      </c>
      <c r="H516" s="27">
        <v>1</v>
      </c>
      <c r="I516" s="27">
        <v>1</v>
      </c>
      <c r="J516" s="30">
        <f t="shared" si="24"/>
        <v>1</v>
      </c>
      <c r="K516" s="30">
        <f t="shared" si="25"/>
        <v>1</v>
      </c>
      <c r="L516" s="26">
        <f t="shared" si="26"/>
        <v>1</v>
      </c>
      <c r="M516" s="26"/>
    </row>
    <row r="517" spans="1:13" ht="15" customHeight="1">
      <c r="A517" s="25" t="s">
        <v>6704</v>
      </c>
      <c r="B517" s="26" t="s">
        <v>5423</v>
      </c>
      <c r="C517" s="26" t="s">
        <v>6705</v>
      </c>
      <c r="D517" s="26" t="s">
        <v>6706</v>
      </c>
      <c r="E517" s="26" t="s">
        <v>5540</v>
      </c>
      <c r="F517" s="27">
        <v>4763908</v>
      </c>
      <c r="G517" s="27">
        <v>1</v>
      </c>
      <c r="H517" s="27">
        <v>1</v>
      </c>
      <c r="I517" s="27">
        <v>1</v>
      </c>
      <c r="J517" s="30">
        <f t="shared" si="24"/>
        <v>1</v>
      </c>
      <c r="K517" s="30">
        <f t="shared" si="25"/>
        <v>1</v>
      </c>
      <c r="L517" s="26">
        <f t="shared" si="26"/>
        <v>1</v>
      </c>
      <c r="M517" s="26"/>
    </row>
    <row r="518" spans="1:13" ht="15" customHeight="1">
      <c r="A518" s="25" t="s">
        <v>6707</v>
      </c>
      <c r="B518" s="26" t="s">
        <v>5423</v>
      </c>
      <c r="C518" s="26" t="s">
        <v>6708</v>
      </c>
      <c r="D518" s="26" t="s">
        <v>6709</v>
      </c>
      <c r="E518" s="26" t="s">
        <v>5458</v>
      </c>
      <c r="F518" s="27">
        <v>5226515</v>
      </c>
      <c r="G518" s="27">
        <v>0</v>
      </c>
      <c r="H518" s="27">
        <v>0</v>
      </c>
      <c r="I518" s="27">
        <v>0</v>
      </c>
      <c r="J518" s="30">
        <f t="shared" si="24"/>
        <v>0</v>
      </c>
      <c r="K518" s="30">
        <f t="shared" si="25"/>
        <v>0</v>
      </c>
      <c r="L518" s="26">
        <f t="shared" si="26"/>
        <v>0</v>
      </c>
      <c r="M518" s="26">
        <v>0</v>
      </c>
    </row>
    <row r="519" spans="1:13" ht="15" customHeight="1">
      <c r="A519" s="25" t="s">
        <v>6710</v>
      </c>
      <c r="B519" s="26" t="s">
        <v>5423</v>
      </c>
      <c r="C519" s="26" t="s">
        <v>6711</v>
      </c>
      <c r="D519" s="26" t="s">
        <v>6712</v>
      </c>
      <c r="E519" s="26" t="s">
        <v>5683</v>
      </c>
      <c r="F519" s="27">
        <v>5181576</v>
      </c>
      <c r="G519" s="27">
        <v>1</v>
      </c>
      <c r="H519" s="27">
        <v>1</v>
      </c>
      <c r="I519" s="27">
        <v>1</v>
      </c>
      <c r="J519" s="30">
        <f t="shared" si="24"/>
        <v>1</v>
      </c>
      <c r="K519" s="30">
        <f t="shared" si="25"/>
        <v>1</v>
      </c>
      <c r="L519" s="26">
        <f t="shared" si="26"/>
        <v>1</v>
      </c>
      <c r="M519" s="26"/>
    </row>
    <row r="520" spans="1:13" ht="15" customHeight="1">
      <c r="A520" s="25" t="s">
        <v>6713</v>
      </c>
      <c r="B520" s="26" t="s">
        <v>5427</v>
      </c>
      <c r="C520" s="26" t="s">
        <v>6714</v>
      </c>
      <c r="D520" s="26" t="s">
        <v>6715</v>
      </c>
      <c r="E520" s="26" t="s">
        <v>5529</v>
      </c>
      <c r="F520" s="27">
        <v>1513301</v>
      </c>
      <c r="G520" s="27">
        <v>1</v>
      </c>
      <c r="H520" s="27">
        <v>0</v>
      </c>
      <c r="I520" s="27">
        <v>1</v>
      </c>
      <c r="J520" s="30">
        <f t="shared" si="24"/>
        <v>1</v>
      </c>
      <c r="K520" s="30">
        <f t="shared" si="25"/>
        <v>0</v>
      </c>
      <c r="L520" s="26">
        <f t="shared" si="26"/>
        <v>0</v>
      </c>
      <c r="M520" s="26"/>
    </row>
    <row r="521" spans="1:13" ht="15" customHeight="1">
      <c r="A521" s="25" t="s">
        <v>6716</v>
      </c>
      <c r="B521" s="26" t="s">
        <v>5427</v>
      </c>
      <c r="C521" s="26" t="s">
        <v>6717</v>
      </c>
      <c r="D521" s="26" t="s">
        <v>6718</v>
      </c>
      <c r="E521" s="26" t="s">
        <v>5532</v>
      </c>
      <c r="F521" s="27">
        <v>5220336</v>
      </c>
      <c r="G521" s="27">
        <v>0</v>
      </c>
      <c r="H521" s="27">
        <v>0</v>
      </c>
      <c r="I521" s="27">
        <v>0</v>
      </c>
      <c r="J521" s="30">
        <f t="shared" si="24"/>
        <v>0</v>
      </c>
      <c r="K521" s="30">
        <f t="shared" si="25"/>
        <v>0</v>
      </c>
      <c r="L521" s="26">
        <f t="shared" si="26"/>
        <v>0</v>
      </c>
      <c r="M521" s="26">
        <v>0</v>
      </c>
    </row>
    <row r="522" spans="1:13" ht="15" customHeight="1">
      <c r="A522" s="25" t="s">
        <v>6719</v>
      </c>
      <c r="B522" s="26" t="s">
        <v>5427</v>
      </c>
      <c r="C522" s="26" t="s">
        <v>6720</v>
      </c>
      <c r="D522" s="26" t="s">
        <v>6721</v>
      </c>
      <c r="E522" s="26" t="s">
        <v>5540</v>
      </c>
      <c r="F522" s="27">
        <v>4412006</v>
      </c>
      <c r="G522" s="27">
        <v>3</v>
      </c>
      <c r="H522" s="27">
        <v>0</v>
      </c>
      <c r="I522" s="27">
        <v>1</v>
      </c>
      <c r="J522" s="30">
        <f t="shared" si="24"/>
        <v>1</v>
      </c>
      <c r="K522" s="30">
        <f t="shared" si="25"/>
        <v>0</v>
      </c>
      <c r="L522" s="26">
        <f t="shared" si="26"/>
        <v>0</v>
      </c>
      <c r="M522" s="26" t="s">
        <v>6722</v>
      </c>
    </row>
    <row r="523" spans="1:13" ht="15" customHeight="1">
      <c r="A523" s="25" t="s">
        <v>6723</v>
      </c>
      <c r="B523" s="26" t="s">
        <v>5423</v>
      </c>
      <c r="C523" s="26" t="s">
        <v>6724</v>
      </c>
      <c r="D523" s="26" t="s">
        <v>6725</v>
      </c>
      <c r="E523" s="26" t="s">
        <v>5475</v>
      </c>
      <c r="F523" s="27">
        <v>5218498</v>
      </c>
      <c r="G523" s="27">
        <v>1</v>
      </c>
      <c r="H523" s="27">
        <v>1</v>
      </c>
      <c r="I523" s="27">
        <v>1</v>
      </c>
      <c r="J523" s="30">
        <f t="shared" si="24"/>
        <v>1</v>
      </c>
      <c r="K523" s="30">
        <f t="shared" si="25"/>
        <v>1</v>
      </c>
      <c r="L523" s="26">
        <f t="shared" si="26"/>
        <v>1</v>
      </c>
      <c r="M523" s="26"/>
    </row>
    <row r="524" spans="1:13" ht="15" customHeight="1">
      <c r="A524" s="25" t="s">
        <v>6726</v>
      </c>
      <c r="B524" s="26" t="s">
        <v>5423</v>
      </c>
      <c r="C524" s="26" t="s">
        <v>6727</v>
      </c>
      <c r="D524" s="26" t="s">
        <v>6728</v>
      </c>
      <c r="E524" s="26" t="s">
        <v>5683</v>
      </c>
      <c r="F524" s="27">
        <v>1716879</v>
      </c>
      <c r="G524" s="27">
        <v>0</v>
      </c>
      <c r="H524" s="27">
        <v>0</v>
      </c>
      <c r="I524" s="27">
        <v>0</v>
      </c>
      <c r="J524" s="30">
        <f t="shared" si="24"/>
        <v>0</v>
      </c>
      <c r="K524" s="30">
        <f t="shared" si="25"/>
        <v>0</v>
      </c>
      <c r="L524" s="26">
        <f t="shared" si="26"/>
        <v>0</v>
      </c>
      <c r="M524" s="26">
        <v>0</v>
      </c>
    </row>
    <row r="525" spans="1:13" ht="15" customHeight="1">
      <c r="A525" s="25" t="s">
        <v>6729</v>
      </c>
      <c r="B525" s="26" t="s">
        <v>5423</v>
      </c>
      <c r="C525" s="26" t="s">
        <v>6730</v>
      </c>
      <c r="D525" s="26" t="s">
        <v>6731</v>
      </c>
      <c r="E525" s="26" t="s">
        <v>5436</v>
      </c>
      <c r="F525" s="27">
        <v>5224574</v>
      </c>
      <c r="G525" s="27">
        <v>0</v>
      </c>
      <c r="H525" s="27">
        <v>1</v>
      </c>
      <c r="I525" s="27">
        <v>1</v>
      </c>
      <c r="J525" s="30">
        <f t="shared" si="24"/>
        <v>0</v>
      </c>
      <c r="K525" s="30">
        <f t="shared" si="25"/>
        <v>1</v>
      </c>
      <c r="L525" s="26">
        <f t="shared" si="26"/>
        <v>0</v>
      </c>
      <c r="M525" s="26"/>
    </row>
    <row r="526" spans="1:13" ht="15" customHeight="1">
      <c r="A526" s="25" t="s">
        <v>6732</v>
      </c>
      <c r="B526" s="26" t="s">
        <v>5423</v>
      </c>
      <c r="C526" s="26" t="s">
        <v>6733</v>
      </c>
      <c r="D526" s="26" t="s">
        <v>6734</v>
      </c>
      <c r="E526" s="26" t="s">
        <v>5683</v>
      </c>
      <c r="F526" s="27">
        <v>5224507</v>
      </c>
      <c r="G526" s="27">
        <v>1</v>
      </c>
      <c r="H526" s="27">
        <v>0</v>
      </c>
      <c r="I526" s="27">
        <v>1</v>
      </c>
      <c r="J526" s="30">
        <f t="shared" si="24"/>
        <v>1</v>
      </c>
      <c r="K526" s="30">
        <f t="shared" si="25"/>
        <v>0</v>
      </c>
      <c r="L526" s="26">
        <f t="shared" si="26"/>
        <v>0</v>
      </c>
      <c r="M526" s="26" t="s">
        <v>6735</v>
      </c>
    </row>
    <row r="527" spans="1:13" ht="15" customHeight="1">
      <c r="A527" s="25" t="s">
        <v>6736</v>
      </c>
      <c r="B527" s="26" t="s">
        <v>5423</v>
      </c>
      <c r="C527" s="26" t="s">
        <v>6737</v>
      </c>
      <c r="D527" s="26" t="s">
        <v>6738</v>
      </c>
      <c r="E527" s="26" t="s">
        <v>5683</v>
      </c>
      <c r="F527" s="27">
        <v>5222866</v>
      </c>
      <c r="G527" s="27">
        <v>1</v>
      </c>
      <c r="H527" s="27">
        <v>0</v>
      </c>
      <c r="I527" s="27">
        <v>1</v>
      </c>
      <c r="J527" s="30">
        <f t="shared" si="24"/>
        <v>1</v>
      </c>
      <c r="K527" s="30">
        <f t="shared" si="25"/>
        <v>0</v>
      </c>
      <c r="L527" s="26">
        <f t="shared" si="26"/>
        <v>0</v>
      </c>
      <c r="M527" s="26"/>
    </row>
    <row r="528" spans="1:13" ht="15" customHeight="1">
      <c r="A528" s="25" t="s">
        <v>6739</v>
      </c>
      <c r="B528" s="26" t="s">
        <v>5423</v>
      </c>
      <c r="C528" s="26" t="s">
        <v>6740</v>
      </c>
      <c r="D528" s="26" t="s">
        <v>6741</v>
      </c>
      <c r="E528" s="26" t="s">
        <v>5447</v>
      </c>
      <c r="F528" s="27">
        <v>5012886</v>
      </c>
      <c r="G528" s="27">
        <v>1</v>
      </c>
      <c r="H528" s="27">
        <v>1</v>
      </c>
      <c r="I528" s="27">
        <v>1</v>
      </c>
      <c r="J528" s="30">
        <f t="shared" si="24"/>
        <v>1</v>
      </c>
      <c r="K528" s="30">
        <f t="shared" si="25"/>
        <v>1</v>
      </c>
      <c r="L528" s="26">
        <f t="shared" si="26"/>
        <v>1</v>
      </c>
      <c r="M528" s="26"/>
    </row>
    <row r="529" spans="1:13" ht="15" customHeight="1">
      <c r="A529" s="25" t="s">
        <v>6742</v>
      </c>
      <c r="B529" s="26" t="s">
        <v>5423</v>
      </c>
      <c r="C529" s="26" t="s">
        <v>6743</v>
      </c>
      <c r="D529" s="26" t="s">
        <v>6744</v>
      </c>
      <c r="E529" s="26" t="s">
        <v>5507</v>
      </c>
      <c r="F529" s="27">
        <v>5173166</v>
      </c>
      <c r="G529" s="27">
        <v>1</v>
      </c>
      <c r="H529" s="27">
        <v>0</v>
      </c>
      <c r="I529" s="27">
        <v>1</v>
      </c>
      <c r="J529" s="30">
        <f t="shared" si="24"/>
        <v>1</v>
      </c>
      <c r="K529" s="30">
        <f t="shared" si="25"/>
        <v>0</v>
      </c>
      <c r="L529" s="26">
        <f t="shared" si="26"/>
        <v>0</v>
      </c>
      <c r="M529" s="26"/>
    </row>
    <row r="530" spans="1:13" ht="15" customHeight="1">
      <c r="A530" s="25" t="s">
        <v>6745</v>
      </c>
      <c r="B530" s="26" t="s">
        <v>5427</v>
      </c>
      <c r="C530" s="26" t="s">
        <v>6746</v>
      </c>
      <c r="D530" s="26" t="s">
        <v>6747</v>
      </c>
      <c r="E530" s="26" t="s">
        <v>5488</v>
      </c>
      <c r="F530" s="27">
        <v>5211928</v>
      </c>
      <c r="G530" s="27">
        <v>1</v>
      </c>
      <c r="H530" s="27">
        <v>1</v>
      </c>
      <c r="I530" s="27">
        <v>1</v>
      </c>
      <c r="J530" s="30">
        <f t="shared" si="24"/>
        <v>1</v>
      </c>
      <c r="K530" s="30">
        <f t="shared" si="25"/>
        <v>1</v>
      </c>
      <c r="L530" s="26">
        <f t="shared" si="26"/>
        <v>1</v>
      </c>
      <c r="M530" s="26"/>
    </row>
    <row r="531" spans="1:13" ht="15" customHeight="1">
      <c r="A531" s="25" t="s">
        <v>6748</v>
      </c>
      <c r="B531" s="26" t="s">
        <v>5427</v>
      </c>
      <c r="C531" s="26" t="s">
        <v>6749</v>
      </c>
      <c r="D531" s="26" t="s">
        <v>6750</v>
      </c>
      <c r="E531" s="26" t="s">
        <v>5480</v>
      </c>
      <c r="F531" s="27">
        <v>5231723</v>
      </c>
      <c r="G531" s="27">
        <v>0</v>
      </c>
      <c r="H531" s="27">
        <v>0</v>
      </c>
      <c r="I531" s="27">
        <v>0</v>
      </c>
      <c r="J531" s="30">
        <f t="shared" si="24"/>
        <v>0</v>
      </c>
      <c r="K531" s="30">
        <f t="shared" si="25"/>
        <v>0</v>
      </c>
      <c r="L531" s="26">
        <f t="shared" si="26"/>
        <v>0</v>
      </c>
      <c r="M531" s="26">
        <v>0</v>
      </c>
    </row>
    <row r="532" spans="1:13" ht="15" customHeight="1">
      <c r="A532" s="25" t="s">
        <v>6751</v>
      </c>
      <c r="B532" s="26" t="s">
        <v>5423</v>
      </c>
      <c r="C532" s="26" t="s">
        <v>6752</v>
      </c>
      <c r="D532" s="26" t="s">
        <v>6753</v>
      </c>
      <c r="E532" s="26" t="s">
        <v>5442</v>
      </c>
      <c r="F532" s="27">
        <v>5205148</v>
      </c>
      <c r="G532" s="27">
        <v>0</v>
      </c>
      <c r="H532" s="27">
        <v>0</v>
      </c>
      <c r="I532" s="27">
        <v>0</v>
      </c>
      <c r="J532" s="30">
        <f t="shared" si="24"/>
        <v>0</v>
      </c>
      <c r="K532" s="30">
        <f t="shared" si="25"/>
        <v>0</v>
      </c>
      <c r="L532" s="26">
        <f t="shared" si="26"/>
        <v>0</v>
      </c>
      <c r="M532" s="26">
        <v>0</v>
      </c>
    </row>
    <row r="533" spans="1:13" ht="15" customHeight="1">
      <c r="A533" s="25" t="s">
        <v>6754</v>
      </c>
      <c r="B533" s="26" t="s">
        <v>5423</v>
      </c>
      <c r="C533" s="26" t="s">
        <v>6755</v>
      </c>
      <c r="D533" s="26" t="s">
        <v>6756</v>
      </c>
      <c r="E533" s="26" t="s">
        <v>5532</v>
      </c>
      <c r="F533" s="27">
        <v>5206633</v>
      </c>
      <c r="G533" s="27">
        <v>0</v>
      </c>
      <c r="H533" s="27">
        <v>0</v>
      </c>
      <c r="I533" s="27">
        <v>0</v>
      </c>
      <c r="J533" s="30">
        <f t="shared" si="24"/>
        <v>0</v>
      </c>
      <c r="K533" s="30">
        <f t="shared" si="25"/>
        <v>0</v>
      </c>
      <c r="L533" s="26">
        <f t="shared" si="26"/>
        <v>0</v>
      </c>
      <c r="M533" s="26">
        <v>0</v>
      </c>
    </row>
    <row r="534" spans="1:13" ht="15" customHeight="1">
      <c r="A534" s="25" t="s">
        <v>6757</v>
      </c>
      <c r="B534" s="26" t="s">
        <v>5423</v>
      </c>
      <c r="C534" s="26" t="s">
        <v>6758</v>
      </c>
      <c r="D534" s="26" t="s">
        <v>6759</v>
      </c>
      <c r="E534" s="26" t="s">
        <v>5433</v>
      </c>
      <c r="F534" s="27">
        <v>5227507</v>
      </c>
      <c r="G534" s="27">
        <v>0</v>
      </c>
      <c r="H534" s="27">
        <v>0</v>
      </c>
      <c r="I534" s="27">
        <v>0</v>
      </c>
      <c r="J534" s="30">
        <f t="shared" si="24"/>
        <v>0</v>
      </c>
      <c r="K534" s="30">
        <f t="shared" si="25"/>
        <v>0</v>
      </c>
      <c r="L534" s="26">
        <f t="shared" si="26"/>
        <v>0</v>
      </c>
      <c r="M534" s="26">
        <v>0</v>
      </c>
    </row>
    <row r="535" spans="1:13" ht="15" customHeight="1">
      <c r="A535" s="25" t="s">
        <v>6760</v>
      </c>
      <c r="B535" s="26" t="s">
        <v>5423</v>
      </c>
      <c r="C535" s="26" t="s">
        <v>6761</v>
      </c>
      <c r="D535" s="26" t="s">
        <v>6762</v>
      </c>
      <c r="E535" s="26" t="s">
        <v>5436</v>
      </c>
      <c r="F535" s="27">
        <v>5228021</v>
      </c>
      <c r="G535" s="27">
        <v>0</v>
      </c>
      <c r="H535" s="27">
        <v>0</v>
      </c>
      <c r="I535" s="27">
        <v>0</v>
      </c>
      <c r="J535" s="30">
        <f t="shared" si="24"/>
        <v>0</v>
      </c>
      <c r="K535" s="30">
        <f t="shared" si="25"/>
        <v>0</v>
      </c>
      <c r="L535" s="26">
        <f t="shared" si="26"/>
        <v>0</v>
      </c>
      <c r="M535" s="26">
        <v>0</v>
      </c>
    </row>
    <row r="536" spans="1:13" ht="15" customHeight="1">
      <c r="A536" s="25" t="s">
        <v>6763</v>
      </c>
      <c r="B536" s="26" t="s">
        <v>5423</v>
      </c>
      <c r="C536" s="26" t="s">
        <v>6764</v>
      </c>
      <c r="D536" s="26" t="s">
        <v>6765</v>
      </c>
      <c r="E536" s="26" t="s">
        <v>5480</v>
      </c>
      <c r="F536" s="27">
        <v>5216138</v>
      </c>
      <c r="G536" s="27">
        <v>1</v>
      </c>
      <c r="H536" s="27">
        <v>1</v>
      </c>
      <c r="I536" s="27">
        <v>1</v>
      </c>
      <c r="J536" s="30">
        <f t="shared" si="24"/>
        <v>1</v>
      </c>
      <c r="K536" s="30">
        <f t="shared" si="25"/>
        <v>1</v>
      </c>
      <c r="L536" s="26">
        <f t="shared" si="26"/>
        <v>1</v>
      </c>
      <c r="M536" s="26"/>
    </row>
    <row r="537" spans="1:13" ht="15" customHeight="1">
      <c r="A537" s="25" t="s">
        <v>6766</v>
      </c>
      <c r="B537" s="26" t="s">
        <v>5427</v>
      </c>
      <c r="C537" s="26" t="s">
        <v>6767</v>
      </c>
      <c r="D537" s="26" t="s">
        <v>6768</v>
      </c>
      <c r="E537" s="26" t="s">
        <v>5535</v>
      </c>
      <c r="F537" s="27">
        <v>5227463</v>
      </c>
      <c r="G537" s="27">
        <v>0</v>
      </c>
      <c r="H537" s="27">
        <v>0</v>
      </c>
      <c r="I537" s="27">
        <v>0</v>
      </c>
      <c r="J537" s="30">
        <f t="shared" si="24"/>
        <v>0</v>
      </c>
      <c r="K537" s="30">
        <f t="shared" si="25"/>
        <v>0</v>
      </c>
      <c r="L537" s="26">
        <f t="shared" si="26"/>
        <v>0</v>
      </c>
      <c r="M537" s="26">
        <v>0</v>
      </c>
    </row>
    <row r="538" spans="1:13" ht="15" customHeight="1">
      <c r="A538" s="25" t="s">
        <v>6769</v>
      </c>
      <c r="B538" s="26" t="s">
        <v>5423</v>
      </c>
      <c r="C538" s="26" t="s">
        <v>6770</v>
      </c>
      <c r="D538" s="26" t="s">
        <v>6771</v>
      </c>
      <c r="E538" s="26" t="s">
        <v>5439</v>
      </c>
      <c r="F538" s="27">
        <v>5229056</v>
      </c>
      <c r="G538" s="27">
        <v>0</v>
      </c>
      <c r="H538" s="27">
        <v>0</v>
      </c>
      <c r="I538" s="27">
        <v>0</v>
      </c>
      <c r="J538" s="30">
        <f t="shared" si="24"/>
        <v>0</v>
      </c>
      <c r="K538" s="30">
        <f t="shared" si="25"/>
        <v>0</v>
      </c>
      <c r="L538" s="26">
        <f t="shared" si="26"/>
        <v>0</v>
      </c>
      <c r="M538" s="26" t="s">
        <v>6772</v>
      </c>
    </row>
    <row r="539" spans="1:13" ht="15" customHeight="1">
      <c r="A539" s="25" t="s">
        <v>6773</v>
      </c>
      <c r="B539" s="26" t="s">
        <v>5427</v>
      </c>
      <c r="C539" s="26" t="s">
        <v>6774</v>
      </c>
      <c r="D539" s="26" t="s">
        <v>6775</v>
      </c>
      <c r="E539" s="26" t="s">
        <v>6021</v>
      </c>
      <c r="F539" s="27">
        <v>5222323</v>
      </c>
      <c r="G539" s="27">
        <v>1</v>
      </c>
      <c r="H539" s="27">
        <v>1</v>
      </c>
      <c r="I539" s="27">
        <v>1</v>
      </c>
      <c r="J539" s="30">
        <f t="shared" si="24"/>
        <v>1</v>
      </c>
      <c r="K539" s="30">
        <f t="shared" si="25"/>
        <v>1</v>
      </c>
      <c r="L539" s="26">
        <f t="shared" si="26"/>
        <v>1</v>
      </c>
      <c r="M539" s="26"/>
    </row>
    <row r="540" spans="1:13" ht="15" customHeight="1">
      <c r="A540" s="25" t="s">
        <v>6776</v>
      </c>
      <c r="B540" s="26" t="s">
        <v>5427</v>
      </c>
      <c r="C540" s="26" t="s">
        <v>6777</v>
      </c>
      <c r="D540" s="26" t="s">
        <v>6778</v>
      </c>
      <c r="E540" s="26" t="s">
        <v>5447</v>
      </c>
      <c r="F540" s="27">
        <v>5194109</v>
      </c>
      <c r="G540" s="27">
        <v>1</v>
      </c>
      <c r="H540" s="27">
        <v>0</v>
      </c>
      <c r="I540" s="27">
        <v>1</v>
      </c>
      <c r="J540" s="30">
        <f t="shared" si="24"/>
        <v>1</v>
      </c>
      <c r="K540" s="30">
        <f t="shared" si="25"/>
        <v>0</v>
      </c>
      <c r="L540" s="26">
        <f t="shared" si="26"/>
        <v>0</v>
      </c>
      <c r="M540" s="26"/>
    </row>
    <row r="541" spans="1:13" ht="15" customHeight="1">
      <c r="A541" s="25" t="s">
        <v>6779</v>
      </c>
      <c r="B541" s="26" t="s">
        <v>5427</v>
      </c>
      <c r="C541" s="26" t="s">
        <v>6780</v>
      </c>
      <c r="D541" s="26" t="s">
        <v>6781</v>
      </c>
      <c r="E541" s="26" t="s">
        <v>5436</v>
      </c>
      <c r="F541" s="27">
        <v>5229376</v>
      </c>
      <c r="G541" s="27">
        <v>0</v>
      </c>
      <c r="H541" s="27">
        <v>0</v>
      </c>
      <c r="I541" s="27">
        <v>0</v>
      </c>
      <c r="J541" s="30">
        <f t="shared" si="24"/>
        <v>0</v>
      </c>
      <c r="K541" s="30">
        <f t="shared" si="25"/>
        <v>0</v>
      </c>
      <c r="L541" s="26">
        <f t="shared" si="26"/>
        <v>0</v>
      </c>
      <c r="M541" s="26">
        <v>0</v>
      </c>
    </row>
    <row r="542" spans="1:13" ht="15" customHeight="1">
      <c r="A542" s="25" t="s">
        <v>6782</v>
      </c>
      <c r="B542" s="26" t="s">
        <v>5423</v>
      </c>
      <c r="C542" s="26" t="s">
        <v>6783</v>
      </c>
      <c r="D542" s="26" t="s">
        <v>6784</v>
      </c>
      <c r="E542" s="26" t="s">
        <v>5540</v>
      </c>
      <c r="F542" s="27">
        <v>3375658</v>
      </c>
      <c r="G542" s="27">
        <v>0</v>
      </c>
      <c r="H542" s="27">
        <v>0</v>
      </c>
      <c r="I542" s="27">
        <v>0</v>
      </c>
      <c r="J542" s="30">
        <f t="shared" si="24"/>
        <v>0</v>
      </c>
      <c r="K542" s="30">
        <f t="shared" si="25"/>
        <v>0</v>
      </c>
      <c r="L542" s="26">
        <f t="shared" si="26"/>
        <v>0</v>
      </c>
      <c r="M542" s="26">
        <v>0</v>
      </c>
    </row>
    <row r="543" spans="1:13" ht="15" customHeight="1">
      <c r="A543" s="25" t="s">
        <v>6785</v>
      </c>
      <c r="B543" s="26" t="s">
        <v>5423</v>
      </c>
      <c r="C543" s="26" t="s">
        <v>6786</v>
      </c>
      <c r="D543" s="26" t="s">
        <v>6787</v>
      </c>
      <c r="E543" s="26" t="s">
        <v>5442</v>
      </c>
      <c r="F543" s="27">
        <v>5229184</v>
      </c>
      <c r="G543" s="27">
        <v>0</v>
      </c>
      <c r="H543" s="27">
        <v>0</v>
      </c>
      <c r="I543" s="27">
        <v>0</v>
      </c>
      <c r="J543" s="30">
        <f t="shared" si="24"/>
        <v>0</v>
      </c>
      <c r="K543" s="30">
        <f t="shared" si="25"/>
        <v>0</v>
      </c>
      <c r="L543" s="26">
        <f t="shared" si="26"/>
        <v>0</v>
      </c>
      <c r="M543" s="26">
        <v>0</v>
      </c>
    </row>
    <row r="544" spans="1:13" ht="15" customHeight="1">
      <c r="A544" s="25" t="s">
        <v>6788</v>
      </c>
      <c r="B544" s="26" t="s">
        <v>5427</v>
      </c>
      <c r="C544" s="26" t="s">
        <v>6789</v>
      </c>
      <c r="D544" s="26" t="s">
        <v>6790</v>
      </c>
      <c r="E544" s="26" t="s">
        <v>5586</v>
      </c>
      <c r="F544" s="27">
        <v>5218166</v>
      </c>
      <c r="G544" s="27">
        <v>0</v>
      </c>
      <c r="H544" s="27">
        <v>1</v>
      </c>
      <c r="I544" s="27">
        <v>1</v>
      </c>
      <c r="J544" s="30">
        <f t="shared" si="24"/>
        <v>0</v>
      </c>
      <c r="K544" s="30">
        <f t="shared" si="25"/>
        <v>1</v>
      </c>
      <c r="L544" s="26">
        <f t="shared" si="26"/>
        <v>0</v>
      </c>
      <c r="M544" s="26"/>
    </row>
    <row r="545" spans="1:13" ht="15" customHeight="1">
      <c r="A545" s="25" t="s">
        <v>6791</v>
      </c>
      <c r="B545" s="26" t="s">
        <v>5423</v>
      </c>
      <c r="C545" s="26" t="s">
        <v>6792</v>
      </c>
      <c r="D545" s="26" t="s">
        <v>6793</v>
      </c>
      <c r="E545" s="26" t="s">
        <v>5517</v>
      </c>
      <c r="F545" s="27">
        <v>5230467</v>
      </c>
      <c r="G545" s="27">
        <v>0</v>
      </c>
      <c r="H545" s="27">
        <v>0</v>
      </c>
      <c r="I545" s="27">
        <v>0</v>
      </c>
      <c r="J545" s="30">
        <f t="shared" si="24"/>
        <v>0</v>
      </c>
      <c r="K545" s="30">
        <f t="shared" si="25"/>
        <v>0</v>
      </c>
      <c r="L545" s="26">
        <f t="shared" si="26"/>
        <v>0</v>
      </c>
      <c r="M545" s="26">
        <v>0</v>
      </c>
    </row>
    <row r="546" spans="1:13" ht="15" customHeight="1">
      <c r="A546" s="25" t="s">
        <v>6794</v>
      </c>
      <c r="B546" s="26" t="s">
        <v>5423</v>
      </c>
      <c r="C546" s="26" t="s">
        <v>6795</v>
      </c>
      <c r="D546" s="26" t="s">
        <v>6796</v>
      </c>
      <c r="E546" s="26" t="s">
        <v>5718</v>
      </c>
      <c r="F546" s="27">
        <v>5231344</v>
      </c>
      <c r="G546" s="27">
        <v>1</v>
      </c>
      <c r="H546" s="27">
        <v>0</v>
      </c>
      <c r="I546" s="27">
        <v>1</v>
      </c>
      <c r="J546" s="30">
        <f t="shared" si="24"/>
        <v>1</v>
      </c>
      <c r="K546" s="30">
        <f t="shared" si="25"/>
        <v>0</v>
      </c>
      <c r="L546" s="26">
        <f t="shared" si="26"/>
        <v>0</v>
      </c>
      <c r="M546" s="26"/>
    </row>
    <row r="547" spans="1:13" ht="15" customHeight="1">
      <c r="A547" s="25" t="s">
        <v>6797</v>
      </c>
      <c r="B547" s="26" t="s">
        <v>5427</v>
      </c>
      <c r="C547" s="26" t="s">
        <v>6798</v>
      </c>
      <c r="D547" s="26" t="s">
        <v>6799</v>
      </c>
      <c r="E547" s="26" t="s">
        <v>5550</v>
      </c>
      <c r="F547" s="27">
        <v>5230301</v>
      </c>
      <c r="G547" s="27">
        <v>0</v>
      </c>
      <c r="H547" s="27">
        <v>1</v>
      </c>
      <c r="I547" s="27">
        <v>1</v>
      </c>
      <c r="J547" s="30">
        <f t="shared" si="24"/>
        <v>0</v>
      </c>
      <c r="K547" s="30">
        <f t="shared" si="25"/>
        <v>1</v>
      </c>
      <c r="L547" s="26">
        <f t="shared" si="26"/>
        <v>0</v>
      </c>
      <c r="M547" s="26"/>
    </row>
    <row r="548" spans="1:13" ht="15" customHeight="1">
      <c r="A548" s="25" t="s">
        <v>6800</v>
      </c>
      <c r="B548" s="26" t="s">
        <v>5423</v>
      </c>
      <c r="C548" s="26" t="s">
        <v>6801</v>
      </c>
      <c r="D548" s="26" t="s">
        <v>6802</v>
      </c>
      <c r="E548" s="26" t="s">
        <v>5463</v>
      </c>
      <c r="F548" s="27">
        <v>5230372</v>
      </c>
      <c r="G548" s="27">
        <v>0</v>
      </c>
      <c r="H548" s="27">
        <v>1</v>
      </c>
      <c r="I548" s="27">
        <v>1</v>
      </c>
      <c r="J548" s="30">
        <f t="shared" si="24"/>
        <v>0</v>
      </c>
      <c r="K548" s="30">
        <f t="shared" si="25"/>
        <v>1</v>
      </c>
      <c r="L548" s="26">
        <f t="shared" si="26"/>
        <v>0</v>
      </c>
      <c r="M548" s="26"/>
    </row>
    <row r="549" spans="1:13" ht="15" customHeight="1">
      <c r="A549" s="25" t="s">
        <v>6803</v>
      </c>
      <c r="B549" s="26" t="s">
        <v>5423</v>
      </c>
      <c r="C549" s="26" t="s">
        <v>6804</v>
      </c>
      <c r="D549" s="26" t="s">
        <v>6805</v>
      </c>
      <c r="E549" s="26" t="s">
        <v>5458</v>
      </c>
      <c r="F549" s="27">
        <v>5229145</v>
      </c>
      <c r="G549" s="27">
        <v>1</v>
      </c>
      <c r="H549" s="27">
        <v>1</v>
      </c>
      <c r="I549" s="27">
        <v>1</v>
      </c>
      <c r="J549" s="30">
        <f t="shared" si="24"/>
        <v>1</v>
      </c>
      <c r="K549" s="30">
        <f t="shared" si="25"/>
        <v>1</v>
      </c>
      <c r="L549" s="26">
        <f t="shared" si="26"/>
        <v>1</v>
      </c>
      <c r="M549" s="26"/>
    </row>
    <row r="550" spans="1:13" ht="15" customHeight="1">
      <c r="A550" s="25" t="s">
        <v>6806</v>
      </c>
      <c r="B550" s="26" t="s">
        <v>5423</v>
      </c>
      <c r="C550" s="26" t="s">
        <v>6807</v>
      </c>
      <c r="D550" s="26" t="s">
        <v>6808</v>
      </c>
      <c r="E550" s="26" t="s">
        <v>5480</v>
      </c>
      <c r="F550" s="27">
        <v>5231147</v>
      </c>
      <c r="G550" s="27">
        <v>0</v>
      </c>
      <c r="H550" s="27">
        <v>0</v>
      </c>
      <c r="I550" s="27">
        <v>0</v>
      </c>
      <c r="J550" s="30">
        <f t="shared" si="24"/>
        <v>0</v>
      </c>
      <c r="K550" s="30">
        <f t="shared" si="25"/>
        <v>0</v>
      </c>
      <c r="L550" s="26">
        <f t="shared" si="26"/>
        <v>0</v>
      </c>
      <c r="M550" s="26">
        <v>0</v>
      </c>
    </row>
    <row r="551" spans="1:13" ht="15" customHeight="1">
      <c r="A551" s="25" t="s">
        <v>6809</v>
      </c>
      <c r="B551" s="26" t="s">
        <v>5423</v>
      </c>
      <c r="C551" s="26" t="s">
        <v>6810</v>
      </c>
      <c r="D551" s="26" t="s">
        <v>6811</v>
      </c>
      <c r="E551" s="26" t="s">
        <v>5683</v>
      </c>
      <c r="F551" s="27">
        <v>5233524</v>
      </c>
      <c r="G551" s="27">
        <v>1</v>
      </c>
      <c r="H551" s="27">
        <v>0</v>
      </c>
      <c r="I551" s="27">
        <v>1</v>
      </c>
      <c r="J551" s="30">
        <f t="shared" si="24"/>
        <v>1</v>
      </c>
      <c r="K551" s="30">
        <f t="shared" si="25"/>
        <v>0</v>
      </c>
      <c r="L551" s="26">
        <f t="shared" si="26"/>
        <v>0</v>
      </c>
      <c r="M551" s="26"/>
    </row>
    <row r="552" spans="1:13" ht="15" customHeight="1">
      <c r="A552" s="25" t="s">
        <v>6812</v>
      </c>
      <c r="B552" s="26" t="s">
        <v>5427</v>
      </c>
      <c r="C552" s="26" t="s">
        <v>6813</v>
      </c>
      <c r="D552" s="26" t="s">
        <v>6814</v>
      </c>
      <c r="E552" s="26" t="s">
        <v>5504</v>
      </c>
      <c r="F552" s="27">
        <v>5235244</v>
      </c>
      <c r="G552" s="27">
        <v>0</v>
      </c>
      <c r="H552" s="27">
        <v>1</v>
      </c>
      <c r="I552" s="27">
        <v>1</v>
      </c>
      <c r="J552" s="30">
        <f t="shared" si="24"/>
        <v>0</v>
      </c>
      <c r="K552" s="30">
        <f t="shared" si="25"/>
        <v>1</v>
      </c>
      <c r="L552" s="26">
        <f t="shared" si="26"/>
        <v>0</v>
      </c>
      <c r="M552" s="26"/>
    </row>
    <row r="553" spans="1:13" ht="15" customHeight="1">
      <c r="A553" s="25" t="s">
        <v>6815</v>
      </c>
      <c r="B553" s="26" t="s">
        <v>5427</v>
      </c>
      <c r="C553" s="26" t="s">
        <v>6816</v>
      </c>
      <c r="D553" s="26" t="s">
        <v>6817</v>
      </c>
      <c r="E553" s="26" t="s">
        <v>5485</v>
      </c>
      <c r="F553" s="27">
        <v>5233822</v>
      </c>
      <c r="G553" s="27">
        <v>0</v>
      </c>
      <c r="H553" s="27">
        <v>0</v>
      </c>
      <c r="I553" s="27">
        <v>0</v>
      </c>
      <c r="J553" s="30">
        <f t="shared" si="24"/>
        <v>0</v>
      </c>
      <c r="K553" s="30">
        <f t="shared" si="25"/>
        <v>0</v>
      </c>
      <c r="L553" s="26">
        <f t="shared" si="26"/>
        <v>0</v>
      </c>
      <c r="M553" s="26">
        <v>0</v>
      </c>
    </row>
    <row r="554" spans="1:13" ht="15" customHeight="1">
      <c r="A554" s="25" t="s">
        <v>6818</v>
      </c>
      <c r="B554" s="26" t="s">
        <v>5423</v>
      </c>
      <c r="C554" s="26" t="s">
        <v>6819</v>
      </c>
      <c r="D554" s="26" t="s">
        <v>6820</v>
      </c>
      <c r="E554" s="26" t="s">
        <v>5504</v>
      </c>
      <c r="F554" s="27">
        <v>5217013</v>
      </c>
      <c r="G554" s="27">
        <v>1</v>
      </c>
      <c r="H554" s="27">
        <v>1</v>
      </c>
      <c r="I554" s="27">
        <v>1</v>
      </c>
      <c r="J554" s="30">
        <f t="shared" si="24"/>
        <v>1</v>
      </c>
      <c r="K554" s="30">
        <f t="shared" si="25"/>
        <v>1</v>
      </c>
      <c r="L554" s="26">
        <f t="shared" si="26"/>
        <v>1</v>
      </c>
      <c r="M554" s="26"/>
    </row>
    <row r="555" spans="1:13" ht="15" customHeight="1">
      <c r="A555" s="25" t="s">
        <v>6821</v>
      </c>
      <c r="B555" s="26" t="s">
        <v>5427</v>
      </c>
      <c r="C555" s="26" t="s">
        <v>6822</v>
      </c>
      <c r="D555" s="26" t="s">
        <v>6823</v>
      </c>
      <c r="E555" s="26" t="s">
        <v>5439</v>
      </c>
      <c r="F555" s="27">
        <v>5233904</v>
      </c>
      <c r="G555" s="27">
        <v>0</v>
      </c>
      <c r="H555" s="27">
        <v>0</v>
      </c>
      <c r="I555" s="27">
        <v>0</v>
      </c>
      <c r="J555" s="30">
        <f t="shared" si="24"/>
        <v>0</v>
      </c>
      <c r="K555" s="30">
        <f t="shared" si="25"/>
        <v>0</v>
      </c>
      <c r="L555" s="26">
        <f t="shared" si="26"/>
        <v>0</v>
      </c>
      <c r="M555" s="26">
        <v>0</v>
      </c>
    </row>
    <row r="556" spans="1:13" ht="15" customHeight="1">
      <c r="A556" s="25" t="s">
        <v>6824</v>
      </c>
      <c r="B556" s="26" t="s">
        <v>5423</v>
      </c>
      <c r="C556" s="26" t="s">
        <v>6825</v>
      </c>
      <c r="D556" s="26" t="s">
        <v>6826</v>
      </c>
      <c r="E556" s="26" t="s">
        <v>5430</v>
      </c>
      <c r="F556" s="27">
        <v>5230556</v>
      </c>
      <c r="G556" s="27">
        <v>1</v>
      </c>
      <c r="H556" s="27">
        <v>1</v>
      </c>
      <c r="I556" s="27">
        <v>1</v>
      </c>
      <c r="J556" s="30">
        <f t="shared" si="24"/>
        <v>1</v>
      </c>
      <c r="K556" s="30">
        <f t="shared" si="25"/>
        <v>1</v>
      </c>
      <c r="L556" s="26">
        <f t="shared" si="26"/>
        <v>1</v>
      </c>
      <c r="M556" s="26"/>
    </row>
    <row r="557" spans="1:13" ht="15" customHeight="1">
      <c r="A557" s="25" t="s">
        <v>6827</v>
      </c>
      <c r="B557" s="26" t="s">
        <v>5427</v>
      </c>
      <c r="C557" s="26" t="s">
        <v>6828</v>
      </c>
      <c r="D557" s="26" t="s">
        <v>6829</v>
      </c>
      <c r="E557" s="26" t="s">
        <v>5455</v>
      </c>
      <c r="F557" s="27">
        <v>4430935</v>
      </c>
      <c r="G557" s="27">
        <v>0</v>
      </c>
      <c r="H557" s="27">
        <v>1</v>
      </c>
      <c r="I557" s="27">
        <v>1</v>
      </c>
      <c r="J557" s="30">
        <f t="shared" si="24"/>
        <v>0</v>
      </c>
      <c r="K557" s="30">
        <f t="shared" si="25"/>
        <v>1</v>
      </c>
      <c r="L557" s="26">
        <f t="shared" si="26"/>
        <v>0</v>
      </c>
      <c r="M557" s="26"/>
    </row>
    <row r="558" spans="1:13" ht="15" customHeight="1">
      <c r="A558" s="25" t="s">
        <v>6830</v>
      </c>
      <c r="B558" s="26" t="s">
        <v>5427</v>
      </c>
      <c r="C558" s="26" t="s">
        <v>6831</v>
      </c>
      <c r="D558" s="26" t="s">
        <v>6832</v>
      </c>
      <c r="E558" s="26" t="s">
        <v>5439</v>
      </c>
      <c r="F558" s="27">
        <v>5220397</v>
      </c>
      <c r="G558" s="27">
        <v>1</v>
      </c>
      <c r="H558" s="27">
        <v>0</v>
      </c>
      <c r="I558" s="27">
        <v>1</v>
      </c>
      <c r="J558" s="30">
        <f t="shared" si="24"/>
        <v>1</v>
      </c>
      <c r="K558" s="30">
        <f t="shared" si="25"/>
        <v>0</v>
      </c>
      <c r="L558" s="26">
        <f t="shared" si="26"/>
        <v>0</v>
      </c>
      <c r="M558" s="26"/>
    </row>
    <row r="559" spans="1:13" ht="15" customHeight="1">
      <c r="A559" s="25" t="s">
        <v>6833</v>
      </c>
      <c r="B559" s="26" t="s">
        <v>5423</v>
      </c>
      <c r="C559" s="26" t="s">
        <v>6834</v>
      </c>
      <c r="D559" s="26" t="s">
        <v>6835</v>
      </c>
      <c r="E559" s="26" t="s">
        <v>5507</v>
      </c>
      <c r="F559" s="27">
        <v>5236560</v>
      </c>
      <c r="G559" s="27">
        <v>0</v>
      </c>
      <c r="H559" s="27">
        <v>0</v>
      </c>
      <c r="I559" s="27">
        <v>0</v>
      </c>
      <c r="J559" s="30">
        <f t="shared" si="24"/>
        <v>0</v>
      </c>
      <c r="K559" s="30">
        <f t="shared" si="25"/>
        <v>0</v>
      </c>
      <c r="L559" s="26">
        <f t="shared" si="26"/>
        <v>0</v>
      </c>
      <c r="M559" s="26" t="s">
        <v>5567</v>
      </c>
    </row>
    <row r="560" spans="1:13" ht="15" customHeight="1">
      <c r="A560" s="25" t="s">
        <v>6836</v>
      </c>
      <c r="B560" s="26" t="s">
        <v>5427</v>
      </c>
      <c r="C560" s="26" t="s">
        <v>6837</v>
      </c>
      <c r="D560" s="26" t="s">
        <v>6838</v>
      </c>
      <c r="E560" s="26" t="s">
        <v>5683</v>
      </c>
      <c r="F560" s="27">
        <v>5234802</v>
      </c>
      <c r="G560" s="27">
        <v>1</v>
      </c>
      <c r="H560" s="27">
        <v>0</v>
      </c>
      <c r="I560" s="27">
        <v>1</v>
      </c>
      <c r="J560" s="30">
        <f t="shared" si="24"/>
        <v>1</v>
      </c>
      <c r="K560" s="30">
        <f t="shared" si="25"/>
        <v>0</v>
      </c>
      <c r="L560" s="26">
        <f t="shared" si="26"/>
        <v>0</v>
      </c>
      <c r="M560" s="26"/>
    </row>
    <row r="561" spans="1:13" ht="15" customHeight="1">
      <c r="A561" s="25" t="s">
        <v>6839</v>
      </c>
      <c r="B561" s="26" t="s">
        <v>5423</v>
      </c>
      <c r="C561" s="26" t="s">
        <v>6840</v>
      </c>
      <c r="D561" s="26" t="s">
        <v>6841</v>
      </c>
      <c r="E561" s="26" t="s">
        <v>5522</v>
      </c>
      <c r="F561" s="27">
        <v>5238112</v>
      </c>
      <c r="G561" s="27">
        <v>1</v>
      </c>
      <c r="H561" s="27">
        <v>0</v>
      </c>
      <c r="I561" s="27">
        <v>1</v>
      </c>
      <c r="J561" s="30">
        <f t="shared" si="24"/>
        <v>1</v>
      </c>
      <c r="K561" s="30">
        <f t="shared" si="25"/>
        <v>0</v>
      </c>
      <c r="L561" s="26">
        <f t="shared" si="26"/>
        <v>0</v>
      </c>
      <c r="M561" s="26"/>
    </row>
    <row r="562" spans="1:13" ht="15" customHeight="1">
      <c r="A562" s="25" t="s">
        <v>6842</v>
      </c>
      <c r="B562" s="26" t="s">
        <v>5423</v>
      </c>
      <c r="C562" s="26" t="s">
        <v>6843</v>
      </c>
      <c r="D562" s="26" t="s">
        <v>6844</v>
      </c>
      <c r="E562" s="26" t="s">
        <v>5475</v>
      </c>
      <c r="F562" s="27">
        <v>5239604</v>
      </c>
      <c r="G562" s="27">
        <v>1</v>
      </c>
      <c r="H562" s="27">
        <v>0</v>
      </c>
      <c r="I562" s="27">
        <v>1</v>
      </c>
      <c r="J562" s="30">
        <f t="shared" si="24"/>
        <v>1</v>
      </c>
      <c r="K562" s="30">
        <f t="shared" si="25"/>
        <v>0</v>
      </c>
      <c r="L562" s="26">
        <f t="shared" si="26"/>
        <v>0</v>
      </c>
      <c r="M562" s="26"/>
    </row>
    <row r="563" spans="1:13" ht="15" customHeight="1">
      <c r="A563" s="25" t="s">
        <v>6845</v>
      </c>
      <c r="B563" s="26" t="s">
        <v>5423</v>
      </c>
      <c r="C563" s="26" t="s">
        <v>6846</v>
      </c>
      <c r="D563" s="26" t="s">
        <v>6847</v>
      </c>
      <c r="E563" s="26" t="s">
        <v>5517</v>
      </c>
      <c r="F563" s="27">
        <v>5218463</v>
      </c>
      <c r="G563" s="27">
        <v>1</v>
      </c>
      <c r="H563" s="27">
        <v>0</v>
      </c>
      <c r="I563" s="27">
        <v>1</v>
      </c>
      <c r="J563" s="30">
        <f t="shared" si="24"/>
        <v>1</v>
      </c>
      <c r="K563" s="30">
        <f t="shared" si="25"/>
        <v>0</v>
      </c>
      <c r="L563" s="26">
        <f t="shared" si="26"/>
        <v>0</v>
      </c>
      <c r="M563" s="26"/>
    </row>
    <row r="564" spans="1:13" ht="15" customHeight="1">
      <c r="A564" s="25" t="s">
        <v>6848</v>
      </c>
      <c r="B564" s="26" t="s">
        <v>5427</v>
      </c>
      <c r="C564" s="26" t="s">
        <v>6849</v>
      </c>
      <c r="D564" s="26" t="s">
        <v>6850</v>
      </c>
      <c r="E564" s="26" t="s">
        <v>5504</v>
      </c>
      <c r="F564" s="27">
        <v>5240220</v>
      </c>
      <c r="G564" s="27">
        <v>1</v>
      </c>
      <c r="H564" s="27">
        <v>0</v>
      </c>
      <c r="I564" s="27">
        <v>1</v>
      </c>
      <c r="J564" s="30">
        <f t="shared" si="24"/>
        <v>1</v>
      </c>
      <c r="K564" s="30">
        <f t="shared" si="25"/>
        <v>0</v>
      </c>
      <c r="L564" s="26">
        <f t="shared" si="26"/>
        <v>0</v>
      </c>
      <c r="M564" s="26"/>
    </row>
    <row r="565" spans="1:13" ht="15" customHeight="1">
      <c r="A565" s="25" t="s">
        <v>6851</v>
      </c>
      <c r="B565" s="26" t="s">
        <v>5427</v>
      </c>
      <c r="C565" s="26" t="s">
        <v>6852</v>
      </c>
      <c r="D565" s="26" t="s">
        <v>6853</v>
      </c>
      <c r="E565" s="26" t="s">
        <v>5586</v>
      </c>
      <c r="F565" s="27">
        <v>5222011</v>
      </c>
      <c r="G565" s="27">
        <v>1</v>
      </c>
      <c r="H565" s="27">
        <v>1</v>
      </c>
      <c r="I565" s="27">
        <v>1</v>
      </c>
      <c r="J565" s="30">
        <f t="shared" si="24"/>
        <v>1</v>
      </c>
      <c r="K565" s="30">
        <f t="shared" si="25"/>
        <v>1</v>
      </c>
      <c r="L565" s="26">
        <f t="shared" si="26"/>
        <v>1</v>
      </c>
      <c r="M565" s="26"/>
    </row>
    <row r="566" spans="1:13" ht="15" customHeight="1">
      <c r="A566" s="25" t="s">
        <v>6854</v>
      </c>
      <c r="B566" s="26" t="s">
        <v>5427</v>
      </c>
      <c r="C566" s="26" t="s">
        <v>6855</v>
      </c>
      <c r="D566" s="26" t="s">
        <v>6856</v>
      </c>
      <c r="E566" s="26" t="s">
        <v>5452</v>
      </c>
      <c r="F566" s="27">
        <v>5240099</v>
      </c>
      <c r="G566" s="27">
        <v>0</v>
      </c>
      <c r="H566" s="27">
        <v>0</v>
      </c>
      <c r="I566" s="27">
        <v>0</v>
      </c>
      <c r="J566" s="30">
        <f t="shared" si="24"/>
        <v>0</v>
      </c>
      <c r="K566" s="30">
        <f t="shared" si="25"/>
        <v>0</v>
      </c>
      <c r="L566" s="26">
        <f t="shared" si="26"/>
        <v>0</v>
      </c>
      <c r="M566" s="26">
        <v>0</v>
      </c>
    </row>
    <row r="567" spans="1:13" ht="15" customHeight="1">
      <c r="A567" s="25" t="s">
        <v>6857</v>
      </c>
      <c r="B567" s="26" t="s">
        <v>5427</v>
      </c>
      <c r="C567" s="26" t="s">
        <v>6858</v>
      </c>
      <c r="D567" s="26" t="s">
        <v>6859</v>
      </c>
      <c r="E567" s="26" t="s">
        <v>5517</v>
      </c>
      <c r="F567" s="27">
        <v>5237037</v>
      </c>
      <c r="G567" s="27">
        <v>0</v>
      </c>
      <c r="H567" s="27">
        <v>0</v>
      </c>
      <c r="I567" s="27">
        <v>0</v>
      </c>
      <c r="J567" s="30">
        <f t="shared" si="24"/>
        <v>0</v>
      </c>
      <c r="K567" s="30">
        <f t="shared" si="25"/>
        <v>0</v>
      </c>
      <c r="L567" s="26">
        <f t="shared" si="26"/>
        <v>0</v>
      </c>
      <c r="M567" s="26">
        <v>0</v>
      </c>
    </row>
    <row r="568" spans="1:13" ht="15" customHeight="1">
      <c r="A568" s="25" t="s">
        <v>6860</v>
      </c>
      <c r="B568" s="26" t="s">
        <v>5427</v>
      </c>
      <c r="C568" s="26" t="s">
        <v>6861</v>
      </c>
      <c r="D568" s="26" t="s">
        <v>6862</v>
      </c>
      <c r="E568" s="26" t="s">
        <v>5458</v>
      </c>
      <c r="F568" s="27">
        <v>2828508</v>
      </c>
      <c r="G568" s="27">
        <v>1</v>
      </c>
      <c r="H568" s="27">
        <v>0</v>
      </c>
      <c r="I568" s="27">
        <v>1</v>
      </c>
      <c r="J568" s="30">
        <f t="shared" si="24"/>
        <v>1</v>
      </c>
      <c r="K568" s="30">
        <f t="shared" si="25"/>
        <v>0</v>
      </c>
      <c r="L568" s="26">
        <f t="shared" si="26"/>
        <v>0</v>
      </c>
      <c r="M568" s="26"/>
    </row>
    <row r="569" spans="1:13" ht="15" customHeight="1">
      <c r="A569" s="25" t="s">
        <v>6863</v>
      </c>
      <c r="B569" s="26" t="s">
        <v>5427</v>
      </c>
      <c r="C569" s="26" t="s">
        <v>6864</v>
      </c>
      <c r="D569" s="26" t="s">
        <v>6865</v>
      </c>
      <c r="E569" s="26" t="s">
        <v>5475</v>
      </c>
      <c r="F569" s="27">
        <v>5237761</v>
      </c>
      <c r="G569" s="27">
        <v>0</v>
      </c>
      <c r="H569" s="27">
        <v>0</v>
      </c>
      <c r="I569" s="27">
        <v>0</v>
      </c>
      <c r="J569" s="30">
        <f t="shared" si="24"/>
        <v>0</v>
      </c>
      <c r="K569" s="30">
        <f t="shared" si="25"/>
        <v>0</v>
      </c>
      <c r="L569" s="26">
        <f t="shared" si="26"/>
        <v>0</v>
      </c>
      <c r="M569" s="26">
        <v>0</v>
      </c>
    </row>
    <row r="570" spans="1:13" ht="15" customHeight="1">
      <c r="A570" s="25" t="s">
        <v>6866</v>
      </c>
      <c r="B570" s="26" t="s">
        <v>5423</v>
      </c>
      <c r="C570" s="26" t="s">
        <v>6867</v>
      </c>
      <c r="D570" s="26" t="s">
        <v>6868</v>
      </c>
      <c r="E570" s="26" t="s">
        <v>5540</v>
      </c>
      <c r="F570" s="27">
        <v>4895744</v>
      </c>
      <c r="G570" s="27">
        <v>0</v>
      </c>
      <c r="H570" s="27">
        <v>0</v>
      </c>
      <c r="I570" s="27">
        <v>0</v>
      </c>
      <c r="J570" s="30">
        <f t="shared" si="24"/>
        <v>0</v>
      </c>
      <c r="K570" s="30">
        <f t="shared" si="25"/>
        <v>0</v>
      </c>
      <c r="L570" s="26">
        <f t="shared" si="26"/>
        <v>0</v>
      </c>
      <c r="M570" s="26">
        <v>0</v>
      </c>
    </row>
    <row r="571" spans="1:13" ht="15" customHeight="1">
      <c r="A571" s="25" t="s">
        <v>6869</v>
      </c>
      <c r="B571" s="26" t="s">
        <v>5427</v>
      </c>
      <c r="C571" s="26" t="s">
        <v>6870</v>
      </c>
      <c r="D571" s="26" t="s">
        <v>6871</v>
      </c>
      <c r="E571" s="26" t="s">
        <v>5491</v>
      </c>
      <c r="F571" s="27">
        <v>5240044</v>
      </c>
      <c r="G571" s="27">
        <v>0</v>
      </c>
      <c r="H571" s="27">
        <v>0</v>
      </c>
      <c r="I571" s="27">
        <v>0</v>
      </c>
      <c r="J571" s="30">
        <f t="shared" si="24"/>
        <v>0</v>
      </c>
      <c r="K571" s="30">
        <f t="shared" si="25"/>
        <v>0</v>
      </c>
      <c r="L571" s="26">
        <f t="shared" si="26"/>
        <v>0</v>
      </c>
      <c r="M571" s="26">
        <v>0</v>
      </c>
    </row>
    <row r="572" spans="1:13" ht="15" customHeight="1">
      <c r="A572" s="25" t="s">
        <v>6872</v>
      </c>
      <c r="B572" s="26" t="s">
        <v>5423</v>
      </c>
      <c r="C572" s="26" t="s">
        <v>6873</v>
      </c>
      <c r="D572" s="26" t="s">
        <v>6874</v>
      </c>
      <c r="E572" s="26" t="s">
        <v>5480</v>
      </c>
      <c r="F572" s="27">
        <v>2272391</v>
      </c>
      <c r="G572" s="27">
        <v>0</v>
      </c>
      <c r="H572" s="27">
        <v>0</v>
      </c>
      <c r="I572" s="27">
        <v>0</v>
      </c>
      <c r="J572" s="30">
        <f t="shared" si="24"/>
        <v>0</v>
      </c>
      <c r="K572" s="30">
        <f t="shared" si="25"/>
        <v>0</v>
      </c>
      <c r="L572" s="26">
        <f t="shared" si="26"/>
        <v>0</v>
      </c>
      <c r="M572" s="26">
        <v>0</v>
      </c>
    </row>
    <row r="573" spans="1:13" ht="15" customHeight="1">
      <c r="A573" s="25" t="s">
        <v>6875</v>
      </c>
      <c r="B573" s="26" t="s">
        <v>5423</v>
      </c>
      <c r="C573" s="26" t="s">
        <v>6876</v>
      </c>
      <c r="D573" s="26" t="s">
        <v>6877</v>
      </c>
      <c r="E573" s="26" t="s">
        <v>5439</v>
      </c>
      <c r="F573" s="27">
        <v>5237485</v>
      </c>
      <c r="G573" s="27">
        <v>0</v>
      </c>
      <c r="H573" s="27">
        <v>0</v>
      </c>
      <c r="I573" s="27">
        <v>0</v>
      </c>
      <c r="J573" s="30">
        <f t="shared" si="24"/>
        <v>0</v>
      </c>
      <c r="K573" s="30">
        <f t="shared" si="25"/>
        <v>0</v>
      </c>
      <c r="L573" s="26">
        <f t="shared" si="26"/>
        <v>0</v>
      </c>
      <c r="M573" s="26">
        <v>0</v>
      </c>
    </row>
    <row r="574" spans="1:13" ht="15" customHeight="1">
      <c r="A574" s="25" t="s">
        <v>6878</v>
      </c>
      <c r="B574" s="26" t="s">
        <v>5427</v>
      </c>
      <c r="C574" s="26" t="s">
        <v>6879</v>
      </c>
      <c r="D574" s="26" t="s">
        <v>6880</v>
      </c>
      <c r="E574" s="26" t="s">
        <v>6541</v>
      </c>
      <c r="F574" s="27">
        <v>5233370</v>
      </c>
      <c r="G574" s="27">
        <v>1</v>
      </c>
      <c r="H574" s="27">
        <v>1</v>
      </c>
      <c r="I574" s="27">
        <v>1</v>
      </c>
      <c r="J574" s="30">
        <f t="shared" si="24"/>
        <v>1</v>
      </c>
      <c r="K574" s="30">
        <f t="shared" si="25"/>
        <v>1</v>
      </c>
      <c r="L574" s="26">
        <f t="shared" si="26"/>
        <v>1</v>
      </c>
      <c r="M574" s="26"/>
    </row>
    <row r="575" spans="1:13" ht="15" customHeight="1">
      <c r="A575" s="25" t="s">
        <v>6881</v>
      </c>
      <c r="B575" s="26" t="s">
        <v>5427</v>
      </c>
      <c r="C575" s="26" t="s">
        <v>6882</v>
      </c>
      <c r="D575" s="26" t="s">
        <v>6883</v>
      </c>
      <c r="E575" s="26" t="s">
        <v>6423</v>
      </c>
      <c r="F575" s="27">
        <v>4467366</v>
      </c>
      <c r="G575" s="27">
        <v>2</v>
      </c>
      <c r="H575" s="27">
        <v>0</v>
      </c>
      <c r="I575" s="27">
        <v>1</v>
      </c>
      <c r="J575" s="30">
        <f t="shared" si="24"/>
        <v>1</v>
      </c>
      <c r="K575" s="30">
        <f t="shared" si="25"/>
        <v>0</v>
      </c>
      <c r="L575" s="26">
        <f t="shared" si="26"/>
        <v>0</v>
      </c>
      <c r="M575" s="26" t="s">
        <v>5611</v>
      </c>
    </row>
    <row r="576" spans="1:13" ht="15" customHeight="1">
      <c r="A576" s="25" t="s">
        <v>6884</v>
      </c>
      <c r="B576" s="26" t="s">
        <v>5427</v>
      </c>
      <c r="C576" s="26" t="s">
        <v>6885</v>
      </c>
      <c r="D576" s="26" t="s">
        <v>6886</v>
      </c>
      <c r="E576" s="26" t="s">
        <v>5517</v>
      </c>
      <c r="F576" s="27">
        <v>5220659</v>
      </c>
      <c r="G576" s="27">
        <v>1</v>
      </c>
      <c r="H576" s="27">
        <v>0</v>
      </c>
      <c r="I576" s="27">
        <v>1</v>
      </c>
      <c r="J576" s="30">
        <f t="shared" si="24"/>
        <v>1</v>
      </c>
      <c r="K576" s="30">
        <f t="shared" si="25"/>
        <v>0</v>
      </c>
      <c r="L576" s="26">
        <f t="shared" si="26"/>
        <v>0</v>
      </c>
      <c r="M576" s="26"/>
    </row>
    <row r="577" spans="1:13" ht="15" customHeight="1">
      <c r="A577" s="25" t="s">
        <v>6887</v>
      </c>
      <c r="B577" s="26" t="s">
        <v>5423</v>
      </c>
      <c r="C577" s="26" t="s">
        <v>6888</v>
      </c>
      <c r="D577" s="26" t="s">
        <v>6889</v>
      </c>
      <c r="E577" s="26" t="s">
        <v>5535</v>
      </c>
      <c r="F577" s="27">
        <v>4257984</v>
      </c>
      <c r="G577" s="27">
        <v>0</v>
      </c>
      <c r="H577" s="27">
        <v>1</v>
      </c>
      <c r="I577" s="27">
        <v>1</v>
      </c>
      <c r="J577" s="30">
        <f t="shared" si="24"/>
        <v>0</v>
      </c>
      <c r="K577" s="30">
        <f t="shared" si="25"/>
        <v>1</v>
      </c>
      <c r="L577" s="26">
        <f t="shared" si="26"/>
        <v>0</v>
      </c>
      <c r="M577" s="26"/>
    </row>
    <row r="578" spans="1:13" ht="15" customHeight="1">
      <c r="A578" s="25" t="s">
        <v>6890</v>
      </c>
      <c r="B578" s="26" t="s">
        <v>5423</v>
      </c>
      <c r="C578" s="26" t="s">
        <v>6891</v>
      </c>
      <c r="D578" s="26" t="s">
        <v>6892</v>
      </c>
      <c r="E578" s="26" t="s">
        <v>5586</v>
      </c>
      <c r="F578" s="27">
        <v>5243592</v>
      </c>
      <c r="G578" s="27">
        <v>0</v>
      </c>
      <c r="H578" s="27">
        <v>1</v>
      </c>
      <c r="I578" s="27">
        <v>1</v>
      </c>
      <c r="J578" s="30">
        <f t="shared" ref="J578:J641" si="27">IF(G578&gt;0,1,0)</f>
        <v>0</v>
      </c>
      <c r="K578" s="30">
        <f t="shared" ref="K578:K641" si="28">IF(H578&gt;0,1,0)</f>
        <v>1</v>
      </c>
      <c r="L578" s="26">
        <f t="shared" ref="L578:L641" si="29">IF(G578&gt;0,IF(H578&gt;0,1,0),0)</f>
        <v>0</v>
      </c>
      <c r="M578" s="26"/>
    </row>
    <row r="579" spans="1:13" ht="15" customHeight="1">
      <c r="A579" s="25" t="s">
        <v>6893</v>
      </c>
      <c r="B579" s="26" t="s">
        <v>5423</v>
      </c>
      <c r="C579" s="26" t="s">
        <v>6894</v>
      </c>
      <c r="D579" s="26" t="s">
        <v>6895</v>
      </c>
      <c r="E579" s="26" t="s">
        <v>5535</v>
      </c>
      <c r="F579" s="27">
        <v>5201281</v>
      </c>
      <c r="G579" s="27">
        <v>0</v>
      </c>
      <c r="H579" s="27">
        <v>0</v>
      </c>
      <c r="I579" s="27">
        <v>0</v>
      </c>
      <c r="J579" s="30">
        <f t="shared" si="27"/>
        <v>0</v>
      </c>
      <c r="K579" s="30">
        <f t="shared" si="28"/>
        <v>0</v>
      </c>
      <c r="L579" s="26">
        <f t="shared" si="29"/>
        <v>0</v>
      </c>
      <c r="M579" s="26">
        <v>0</v>
      </c>
    </row>
    <row r="580" spans="1:13" ht="15" customHeight="1">
      <c r="A580" s="25" t="s">
        <v>6896</v>
      </c>
      <c r="B580" s="26" t="s">
        <v>5427</v>
      </c>
      <c r="C580" s="26" t="s">
        <v>6897</v>
      </c>
      <c r="D580" s="26" t="s">
        <v>6898</v>
      </c>
      <c r="E580" s="26" t="s">
        <v>5532</v>
      </c>
      <c r="F580" s="27">
        <v>1885205</v>
      </c>
      <c r="G580" s="27">
        <v>1</v>
      </c>
      <c r="H580" s="27">
        <v>0</v>
      </c>
      <c r="I580" s="27">
        <v>1</v>
      </c>
      <c r="J580" s="30">
        <f t="shared" si="27"/>
        <v>1</v>
      </c>
      <c r="K580" s="30">
        <f t="shared" si="28"/>
        <v>0</v>
      </c>
      <c r="L580" s="26">
        <f t="shared" si="29"/>
        <v>0</v>
      </c>
      <c r="M580" s="26"/>
    </row>
    <row r="581" spans="1:13" ht="15" customHeight="1">
      <c r="A581" s="25" t="s">
        <v>6899</v>
      </c>
      <c r="B581" s="26" t="s">
        <v>5423</v>
      </c>
      <c r="C581" s="26" t="s">
        <v>6900</v>
      </c>
      <c r="D581" s="26" t="s">
        <v>6901</v>
      </c>
      <c r="E581" s="26" t="s">
        <v>5517</v>
      </c>
      <c r="F581" s="27">
        <v>5245552</v>
      </c>
      <c r="G581" s="27">
        <v>1</v>
      </c>
      <c r="H581" s="27">
        <v>0</v>
      </c>
      <c r="I581" s="27">
        <v>1</v>
      </c>
      <c r="J581" s="30">
        <f t="shared" si="27"/>
        <v>1</v>
      </c>
      <c r="K581" s="30">
        <f t="shared" si="28"/>
        <v>0</v>
      </c>
      <c r="L581" s="26">
        <f t="shared" si="29"/>
        <v>0</v>
      </c>
      <c r="M581" s="26"/>
    </row>
    <row r="582" spans="1:13" ht="15" customHeight="1">
      <c r="A582" s="25" t="s">
        <v>6902</v>
      </c>
      <c r="B582" s="26" t="s">
        <v>5423</v>
      </c>
      <c r="C582" s="26" t="s">
        <v>6903</v>
      </c>
      <c r="D582" s="26" t="s">
        <v>6904</v>
      </c>
      <c r="E582" s="26" t="s">
        <v>5522</v>
      </c>
      <c r="F582" s="27">
        <v>5213411</v>
      </c>
      <c r="G582" s="27">
        <v>1</v>
      </c>
      <c r="H582" s="27">
        <v>1</v>
      </c>
      <c r="I582" s="27">
        <v>1</v>
      </c>
      <c r="J582" s="30">
        <f t="shared" si="27"/>
        <v>1</v>
      </c>
      <c r="K582" s="30">
        <f t="shared" si="28"/>
        <v>1</v>
      </c>
      <c r="L582" s="26">
        <f t="shared" si="29"/>
        <v>1</v>
      </c>
      <c r="M582" s="26"/>
    </row>
    <row r="583" spans="1:13" ht="15" customHeight="1">
      <c r="A583" s="25" t="s">
        <v>6905</v>
      </c>
      <c r="B583" s="26" t="s">
        <v>5423</v>
      </c>
      <c r="C583" s="26" t="s">
        <v>6906</v>
      </c>
      <c r="D583" s="26" t="s">
        <v>6907</v>
      </c>
      <c r="E583" s="26" t="s">
        <v>5463</v>
      </c>
      <c r="F583" s="27">
        <v>5154541</v>
      </c>
      <c r="G583" s="27">
        <v>1</v>
      </c>
      <c r="H583" s="27">
        <v>1</v>
      </c>
      <c r="I583" s="27">
        <v>1</v>
      </c>
      <c r="J583" s="30">
        <f t="shared" si="27"/>
        <v>1</v>
      </c>
      <c r="K583" s="30">
        <f t="shared" si="28"/>
        <v>1</v>
      </c>
      <c r="L583" s="26">
        <f t="shared" si="29"/>
        <v>1</v>
      </c>
      <c r="M583" s="26"/>
    </row>
    <row r="584" spans="1:13" ht="15" customHeight="1">
      <c r="A584" s="25" t="s">
        <v>6908</v>
      </c>
      <c r="B584" s="26" t="s">
        <v>5427</v>
      </c>
      <c r="C584" s="26" t="s">
        <v>6909</v>
      </c>
      <c r="D584" s="26" t="s">
        <v>6910</v>
      </c>
      <c r="E584" s="26" t="s">
        <v>5439</v>
      </c>
      <c r="F584" s="27">
        <v>5183083</v>
      </c>
      <c r="G584" s="27">
        <v>1</v>
      </c>
      <c r="H584" s="27">
        <v>1</v>
      </c>
      <c r="I584" s="27">
        <v>1</v>
      </c>
      <c r="J584" s="30">
        <f t="shared" si="27"/>
        <v>1</v>
      </c>
      <c r="K584" s="30">
        <f t="shared" si="28"/>
        <v>1</v>
      </c>
      <c r="L584" s="26">
        <f t="shared" si="29"/>
        <v>1</v>
      </c>
      <c r="M584" s="26"/>
    </row>
    <row r="585" spans="1:13" ht="15" customHeight="1">
      <c r="A585" s="25" t="s">
        <v>6911</v>
      </c>
      <c r="B585" s="26" t="s">
        <v>5423</v>
      </c>
      <c r="C585" s="26" t="s">
        <v>6912</v>
      </c>
      <c r="D585" s="26" t="s">
        <v>6913</v>
      </c>
      <c r="E585" s="26" t="s">
        <v>5535</v>
      </c>
      <c r="F585" s="27">
        <v>5246717</v>
      </c>
      <c r="G585" s="27">
        <v>0</v>
      </c>
      <c r="H585" s="27">
        <v>0</v>
      </c>
      <c r="I585" s="27">
        <v>0</v>
      </c>
      <c r="J585" s="30">
        <f t="shared" si="27"/>
        <v>0</v>
      </c>
      <c r="K585" s="30">
        <f t="shared" si="28"/>
        <v>0</v>
      </c>
      <c r="L585" s="26">
        <f t="shared" si="29"/>
        <v>0</v>
      </c>
      <c r="M585" s="26">
        <v>0</v>
      </c>
    </row>
    <row r="586" spans="1:13" ht="15" customHeight="1">
      <c r="A586" s="25" t="s">
        <v>6914</v>
      </c>
      <c r="B586" s="26" t="s">
        <v>5427</v>
      </c>
      <c r="C586" s="26" t="s">
        <v>6915</v>
      </c>
      <c r="D586" s="26" t="s">
        <v>6916</v>
      </c>
      <c r="E586" s="26" t="s">
        <v>5540</v>
      </c>
      <c r="F586" s="27">
        <v>5247122</v>
      </c>
      <c r="G586" s="27">
        <v>1</v>
      </c>
      <c r="H586" s="27">
        <v>1</v>
      </c>
      <c r="I586" s="27">
        <v>1</v>
      </c>
      <c r="J586" s="30">
        <f t="shared" si="27"/>
        <v>1</v>
      </c>
      <c r="K586" s="30">
        <f t="shared" si="28"/>
        <v>1</v>
      </c>
      <c r="L586" s="26">
        <f t="shared" si="29"/>
        <v>1</v>
      </c>
      <c r="M586" s="26"/>
    </row>
    <row r="587" spans="1:13" ht="15" customHeight="1">
      <c r="A587" s="25" t="s">
        <v>6917</v>
      </c>
      <c r="B587" s="26" t="s">
        <v>5427</v>
      </c>
      <c r="C587" s="26" t="s">
        <v>6918</v>
      </c>
      <c r="D587" s="26" t="s">
        <v>6919</v>
      </c>
      <c r="E587" s="26" t="s">
        <v>5517</v>
      </c>
      <c r="F587" s="27">
        <v>5246055</v>
      </c>
      <c r="G587" s="27">
        <v>1</v>
      </c>
      <c r="H587" s="27">
        <v>0</v>
      </c>
      <c r="I587" s="27">
        <v>1</v>
      </c>
      <c r="J587" s="30">
        <f t="shared" si="27"/>
        <v>1</v>
      </c>
      <c r="K587" s="30">
        <f t="shared" si="28"/>
        <v>0</v>
      </c>
      <c r="L587" s="26">
        <f t="shared" si="29"/>
        <v>0</v>
      </c>
      <c r="M587" s="26"/>
    </row>
    <row r="588" spans="1:13" ht="15" customHeight="1">
      <c r="A588" s="25" t="s">
        <v>6920</v>
      </c>
      <c r="B588" s="26" t="s">
        <v>5423</v>
      </c>
      <c r="C588" s="26" t="s">
        <v>6921</v>
      </c>
      <c r="D588" s="26" t="s">
        <v>6922</v>
      </c>
      <c r="E588" s="26" t="s">
        <v>5430</v>
      </c>
      <c r="F588" s="27">
        <v>5245411</v>
      </c>
      <c r="G588" s="27">
        <v>2</v>
      </c>
      <c r="H588" s="27">
        <v>0</v>
      </c>
      <c r="I588" s="27">
        <v>1</v>
      </c>
      <c r="J588" s="30">
        <f t="shared" si="27"/>
        <v>1</v>
      </c>
      <c r="K588" s="30">
        <f t="shared" si="28"/>
        <v>0</v>
      </c>
      <c r="L588" s="26">
        <f t="shared" si="29"/>
        <v>0</v>
      </c>
      <c r="M588" s="26" t="s">
        <v>5611</v>
      </c>
    </row>
    <row r="589" spans="1:13" ht="15" customHeight="1">
      <c r="A589" s="25" t="s">
        <v>6923</v>
      </c>
      <c r="B589" s="26" t="s">
        <v>5423</v>
      </c>
      <c r="C589" s="26" t="s">
        <v>6924</v>
      </c>
      <c r="D589" s="26" t="s">
        <v>6925</v>
      </c>
      <c r="E589" s="26" t="s">
        <v>5507</v>
      </c>
      <c r="F589" s="27">
        <v>5236560</v>
      </c>
      <c r="G589" s="27">
        <v>0</v>
      </c>
      <c r="H589" s="27">
        <v>0</v>
      </c>
      <c r="I589" s="27">
        <v>0</v>
      </c>
      <c r="J589" s="30">
        <f t="shared" si="27"/>
        <v>0</v>
      </c>
      <c r="K589" s="30">
        <f t="shared" si="28"/>
        <v>0</v>
      </c>
      <c r="L589" s="26">
        <f t="shared" si="29"/>
        <v>0</v>
      </c>
      <c r="M589" s="26" t="s">
        <v>5567</v>
      </c>
    </row>
    <row r="590" spans="1:13" ht="15" customHeight="1">
      <c r="A590" s="25" t="s">
        <v>6926</v>
      </c>
      <c r="B590" s="26" t="s">
        <v>5423</v>
      </c>
      <c r="C590" s="26" t="s">
        <v>6927</v>
      </c>
      <c r="D590" s="26" t="s">
        <v>6928</v>
      </c>
      <c r="E590" s="26" t="s">
        <v>5586</v>
      </c>
      <c r="F590" s="27">
        <v>5249079</v>
      </c>
      <c r="G590" s="27">
        <v>0</v>
      </c>
      <c r="H590" s="27">
        <v>0</v>
      </c>
      <c r="I590" s="27">
        <v>0</v>
      </c>
      <c r="J590" s="30">
        <f t="shared" si="27"/>
        <v>0</v>
      </c>
      <c r="K590" s="30">
        <f t="shared" si="28"/>
        <v>0</v>
      </c>
      <c r="L590" s="26">
        <f t="shared" si="29"/>
        <v>0</v>
      </c>
      <c r="M590" s="26">
        <v>0</v>
      </c>
    </row>
    <row r="591" spans="1:13" ht="15" customHeight="1">
      <c r="A591" s="25" t="s">
        <v>6929</v>
      </c>
      <c r="B591" s="26" t="s">
        <v>5423</v>
      </c>
      <c r="C591" s="26" t="s">
        <v>6930</v>
      </c>
      <c r="D591" s="26" t="s">
        <v>6931</v>
      </c>
      <c r="E591" s="26" t="s">
        <v>5517</v>
      </c>
      <c r="F591" s="27">
        <v>5255153</v>
      </c>
      <c r="G591" s="27">
        <v>0</v>
      </c>
      <c r="H591" s="27">
        <v>0</v>
      </c>
      <c r="I591" s="27">
        <v>0</v>
      </c>
      <c r="J591" s="30">
        <f t="shared" si="27"/>
        <v>0</v>
      </c>
      <c r="K591" s="30">
        <f t="shared" si="28"/>
        <v>0</v>
      </c>
      <c r="L591" s="26">
        <f t="shared" si="29"/>
        <v>0</v>
      </c>
      <c r="M591" s="26">
        <v>0</v>
      </c>
    </row>
    <row r="592" spans="1:13" ht="15" customHeight="1">
      <c r="A592" s="25" t="s">
        <v>6932</v>
      </c>
      <c r="B592" s="26" t="s">
        <v>5423</v>
      </c>
      <c r="C592" s="26" t="s">
        <v>6933</v>
      </c>
      <c r="D592" s="26" t="s">
        <v>6934</v>
      </c>
      <c r="E592" s="26" t="s">
        <v>5535</v>
      </c>
      <c r="F592" s="27">
        <v>1872932</v>
      </c>
      <c r="G592" s="27">
        <v>1</v>
      </c>
      <c r="H592" s="27">
        <v>0</v>
      </c>
      <c r="I592" s="27">
        <v>1</v>
      </c>
      <c r="J592" s="30">
        <f t="shared" si="27"/>
        <v>1</v>
      </c>
      <c r="K592" s="30">
        <f t="shared" si="28"/>
        <v>0</v>
      </c>
      <c r="L592" s="26">
        <f t="shared" si="29"/>
        <v>0</v>
      </c>
      <c r="M592" s="26"/>
    </row>
    <row r="593" spans="1:13" ht="15" customHeight="1">
      <c r="A593" s="25" t="s">
        <v>6935</v>
      </c>
      <c r="B593" s="26" t="s">
        <v>5423</v>
      </c>
      <c r="C593" s="26" t="s">
        <v>6936</v>
      </c>
      <c r="D593" s="26" t="s">
        <v>6937</v>
      </c>
      <c r="E593" s="26" t="s">
        <v>5447</v>
      </c>
      <c r="F593" s="27">
        <v>5248691</v>
      </c>
      <c r="G593" s="27">
        <v>1</v>
      </c>
      <c r="H593" s="27">
        <v>0</v>
      </c>
      <c r="I593" s="27">
        <v>1</v>
      </c>
      <c r="J593" s="30">
        <f t="shared" si="27"/>
        <v>1</v>
      </c>
      <c r="K593" s="30">
        <f t="shared" si="28"/>
        <v>0</v>
      </c>
      <c r="L593" s="26">
        <f t="shared" si="29"/>
        <v>0</v>
      </c>
      <c r="M593" s="26"/>
    </row>
    <row r="594" spans="1:13" ht="15" customHeight="1">
      <c r="A594" s="25" t="s">
        <v>6938</v>
      </c>
      <c r="B594" s="26" t="s">
        <v>5427</v>
      </c>
      <c r="C594" s="26" t="s">
        <v>6939</v>
      </c>
      <c r="D594" s="26" t="s">
        <v>6940</v>
      </c>
      <c r="E594" s="26" t="s">
        <v>5433</v>
      </c>
      <c r="F594" s="27">
        <v>5199705</v>
      </c>
      <c r="G594" s="27">
        <v>2</v>
      </c>
      <c r="H594" s="27">
        <v>2</v>
      </c>
      <c r="I594" s="27">
        <v>1</v>
      </c>
      <c r="J594" s="30">
        <f t="shared" si="27"/>
        <v>1</v>
      </c>
      <c r="K594" s="30">
        <f t="shared" si="28"/>
        <v>1</v>
      </c>
      <c r="L594" s="26">
        <f t="shared" si="29"/>
        <v>1</v>
      </c>
      <c r="M594" s="26" t="s">
        <v>6941</v>
      </c>
    </row>
    <row r="595" spans="1:13" ht="15" customHeight="1">
      <c r="A595" s="25" t="s">
        <v>6942</v>
      </c>
      <c r="B595" s="26" t="s">
        <v>5423</v>
      </c>
      <c r="C595" s="26" t="s">
        <v>6943</v>
      </c>
      <c r="D595" s="26" t="s">
        <v>6944</v>
      </c>
      <c r="E595" s="26" t="s">
        <v>5455</v>
      </c>
      <c r="F595" s="27">
        <v>5247693</v>
      </c>
      <c r="G595" s="27">
        <v>0</v>
      </c>
      <c r="H595" s="27">
        <v>0</v>
      </c>
      <c r="I595" s="27">
        <v>0</v>
      </c>
      <c r="J595" s="30">
        <f t="shared" si="27"/>
        <v>0</v>
      </c>
      <c r="K595" s="30">
        <f t="shared" si="28"/>
        <v>0</v>
      </c>
      <c r="L595" s="26">
        <f t="shared" si="29"/>
        <v>0</v>
      </c>
      <c r="M595" s="26">
        <v>0</v>
      </c>
    </row>
    <row r="596" spans="1:13" ht="15" customHeight="1">
      <c r="A596" s="25" t="s">
        <v>6945</v>
      </c>
      <c r="B596" s="26" t="s">
        <v>5423</v>
      </c>
      <c r="C596" s="26" t="s">
        <v>6946</v>
      </c>
      <c r="D596" s="26" t="s">
        <v>6947</v>
      </c>
      <c r="E596" s="26" t="s">
        <v>5529</v>
      </c>
      <c r="F596" s="27">
        <v>5222254</v>
      </c>
      <c r="G596" s="27">
        <v>2</v>
      </c>
      <c r="H596" s="27">
        <v>1</v>
      </c>
      <c r="I596" s="27">
        <v>1</v>
      </c>
      <c r="J596" s="30">
        <f t="shared" si="27"/>
        <v>1</v>
      </c>
      <c r="K596" s="30">
        <f t="shared" si="28"/>
        <v>1</v>
      </c>
      <c r="L596" s="26">
        <f t="shared" si="29"/>
        <v>1</v>
      </c>
      <c r="M596" s="26" t="s">
        <v>5611</v>
      </c>
    </row>
    <row r="597" spans="1:13" ht="15" customHeight="1">
      <c r="A597" s="25" t="s">
        <v>6948</v>
      </c>
      <c r="B597" s="26" t="s">
        <v>5423</v>
      </c>
      <c r="C597" s="26" t="s">
        <v>6949</v>
      </c>
      <c r="D597" s="26" t="s">
        <v>6950</v>
      </c>
      <c r="E597" s="26" t="s">
        <v>5426</v>
      </c>
      <c r="F597" s="27">
        <v>5249623</v>
      </c>
      <c r="G597" s="27">
        <v>0</v>
      </c>
      <c r="H597" s="27">
        <v>0</v>
      </c>
      <c r="I597" s="27">
        <v>0</v>
      </c>
      <c r="J597" s="30">
        <f t="shared" si="27"/>
        <v>0</v>
      </c>
      <c r="K597" s="30">
        <f t="shared" si="28"/>
        <v>0</v>
      </c>
      <c r="L597" s="26">
        <f t="shared" si="29"/>
        <v>0</v>
      </c>
      <c r="M597" s="26">
        <v>0</v>
      </c>
    </row>
    <row r="598" spans="1:13" ht="15" customHeight="1">
      <c r="A598" s="25" t="s">
        <v>6951</v>
      </c>
      <c r="B598" s="26" t="s">
        <v>5427</v>
      </c>
      <c r="C598" s="26" t="s">
        <v>6952</v>
      </c>
      <c r="D598" s="26" t="s">
        <v>6953</v>
      </c>
      <c r="E598" s="26" t="s">
        <v>5463</v>
      </c>
      <c r="F598" s="27">
        <v>5248812</v>
      </c>
      <c r="G598" s="27">
        <v>0</v>
      </c>
      <c r="H598" s="27">
        <v>0</v>
      </c>
      <c r="I598" s="27">
        <v>0</v>
      </c>
      <c r="J598" s="30">
        <f t="shared" si="27"/>
        <v>0</v>
      </c>
      <c r="K598" s="30">
        <f t="shared" si="28"/>
        <v>0</v>
      </c>
      <c r="L598" s="26">
        <f t="shared" si="29"/>
        <v>0</v>
      </c>
      <c r="M598" s="26">
        <v>0</v>
      </c>
    </row>
    <row r="599" spans="1:13" ht="15" customHeight="1">
      <c r="A599" s="25" t="s">
        <v>6954</v>
      </c>
      <c r="B599" s="26" t="s">
        <v>5427</v>
      </c>
      <c r="C599" s="26" t="s">
        <v>6955</v>
      </c>
      <c r="D599" s="26" t="s">
        <v>6956</v>
      </c>
      <c r="E599" s="26" t="s">
        <v>5610</v>
      </c>
      <c r="F599" s="27">
        <v>5241293</v>
      </c>
      <c r="G599" s="27">
        <v>1</v>
      </c>
      <c r="H599" s="27">
        <v>0</v>
      </c>
      <c r="I599" s="27">
        <v>1</v>
      </c>
      <c r="J599" s="30">
        <f t="shared" si="27"/>
        <v>1</v>
      </c>
      <c r="K599" s="30">
        <f t="shared" si="28"/>
        <v>0</v>
      </c>
      <c r="L599" s="26">
        <f t="shared" si="29"/>
        <v>0</v>
      </c>
      <c r="M599" s="26"/>
    </row>
    <row r="600" spans="1:13" ht="15" customHeight="1">
      <c r="A600" s="25" t="s">
        <v>6957</v>
      </c>
      <c r="B600" s="26" t="s">
        <v>5427</v>
      </c>
      <c r="C600" s="26" t="s">
        <v>6958</v>
      </c>
      <c r="D600" s="26" t="s">
        <v>6959</v>
      </c>
      <c r="E600" s="26" t="s">
        <v>5707</v>
      </c>
      <c r="F600" s="27">
        <v>5250242</v>
      </c>
      <c r="G600" s="27">
        <v>1</v>
      </c>
      <c r="H600" s="27">
        <v>1</v>
      </c>
      <c r="I600" s="27">
        <v>1</v>
      </c>
      <c r="J600" s="30">
        <f t="shared" si="27"/>
        <v>1</v>
      </c>
      <c r="K600" s="30">
        <f t="shared" si="28"/>
        <v>1</v>
      </c>
      <c r="L600" s="26">
        <f t="shared" si="29"/>
        <v>1</v>
      </c>
      <c r="M600" s="26" t="s">
        <v>6735</v>
      </c>
    </row>
    <row r="601" spans="1:13" ht="15" customHeight="1">
      <c r="A601" s="25" t="s">
        <v>6960</v>
      </c>
      <c r="B601" s="26" t="s">
        <v>5427</v>
      </c>
      <c r="C601" s="26" t="s">
        <v>6961</v>
      </c>
      <c r="D601" s="26" t="s">
        <v>6962</v>
      </c>
      <c r="E601" s="26" t="s">
        <v>5535</v>
      </c>
      <c r="F601" s="27">
        <v>5250123</v>
      </c>
      <c r="G601" s="27">
        <v>1</v>
      </c>
      <c r="H601" s="27">
        <v>1</v>
      </c>
      <c r="I601" s="27">
        <v>1</v>
      </c>
      <c r="J601" s="30">
        <f t="shared" si="27"/>
        <v>1</v>
      </c>
      <c r="K601" s="30">
        <f t="shared" si="28"/>
        <v>1</v>
      </c>
      <c r="L601" s="26">
        <f t="shared" si="29"/>
        <v>1</v>
      </c>
      <c r="M601" s="26"/>
    </row>
    <row r="602" spans="1:13" ht="15" customHeight="1">
      <c r="A602" s="25" t="s">
        <v>6963</v>
      </c>
      <c r="B602" s="26" t="s">
        <v>5427</v>
      </c>
      <c r="C602" s="26" t="s">
        <v>6964</v>
      </c>
      <c r="D602" s="26" t="s">
        <v>6965</v>
      </c>
      <c r="E602" s="26" t="s">
        <v>5550</v>
      </c>
      <c r="F602" s="27">
        <v>5249352</v>
      </c>
      <c r="G602" s="27">
        <v>0</v>
      </c>
      <c r="H602" s="27">
        <v>0</v>
      </c>
      <c r="I602" s="27">
        <v>0</v>
      </c>
      <c r="J602" s="30">
        <f t="shared" si="27"/>
        <v>0</v>
      </c>
      <c r="K602" s="30">
        <f t="shared" si="28"/>
        <v>0</v>
      </c>
      <c r="L602" s="26">
        <f t="shared" si="29"/>
        <v>0</v>
      </c>
      <c r="M602" s="26">
        <v>0</v>
      </c>
    </row>
    <row r="603" spans="1:13" ht="15" customHeight="1">
      <c r="A603" s="25" t="s">
        <v>6966</v>
      </c>
      <c r="B603" s="26" t="s">
        <v>5423</v>
      </c>
      <c r="C603" s="26" t="s">
        <v>6967</v>
      </c>
      <c r="D603" s="26" t="s">
        <v>6968</v>
      </c>
      <c r="E603" s="26" t="s">
        <v>5468</v>
      </c>
      <c r="F603" s="27">
        <v>5251050</v>
      </c>
      <c r="G603" s="27">
        <v>0</v>
      </c>
      <c r="H603" s="27">
        <v>1</v>
      </c>
      <c r="I603" s="27">
        <v>1</v>
      </c>
      <c r="J603" s="30">
        <f t="shared" si="27"/>
        <v>0</v>
      </c>
      <c r="K603" s="30">
        <f t="shared" si="28"/>
        <v>1</v>
      </c>
      <c r="L603" s="26">
        <f t="shared" si="29"/>
        <v>0</v>
      </c>
      <c r="M603" s="26"/>
    </row>
    <row r="604" spans="1:13" ht="15" customHeight="1">
      <c r="A604" s="25" t="s">
        <v>6969</v>
      </c>
      <c r="B604" s="26" t="s">
        <v>5423</v>
      </c>
      <c r="C604" s="26" t="s">
        <v>6970</v>
      </c>
      <c r="D604" s="26" t="s">
        <v>6971</v>
      </c>
      <c r="E604" s="26" t="s">
        <v>5540</v>
      </c>
      <c r="F604" s="27">
        <v>3895249</v>
      </c>
      <c r="G604" s="27">
        <v>0</v>
      </c>
      <c r="H604" s="27">
        <v>0</v>
      </c>
      <c r="I604" s="27">
        <v>0</v>
      </c>
      <c r="J604" s="30">
        <f t="shared" si="27"/>
        <v>0</v>
      </c>
      <c r="K604" s="30">
        <f t="shared" si="28"/>
        <v>0</v>
      </c>
      <c r="L604" s="26">
        <f t="shared" si="29"/>
        <v>0</v>
      </c>
      <c r="M604" s="26">
        <v>0</v>
      </c>
    </row>
    <row r="605" spans="1:13" ht="15" customHeight="1">
      <c r="A605" s="25" t="s">
        <v>6972</v>
      </c>
      <c r="B605" s="26" t="s">
        <v>5423</v>
      </c>
      <c r="C605" s="26" t="s">
        <v>6973</v>
      </c>
      <c r="D605" s="26" t="s">
        <v>6974</v>
      </c>
      <c r="E605" s="26" t="s">
        <v>5439</v>
      </c>
      <c r="F605" s="27">
        <v>5220203</v>
      </c>
      <c r="G605" s="27">
        <v>1</v>
      </c>
      <c r="H605" s="27">
        <v>1</v>
      </c>
      <c r="I605" s="27">
        <v>1</v>
      </c>
      <c r="J605" s="30">
        <f t="shared" si="27"/>
        <v>1</v>
      </c>
      <c r="K605" s="30">
        <f t="shared" si="28"/>
        <v>1</v>
      </c>
      <c r="L605" s="26">
        <f t="shared" si="29"/>
        <v>1</v>
      </c>
      <c r="M605" s="26"/>
    </row>
    <row r="606" spans="1:13" ht="15" customHeight="1">
      <c r="A606" s="25" t="s">
        <v>6975</v>
      </c>
      <c r="B606" s="26" t="s">
        <v>5423</v>
      </c>
      <c r="C606" s="26" t="s">
        <v>6976</v>
      </c>
      <c r="D606" s="26" t="s">
        <v>6977</v>
      </c>
      <c r="E606" s="26" t="s">
        <v>5683</v>
      </c>
      <c r="F606" s="27">
        <v>5192926</v>
      </c>
      <c r="G606" s="27">
        <v>1</v>
      </c>
      <c r="H606" s="27">
        <v>1</v>
      </c>
      <c r="I606" s="27">
        <v>1</v>
      </c>
      <c r="J606" s="30">
        <f t="shared" si="27"/>
        <v>1</v>
      </c>
      <c r="K606" s="30">
        <f t="shared" si="28"/>
        <v>1</v>
      </c>
      <c r="L606" s="26">
        <f t="shared" si="29"/>
        <v>1</v>
      </c>
      <c r="M606" s="26"/>
    </row>
    <row r="607" spans="1:13" ht="15" customHeight="1">
      <c r="A607" s="25" t="s">
        <v>6978</v>
      </c>
      <c r="B607" s="26" t="s">
        <v>5423</v>
      </c>
      <c r="C607" s="26" t="s">
        <v>6979</v>
      </c>
      <c r="D607" s="26" t="s">
        <v>6980</v>
      </c>
      <c r="E607" s="26" t="s">
        <v>5522</v>
      </c>
      <c r="F607" s="27">
        <v>5208109</v>
      </c>
      <c r="G607" s="27">
        <v>2</v>
      </c>
      <c r="H607" s="27">
        <v>1</v>
      </c>
      <c r="I607" s="27">
        <v>1</v>
      </c>
      <c r="J607" s="30">
        <f t="shared" si="27"/>
        <v>1</v>
      </c>
      <c r="K607" s="30">
        <f t="shared" si="28"/>
        <v>1</v>
      </c>
      <c r="L607" s="26">
        <f t="shared" si="29"/>
        <v>1</v>
      </c>
      <c r="M607" s="26" t="s">
        <v>5611</v>
      </c>
    </row>
    <row r="608" spans="1:13" ht="15" customHeight="1">
      <c r="A608" s="25" t="s">
        <v>6981</v>
      </c>
      <c r="B608" s="26" t="s">
        <v>5423</v>
      </c>
      <c r="C608" s="26" t="s">
        <v>6982</v>
      </c>
      <c r="D608" s="26" t="s">
        <v>6983</v>
      </c>
      <c r="E608" s="26" t="s">
        <v>5447</v>
      </c>
      <c r="F608" s="27">
        <v>5250758</v>
      </c>
      <c r="G608" s="27">
        <v>1</v>
      </c>
      <c r="H608" s="27">
        <v>1</v>
      </c>
      <c r="I608" s="27">
        <v>1</v>
      </c>
      <c r="J608" s="30">
        <f t="shared" si="27"/>
        <v>1</v>
      </c>
      <c r="K608" s="30">
        <f t="shared" si="28"/>
        <v>1</v>
      </c>
      <c r="L608" s="26">
        <f t="shared" si="29"/>
        <v>1</v>
      </c>
      <c r="M608" s="26"/>
    </row>
    <row r="609" spans="1:13" ht="15" customHeight="1">
      <c r="A609" s="25" t="s">
        <v>6984</v>
      </c>
      <c r="B609" s="26" t="s">
        <v>5427</v>
      </c>
      <c r="C609" s="26" t="s">
        <v>6985</v>
      </c>
      <c r="D609" s="26" t="s">
        <v>6986</v>
      </c>
      <c r="E609" s="26" t="s">
        <v>5442</v>
      </c>
      <c r="F609" s="27">
        <v>5253108</v>
      </c>
      <c r="G609" s="27">
        <v>0</v>
      </c>
      <c r="H609" s="27">
        <v>0</v>
      </c>
      <c r="I609" s="27">
        <v>0</v>
      </c>
      <c r="J609" s="30">
        <f t="shared" si="27"/>
        <v>0</v>
      </c>
      <c r="K609" s="30">
        <f t="shared" si="28"/>
        <v>0</v>
      </c>
      <c r="L609" s="26">
        <f t="shared" si="29"/>
        <v>0</v>
      </c>
      <c r="M609" s="26">
        <v>0</v>
      </c>
    </row>
    <row r="610" spans="1:13" ht="15" customHeight="1">
      <c r="A610" s="25" t="s">
        <v>6987</v>
      </c>
      <c r="B610" s="26" t="s">
        <v>5427</v>
      </c>
      <c r="C610" s="26" t="s">
        <v>6988</v>
      </c>
      <c r="D610" s="26" t="s">
        <v>6989</v>
      </c>
      <c r="E610" s="26" t="s">
        <v>5535</v>
      </c>
      <c r="F610" s="27">
        <v>5252347</v>
      </c>
      <c r="G610" s="27">
        <v>1</v>
      </c>
      <c r="H610" s="27">
        <v>1</v>
      </c>
      <c r="I610" s="27">
        <v>1</v>
      </c>
      <c r="J610" s="30">
        <f t="shared" si="27"/>
        <v>1</v>
      </c>
      <c r="K610" s="30">
        <f t="shared" si="28"/>
        <v>1</v>
      </c>
      <c r="L610" s="26">
        <f t="shared" si="29"/>
        <v>1</v>
      </c>
      <c r="M610" s="26"/>
    </row>
    <row r="611" spans="1:13" ht="15" customHeight="1">
      <c r="A611" s="25" t="s">
        <v>6990</v>
      </c>
      <c r="B611" s="26" t="s">
        <v>5423</v>
      </c>
      <c r="C611" s="26" t="s">
        <v>6991</v>
      </c>
      <c r="D611" s="26" t="s">
        <v>6992</v>
      </c>
      <c r="E611" s="26" t="s">
        <v>5603</v>
      </c>
      <c r="F611" s="27">
        <v>5241219</v>
      </c>
      <c r="G611" s="27">
        <v>1</v>
      </c>
      <c r="H611" s="27">
        <v>0</v>
      </c>
      <c r="I611" s="27">
        <v>1</v>
      </c>
      <c r="J611" s="30">
        <f t="shared" si="27"/>
        <v>1</v>
      </c>
      <c r="K611" s="30">
        <f t="shared" si="28"/>
        <v>0</v>
      </c>
      <c r="L611" s="26">
        <f t="shared" si="29"/>
        <v>0</v>
      </c>
      <c r="M611" s="26"/>
    </row>
    <row r="612" spans="1:13" ht="15" customHeight="1">
      <c r="A612" s="25" t="s">
        <v>6993</v>
      </c>
      <c r="B612" s="26" t="s">
        <v>5423</v>
      </c>
      <c r="C612" s="26" t="s">
        <v>6994</v>
      </c>
      <c r="D612" s="26" t="s">
        <v>6995</v>
      </c>
      <c r="E612" s="26" t="s">
        <v>5475</v>
      </c>
      <c r="F612" s="27">
        <v>5254175</v>
      </c>
      <c r="G612" s="27">
        <v>1</v>
      </c>
      <c r="H612" s="27">
        <v>0</v>
      </c>
      <c r="I612" s="27">
        <v>1</v>
      </c>
      <c r="J612" s="30">
        <f t="shared" si="27"/>
        <v>1</v>
      </c>
      <c r="K612" s="30">
        <f t="shared" si="28"/>
        <v>0</v>
      </c>
      <c r="L612" s="26">
        <f t="shared" si="29"/>
        <v>0</v>
      </c>
      <c r="M612" s="26"/>
    </row>
    <row r="613" spans="1:13" ht="15" customHeight="1">
      <c r="A613" s="25" t="s">
        <v>6996</v>
      </c>
      <c r="B613" s="26" t="s">
        <v>5427</v>
      </c>
      <c r="C613" s="26" t="s">
        <v>6997</v>
      </c>
      <c r="D613" s="26" t="s">
        <v>6998</v>
      </c>
      <c r="E613" s="26" t="s">
        <v>6541</v>
      </c>
      <c r="F613" s="27">
        <v>5247961</v>
      </c>
      <c r="G613" s="27">
        <v>1</v>
      </c>
      <c r="H613" s="27">
        <v>1</v>
      </c>
      <c r="I613" s="27">
        <v>1</v>
      </c>
      <c r="J613" s="30">
        <f t="shared" si="27"/>
        <v>1</v>
      </c>
      <c r="K613" s="30">
        <f t="shared" si="28"/>
        <v>1</v>
      </c>
      <c r="L613" s="26">
        <f t="shared" si="29"/>
        <v>1</v>
      </c>
      <c r="M613" s="26"/>
    </row>
    <row r="614" spans="1:13" ht="15" customHeight="1">
      <c r="A614" s="25" t="s">
        <v>6999</v>
      </c>
      <c r="B614" s="26" t="s">
        <v>5423</v>
      </c>
      <c r="C614" s="26" t="s">
        <v>7000</v>
      </c>
      <c r="D614" s="26" t="s">
        <v>7001</v>
      </c>
      <c r="E614" s="26" t="s">
        <v>5439</v>
      </c>
      <c r="F614" s="27">
        <v>5088066</v>
      </c>
      <c r="G614" s="27">
        <v>1</v>
      </c>
      <c r="H614" s="27">
        <v>0</v>
      </c>
      <c r="I614" s="27">
        <v>1</v>
      </c>
      <c r="J614" s="30">
        <f t="shared" si="27"/>
        <v>1</v>
      </c>
      <c r="K614" s="30">
        <f t="shared" si="28"/>
        <v>0</v>
      </c>
      <c r="L614" s="26">
        <f t="shared" si="29"/>
        <v>0</v>
      </c>
      <c r="M614" s="26"/>
    </row>
    <row r="615" spans="1:13" ht="15" customHeight="1">
      <c r="A615" s="25" t="s">
        <v>7002</v>
      </c>
      <c r="B615" s="26" t="s">
        <v>5423</v>
      </c>
      <c r="C615" s="26" t="s">
        <v>7003</v>
      </c>
      <c r="D615" s="26" t="s">
        <v>7004</v>
      </c>
      <c r="E615" s="26" t="s">
        <v>5540</v>
      </c>
      <c r="F615" s="27">
        <v>2908261</v>
      </c>
      <c r="G615" s="27">
        <v>1</v>
      </c>
      <c r="H615" s="27">
        <v>0</v>
      </c>
      <c r="I615" s="27">
        <v>1</v>
      </c>
      <c r="J615" s="30">
        <f t="shared" si="27"/>
        <v>1</v>
      </c>
      <c r="K615" s="30">
        <f t="shared" si="28"/>
        <v>0</v>
      </c>
      <c r="L615" s="26">
        <f t="shared" si="29"/>
        <v>0</v>
      </c>
      <c r="M615" s="26"/>
    </row>
    <row r="616" spans="1:13" ht="15" customHeight="1">
      <c r="A616" s="25" t="s">
        <v>7005</v>
      </c>
      <c r="B616" s="26" t="s">
        <v>5427</v>
      </c>
      <c r="C616" s="26" t="s">
        <v>7006</v>
      </c>
      <c r="D616" s="26" t="s">
        <v>7007</v>
      </c>
      <c r="E616" s="26" t="s">
        <v>5504</v>
      </c>
      <c r="F616" s="27">
        <v>5257138</v>
      </c>
      <c r="G616" s="27">
        <v>0</v>
      </c>
      <c r="H616" s="27">
        <v>0</v>
      </c>
      <c r="I616" s="27">
        <v>0</v>
      </c>
      <c r="J616" s="30">
        <f t="shared" si="27"/>
        <v>0</v>
      </c>
      <c r="K616" s="30">
        <f t="shared" si="28"/>
        <v>0</v>
      </c>
      <c r="L616" s="26">
        <f t="shared" si="29"/>
        <v>0</v>
      </c>
      <c r="M616" s="26">
        <v>0</v>
      </c>
    </row>
    <row r="617" spans="1:13" ht="15" customHeight="1">
      <c r="A617" s="25" t="s">
        <v>7008</v>
      </c>
      <c r="B617" s="26" t="s">
        <v>5423</v>
      </c>
      <c r="C617" s="26" t="s">
        <v>7009</v>
      </c>
      <c r="D617" s="26" t="s">
        <v>7010</v>
      </c>
      <c r="E617" s="26" t="s">
        <v>5463</v>
      </c>
      <c r="F617" s="27">
        <v>5255318</v>
      </c>
      <c r="G617" s="27">
        <v>0</v>
      </c>
      <c r="H617" s="27">
        <v>0</v>
      </c>
      <c r="I617" s="27">
        <v>0</v>
      </c>
      <c r="J617" s="30">
        <f t="shared" si="27"/>
        <v>0</v>
      </c>
      <c r="K617" s="30">
        <f t="shared" si="28"/>
        <v>0</v>
      </c>
      <c r="L617" s="26">
        <f t="shared" si="29"/>
        <v>0</v>
      </c>
      <c r="M617" s="26">
        <v>0</v>
      </c>
    </row>
    <row r="618" spans="1:13" ht="15" customHeight="1">
      <c r="A618" s="25" t="s">
        <v>7011</v>
      </c>
      <c r="B618" s="26" t="s">
        <v>5427</v>
      </c>
      <c r="C618" s="26" t="s">
        <v>7012</v>
      </c>
      <c r="D618" s="26" t="s">
        <v>7013</v>
      </c>
      <c r="E618" s="26" t="s">
        <v>5683</v>
      </c>
      <c r="F618" s="27">
        <v>1039018</v>
      </c>
      <c r="G618" s="27">
        <v>1</v>
      </c>
      <c r="H618" s="27">
        <v>0</v>
      </c>
      <c r="I618" s="27">
        <v>1</v>
      </c>
      <c r="J618" s="30">
        <f t="shared" si="27"/>
        <v>1</v>
      </c>
      <c r="K618" s="30">
        <f t="shared" si="28"/>
        <v>0</v>
      </c>
      <c r="L618" s="26">
        <f t="shared" si="29"/>
        <v>0</v>
      </c>
      <c r="M618" s="26"/>
    </row>
    <row r="619" spans="1:13" ht="15" customHeight="1">
      <c r="A619" s="25" t="s">
        <v>7014</v>
      </c>
      <c r="B619" s="26" t="s">
        <v>5427</v>
      </c>
      <c r="C619" s="26" t="s">
        <v>7015</v>
      </c>
      <c r="D619" s="26" t="s">
        <v>7016</v>
      </c>
      <c r="E619" s="26" t="s">
        <v>5491</v>
      </c>
      <c r="F619" s="27">
        <v>5255428</v>
      </c>
      <c r="G619" s="27">
        <v>0</v>
      </c>
      <c r="H619" s="27">
        <v>0</v>
      </c>
      <c r="I619" s="27">
        <v>0</v>
      </c>
      <c r="J619" s="30">
        <f t="shared" si="27"/>
        <v>0</v>
      </c>
      <c r="K619" s="30">
        <f t="shared" si="28"/>
        <v>0</v>
      </c>
      <c r="L619" s="26">
        <f t="shared" si="29"/>
        <v>0</v>
      </c>
      <c r="M619" s="26">
        <v>0</v>
      </c>
    </row>
    <row r="620" spans="1:13" ht="15" customHeight="1">
      <c r="A620" s="25" t="s">
        <v>7017</v>
      </c>
      <c r="B620" s="26" t="s">
        <v>5427</v>
      </c>
      <c r="C620" s="26" t="s">
        <v>7018</v>
      </c>
      <c r="D620" s="26" t="s">
        <v>7019</v>
      </c>
      <c r="E620" s="26" t="s">
        <v>5439</v>
      </c>
      <c r="F620" s="27">
        <v>5183083</v>
      </c>
      <c r="G620" s="27">
        <v>1</v>
      </c>
      <c r="H620" s="27">
        <v>1</v>
      </c>
      <c r="I620" s="27">
        <v>1</v>
      </c>
      <c r="J620" s="30">
        <f t="shared" si="27"/>
        <v>1</v>
      </c>
      <c r="K620" s="30">
        <f t="shared" si="28"/>
        <v>1</v>
      </c>
      <c r="L620" s="26">
        <f t="shared" si="29"/>
        <v>1</v>
      </c>
      <c r="M620" s="26"/>
    </row>
    <row r="621" spans="1:13" ht="15" customHeight="1">
      <c r="A621" s="25" t="s">
        <v>7020</v>
      </c>
      <c r="B621" s="26" t="s">
        <v>5423</v>
      </c>
      <c r="C621" s="26" t="s">
        <v>7021</v>
      </c>
      <c r="D621" s="26" t="s">
        <v>7022</v>
      </c>
      <c r="E621" s="26" t="s">
        <v>5455</v>
      </c>
      <c r="F621" s="27">
        <v>5255856</v>
      </c>
      <c r="G621" s="27">
        <v>1</v>
      </c>
      <c r="H621" s="27">
        <v>0</v>
      </c>
      <c r="I621" s="27">
        <v>1</v>
      </c>
      <c r="J621" s="30">
        <f t="shared" si="27"/>
        <v>1</v>
      </c>
      <c r="K621" s="30">
        <f t="shared" si="28"/>
        <v>0</v>
      </c>
      <c r="L621" s="26">
        <f t="shared" si="29"/>
        <v>0</v>
      </c>
      <c r="M621" s="26"/>
    </row>
    <row r="622" spans="1:13" ht="15" customHeight="1">
      <c r="A622" s="25" t="s">
        <v>7023</v>
      </c>
      <c r="B622" s="26" t="s">
        <v>5423</v>
      </c>
      <c r="C622" s="26" t="s">
        <v>7024</v>
      </c>
      <c r="D622" s="26" t="s">
        <v>7025</v>
      </c>
      <c r="E622" s="26" t="s">
        <v>5968</v>
      </c>
      <c r="F622" s="27">
        <v>4620750</v>
      </c>
      <c r="G622" s="27">
        <v>2</v>
      </c>
      <c r="H622" s="27">
        <v>0</v>
      </c>
      <c r="I622" s="27">
        <v>1</v>
      </c>
      <c r="J622" s="30">
        <f t="shared" si="27"/>
        <v>1</v>
      </c>
      <c r="K622" s="30">
        <f t="shared" si="28"/>
        <v>0</v>
      </c>
      <c r="L622" s="26">
        <f t="shared" si="29"/>
        <v>0</v>
      </c>
      <c r="M622" s="26" t="s">
        <v>5611</v>
      </c>
    </row>
    <row r="623" spans="1:13" ht="15" customHeight="1">
      <c r="A623" s="25" t="s">
        <v>7026</v>
      </c>
      <c r="B623" s="26" t="s">
        <v>5423</v>
      </c>
      <c r="C623" s="26" t="s">
        <v>7027</v>
      </c>
      <c r="D623" s="26" t="s">
        <v>7028</v>
      </c>
      <c r="E623" s="26" t="s">
        <v>5517</v>
      </c>
      <c r="F623" s="27">
        <v>5256748</v>
      </c>
      <c r="G623" s="27">
        <v>0</v>
      </c>
      <c r="H623" s="27">
        <v>0</v>
      </c>
      <c r="I623" s="27">
        <v>0</v>
      </c>
      <c r="J623" s="30">
        <f t="shared" si="27"/>
        <v>0</v>
      </c>
      <c r="K623" s="30">
        <f t="shared" si="28"/>
        <v>0</v>
      </c>
      <c r="L623" s="26">
        <f t="shared" si="29"/>
        <v>0</v>
      </c>
      <c r="M623" s="26">
        <v>0</v>
      </c>
    </row>
    <row r="624" spans="1:13" ht="15" customHeight="1">
      <c r="A624" s="25" t="s">
        <v>7029</v>
      </c>
      <c r="B624" s="26" t="s">
        <v>5423</v>
      </c>
      <c r="C624" s="26" t="s">
        <v>7030</v>
      </c>
      <c r="D624" s="26" t="s">
        <v>7031</v>
      </c>
      <c r="E624" s="26" t="s">
        <v>5504</v>
      </c>
      <c r="F624" s="27">
        <v>1884130</v>
      </c>
      <c r="G624" s="27">
        <v>2</v>
      </c>
      <c r="H624" s="27">
        <v>0</v>
      </c>
      <c r="I624" s="27">
        <v>1</v>
      </c>
      <c r="J624" s="30">
        <f t="shared" si="27"/>
        <v>1</v>
      </c>
      <c r="K624" s="30">
        <f t="shared" si="28"/>
        <v>0</v>
      </c>
      <c r="L624" s="26">
        <f t="shared" si="29"/>
        <v>0</v>
      </c>
      <c r="M624" s="26" t="s">
        <v>5611</v>
      </c>
    </row>
    <row r="625" spans="1:13" ht="15" customHeight="1">
      <c r="A625" s="25" t="s">
        <v>7032</v>
      </c>
      <c r="B625" s="26" t="s">
        <v>5423</v>
      </c>
      <c r="C625" s="26" t="s">
        <v>7033</v>
      </c>
      <c r="D625" s="26" t="s">
        <v>7034</v>
      </c>
      <c r="E625" s="26" t="s">
        <v>5468</v>
      </c>
      <c r="F625" s="27">
        <v>5260266</v>
      </c>
      <c r="G625" s="27">
        <v>0</v>
      </c>
      <c r="H625" s="27">
        <v>0</v>
      </c>
      <c r="I625" s="27">
        <v>0</v>
      </c>
      <c r="J625" s="30">
        <f t="shared" si="27"/>
        <v>0</v>
      </c>
      <c r="K625" s="30">
        <f t="shared" si="28"/>
        <v>0</v>
      </c>
      <c r="L625" s="26">
        <f t="shared" si="29"/>
        <v>0</v>
      </c>
      <c r="M625" s="26">
        <v>0</v>
      </c>
    </row>
    <row r="626" spans="1:13" ht="15" customHeight="1">
      <c r="A626" s="25" t="s">
        <v>7035</v>
      </c>
      <c r="B626" s="26" t="s">
        <v>5423</v>
      </c>
      <c r="C626" s="26" t="s">
        <v>7036</v>
      </c>
      <c r="D626" s="26" t="s">
        <v>7037</v>
      </c>
      <c r="E626" s="26" t="s">
        <v>5586</v>
      </c>
      <c r="F626" s="27">
        <v>5211274</v>
      </c>
      <c r="G626" s="27">
        <v>0</v>
      </c>
      <c r="H626" s="27">
        <v>0</v>
      </c>
      <c r="I626" s="27">
        <v>0</v>
      </c>
      <c r="J626" s="30">
        <f t="shared" si="27"/>
        <v>0</v>
      </c>
      <c r="K626" s="30">
        <f t="shared" si="28"/>
        <v>0</v>
      </c>
      <c r="L626" s="26">
        <f t="shared" si="29"/>
        <v>0</v>
      </c>
      <c r="M626" s="26">
        <v>0</v>
      </c>
    </row>
    <row r="627" spans="1:13" ht="15" customHeight="1">
      <c r="A627" s="25" t="s">
        <v>7038</v>
      </c>
      <c r="B627" s="26" t="s">
        <v>5423</v>
      </c>
      <c r="C627" s="26" t="s">
        <v>7039</v>
      </c>
      <c r="D627" s="26" t="s">
        <v>7040</v>
      </c>
      <c r="E627" s="26" t="s">
        <v>5522</v>
      </c>
      <c r="F627" s="27">
        <v>3892117</v>
      </c>
      <c r="G627" s="27">
        <v>0</v>
      </c>
      <c r="H627" s="27">
        <v>0</v>
      </c>
      <c r="I627" s="27">
        <v>0</v>
      </c>
      <c r="J627" s="30">
        <f t="shared" si="27"/>
        <v>0</v>
      </c>
      <c r="K627" s="30">
        <f t="shared" si="28"/>
        <v>0</v>
      </c>
      <c r="L627" s="26">
        <f t="shared" si="29"/>
        <v>0</v>
      </c>
      <c r="M627" s="26">
        <v>0</v>
      </c>
    </row>
    <row r="628" spans="1:13" ht="15" customHeight="1">
      <c r="A628" s="25" t="s">
        <v>7041</v>
      </c>
      <c r="B628" s="26" t="s">
        <v>5423</v>
      </c>
      <c r="C628" s="26" t="s">
        <v>7042</v>
      </c>
      <c r="D628" s="26" t="s">
        <v>7043</v>
      </c>
      <c r="E628" s="26" t="s">
        <v>5488</v>
      </c>
      <c r="F628" s="27">
        <v>5260737</v>
      </c>
      <c r="G628" s="27">
        <v>0</v>
      </c>
      <c r="H628" s="27">
        <v>0</v>
      </c>
      <c r="I628" s="27">
        <v>0</v>
      </c>
      <c r="J628" s="30">
        <f t="shared" si="27"/>
        <v>0</v>
      </c>
      <c r="K628" s="30">
        <f t="shared" si="28"/>
        <v>0</v>
      </c>
      <c r="L628" s="26">
        <f t="shared" si="29"/>
        <v>0</v>
      </c>
      <c r="M628" s="26">
        <v>0</v>
      </c>
    </row>
    <row r="629" spans="1:13" ht="15" customHeight="1">
      <c r="A629" s="25" t="s">
        <v>7044</v>
      </c>
      <c r="B629" s="26" t="s">
        <v>5427</v>
      </c>
      <c r="C629" s="26" t="s">
        <v>7045</v>
      </c>
      <c r="D629" s="26" t="s">
        <v>7046</v>
      </c>
      <c r="E629" s="26" t="s">
        <v>5891</v>
      </c>
      <c r="F629" s="27">
        <v>5197883</v>
      </c>
      <c r="G629" s="27">
        <v>1</v>
      </c>
      <c r="H629" s="27">
        <v>2</v>
      </c>
      <c r="I629" s="27">
        <v>1</v>
      </c>
      <c r="J629" s="30">
        <f t="shared" si="27"/>
        <v>1</v>
      </c>
      <c r="K629" s="30">
        <f t="shared" si="28"/>
        <v>1</v>
      </c>
      <c r="L629" s="26">
        <f t="shared" si="29"/>
        <v>1</v>
      </c>
      <c r="M629" s="26" t="s">
        <v>6232</v>
      </c>
    </row>
    <row r="630" spans="1:13" ht="15" customHeight="1">
      <c r="A630" s="25" t="s">
        <v>7047</v>
      </c>
      <c r="B630" s="26" t="s">
        <v>5423</v>
      </c>
      <c r="C630" s="26" t="s">
        <v>7048</v>
      </c>
      <c r="D630" s="26" t="s">
        <v>7049</v>
      </c>
      <c r="E630" s="26" t="s">
        <v>5458</v>
      </c>
      <c r="F630" s="27">
        <v>5261600</v>
      </c>
      <c r="G630" s="27">
        <v>0</v>
      </c>
      <c r="H630" s="27">
        <v>1</v>
      </c>
      <c r="I630" s="27">
        <v>1</v>
      </c>
      <c r="J630" s="30">
        <f t="shared" si="27"/>
        <v>0</v>
      </c>
      <c r="K630" s="30">
        <f t="shared" si="28"/>
        <v>1</v>
      </c>
      <c r="L630" s="26">
        <f t="shared" si="29"/>
        <v>0</v>
      </c>
      <c r="M630" s="26"/>
    </row>
    <row r="631" spans="1:13" ht="15" customHeight="1">
      <c r="A631" s="25" t="s">
        <v>7050</v>
      </c>
      <c r="B631" s="26" t="s">
        <v>5423</v>
      </c>
      <c r="C631" s="26" t="s">
        <v>7051</v>
      </c>
      <c r="D631" s="26" t="s">
        <v>7052</v>
      </c>
      <c r="E631" s="26" t="s">
        <v>5586</v>
      </c>
      <c r="F631" s="27">
        <v>5262214</v>
      </c>
      <c r="G631" s="27">
        <v>1</v>
      </c>
      <c r="H631" s="27">
        <v>1</v>
      </c>
      <c r="I631" s="27">
        <v>1</v>
      </c>
      <c r="J631" s="30">
        <f t="shared" si="27"/>
        <v>1</v>
      </c>
      <c r="K631" s="30">
        <f t="shared" si="28"/>
        <v>1</v>
      </c>
      <c r="L631" s="26">
        <f t="shared" si="29"/>
        <v>1</v>
      </c>
      <c r="M631" s="26"/>
    </row>
    <row r="632" spans="1:13" ht="15" customHeight="1">
      <c r="A632" s="25" t="s">
        <v>7053</v>
      </c>
      <c r="B632" s="26" t="s">
        <v>5423</v>
      </c>
      <c r="C632" s="26" t="s">
        <v>7054</v>
      </c>
      <c r="D632" s="26" t="s">
        <v>7055</v>
      </c>
      <c r="E632" s="26" t="s">
        <v>5763</v>
      </c>
      <c r="F632" s="27">
        <v>1519331</v>
      </c>
      <c r="G632" s="27">
        <v>1</v>
      </c>
      <c r="H632" s="27">
        <v>0</v>
      </c>
      <c r="I632" s="27">
        <v>1</v>
      </c>
      <c r="J632" s="30">
        <f t="shared" si="27"/>
        <v>1</v>
      </c>
      <c r="K632" s="30">
        <f t="shared" si="28"/>
        <v>0</v>
      </c>
      <c r="L632" s="26">
        <f t="shared" si="29"/>
        <v>0</v>
      </c>
      <c r="M632" s="26"/>
    </row>
    <row r="633" spans="1:13" ht="15" customHeight="1">
      <c r="A633" s="25" t="s">
        <v>7056</v>
      </c>
      <c r="B633" s="26" t="s">
        <v>5427</v>
      </c>
      <c r="C633" s="26" t="s">
        <v>7057</v>
      </c>
      <c r="D633" s="26" t="s">
        <v>7058</v>
      </c>
      <c r="E633" s="26" t="s">
        <v>5504</v>
      </c>
      <c r="F633" s="27">
        <v>5263245</v>
      </c>
      <c r="G633" s="27">
        <v>0</v>
      </c>
      <c r="H633" s="27">
        <v>0</v>
      </c>
      <c r="I633" s="27">
        <v>0</v>
      </c>
      <c r="J633" s="30">
        <f t="shared" si="27"/>
        <v>0</v>
      </c>
      <c r="K633" s="30">
        <f t="shared" si="28"/>
        <v>0</v>
      </c>
      <c r="L633" s="26">
        <f t="shared" si="29"/>
        <v>0</v>
      </c>
      <c r="M633" s="26" t="s">
        <v>7059</v>
      </c>
    </row>
    <row r="634" spans="1:13" ht="15" customHeight="1">
      <c r="A634" s="25" t="s">
        <v>7060</v>
      </c>
      <c r="B634" s="26" t="s">
        <v>5427</v>
      </c>
      <c r="C634" s="26" t="s">
        <v>7061</v>
      </c>
      <c r="D634" s="26" t="s">
        <v>7062</v>
      </c>
      <c r="E634" s="26" t="s">
        <v>5433</v>
      </c>
      <c r="F634" s="27">
        <v>5263663</v>
      </c>
      <c r="G634" s="27">
        <v>1</v>
      </c>
      <c r="H634" s="27">
        <v>0</v>
      </c>
      <c r="I634" s="27">
        <v>1</v>
      </c>
      <c r="J634" s="30">
        <f t="shared" si="27"/>
        <v>1</v>
      </c>
      <c r="K634" s="30">
        <f t="shared" si="28"/>
        <v>0</v>
      </c>
      <c r="L634" s="26">
        <f t="shared" si="29"/>
        <v>0</v>
      </c>
      <c r="M634" s="26"/>
    </row>
    <row r="635" spans="1:13" ht="15" customHeight="1">
      <c r="A635" s="25" t="s">
        <v>7063</v>
      </c>
      <c r="B635" s="26" t="s">
        <v>5423</v>
      </c>
      <c r="C635" s="26" t="s">
        <v>7064</v>
      </c>
      <c r="D635" s="26" t="s">
        <v>7065</v>
      </c>
      <c r="E635" s="26" t="s">
        <v>5491</v>
      </c>
      <c r="F635" s="27">
        <v>5262573</v>
      </c>
      <c r="G635" s="27">
        <v>0</v>
      </c>
      <c r="H635" s="27">
        <v>1</v>
      </c>
      <c r="I635" s="27">
        <v>1</v>
      </c>
      <c r="J635" s="30">
        <f t="shared" si="27"/>
        <v>0</v>
      </c>
      <c r="K635" s="30">
        <f t="shared" si="28"/>
        <v>1</v>
      </c>
      <c r="L635" s="26">
        <f t="shared" si="29"/>
        <v>0</v>
      </c>
      <c r="M635" s="26"/>
    </row>
    <row r="636" spans="1:13" ht="15" customHeight="1">
      <c r="A636" s="25" t="s">
        <v>7066</v>
      </c>
      <c r="B636" s="26" t="s">
        <v>5423</v>
      </c>
      <c r="C636" s="26" t="s">
        <v>7067</v>
      </c>
      <c r="D636" s="26" t="s">
        <v>7068</v>
      </c>
      <c r="E636" s="26" t="s">
        <v>5504</v>
      </c>
      <c r="F636" s="27">
        <v>5263580</v>
      </c>
      <c r="G636" s="27">
        <v>0</v>
      </c>
      <c r="H636" s="27">
        <v>0</v>
      </c>
      <c r="I636" s="27">
        <v>0</v>
      </c>
      <c r="J636" s="30">
        <f t="shared" si="27"/>
        <v>0</v>
      </c>
      <c r="K636" s="30">
        <f t="shared" si="28"/>
        <v>0</v>
      </c>
      <c r="L636" s="26">
        <f t="shared" si="29"/>
        <v>0</v>
      </c>
      <c r="M636" s="26">
        <v>0</v>
      </c>
    </row>
    <row r="637" spans="1:13" ht="15" customHeight="1">
      <c r="A637" s="25" t="s">
        <v>7069</v>
      </c>
      <c r="B637" s="26" t="s">
        <v>5423</v>
      </c>
      <c r="C637" s="26" t="s">
        <v>7070</v>
      </c>
      <c r="D637" s="26" t="s">
        <v>7071</v>
      </c>
      <c r="E637" s="26" t="s">
        <v>5433</v>
      </c>
      <c r="F637" s="27">
        <v>5263472</v>
      </c>
      <c r="G637" s="27">
        <v>0</v>
      </c>
      <c r="H637" s="27">
        <v>0</v>
      </c>
      <c r="I637" s="27">
        <v>0</v>
      </c>
      <c r="J637" s="30">
        <f t="shared" si="27"/>
        <v>0</v>
      </c>
      <c r="K637" s="30">
        <f t="shared" si="28"/>
        <v>0</v>
      </c>
      <c r="L637" s="26">
        <f t="shared" si="29"/>
        <v>0</v>
      </c>
      <c r="M637" s="26">
        <v>0</v>
      </c>
    </row>
    <row r="638" spans="1:13" ht="15" customHeight="1">
      <c r="A638" s="25" t="s">
        <v>7072</v>
      </c>
      <c r="B638" s="26" t="s">
        <v>5423</v>
      </c>
      <c r="C638" s="26" t="s">
        <v>7073</v>
      </c>
      <c r="D638" s="26" t="s">
        <v>7074</v>
      </c>
      <c r="E638" s="26" t="s">
        <v>5522</v>
      </c>
      <c r="F638" s="27">
        <v>5264524</v>
      </c>
      <c r="G638" s="27">
        <v>0</v>
      </c>
      <c r="H638" s="27">
        <v>0</v>
      </c>
      <c r="I638" s="27">
        <v>0</v>
      </c>
      <c r="J638" s="30">
        <f t="shared" si="27"/>
        <v>0</v>
      </c>
      <c r="K638" s="30">
        <f t="shared" si="28"/>
        <v>0</v>
      </c>
      <c r="L638" s="26">
        <f t="shared" si="29"/>
        <v>0</v>
      </c>
      <c r="M638" s="26" t="s">
        <v>5567</v>
      </c>
    </row>
    <row r="639" spans="1:13" ht="15" customHeight="1">
      <c r="A639" s="25" t="s">
        <v>7075</v>
      </c>
      <c r="B639" s="26" t="s">
        <v>5423</v>
      </c>
      <c r="C639" s="26" t="s">
        <v>7076</v>
      </c>
      <c r="D639" s="26" t="s">
        <v>7077</v>
      </c>
      <c r="E639" s="26" t="s">
        <v>5475</v>
      </c>
      <c r="F639" s="27">
        <v>5268401</v>
      </c>
      <c r="G639" s="27">
        <v>0</v>
      </c>
      <c r="H639" s="27">
        <v>0</v>
      </c>
      <c r="I639" s="27">
        <v>0</v>
      </c>
      <c r="J639" s="30">
        <f t="shared" si="27"/>
        <v>0</v>
      </c>
      <c r="K639" s="30">
        <f t="shared" si="28"/>
        <v>0</v>
      </c>
      <c r="L639" s="26">
        <f t="shared" si="29"/>
        <v>0</v>
      </c>
      <c r="M639" s="26">
        <v>0</v>
      </c>
    </row>
    <row r="640" spans="1:13" ht="15" customHeight="1">
      <c r="A640" s="25" t="s">
        <v>7078</v>
      </c>
      <c r="B640" s="26" t="s">
        <v>5423</v>
      </c>
      <c r="C640" s="26" t="s">
        <v>7079</v>
      </c>
      <c r="D640" s="26" t="s">
        <v>7080</v>
      </c>
      <c r="E640" s="26" t="s">
        <v>5475</v>
      </c>
      <c r="F640" s="27">
        <v>5247570</v>
      </c>
      <c r="G640" s="27">
        <v>1</v>
      </c>
      <c r="H640" s="27">
        <v>0</v>
      </c>
      <c r="I640" s="27">
        <v>1</v>
      </c>
      <c r="J640" s="30">
        <f t="shared" si="27"/>
        <v>1</v>
      </c>
      <c r="K640" s="30">
        <f t="shared" si="28"/>
        <v>0</v>
      </c>
      <c r="L640" s="26">
        <f t="shared" si="29"/>
        <v>0</v>
      </c>
      <c r="M640" s="26"/>
    </row>
    <row r="641" spans="1:13" ht="15" customHeight="1">
      <c r="A641" s="25" t="s">
        <v>7081</v>
      </c>
      <c r="B641" s="26" t="s">
        <v>5423</v>
      </c>
      <c r="C641" s="26" t="s">
        <v>7082</v>
      </c>
      <c r="D641" s="26" t="s">
        <v>7083</v>
      </c>
      <c r="E641" s="26" t="s">
        <v>7084</v>
      </c>
      <c r="F641" s="27">
        <v>5264525</v>
      </c>
      <c r="G641" s="27">
        <v>0</v>
      </c>
      <c r="H641" s="27">
        <v>0</v>
      </c>
      <c r="I641" s="27">
        <v>0</v>
      </c>
      <c r="J641" s="30">
        <f t="shared" si="27"/>
        <v>0</v>
      </c>
      <c r="K641" s="30">
        <f t="shared" si="28"/>
        <v>0</v>
      </c>
      <c r="L641" s="26">
        <f t="shared" si="29"/>
        <v>0</v>
      </c>
      <c r="M641" s="26">
        <v>0</v>
      </c>
    </row>
    <row r="642" spans="1:13" ht="15" customHeight="1">
      <c r="A642" s="25" t="s">
        <v>7085</v>
      </c>
      <c r="B642" s="26" t="s">
        <v>5427</v>
      </c>
      <c r="C642" s="26" t="s">
        <v>7086</v>
      </c>
      <c r="D642" s="26" t="s">
        <v>7087</v>
      </c>
      <c r="E642" s="26" t="s">
        <v>5522</v>
      </c>
      <c r="F642" s="27">
        <v>5270122</v>
      </c>
      <c r="G642" s="27">
        <v>0</v>
      </c>
      <c r="H642" s="27">
        <v>0</v>
      </c>
      <c r="I642" s="27">
        <v>0</v>
      </c>
      <c r="J642" s="30">
        <f t="shared" ref="J642:J705" si="30">IF(G642&gt;0,1,0)</f>
        <v>0</v>
      </c>
      <c r="K642" s="30">
        <f t="shared" ref="K642:K705" si="31">IF(H642&gt;0,1,0)</f>
        <v>0</v>
      </c>
      <c r="L642" s="26">
        <f t="shared" ref="L642:L705" si="32">IF(G642&gt;0,IF(H642&gt;0,1,0),0)</f>
        <v>0</v>
      </c>
      <c r="M642" s="26">
        <v>0</v>
      </c>
    </row>
    <row r="643" spans="1:13" ht="15" customHeight="1">
      <c r="A643" s="25" t="s">
        <v>7088</v>
      </c>
      <c r="B643" s="26" t="s">
        <v>5423</v>
      </c>
      <c r="C643" s="26" t="s">
        <v>7089</v>
      </c>
      <c r="D643" s="26" t="s">
        <v>7090</v>
      </c>
      <c r="E643" s="26" t="s">
        <v>5532</v>
      </c>
      <c r="F643" s="27">
        <v>5243429</v>
      </c>
      <c r="G643" s="27">
        <v>1</v>
      </c>
      <c r="H643" s="27">
        <v>1</v>
      </c>
      <c r="I643" s="27">
        <v>1</v>
      </c>
      <c r="J643" s="30">
        <f t="shared" si="30"/>
        <v>1</v>
      </c>
      <c r="K643" s="30">
        <f t="shared" si="31"/>
        <v>1</v>
      </c>
      <c r="L643" s="26">
        <f t="shared" si="32"/>
        <v>1</v>
      </c>
      <c r="M643" s="26"/>
    </row>
    <row r="644" spans="1:13" ht="15" customHeight="1">
      <c r="A644" s="25" t="s">
        <v>7091</v>
      </c>
      <c r="B644" s="26" t="s">
        <v>5423</v>
      </c>
      <c r="C644" s="26" t="s">
        <v>7092</v>
      </c>
      <c r="D644" s="26" t="s">
        <v>7093</v>
      </c>
      <c r="E644" s="26" t="s">
        <v>5683</v>
      </c>
      <c r="F644" s="27">
        <v>4977070</v>
      </c>
      <c r="G644" s="27">
        <v>1</v>
      </c>
      <c r="H644" s="27">
        <v>1</v>
      </c>
      <c r="I644" s="27">
        <v>1</v>
      </c>
      <c r="J644" s="30">
        <f t="shared" si="30"/>
        <v>1</v>
      </c>
      <c r="K644" s="30">
        <f t="shared" si="31"/>
        <v>1</v>
      </c>
      <c r="L644" s="26">
        <f t="shared" si="32"/>
        <v>1</v>
      </c>
      <c r="M644" s="26"/>
    </row>
    <row r="645" spans="1:13" ht="15" customHeight="1">
      <c r="A645" s="25" t="s">
        <v>7094</v>
      </c>
      <c r="B645" s="26" t="s">
        <v>5423</v>
      </c>
      <c r="C645" s="26" t="s">
        <v>7095</v>
      </c>
      <c r="D645" s="26" t="s">
        <v>7096</v>
      </c>
      <c r="E645" s="26" t="s">
        <v>5532</v>
      </c>
      <c r="F645" s="27">
        <v>5270627</v>
      </c>
      <c r="G645" s="27">
        <v>0</v>
      </c>
      <c r="H645" s="27">
        <v>0</v>
      </c>
      <c r="I645" s="27">
        <v>0</v>
      </c>
      <c r="J645" s="30">
        <f t="shared" si="30"/>
        <v>0</v>
      </c>
      <c r="K645" s="30">
        <f t="shared" si="31"/>
        <v>0</v>
      </c>
      <c r="L645" s="26">
        <f t="shared" si="32"/>
        <v>0</v>
      </c>
      <c r="M645" s="26">
        <v>0</v>
      </c>
    </row>
    <row r="646" spans="1:13" ht="15" customHeight="1">
      <c r="A646" s="25" t="s">
        <v>7097</v>
      </c>
      <c r="B646" s="26" t="s">
        <v>5423</v>
      </c>
      <c r="C646" s="26" t="s">
        <v>7098</v>
      </c>
      <c r="D646" s="26" t="s">
        <v>7099</v>
      </c>
      <c r="E646" s="26" t="s">
        <v>5560</v>
      </c>
      <c r="F646" s="27">
        <v>4894085</v>
      </c>
      <c r="G646" s="27">
        <v>0</v>
      </c>
      <c r="H646" s="27">
        <v>0</v>
      </c>
      <c r="I646" s="27">
        <v>0</v>
      </c>
      <c r="J646" s="30">
        <f t="shared" si="30"/>
        <v>0</v>
      </c>
      <c r="K646" s="30">
        <f t="shared" si="31"/>
        <v>0</v>
      </c>
      <c r="L646" s="26">
        <f t="shared" si="32"/>
        <v>0</v>
      </c>
      <c r="M646" s="26" t="s">
        <v>5876</v>
      </c>
    </row>
    <row r="647" spans="1:13" ht="15" customHeight="1">
      <c r="A647" s="25" t="s">
        <v>7100</v>
      </c>
      <c r="B647" s="26" t="s">
        <v>5423</v>
      </c>
      <c r="C647" s="26" t="s">
        <v>7101</v>
      </c>
      <c r="D647" s="26" t="s">
        <v>7102</v>
      </c>
      <c r="E647" s="26" t="s">
        <v>5455</v>
      </c>
      <c r="F647" s="27">
        <v>5268029</v>
      </c>
      <c r="G647" s="27">
        <v>0</v>
      </c>
      <c r="H647" s="27">
        <v>0</v>
      </c>
      <c r="I647" s="27">
        <v>0</v>
      </c>
      <c r="J647" s="30">
        <f t="shared" si="30"/>
        <v>0</v>
      </c>
      <c r="K647" s="30">
        <f t="shared" si="31"/>
        <v>0</v>
      </c>
      <c r="L647" s="26">
        <f t="shared" si="32"/>
        <v>0</v>
      </c>
      <c r="M647" s="26">
        <v>0</v>
      </c>
    </row>
    <row r="648" spans="1:13" ht="15" customHeight="1">
      <c r="A648" s="25" t="s">
        <v>7103</v>
      </c>
      <c r="B648" s="26" t="s">
        <v>5423</v>
      </c>
      <c r="C648" s="26" t="s">
        <v>7104</v>
      </c>
      <c r="D648" s="26" t="s">
        <v>7105</v>
      </c>
      <c r="E648" s="26" t="s">
        <v>5439</v>
      </c>
      <c r="F648" s="27">
        <v>5229056</v>
      </c>
      <c r="G648" s="27">
        <v>1</v>
      </c>
      <c r="H648" s="27">
        <v>1</v>
      </c>
      <c r="I648" s="27">
        <v>1</v>
      </c>
      <c r="J648" s="30">
        <f t="shared" si="30"/>
        <v>1</v>
      </c>
      <c r="K648" s="30">
        <f t="shared" si="31"/>
        <v>1</v>
      </c>
      <c r="L648" s="26">
        <f t="shared" si="32"/>
        <v>1</v>
      </c>
      <c r="M648" s="26"/>
    </row>
    <row r="649" spans="1:13" ht="15" customHeight="1">
      <c r="A649" s="25" t="s">
        <v>7106</v>
      </c>
      <c r="B649" s="26" t="s">
        <v>5423</v>
      </c>
      <c r="C649" s="26" t="s">
        <v>7107</v>
      </c>
      <c r="D649" s="26" t="s">
        <v>7108</v>
      </c>
      <c r="E649" s="26" t="s">
        <v>5603</v>
      </c>
      <c r="F649" s="27">
        <v>5269520</v>
      </c>
      <c r="G649" s="27">
        <v>0</v>
      </c>
      <c r="H649" s="27">
        <v>1</v>
      </c>
      <c r="I649" s="27">
        <v>1</v>
      </c>
      <c r="J649" s="30">
        <f t="shared" si="30"/>
        <v>0</v>
      </c>
      <c r="K649" s="30">
        <f t="shared" si="31"/>
        <v>1</v>
      </c>
      <c r="L649" s="26">
        <f t="shared" si="32"/>
        <v>0</v>
      </c>
      <c r="M649" s="26"/>
    </row>
    <row r="650" spans="1:13" ht="15" customHeight="1">
      <c r="A650" s="25" t="s">
        <v>7109</v>
      </c>
      <c r="B650" s="26" t="s">
        <v>5423</v>
      </c>
      <c r="C650" s="26" t="s">
        <v>7110</v>
      </c>
      <c r="D650" s="26" t="s">
        <v>7111</v>
      </c>
      <c r="E650" s="26" t="s">
        <v>5683</v>
      </c>
      <c r="F650" s="27">
        <v>5168073</v>
      </c>
      <c r="G650" s="27">
        <v>1</v>
      </c>
      <c r="H650" s="27">
        <v>0</v>
      </c>
      <c r="I650" s="27">
        <v>1</v>
      </c>
      <c r="J650" s="30">
        <f t="shared" si="30"/>
        <v>1</v>
      </c>
      <c r="K650" s="30">
        <f t="shared" si="31"/>
        <v>0</v>
      </c>
      <c r="L650" s="26">
        <f t="shared" si="32"/>
        <v>0</v>
      </c>
      <c r="M650" s="26"/>
    </row>
    <row r="651" spans="1:13" ht="15" customHeight="1">
      <c r="A651" s="25" t="s">
        <v>7112</v>
      </c>
      <c r="B651" s="26" t="s">
        <v>5423</v>
      </c>
      <c r="C651" s="26" t="s">
        <v>7113</v>
      </c>
      <c r="D651" s="26" t="s">
        <v>7114</v>
      </c>
      <c r="E651" s="26" t="s">
        <v>5442</v>
      </c>
      <c r="F651" s="27">
        <v>5269580</v>
      </c>
      <c r="G651" s="27">
        <v>1</v>
      </c>
      <c r="H651" s="27">
        <v>0</v>
      </c>
      <c r="I651" s="27">
        <v>1</v>
      </c>
      <c r="J651" s="30">
        <f t="shared" si="30"/>
        <v>1</v>
      </c>
      <c r="K651" s="30">
        <f t="shared" si="31"/>
        <v>0</v>
      </c>
      <c r="L651" s="26">
        <f t="shared" si="32"/>
        <v>0</v>
      </c>
      <c r="M651" s="26"/>
    </row>
    <row r="652" spans="1:13" ht="15" customHeight="1">
      <c r="A652" s="25" t="s">
        <v>7115</v>
      </c>
      <c r="B652" s="26" t="s">
        <v>5427</v>
      </c>
      <c r="C652" s="26" t="s">
        <v>7116</v>
      </c>
      <c r="D652" s="26" t="s">
        <v>7117</v>
      </c>
      <c r="E652" s="26" t="s">
        <v>5458</v>
      </c>
      <c r="F652" s="27">
        <v>5180985</v>
      </c>
      <c r="G652" s="27">
        <v>1</v>
      </c>
      <c r="H652" s="27">
        <v>1</v>
      </c>
      <c r="I652" s="27">
        <v>1</v>
      </c>
      <c r="J652" s="30">
        <f t="shared" si="30"/>
        <v>1</v>
      </c>
      <c r="K652" s="30">
        <f t="shared" si="31"/>
        <v>1</v>
      </c>
      <c r="L652" s="26">
        <f t="shared" si="32"/>
        <v>1</v>
      </c>
      <c r="M652" s="26"/>
    </row>
    <row r="653" spans="1:13" ht="15" customHeight="1">
      <c r="A653" s="25" t="s">
        <v>7118</v>
      </c>
      <c r="B653" s="26" t="s">
        <v>5423</v>
      </c>
      <c r="C653" s="26" t="s">
        <v>7119</v>
      </c>
      <c r="D653" s="26" t="s">
        <v>7120</v>
      </c>
      <c r="E653" s="26" t="s">
        <v>5447</v>
      </c>
      <c r="F653" s="27">
        <v>5213288</v>
      </c>
      <c r="G653" s="27">
        <v>2</v>
      </c>
      <c r="H653" s="27">
        <v>0</v>
      </c>
      <c r="I653" s="27">
        <v>1</v>
      </c>
      <c r="J653" s="30">
        <f t="shared" si="30"/>
        <v>1</v>
      </c>
      <c r="K653" s="30">
        <f t="shared" si="31"/>
        <v>0</v>
      </c>
      <c r="L653" s="26">
        <f t="shared" si="32"/>
        <v>0</v>
      </c>
      <c r="M653" s="26" t="s">
        <v>5611</v>
      </c>
    </row>
    <row r="654" spans="1:13" ht="15" customHeight="1">
      <c r="A654" s="25" t="s">
        <v>7121</v>
      </c>
      <c r="B654" s="26" t="s">
        <v>5427</v>
      </c>
      <c r="C654" s="26" t="s">
        <v>7122</v>
      </c>
      <c r="D654" s="26" t="s">
        <v>7123</v>
      </c>
      <c r="E654" s="26" t="s">
        <v>5447</v>
      </c>
      <c r="F654" s="27">
        <v>5270560</v>
      </c>
      <c r="G654" s="27">
        <v>1</v>
      </c>
      <c r="H654" s="27">
        <v>1</v>
      </c>
      <c r="I654" s="27">
        <v>1</v>
      </c>
      <c r="J654" s="30">
        <f t="shared" si="30"/>
        <v>1</v>
      </c>
      <c r="K654" s="30">
        <f t="shared" si="31"/>
        <v>1</v>
      </c>
      <c r="L654" s="26">
        <f t="shared" si="32"/>
        <v>1</v>
      </c>
      <c r="M654" s="26"/>
    </row>
    <row r="655" spans="1:13" ht="15" customHeight="1">
      <c r="A655" s="25" t="s">
        <v>7124</v>
      </c>
      <c r="B655" s="26" t="s">
        <v>5423</v>
      </c>
      <c r="C655" s="26" t="s">
        <v>7125</v>
      </c>
      <c r="D655" s="26" t="s">
        <v>7126</v>
      </c>
      <c r="E655" s="26" t="s">
        <v>5535</v>
      </c>
      <c r="F655" s="27">
        <v>4988644</v>
      </c>
      <c r="G655" s="27">
        <v>1</v>
      </c>
      <c r="H655" s="27">
        <v>1</v>
      </c>
      <c r="I655" s="27">
        <v>1</v>
      </c>
      <c r="J655" s="30">
        <f t="shared" si="30"/>
        <v>1</v>
      </c>
      <c r="K655" s="30">
        <f t="shared" si="31"/>
        <v>1</v>
      </c>
      <c r="L655" s="26">
        <f t="shared" si="32"/>
        <v>1</v>
      </c>
      <c r="M655" s="26"/>
    </row>
    <row r="656" spans="1:13" ht="15" customHeight="1">
      <c r="A656" s="25" t="s">
        <v>7127</v>
      </c>
      <c r="B656" s="26" t="s">
        <v>5427</v>
      </c>
      <c r="C656" s="26" t="s">
        <v>7128</v>
      </c>
      <c r="D656" s="26" t="s">
        <v>7129</v>
      </c>
      <c r="E656" s="26" t="s">
        <v>7130</v>
      </c>
      <c r="F656" s="27">
        <v>5275450</v>
      </c>
      <c r="G656" s="27">
        <v>0</v>
      </c>
      <c r="H656" s="27">
        <v>0</v>
      </c>
      <c r="I656" s="27">
        <v>0</v>
      </c>
      <c r="J656" s="30">
        <f t="shared" si="30"/>
        <v>0</v>
      </c>
      <c r="K656" s="30">
        <f t="shared" si="31"/>
        <v>0</v>
      </c>
      <c r="L656" s="26">
        <f t="shared" si="32"/>
        <v>0</v>
      </c>
      <c r="M656" s="26">
        <v>0</v>
      </c>
    </row>
    <row r="657" spans="1:13" ht="15" customHeight="1">
      <c r="A657" s="25" t="s">
        <v>7131</v>
      </c>
      <c r="B657" s="26" t="s">
        <v>5423</v>
      </c>
      <c r="C657" s="26" t="s">
        <v>7132</v>
      </c>
      <c r="D657" s="26" t="s">
        <v>7133</v>
      </c>
      <c r="E657" s="26" t="s">
        <v>5433</v>
      </c>
      <c r="F657" s="27">
        <v>5268967</v>
      </c>
      <c r="G657" s="27">
        <v>0</v>
      </c>
      <c r="H657" s="27">
        <v>1</v>
      </c>
      <c r="I657" s="27">
        <v>1</v>
      </c>
      <c r="J657" s="30">
        <f t="shared" si="30"/>
        <v>0</v>
      </c>
      <c r="K657" s="30">
        <f t="shared" si="31"/>
        <v>1</v>
      </c>
      <c r="L657" s="26">
        <f t="shared" si="32"/>
        <v>0</v>
      </c>
      <c r="M657" s="26"/>
    </row>
    <row r="658" spans="1:13" ht="15" customHeight="1">
      <c r="A658" s="25" t="s">
        <v>7134</v>
      </c>
      <c r="B658" s="26" t="s">
        <v>5427</v>
      </c>
      <c r="C658" s="26" t="s">
        <v>7135</v>
      </c>
      <c r="D658" s="26" t="s">
        <v>7136</v>
      </c>
      <c r="E658" s="26" t="s">
        <v>5468</v>
      </c>
      <c r="F658" s="27">
        <v>5252716</v>
      </c>
      <c r="G658" s="27">
        <v>1</v>
      </c>
      <c r="H658" s="27">
        <v>1</v>
      </c>
      <c r="I658" s="27">
        <v>1</v>
      </c>
      <c r="J658" s="30">
        <f t="shared" si="30"/>
        <v>1</v>
      </c>
      <c r="K658" s="30">
        <f t="shared" si="31"/>
        <v>1</v>
      </c>
      <c r="L658" s="26">
        <f t="shared" si="32"/>
        <v>1</v>
      </c>
      <c r="M658" s="26"/>
    </row>
    <row r="659" spans="1:13" ht="15" customHeight="1">
      <c r="A659" s="25" t="s">
        <v>7137</v>
      </c>
      <c r="B659" s="26" t="s">
        <v>5427</v>
      </c>
      <c r="C659" s="26" t="s">
        <v>7138</v>
      </c>
      <c r="D659" s="26" t="s">
        <v>7139</v>
      </c>
      <c r="E659" s="26" t="s">
        <v>5603</v>
      </c>
      <c r="F659" s="27">
        <v>5268950</v>
      </c>
      <c r="G659" s="27">
        <v>0</v>
      </c>
      <c r="H659" s="27">
        <v>1</v>
      </c>
      <c r="I659" s="27">
        <v>1</v>
      </c>
      <c r="J659" s="30">
        <f t="shared" si="30"/>
        <v>0</v>
      </c>
      <c r="K659" s="30">
        <f t="shared" si="31"/>
        <v>1</v>
      </c>
      <c r="L659" s="26">
        <f t="shared" si="32"/>
        <v>0</v>
      </c>
      <c r="M659" s="26"/>
    </row>
    <row r="660" spans="1:13" ht="15" customHeight="1">
      <c r="A660" s="25" t="s">
        <v>7140</v>
      </c>
      <c r="B660" s="26" t="s">
        <v>5427</v>
      </c>
      <c r="C660" s="26" t="s">
        <v>7141</v>
      </c>
      <c r="D660" s="26" t="s">
        <v>7142</v>
      </c>
      <c r="E660" s="26" t="s">
        <v>5968</v>
      </c>
      <c r="F660" s="27">
        <v>5255479</v>
      </c>
      <c r="G660" s="27">
        <v>2</v>
      </c>
      <c r="H660" s="27">
        <v>0</v>
      </c>
      <c r="I660" s="27">
        <v>1</v>
      </c>
      <c r="J660" s="30">
        <f t="shared" si="30"/>
        <v>1</v>
      </c>
      <c r="K660" s="30">
        <f t="shared" si="31"/>
        <v>0</v>
      </c>
      <c r="L660" s="26">
        <f t="shared" si="32"/>
        <v>0</v>
      </c>
      <c r="M660" s="26" t="s">
        <v>5611</v>
      </c>
    </row>
    <row r="661" spans="1:13" ht="15" customHeight="1">
      <c r="A661" s="25" t="s">
        <v>7143</v>
      </c>
      <c r="B661" s="26" t="s">
        <v>5423</v>
      </c>
      <c r="C661" s="26" t="s">
        <v>7144</v>
      </c>
      <c r="D661" s="26" t="s">
        <v>7145</v>
      </c>
      <c r="E661" s="26" t="s">
        <v>5430</v>
      </c>
      <c r="F661" s="27">
        <v>5254399</v>
      </c>
      <c r="G661" s="27">
        <v>1</v>
      </c>
      <c r="H661" s="27">
        <v>0</v>
      </c>
      <c r="I661" s="27">
        <v>1</v>
      </c>
      <c r="J661" s="30">
        <f t="shared" si="30"/>
        <v>1</v>
      </c>
      <c r="K661" s="30">
        <f t="shared" si="31"/>
        <v>0</v>
      </c>
      <c r="L661" s="26">
        <f t="shared" si="32"/>
        <v>0</v>
      </c>
      <c r="M661" s="26"/>
    </row>
    <row r="662" spans="1:13" ht="15" customHeight="1">
      <c r="A662" s="25" t="s">
        <v>7146</v>
      </c>
      <c r="B662" s="26" t="s">
        <v>5427</v>
      </c>
      <c r="C662" s="26" t="s">
        <v>7147</v>
      </c>
      <c r="D662" s="26" t="s">
        <v>7148</v>
      </c>
      <c r="E662" s="26" t="s">
        <v>5517</v>
      </c>
      <c r="F662" s="27">
        <v>5258806</v>
      </c>
      <c r="G662" s="27">
        <v>1</v>
      </c>
      <c r="H662" s="27">
        <v>1</v>
      </c>
      <c r="I662" s="27">
        <v>1</v>
      </c>
      <c r="J662" s="30">
        <f t="shared" si="30"/>
        <v>1</v>
      </c>
      <c r="K662" s="30">
        <f t="shared" si="31"/>
        <v>1</v>
      </c>
      <c r="L662" s="26">
        <f t="shared" si="32"/>
        <v>1</v>
      </c>
      <c r="M662" s="26"/>
    </row>
    <row r="663" spans="1:13" ht="15" customHeight="1">
      <c r="A663" s="25" t="s">
        <v>7149</v>
      </c>
      <c r="B663" s="26" t="s">
        <v>5423</v>
      </c>
      <c r="C663" s="26" t="s">
        <v>7150</v>
      </c>
      <c r="D663" s="26" t="s">
        <v>7151</v>
      </c>
      <c r="E663" s="26" t="s">
        <v>5517</v>
      </c>
      <c r="F663" s="27">
        <v>5275451</v>
      </c>
      <c r="G663" s="27">
        <v>0</v>
      </c>
      <c r="H663" s="27">
        <v>0</v>
      </c>
      <c r="I663" s="27">
        <v>0</v>
      </c>
      <c r="J663" s="30">
        <f t="shared" si="30"/>
        <v>0</v>
      </c>
      <c r="K663" s="30">
        <f t="shared" si="31"/>
        <v>0</v>
      </c>
      <c r="L663" s="26">
        <f t="shared" si="32"/>
        <v>0</v>
      </c>
      <c r="M663" s="26">
        <v>0</v>
      </c>
    </row>
    <row r="664" spans="1:13" ht="15" customHeight="1">
      <c r="A664" s="25" t="s">
        <v>7152</v>
      </c>
      <c r="B664" s="26" t="s">
        <v>5427</v>
      </c>
      <c r="C664" s="26" t="s">
        <v>7153</v>
      </c>
      <c r="D664" s="26" t="s">
        <v>7154</v>
      </c>
      <c r="E664" s="26" t="s">
        <v>5522</v>
      </c>
      <c r="F664" s="27">
        <v>5271952</v>
      </c>
      <c r="G664" s="27">
        <v>0</v>
      </c>
      <c r="H664" s="27">
        <v>0</v>
      </c>
      <c r="I664" s="27">
        <v>0</v>
      </c>
      <c r="J664" s="30">
        <f t="shared" si="30"/>
        <v>0</v>
      </c>
      <c r="K664" s="30">
        <f t="shared" si="31"/>
        <v>0</v>
      </c>
      <c r="L664" s="26">
        <f t="shared" si="32"/>
        <v>0</v>
      </c>
      <c r="M664" s="26">
        <v>0</v>
      </c>
    </row>
    <row r="665" spans="1:13" ht="15" customHeight="1">
      <c r="A665" s="25" t="s">
        <v>7155</v>
      </c>
      <c r="B665" s="26" t="s">
        <v>5423</v>
      </c>
      <c r="C665" s="26" t="s">
        <v>7156</v>
      </c>
      <c r="D665" s="26" t="s">
        <v>7157</v>
      </c>
      <c r="E665" s="26" t="s">
        <v>5522</v>
      </c>
      <c r="F665" s="27">
        <v>5277654</v>
      </c>
      <c r="G665" s="27">
        <v>0</v>
      </c>
      <c r="H665" s="27">
        <v>0</v>
      </c>
      <c r="I665" s="27">
        <v>0</v>
      </c>
      <c r="J665" s="30">
        <f t="shared" si="30"/>
        <v>0</v>
      </c>
      <c r="K665" s="30">
        <f t="shared" si="31"/>
        <v>0</v>
      </c>
      <c r="L665" s="26">
        <f t="shared" si="32"/>
        <v>0</v>
      </c>
      <c r="M665" s="26">
        <v>0</v>
      </c>
    </row>
    <row r="666" spans="1:13" ht="15" customHeight="1">
      <c r="A666" s="25" t="s">
        <v>7158</v>
      </c>
      <c r="B666" s="26" t="s">
        <v>5423</v>
      </c>
      <c r="C666" s="26" t="s">
        <v>7159</v>
      </c>
      <c r="D666" s="26" t="s">
        <v>7160</v>
      </c>
      <c r="E666" s="26" t="s">
        <v>5447</v>
      </c>
      <c r="F666" s="27">
        <v>3580092</v>
      </c>
      <c r="G666" s="27">
        <v>1</v>
      </c>
      <c r="H666" s="27">
        <v>1</v>
      </c>
      <c r="I666" s="27">
        <v>1</v>
      </c>
      <c r="J666" s="30">
        <f t="shared" si="30"/>
        <v>1</v>
      </c>
      <c r="K666" s="30">
        <f t="shared" si="31"/>
        <v>1</v>
      </c>
      <c r="L666" s="26">
        <f t="shared" si="32"/>
        <v>1</v>
      </c>
      <c r="M666" s="26"/>
    </row>
    <row r="667" spans="1:13" ht="15" customHeight="1">
      <c r="A667" s="25" t="s">
        <v>7161</v>
      </c>
      <c r="B667" s="26" t="s">
        <v>5427</v>
      </c>
      <c r="C667" s="26" t="s">
        <v>7162</v>
      </c>
      <c r="D667" s="26" t="s">
        <v>7163</v>
      </c>
      <c r="E667" s="26" t="s">
        <v>5488</v>
      </c>
      <c r="F667" s="27">
        <v>1705301</v>
      </c>
      <c r="G667" s="27">
        <v>1</v>
      </c>
      <c r="H667" s="27">
        <v>1</v>
      </c>
      <c r="I667" s="27">
        <v>1</v>
      </c>
      <c r="J667" s="30">
        <f t="shared" si="30"/>
        <v>1</v>
      </c>
      <c r="K667" s="30">
        <f t="shared" si="31"/>
        <v>1</v>
      </c>
      <c r="L667" s="26">
        <f t="shared" si="32"/>
        <v>1</v>
      </c>
      <c r="M667" s="26"/>
    </row>
    <row r="668" spans="1:13" ht="15" customHeight="1">
      <c r="A668" s="25" t="s">
        <v>7164</v>
      </c>
      <c r="B668" s="26" t="s">
        <v>5427</v>
      </c>
      <c r="C668" s="26" t="s">
        <v>7165</v>
      </c>
      <c r="D668" s="26" t="s">
        <v>7166</v>
      </c>
      <c r="E668" s="26" t="s">
        <v>5529</v>
      </c>
      <c r="F668" s="27">
        <v>5275115</v>
      </c>
      <c r="G668" s="27">
        <v>0</v>
      </c>
      <c r="H668" s="27">
        <v>0</v>
      </c>
      <c r="I668" s="27">
        <v>0</v>
      </c>
      <c r="J668" s="30">
        <f t="shared" si="30"/>
        <v>0</v>
      </c>
      <c r="K668" s="30">
        <f t="shared" si="31"/>
        <v>0</v>
      </c>
      <c r="L668" s="26">
        <f t="shared" si="32"/>
        <v>0</v>
      </c>
      <c r="M668" s="26">
        <v>0</v>
      </c>
    </row>
    <row r="669" spans="1:13" ht="15" customHeight="1">
      <c r="A669" s="25" t="s">
        <v>7167</v>
      </c>
      <c r="B669" s="26" t="s">
        <v>5423</v>
      </c>
      <c r="C669" s="26" t="s">
        <v>7168</v>
      </c>
      <c r="D669" s="26" t="s">
        <v>7169</v>
      </c>
      <c r="E669" s="26" t="s">
        <v>5468</v>
      </c>
      <c r="F669" s="27">
        <v>5275659</v>
      </c>
      <c r="G669" s="27">
        <v>1</v>
      </c>
      <c r="H669" s="27">
        <v>0</v>
      </c>
      <c r="I669" s="27">
        <v>1</v>
      </c>
      <c r="J669" s="30">
        <f t="shared" si="30"/>
        <v>1</v>
      </c>
      <c r="K669" s="30">
        <f t="shared" si="31"/>
        <v>0</v>
      </c>
      <c r="L669" s="26">
        <f t="shared" si="32"/>
        <v>0</v>
      </c>
      <c r="M669" s="26"/>
    </row>
    <row r="670" spans="1:13" ht="15" customHeight="1">
      <c r="A670" s="25" t="s">
        <v>7170</v>
      </c>
      <c r="B670" s="26" t="s">
        <v>5423</v>
      </c>
      <c r="C670" s="26" t="s">
        <v>7171</v>
      </c>
      <c r="D670" s="26" t="s">
        <v>7172</v>
      </c>
      <c r="E670" s="26" t="s">
        <v>5455</v>
      </c>
      <c r="F670" s="27">
        <v>5274788</v>
      </c>
      <c r="G670" s="27">
        <v>1</v>
      </c>
      <c r="H670" s="27">
        <v>0</v>
      </c>
      <c r="I670" s="27">
        <v>1</v>
      </c>
      <c r="J670" s="30">
        <f t="shared" si="30"/>
        <v>1</v>
      </c>
      <c r="K670" s="30">
        <f t="shared" si="31"/>
        <v>0</v>
      </c>
      <c r="L670" s="26">
        <f t="shared" si="32"/>
        <v>0</v>
      </c>
      <c r="M670" s="26"/>
    </row>
    <row r="671" spans="1:13" ht="15" customHeight="1">
      <c r="A671" s="25" t="s">
        <v>7173</v>
      </c>
      <c r="B671" s="26" t="s">
        <v>5427</v>
      </c>
      <c r="C671" s="26" t="s">
        <v>7174</v>
      </c>
      <c r="D671" s="26" t="s">
        <v>7175</v>
      </c>
      <c r="E671" s="26" t="s">
        <v>5475</v>
      </c>
      <c r="F671" s="27">
        <v>5157816</v>
      </c>
      <c r="G671" s="27">
        <v>3</v>
      </c>
      <c r="H671" s="27">
        <v>5</v>
      </c>
      <c r="I671" s="27">
        <v>1</v>
      </c>
      <c r="J671" s="30">
        <f t="shared" si="30"/>
        <v>1</v>
      </c>
      <c r="K671" s="30">
        <f t="shared" si="31"/>
        <v>1</v>
      </c>
      <c r="L671" s="26">
        <f t="shared" si="32"/>
        <v>1</v>
      </c>
      <c r="M671" s="26" t="s">
        <v>7176</v>
      </c>
    </row>
    <row r="672" spans="1:13" ht="15" customHeight="1">
      <c r="A672" s="25" t="s">
        <v>7177</v>
      </c>
      <c r="B672" s="26" t="s">
        <v>5427</v>
      </c>
      <c r="C672" s="26" t="s">
        <v>7178</v>
      </c>
      <c r="D672" s="26" t="s">
        <v>7179</v>
      </c>
      <c r="E672" s="26" t="s">
        <v>5452</v>
      </c>
      <c r="F672" s="27">
        <v>4616346</v>
      </c>
      <c r="G672" s="27">
        <v>1</v>
      </c>
      <c r="H672" s="27">
        <v>1</v>
      </c>
      <c r="I672" s="27">
        <v>1</v>
      </c>
      <c r="J672" s="30">
        <f t="shared" si="30"/>
        <v>1</v>
      </c>
      <c r="K672" s="30">
        <f t="shared" si="31"/>
        <v>1</v>
      </c>
      <c r="L672" s="26">
        <f t="shared" si="32"/>
        <v>1</v>
      </c>
      <c r="M672" s="26"/>
    </row>
    <row r="673" spans="1:13" ht="15" customHeight="1">
      <c r="A673" s="25" t="s">
        <v>7180</v>
      </c>
      <c r="B673" s="26" t="s">
        <v>5423</v>
      </c>
      <c r="C673" s="26" t="s">
        <v>7181</v>
      </c>
      <c r="D673" s="26" t="s">
        <v>7182</v>
      </c>
      <c r="E673" s="26" t="s">
        <v>5452</v>
      </c>
      <c r="F673" s="27">
        <v>3507937</v>
      </c>
      <c r="G673" s="27">
        <v>2</v>
      </c>
      <c r="H673" s="27">
        <v>1</v>
      </c>
      <c r="I673" s="27">
        <v>1</v>
      </c>
      <c r="J673" s="30">
        <f t="shared" si="30"/>
        <v>1</v>
      </c>
      <c r="K673" s="30">
        <f t="shared" si="31"/>
        <v>1</v>
      </c>
      <c r="L673" s="26">
        <f t="shared" si="32"/>
        <v>1</v>
      </c>
      <c r="M673" s="26" t="s">
        <v>7183</v>
      </c>
    </row>
    <row r="674" spans="1:13" ht="15" customHeight="1">
      <c r="A674" s="25" t="s">
        <v>7184</v>
      </c>
      <c r="B674" s="26" t="s">
        <v>5423</v>
      </c>
      <c r="C674" s="26" t="s">
        <v>7185</v>
      </c>
      <c r="D674" s="26" t="s">
        <v>7186</v>
      </c>
      <c r="E674" s="26" t="s">
        <v>5455</v>
      </c>
      <c r="F674" s="27">
        <v>5279441</v>
      </c>
      <c r="G674" s="27">
        <v>0</v>
      </c>
      <c r="H674" s="27">
        <v>1</v>
      </c>
      <c r="I674" s="27">
        <v>1</v>
      </c>
      <c r="J674" s="30">
        <f t="shared" si="30"/>
        <v>0</v>
      </c>
      <c r="K674" s="30">
        <f t="shared" si="31"/>
        <v>1</v>
      </c>
      <c r="L674" s="26">
        <f t="shared" si="32"/>
        <v>0</v>
      </c>
      <c r="M674" s="26"/>
    </row>
    <row r="675" spans="1:13" ht="15" customHeight="1">
      <c r="A675" s="25" t="s">
        <v>7187</v>
      </c>
      <c r="B675" s="26" t="s">
        <v>5423</v>
      </c>
      <c r="C675" s="26" t="s">
        <v>7188</v>
      </c>
      <c r="D675" s="26" t="s">
        <v>7189</v>
      </c>
      <c r="E675" s="26" t="s">
        <v>5436</v>
      </c>
      <c r="F675" s="27">
        <v>5108320</v>
      </c>
      <c r="G675" s="27">
        <v>1</v>
      </c>
      <c r="H675" s="27">
        <v>0</v>
      </c>
      <c r="I675" s="27">
        <v>1</v>
      </c>
      <c r="J675" s="30">
        <f t="shared" si="30"/>
        <v>1</v>
      </c>
      <c r="K675" s="30">
        <f t="shared" si="31"/>
        <v>0</v>
      </c>
      <c r="L675" s="26">
        <f t="shared" si="32"/>
        <v>0</v>
      </c>
      <c r="M675" s="26"/>
    </row>
    <row r="676" spans="1:13" ht="15" customHeight="1">
      <c r="A676" s="25" t="s">
        <v>7190</v>
      </c>
      <c r="B676" s="26" t="s">
        <v>5427</v>
      </c>
      <c r="C676" s="26" t="s">
        <v>7191</v>
      </c>
      <c r="D676" s="26" t="s">
        <v>7192</v>
      </c>
      <c r="E676" s="26" t="s">
        <v>5532</v>
      </c>
      <c r="F676" s="27">
        <v>5270041</v>
      </c>
      <c r="G676" s="27">
        <v>1</v>
      </c>
      <c r="H676" s="27">
        <v>0</v>
      </c>
      <c r="I676" s="27">
        <v>1</v>
      </c>
      <c r="J676" s="30">
        <f t="shared" si="30"/>
        <v>1</v>
      </c>
      <c r="K676" s="30">
        <f t="shared" si="31"/>
        <v>0</v>
      </c>
      <c r="L676" s="26">
        <f t="shared" si="32"/>
        <v>0</v>
      </c>
      <c r="M676" s="26"/>
    </row>
    <row r="677" spans="1:13" ht="15" customHeight="1">
      <c r="A677" s="25" t="s">
        <v>7193</v>
      </c>
      <c r="B677" s="26" t="s">
        <v>5423</v>
      </c>
      <c r="C677" s="26" t="s">
        <v>7194</v>
      </c>
      <c r="D677" s="26" t="s">
        <v>7195</v>
      </c>
      <c r="E677" s="26" t="s">
        <v>5433</v>
      </c>
      <c r="F677" s="27">
        <v>4970065</v>
      </c>
      <c r="G677" s="27">
        <v>1</v>
      </c>
      <c r="H677" s="27">
        <v>1</v>
      </c>
      <c r="I677" s="27">
        <v>1</v>
      </c>
      <c r="J677" s="30">
        <f t="shared" si="30"/>
        <v>1</v>
      </c>
      <c r="K677" s="30">
        <f t="shared" si="31"/>
        <v>1</v>
      </c>
      <c r="L677" s="26">
        <f t="shared" si="32"/>
        <v>1</v>
      </c>
      <c r="M677" s="26"/>
    </row>
    <row r="678" spans="1:13" ht="15" customHeight="1">
      <c r="A678" s="25">
        <v>1481360</v>
      </c>
      <c r="B678" s="26" t="s">
        <v>5423</v>
      </c>
      <c r="C678" s="26" t="s">
        <v>7196</v>
      </c>
      <c r="D678" s="26" t="s">
        <v>7197</v>
      </c>
      <c r="E678" s="26" t="s">
        <v>5430</v>
      </c>
      <c r="F678" s="27">
        <v>5245411</v>
      </c>
      <c r="G678" s="27">
        <v>2</v>
      </c>
      <c r="H678" s="27">
        <v>0</v>
      </c>
      <c r="I678" s="27">
        <v>1</v>
      </c>
      <c r="J678" s="30">
        <f t="shared" si="30"/>
        <v>1</v>
      </c>
      <c r="K678" s="30">
        <f t="shared" si="31"/>
        <v>0</v>
      </c>
      <c r="L678" s="26">
        <f t="shared" si="32"/>
        <v>0</v>
      </c>
      <c r="M678" s="26" t="s">
        <v>5611</v>
      </c>
    </row>
    <row r="679" spans="1:13" ht="15" customHeight="1">
      <c r="A679" s="25" t="s">
        <v>7198</v>
      </c>
      <c r="B679" s="26" t="s">
        <v>5427</v>
      </c>
      <c r="C679" s="26" t="s">
        <v>7199</v>
      </c>
      <c r="D679" s="26" t="s">
        <v>7200</v>
      </c>
      <c r="E679" s="26" t="s">
        <v>5532</v>
      </c>
      <c r="F679" s="27">
        <v>5363759</v>
      </c>
      <c r="G679" s="27">
        <v>0</v>
      </c>
      <c r="H679" s="27">
        <v>0</v>
      </c>
      <c r="I679" s="27">
        <v>0</v>
      </c>
      <c r="J679" s="30">
        <f t="shared" si="30"/>
        <v>0</v>
      </c>
      <c r="K679" s="30">
        <f t="shared" si="31"/>
        <v>0</v>
      </c>
      <c r="L679" s="26">
        <f t="shared" si="32"/>
        <v>0</v>
      </c>
      <c r="M679" s="26">
        <v>0</v>
      </c>
    </row>
    <row r="680" spans="1:13" ht="15" customHeight="1">
      <c r="A680" s="25" t="s">
        <v>7201</v>
      </c>
      <c r="B680" s="26" t="s">
        <v>5423</v>
      </c>
      <c r="C680" s="26" t="s">
        <v>7202</v>
      </c>
      <c r="D680" s="26" t="s">
        <v>7203</v>
      </c>
      <c r="E680" s="26" t="s">
        <v>5485</v>
      </c>
      <c r="F680" s="27">
        <v>5276541</v>
      </c>
      <c r="G680" s="27">
        <v>0</v>
      </c>
      <c r="H680" s="27">
        <v>0</v>
      </c>
      <c r="I680" s="27">
        <v>0</v>
      </c>
      <c r="J680" s="30">
        <f t="shared" si="30"/>
        <v>0</v>
      </c>
      <c r="K680" s="30">
        <f t="shared" si="31"/>
        <v>0</v>
      </c>
      <c r="L680" s="26">
        <f t="shared" si="32"/>
        <v>0</v>
      </c>
      <c r="M680" s="26">
        <v>0</v>
      </c>
    </row>
    <row r="681" spans="1:13" ht="15" customHeight="1">
      <c r="A681" s="25" t="s">
        <v>7204</v>
      </c>
      <c r="B681" s="26" t="s">
        <v>5427</v>
      </c>
      <c r="C681" s="26" t="s">
        <v>7205</v>
      </c>
      <c r="D681" s="26" t="s">
        <v>7206</v>
      </c>
      <c r="E681" s="26" t="s">
        <v>5517</v>
      </c>
      <c r="F681" s="27">
        <v>5276137</v>
      </c>
      <c r="G681" s="27">
        <v>1</v>
      </c>
      <c r="H681" s="27">
        <v>1</v>
      </c>
      <c r="I681" s="27">
        <v>1</v>
      </c>
      <c r="J681" s="30">
        <f t="shared" si="30"/>
        <v>1</v>
      </c>
      <c r="K681" s="30">
        <f t="shared" si="31"/>
        <v>1</v>
      </c>
      <c r="L681" s="26">
        <f t="shared" si="32"/>
        <v>1</v>
      </c>
      <c r="M681" s="26"/>
    </row>
    <row r="682" spans="1:13" ht="15" customHeight="1">
      <c r="A682" s="25" t="s">
        <v>7207</v>
      </c>
      <c r="B682" s="26" t="s">
        <v>5423</v>
      </c>
      <c r="C682" s="26" t="s">
        <v>7208</v>
      </c>
      <c r="D682" s="26" t="s">
        <v>7209</v>
      </c>
      <c r="E682" s="26" t="s">
        <v>5458</v>
      </c>
      <c r="F682" s="27">
        <v>5281160</v>
      </c>
      <c r="G682" s="27">
        <v>1</v>
      </c>
      <c r="H682" s="27">
        <v>0</v>
      </c>
      <c r="I682" s="27">
        <v>1</v>
      </c>
      <c r="J682" s="30">
        <f t="shared" si="30"/>
        <v>1</v>
      </c>
      <c r="K682" s="30">
        <f t="shared" si="31"/>
        <v>0</v>
      </c>
      <c r="L682" s="26">
        <f t="shared" si="32"/>
        <v>0</v>
      </c>
      <c r="M682" s="26"/>
    </row>
    <row r="683" spans="1:13" ht="15" customHeight="1">
      <c r="A683" s="25" t="s">
        <v>7210</v>
      </c>
      <c r="B683" s="26" t="s">
        <v>5423</v>
      </c>
      <c r="C683" s="26" t="s">
        <v>7211</v>
      </c>
      <c r="D683" s="26" t="s">
        <v>7212</v>
      </c>
      <c r="E683" s="26" t="s">
        <v>5436</v>
      </c>
      <c r="F683" s="27">
        <v>5281202</v>
      </c>
      <c r="G683" s="27">
        <v>1</v>
      </c>
      <c r="H683" s="27">
        <v>0</v>
      </c>
      <c r="I683" s="27">
        <v>1</v>
      </c>
      <c r="J683" s="30">
        <f t="shared" si="30"/>
        <v>1</v>
      </c>
      <c r="K683" s="30">
        <f t="shared" si="31"/>
        <v>0</v>
      </c>
      <c r="L683" s="26">
        <f t="shared" si="32"/>
        <v>0</v>
      </c>
      <c r="M683" s="26"/>
    </row>
    <row r="684" spans="1:13" ht="15" customHeight="1">
      <c r="A684" s="25" t="s">
        <v>7213</v>
      </c>
      <c r="B684" s="26" t="s">
        <v>5427</v>
      </c>
      <c r="C684" s="26" t="s">
        <v>7214</v>
      </c>
      <c r="D684" s="26" t="s">
        <v>7215</v>
      </c>
      <c r="E684" s="26" t="s">
        <v>5447</v>
      </c>
      <c r="F684" s="27">
        <v>5239252</v>
      </c>
      <c r="G684" s="27">
        <v>0</v>
      </c>
      <c r="H684" s="27">
        <v>0</v>
      </c>
      <c r="I684" s="27">
        <v>0</v>
      </c>
      <c r="J684" s="30">
        <f t="shared" si="30"/>
        <v>0</v>
      </c>
      <c r="K684" s="30">
        <f t="shared" si="31"/>
        <v>0</v>
      </c>
      <c r="L684" s="26">
        <f t="shared" si="32"/>
        <v>0</v>
      </c>
      <c r="M684" s="26" t="s">
        <v>5567</v>
      </c>
    </row>
    <row r="685" spans="1:13" ht="15" customHeight="1">
      <c r="A685" s="25" t="s">
        <v>7216</v>
      </c>
      <c r="B685" s="26" t="s">
        <v>5423</v>
      </c>
      <c r="C685" s="26" t="s">
        <v>7217</v>
      </c>
      <c r="D685" s="26" t="s">
        <v>7218</v>
      </c>
      <c r="E685" s="26" t="s">
        <v>5439</v>
      </c>
      <c r="F685" s="27">
        <v>5282495</v>
      </c>
      <c r="G685" s="27">
        <v>0</v>
      </c>
      <c r="H685" s="27">
        <v>1</v>
      </c>
      <c r="I685" s="27">
        <v>1</v>
      </c>
      <c r="J685" s="30">
        <f t="shared" si="30"/>
        <v>0</v>
      </c>
      <c r="K685" s="30">
        <f t="shared" si="31"/>
        <v>1</v>
      </c>
      <c r="L685" s="26">
        <f t="shared" si="32"/>
        <v>0</v>
      </c>
      <c r="M685" s="26"/>
    </row>
    <row r="686" spans="1:13" ht="15" customHeight="1">
      <c r="A686" s="25" t="s">
        <v>7219</v>
      </c>
      <c r="B686" s="26" t="s">
        <v>5427</v>
      </c>
      <c r="C686" s="26" t="s">
        <v>7220</v>
      </c>
      <c r="D686" s="26" t="s">
        <v>7221</v>
      </c>
      <c r="E686" s="26" t="s">
        <v>5485</v>
      </c>
      <c r="F686" s="27">
        <v>5281174</v>
      </c>
      <c r="G686" s="27">
        <v>1</v>
      </c>
      <c r="H686" s="27">
        <v>1</v>
      </c>
      <c r="I686" s="27">
        <v>1</v>
      </c>
      <c r="J686" s="30">
        <f t="shared" si="30"/>
        <v>1</v>
      </c>
      <c r="K686" s="30">
        <f t="shared" si="31"/>
        <v>1</v>
      </c>
      <c r="L686" s="26">
        <f t="shared" si="32"/>
        <v>1</v>
      </c>
      <c r="M686" s="26"/>
    </row>
    <row r="687" spans="1:13" ht="15" customHeight="1">
      <c r="A687" s="25">
        <v>1483093</v>
      </c>
      <c r="B687" s="26" t="s">
        <v>5423</v>
      </c>
      <c r="C687" s="26" t="s">
        <v>7222</v>
      </c>
      <c r="D687" s="26" t="s">
        <v>7223</v>
      </c>
      <c r="E687" s="26" t="s">
        <v>5772</v>
      </c>
      <c r="F687" s="27">
        <v>5063529</v>
      </c>
      <c r="G687" s="27">
        <v>1</v>
      </c>
      <c r="H687" s="27">
        <v>0</v>
      </c>
      <c r="I687" s="27">
        <v>1</v>
      </c>
      <c r="J687" s="30">
        <f t="shared" si="30"/>
        <v>1</v>
      </c>
      <c r="K687" s="30">
        <f t="shared" si="31"/>
        <v>0</v>
      </c>
      <c r="L687" s="26">
        <f t="shared" si="32"/>
        <v>0</v>
      </c>
      <c r="M687" s="26"/>
    </row>
    <row r="688" spans="1:13" ht="15" customHeight="1">
      <c r="A688" s="25" t="s">
        <v>7224</v>
      </c>
      <c r="B688" s="26" t="s">
        <v>5423</v>
      </c>
      <c r="C688" s="26" t="s">
        <v>7225</v>
      </c>
      <c r="D688" s="26" t="s">
        <v>7226</v>
      </c>
      <c r="E688" s="26" t="s">
        <v>5522</v>
      </c>
      <c r="F688" s="27">
        <v>5281421</v>
      </c>
      <c r="G688" s="27">
        <v>1</v>
      </c>
      <c r="H688" s="27">
        <v>0</v>
      </c>
      <c r="I688" s="27">
        <v>1</v>
      </c>
      <c r="J688" s="30">
        <f t="shared" si="30"/>
        <v>1</v>
      </c>
      <c r="K688" s="30">
        <f t="shared" si="31"/>
        <v>0</v>
      </c>
      <c r="L688" s="26">
        <f t="shared" si="32"/>
        <v>0</v>
      </c>
      <c r="M688" s="26"/>
    </row>
    <row r="689" spans="1:13" ht="15" customHeight="1">
      <c r="A689" s="25" t="s">
        <v>7227</v>
      </c>
      <c r="B689" s="26" t="s">
        <v>5423</v>
      </c>
      <c r="C689" s="26" t="s">
        <v>7228</v>
      </c>
      <c r="D689" s="26" t="s">
        <v>7229</v>
      </c>
      <c r="E689" s="26" t="s">
        <v>5463</v>
      </c>
      <c r="F689" s="27">
        <v>5255712</v>
      </c>
      <c r="G689" s="27">
        <v>1</v>
      </c>
      <c r="H689" s="27">
        <v>1</v>
      </c>
      <c r="I689" s="27">
        <v>1</v>
      </c>
      <c r="J689" s="30">
        <f t="shared" si="30"/>
        <v>1</v>
      </c>
      <c r="K689" s="30">
        <f t="shared" si="31"/>
        <v>1</v>
      </c>
      <c r="L689" s="26">
        <f t="shared" si="32"/>
        <v>1</v>
      </c>
      <c r="M689" s="26"/>
    </row>
    <row r="690" spans="1:13" ht="15" customHeight="1">
      <c r="A690" s="25" t="s">
        <v>7230</v>
      </c>
      <c r="B690" s="26" t="s">
        <v>5423</v>
      </c>
      <c r="C690" s="26" t="s">
        <v>7231</v>
      </c>
      <c r="D690" s="26" t="s">
        <v>7232</v>
      </c>
      <c r="E690" s="26" t="s">
        <v>5458</v>
      </c>
      <c r="F690" s="27">
        <v>5283300</v>
      </c>
      <c r="G690" s="27">
        <v>1</v>
      </c>
      <c r="H690" s="27">
        <v>0</v>
      </c>
      <c r="I690" s="27">
        <v>1</v>
      </c>
      <c r="J690" s="30">
        <f t="shared" si="30"/>
        <v>1</v>
      </c>
      <c r="K690" s="30">
        <f t="shared" si="31"/>
        <v>0</v>
      </c>
      <c r="L690" s="26">
        <f t="shared" si="32"/>
        <v>0</v>
      </c>
      <c r="M690" s="26"/>
    </row>
    <row r="691" spans="1:13" ht="15" customHeight="1">
      <c r="A691" s="25" t="s">
        <v>7233</v>
      </c>
      <c r="B691" s="26" t="s">
        <v>5423</v>
      </c>
      <c r="C691" s="26" t="s">
        <v>7234</v>
      </c>
      <c r="D691" s="26" t="s">
        <v>7235</v>
      </c>
      <c r="E691" s="26" t="s">
        <v>5447</v>
      </c>
      <c r="F691" s="27">
        <v>5283873</v>
      </c>
      <c r="G691" s="27">
        <v>1</v>
      </c>
      <c r="H691" s="27">
        <v>0</v>
      </c>
      <c r="I691" s="27">
        <v>1</v>
      </c>
      <c r="J691" s="30">
        <f t="shared" si="30"/>
        <v>1</v>
      </c>
      <c r="K691" s="30">
        <f t="shared" si="31"/>
        <v>0</v>
      </c>
      <c r="L691" s="26">
        <f t="shared" si="32"/>
        <v>0</v>
      </c>
      <c r="M691" s="26"/>
    </row>
    <row r="692" spans="1:13" ht="15" customHeight="1">
      <c r="A692" s="25" t="s">
        <v>7236</v>
      </c>
      <c r="B692" s="26" t="s">
        <v>5423</v>
      </c>
      <c r="C692" s="26" t="s">
        <v>7237</v>
      </c>
      <c r="D692" s="26" t="s">
        <v>7238</v>
      </c>
      <c r="E692" s="26" t="s">
        <v>5436</v>
      </c>
      <c r="F692" s="27">
        <v>5287002</v>
      </c>
      <c r="G692" s="27">
        <v>0</v>
      </c>
      <c r="H692" s="27">
        <v>0</v>
      </c>
      <c r="I692" s="27">
        <v>0</v>
      </c>
      <c r="J692" s="30">
        <f t="shared" si="30"/>
        <v>0</v>
      </c>
      <c r="K692" s="30">
        <f t="shared" si="31"/>
        <v>0</v>
      </c>
      <c r="L692" s="26">
        <f t="shared" si="32"/>
        <v>0</v>
      </c>
      <c r="M692" s="26">
        <v>0</v>
      </c>
    </row>
    <row r="693" spans="1:13" ht="15" customHeight="1">
      <c r="A693" s="25" t="s">
        <v>7239</v>
      </c>
      <c r="B693" s="26" t="s">
        <v>5427</v>
      </c>
      <c r="C693" s="26" t="s">
        <v>7240</v>
      </c>
      <c r="D693" s="26" t="s">
        <v>7241</v>
      </c>
      <c r="E693" s="26" t="s">
        <v>5439</v>
      </c>
      <c r="F693" s="27">
        <v>5281344</v>
      </c>
      <c r="G693" s="27">
        <v>1</v>
      </c>
      <c r="H693" s="27">
        <v>1</v>
      </c>
      <c r="I693" s="27">
        <v>1</v>
      </c>
      <c r="J693" s="30">
        <f t="shared" si="30"/>
        <v>1</v>
      </c>
      <c r="K693" s="30">
        <f t="shared" si="31"/>
        <v>1</v>
      </c>
      <c r="L693" s="26">
        <f t="shared" si="32"/>
        <v>1</v>
      </c>
      <c r="M693" s="26"/>
    </row>
    <row r="694" spans="1:13" ht="15" customHeight="1">
      <c r="A694" s="25" t="s">
        <v>7242</v>
      </c>
      <c r="B694" s="26" t="s">
        <v>5427</v>
      </c>
      <c r="C694" s="26" t="s">
        <v>7243</v>
      </c>
      <c r="D694" s="26" t="s">
        <v>7244</v>
      </c>
      <c r="E694" s="26" t="s">
        <v>5433</v>
      </c>
      <c r="F694" s="27">
        <v>5288757</v>
      </c>
      <c r="G694" s="27">
        <v>0</v>
      </c>
      <c r="H694" s="27">
        <v>0</v>
      </c>
      <c r="I694" s="27">
        <v>0</v>
      </c>
      <c r="J694" s="30">
        <f t="shared" si="30"/>
        <v>0</v>
      </c>
      <c r="K694" s="30">
        <f t="shared" si="31"/>
        <v>0</v>
      </c>
      <c r="L694" s="26">
        <f t="shared" si="32"/>
        <v>0</v>
      </c>
      <c r="M694" s="26">
        <v>0</v>
      </c>
    </row>
    <row r="695" spans="1:13" ht="15" customHeight="1">
      <c r="A695" s="25" t="s">
        <v>7245</v>
      </c>
      <c r="B695" s="26" t="s">
        <v>5423</v>
      </c>
      <c r="C695" s="26" t="s">
        <v>7246</v>
      </c>
      <c r="D695" s="26" t="s">
        <v>7247</v>
      </c>
      <c r="E695" s="26" t="s">
        <v>5480</v>
      </c>
      <c r="F695" s="27">
        <v>1298400</v>
      </c>
      <c r="G695" s="27">
        <v>1</v>
      </c>
      <c r="H695" s="27">
        <v>0</v>
      </c>
      <c r="I695" s="27">
        <v>1</v>
      </c>
      <c r="J695" s="30">
        <f t="shared" si="30"/>
        <v>1</v>
      </c>
      <c r="K695" s="30">
        <f t="shared" si="31"/>
        <v>0</v>
      </c>
      <c r="L695" s="26">
        <f t="shared" si="32"/>
        <v>0</v>
      </c>
      <c r="M695" s="26"/>
    </row>
    <row r="696" spans="1:13" ht="15" customHeight="1">
      <c r="A696" s="25" t="s">
        <v>7248</v>
      </c>
      <c r="B696" s="26" t="s">
        <v>5423</v>
      </c>
      <c r="C696" s="26" t="s">
        <v>7249</v>
      </c>
      <c r="D696" s="26" t="s">
        <v>7250</v>
      </c>
      <c r="E696" s="26" t="s">
        <v>5545</v>
      </c>
      <c r="F696" s="27">
        <v>5201903</v>
      </c>
      <c r="G696" s="27">
        <v>1</v>
      </c>
      <c r="H696" s="27">
        <v>0</v>
      </c>
      <c r="I696" s="27">
        <v>1</v>
      </c>
      <c r="J696" s="30">
        <f t="shared" si="30"/>
        <v>1</v>
      </c>
      <c r="K696" s="30">
        <f t="shared" si="31"/>
        <v>0</v>
      </c>
      <c r="L696" s="26">
        <f t="shared" si="32"/>
        <v>0</v>
      </c>
      <c r="M696" s="26"/>
    </row>
    <row r="697" spans="1:13" ht="15" customHeight="1">
      <c r="A697" s="25" t="s">
        <v>7251</v>
      </c>
      <c r="B697" s="26" t="s">
        <v>5423</v>
      </c>
      <c r="C697" s="26" t="s">
        <v>7252</v>
      </c>
      <c r="D697" s="26" t="s">
        <v>7253</v>
      </c>
      <c r="E697" s="26" t="s">
        <v>5447</v>
      </c>
      <c r="F697" s="27">
        <v>5283516</v>
      </c>
      <c r="G697" s="27">
        <v>1</v>
      </c>
      <c r="H697" s="27">
        <v>0</v>
      </c>
      <c r="I697" s="27">
        <v>1</v>
      </c>
      <c r="J697" s="30">
        <f t="shared" si="30"/>
        <v>1</v>
      </c>
      <c r="K697" s="30">
        <f t="shared" si="31"/>
        <v>0</v>
      </c>
      <c r="L697" s="26">
        <f t="shared" si="32"/>
        <v>0</v>
      </c>
      <c r="M697" s="26"/>
    </row>
    <row r="698" spans="1:13" ht="15" customHeight="1">
      <c r="A698" s="25" t="s">
        <v>7254</v>
      </c>
      <c r="B698" s="26" t="s">
        <v>5427</v>
      </c>
      <c r="C698" s="26" t="s">
        <v>7255</v>
      </c>
      <c r="D698" s="26" t="s">
        <v>7256</v>
      </c>
      <c r="E698" s="26" t="s">
        <v>5439</v>
      </c>
      <c r="F698" s="27">
        <v>5277436</v>
      </c>
      <c r="G698" s="27">
        <v>0</v>
      </c>
      <c r="H698" s="27">
        <v>1</v>
      </c>
      <c r="I698" s="27">
        <v>1</v>
      </c>
      <c r="J698" s="30">
        <f t="shared" si="30"/>
        <v>0</v>
      </c>
      <c r="K698" s="30">
        <f t="shared" si="31"/>
        <v>1</v>
      </c>
      <c r="L698" s="26">
        <f t="shared" si="32"/>
        <v>0</v>
      </c>
      <c r="M698" s="26"/>
    </row>
    <row r="699" spans="1:13" ht="15" customHeight="1">
      <c r="A699" s="25" t="s">
        <v>7257</v>
      </c>
      <c r="B699" s="26" t="s">
        <v>5427</v>
      </c>
      <c r="C699" s="26" t="s">
        <v>7258</v>
      </c>
      <c r="D699" s="26" t="s">
        <v>7259</v>
      </c>
      <c r="E699" s="26" t="s">
        <v>5763</v>
      </c>
      <c r="F699" s="27">
        <v>5135806</v>
      </c>
      <c r="G699" s="27">
        <v>0</v>
      </c>
      <c r="H699" s="27">
        <v>0</v>
      </c>
      <c r="I699" s="27">
        <v>0</v>
      </c>
      <c r="J699" s="30">
        <f t="shared" si="30"/>
        <v>0</v>
      </c>
      <c r="K699" s="30">
        <f t="shared" si="31"/>
        <v>0</v>
      </c>
      <c r="L699" s="26">
        <f t="shared" si="32"/>
        <v>0</v>
      </c>
      <c r="M699" s="26">
        <v>0</v>
      </c>
    </row>
    <row r="700" spans="1:13" ht="15" customHeight="1">
      <c r="A700" s="25" t="s">
        <v>7260</v>
      </c>
      <c r="B700" s="26" t="s">
        <v>5423</v>
      </c>
      <c r="C700" s="26" t="s">
        <v>7261</v>
      </c>
      <c r="D700" s="26" t="s">
        <v>7262</v>
      </c>
      <c r="E700" s="26" t="s">
        <v>5455</v>
      </c>
      <c r="F700" s="27">
        <v>5287041</v>
      </c>
      <c r="G700" s="27">
        <v>0</v>
      </c>
      <c r="H700" s="27">
        <v>1</v>
      </c>
      <c r="I700" s="27">
        <v>1</v>
      </c>
      <c r="J700" s="30">
        <f t="shared" si="30"/>
        <v>0</v>
      </c>
      <c r="K700" s="30">
        <f t="shared" si="31"/>
        <v>1</v>
      </c>
      <c r="L700" s="26">
        <f t="shared" si="32"/>
        <v>0</v>
      </c>
      <c r="M700" s="26"/>
    </row>
    <row r="701" spans="1:13" ht="15" customHeight="1">
      <c r="A701" s="25" t="s">
        <v>7263</v>
      </c>
      <c r="B701" s="26" t="s">
        <v>5427</v>
      </c>
      <c r="C701" s="26" t="s">
        <v>7264</v>
      </c>
      <c r="D701" s="26" t="s">
        <v>7265</v>
      </c>
      <c r="E701" s="26" t="s">
        <v>5442</v>
      </c>
      <c r="F701" s="27">
        <v>5283870</v>
      </c>
      <c r="G701" s="27">
        <v>1</v>
      </c>
      <c r="H701" s="27">
        <v>0</v>
      </c>
      <c r="I701" s="27">
        <v>1</v>
      </c>
      <c r="J701" s="30">
        <f t="shared" si="30"/>
        <v>1</v>
      </c>
      <c r="K701" s="30">
        <f t="shared" si="31"/>
        <v>0</v>
      </c>
      <c r="L701" s="26">
        <f t="shared" si="32"/>
        <v>0</v>
      </c>
      <c r="M701" s="26"/>
    </row>
    <row r="702" spans="1:13" ht="15" customHeight="1">
      <c r="A702" s="25" t="s">
        <v>7266</v>
      </c>
      <c r="B702" s="26" t="s">
        <v>5423</v>
      </c>
      <c r="C702" s="26" t="s">
        <v>7267</v>
      </c>
      <c r="D702" s="26" t="s">
        <v>7268</v>
      </c>
      <c r="E702" s="26" t="s">
        <v>5522</v>
      </c>
      <c r="F702" s="27">
        <v>5209901</v>
      </c>
      <c r="G702" s="27">
        <v>2</v>
      </c>
      <c r="H702" s="27">
        <v>1</v>
      </c>
      <c r="I702" s="27">
        <v>1</v>
      </c>
      <c r="J702" s="30">
        <f t="shared" si="30"/>
        <v>1</v>
      </c>
      <c r="K702" s="30">
        <f t="shared" si="31"/>
        <v>1</v>
      </c>
      <c r="L702" s="26">
        <f t="shared" si="32"/>
        <v>1</v>
      </c>
      <c r="M702" s="26" t="s">
        <v>5611</v>
      </c>
    </row>
    <row r="703" spans="1:13" ht="15" customHeight="1">
      <c r="A703" s="25" t="s">
        <v>7269</v>
      </c>
      <c r="B703" s="26" t="s">
        <v>5423</v>
      </c>
      <c r="C703" s="26" t="s">
        <v>7270</v>
      </c>
      <c r="D703" s="26" t="s">
        <v>7271</v>
      </c>
      <c r="E703" s="26" t="s">
        <v>5529</v>
      </c>
      <c r="F703" s="27">
        <v>5280521</v>
      </c>
      <c r="G703" s="27">
        <v>1</v>
      </c>
      <c r="H703" s="27">
        <v>0</v>
      </c>
      <c r="I703" s="27">
        <v>1</v>
      </c>
      <c r="J703" s="30">
        <f t="shared" si="30"/>
        <v>1</v>
      </c>
      <c r="K703" s="30">
        <f t="shared" si="31"/>
        <v>0</v>
      </c>
      <c r="L703" s="26">
        <f t="shared" si="32"/>
        <v>0</v>
      </c>
      <c r="M703" s="26"/>
    </row>
    <row r="704" spans="1:13" ht="15" customHeight="1">
      <c r="A704" s="25" t="s">
        <v>7272</v>
      </c>
      <c r="B704" s="26" t="s">
        <v>5423</v>
      </c>
      <c r="C704" s="26" t="s">
        <v>7273</v>
      </c>
      <c r="D704" s="26" t="s">
        <v>7274</v>
      </c>
      <c r="E704" s="26" t="s">
        <v>5455</v>
      </c>
      <c r="F704" s="27">
        <v>5287143</v>
      </c>
      <c r="G704" s="27">
        <v>1</v>
      </c>
      <c r="H704" s="27">
        <v>0</v>
      </c>
      <c r="I704" s="27">
        <v>1</v>
      </c>
      <c r="J704" s="30">
        <f t="shared" si="30"/>
        <v>1</v>
      </c>
      <c r="K704" s="30">
        <f t="shared" si="31"/>
        <v>0</v>
      </c>
      <c r="L704" s="26">
        <f t="shared" si="32"/>
        <v>0</v>
      </c>
      <c r="M704" s="26"/>
    </row>
    <row r="705" spans="1:13" ht="15" customHeight="1">
      <c r="A705" s="25" t="s">
        <v>7275</v>
      </c>
      <c r="B705" s="26" t="s">
        <v>5423</v>
      </c>
      <c r="C705" s="26" t="s">
        <v>7276</v>
      </c>
      <c r="D705" s="26" t="s">
        <v>7277</v>
      </c>
      <c r="E705" s="26" t="s">
        <v>5447</v>
      </c>
      <c r="F705" s="27">
        <v>5287124</v>
      </c>
      <c r="G705" s="27">
        <v>0</v>
      </c>
      <c r="H705" s="27">
        <v>0</v>
      </c>
      <c r="I705" s="27">
        <v>0</v>
      </c>
      <c r="J705" s="30">
        <f t="shared" si="30"/>
        <v>0</v>
      </c>
      <c r="K705" s="30">
        <f t="shared" si="31"/>
        <v>0</v>
      </c>
      <c r="L705" s="26">
        <f t="shared" si="32"/>
        <v>0</v>
      </c>
      <c r="M705" s="26">
        <v>0</v>
      </c>
    </row>
    <row r="706" spans="1:13" ht="15" customHeight="1">
      <c r="A706" s="25" t="s">
        <v>7278</v>
      </c>
      <c r="B706" s="26" t="s">
        <v>5427</v>
      </c>
      <c r="C706" s="26" t="s">
        <v>7279</v>
      </c>
      <c r="D706" s="26" t="s">
        <v>7280</v>
      </c>
      <c r="E706" s="26" t="s">
        <v>5504</v>
      </c>
      <c r="F706" s="27">
        <v>5282517</v>
      </c>
      <c r="G706" s="27">
        <v>1</v>
      </c>
      <c r="H706" s="27">
        <v>0</v>
      </c>
      <c r="I706" s="27">
        <v>1</v>
      </c>
      <c r="J706" s="30">
        <f t="shared" ref="J706:J769" si="33">IF(G706&gt;0,1,0)</f>
        <v>1</v>
      </c>
      <c r="K706" s="30">
        <f t="shared" ref="K706:K769" si="34">IF(H706&gt;0,1,0)</f>
        <v>0</v>
      </c>
      <c r="L706" s="26">
        <f t="shared" ref="L706:L769" si="35">IF(G706&gt;0,IF(H706&gt;0,1,0),0)</f>
        <v>0</v>
      </c>
      <c r="M706" s="26"/>
    </row>
    <row r="707" spans="1:13" ht="15" customHeight="1">
      <c r="A707" s="25" t="s">
        <v>7281</v>
      </c>
      <c r="B707" s="26" t="s">
        <v>5427</v>
      </c>
      <c r="C707" s="26" t="s">
        <v>7282</v>
      </c>
      <c r="D707" s="26" t="s">
        <v>7283</v>
      </c>
      <c r="E707" s="26" t="s">
        <v>5517</v>
      </c>
      <c r="F707" s="27">
        <v>5256429</v>
      </c>
      <c r="G707" s="27">
        <v>1</v>
      </c>
      <c r="H707" s="27">
        <v>0</v>
      </c>
      <c r="I707" s="27">
        <v>1</v>
      </c>
      <c r="J707" s="30">
        <f t="shared" si="33"/>
        <v>1</v>
      </c>
      <c r="K707" s="30">
        <f t="shared" si="34"/>
        <v>0</v>
      </c>
      <c r="L707" s="26">
        <f t="shared" si="35"/>
        <v>0</v>
      </c>
      <c r="M707" s="26"/>
    </row>
    <row r="708" spans="1:13" ht="15" customHeight="1">
      <c r="A708" s="25" t="s">
        <v>7284</v>
      </c>
      <c r="B708" s="26" t="s">
        <v>5423</v>
      </c>
      <c r="C708" s="26" t="s">
        <v>7285</v>
      </c>
      <c r="D708" s="26" t="s">
        <v>7286</v>
      </c>
      <c r="E708" s="26" t="s">
        <v>5603</v>
      </c>
      <c r="F708" s="27">
        <v>5223209</v>
      </c>
      <c r="G708" s="27">
        <v>2</v>
      </c>
      <c r="H708" s="27">
        <v>0</v>
      </c>
      <c r="I708" s="27">
        <v>1</v>
      </c>
      <c r="J708" s="30">
        <f t="shared" si="33"/>
        <v>1</v>
      </c>
      <c r="K708" s="30">
        <f t="shared" si="34"/>
        <v>0</v>
      </c>
      <c r="L708" s="26">
        <f t="shared" si="35"/>
        <v>0</v>
      </c>
      <c r="M708" s="26" t="s">
        <v>5611</v>
      </c>
    </row>
    <row r="709" spans="1:13" ht="15" customHeight="1">
      <c r="A709" s="25" t="s">
        <v>7287</v>
      </c>
      <c r="B709" s="26" t="s">
        <v>5423</v>
      </c>
      <c r="C709" s="26" t="s">
        <v>7288</v>
      </c>
      <c r="D709" s="26" t="s">
        <v>7289</v>
      </c>
      <c r="E709" s="26" t="s">
        <v>5430</v>
      </c>
      <c r="F709" s="27">
        <v>5287531</v>
      </c>
      <c r="G709" s="27">
        <v>1</v>
      </c>
      <c r="H709" s="27">
        <v>0</v>
      </c>
      <c r="I709" s="27">
        <v>1</v>
      </c>
      <c r="J709" s="30">
        <f t="shared" si="33"/>
        <v>1</v>
      </c>
      <c r="K709" s="30">
        <f t="shared" si="34"/>
        <v>0</v>
      </c>
      <c r="L709" s="26">
        <f t="shared" si="35"/>
        <v>0</v>
      </c>
      <c r="M709" s="26"/>
    </row>
    <row r="710" spans="1:13" ht="15" customHeight="1">
      <c r="A710" s="25" t="s">
        <v>7290</v>
      </c>
      <c r="B710" s="26" t="s">
        <v>5423</v>
      </c>
      <c r="C710" s="26" t="s">
        <v>7291</v>
      </c>
      <c r="D710" s="26" t="s">
        <v>7292</v>
      </c>
      <c r="E710" s="26" t="s">
        <v>5433</v>
      </c>
      <c r="F710" s="27">
        <v>5282956</v>
      </c>
      <c r="G710" s="27">
        <v>1</v>
      </c>
      <c r="H710" s="27">
        <v>0</v>
      </c>
      <c r="I710" s="27">
        <v>1</v>
      </c>
      <c r="J710" s="30">
        <f t="shared" si="33"/>
        <v>1</v>
      </c>
      <c r="K710" s="30">
        <f t="shared" si="34"/>
        <v>0</v>
      </c>
      <c r="L710" s="26">
        <f t="shared" si="35"/>
        <v>0</v>
      </c>
      <c r="M710" s="26"/>
    </row>
    <row r="711" spans="1:13" ht="15" customHeight="1">
      <c r="A711" s="25" t="s">
        <v>7293</v>
      </c>
      <c r="B711" s="26" t="s">
        <v>5427</v>
      </c>
      <c r="C711" s="26" t="s">
        <v>7294</v>
      </c>
      <c r="D711" s="26" t="s">
        <v>7295</v>
      </c>
      <c r="E711" s="26" t="s">
        <v>5485</v>
      </c>
      <c r="F711" s="27">
        <v>5287914</v>
      </c>
      <c r="G711" s="27">
        <v>0</v>
      </c>
      <c r="H711" s="27">
        <v>1</v>
      </c>
      <c r="I711" s="27">
        <v>1</v>
      </c>
      <c r="J711" s="30">
        <f t="shared" si="33"/>
        <v>0</v>
      </c>
      <c r="K711" s="30">
        <f t="shared" si="34"/>
        <v>1</v>
      </c>
      <c r="L711" s="26">
        <f t="shared" si="35"/>
        <v>0</v>
      </c>
      <c r="M711" s="26"/>
    </row>
    <row r="712" spans="1:13" ht="15" customHeight="1">
      <c r="A712" s="25" t="s">
        <v>7296</v>
      </c>
      <c r="B712" s="26" t="s">
        <v>5423</v>
      </c>
      <c r="C712" s="26" t="s">
        <v>7297</v>
      </c>
      <c r="D712" s="26" t="s">
        <v>7298</v>
      </c>
      <c r="E712" s="26" t="s">
        <v>5436</v>
      </c>
      <c r="F712" s="27">
        <v>1557811</v>
      </c>
      <c r="G712" s="27">
        <v>0</v>
      </c>
      <c r="H712" s="27">
        <v>1</v>
      </c>
      <c r="I712" s="27">
        <v>1</v>
      </c>
      <c r="J712" s="30">
        <f t="shared" si="33"/>
        <v>0</v>
      </c>
      <c r="K712" s="30">
        <f t="shared" si="34"/>
        <v>1</v>
      </c>
      <c r="L712" s="26">
        <f t="shared" si="35"/>
        <v>0</v>
      </c>
      <c r="M712" s="26"/>
    </row>
    <row r="713" spans="1:13" ht="15" customHeight="1">
      <c r="A713" s="25" t="s">
        <v>7299</v>
      </c>
      <c r="B713" s="26" t="s">
        <v>5423</v>
      </c>
      <c r="C713" s="26" t="s">
        <v>7300</v>
      </c>
      <c r="D713" s="26" t="s">
        <v>7301</v>
      </c>
      <c r="E713" s="26" t="s">
        <v>5455</v>
      </c>
      <c r="F713" s="27">
        <v>2441376</v>
      </c>
      <c r="G713" s="27">
        <v>0</v>
      </c>
      <c r="H713" s="27">
        <v>0</v>
      </c>
      <c r="I713" s="27">
        <v>0</v>
      </c>
      <c r="J713" s="30">
        <f t="shared" si="33"/>
        <v>0</v>
      </c>
      <c r="K713" s="30">
        <f t="shared" si="34"/>
        <v>0</v>
      </c>
      <c r="L713" s="26">
        <f t="shared" si="35"/>
        <v>0</v>
      </c>
      <c r="M713" s="26" t="s">
        <v>7302</v>
      </c>
    </row>
    <row r="714" spans="1:13" ht="15" customHeight="1">
      <c r="A714" s="25" t="s">
        <v>7303</v>
      </c>
      <c r="B714" s="26" t="s">
        <v>5427</v>
      </c>
      <c r="C714" s="26" t="s">
        <v>7304</v>
      </c>
      <c r="D714" s="26" t="s">
        <v>7305</v>
      </c>
      <c r="E714" s="26" t="s">
        <v>5452</v>
      </c>
      <c r="F714" s="27">
        <v>4822694</v>
      </c>
      <c r="G714" s="27">
        <v>0</v>
      </c>
      <c r="H714" s="27">
        <v>0</v>
      </c>
      <c r="I714" s="27">
        <v>0</v>
      </c>
      <c r="J714" s="30">
        <f t="shared" si="33"/>
        <v>0</v>
      </c>
      <c r="K714" s="30">
        <f t="shared" si="34"/>
        <v>0</v>
      </c>
      <c r="L714" s="26">
        <f t="shared" si="35"/>
        <v>0</v>
      </c>
      <c r="M714" s="26" t="s">
        <v>5567</v>
      </c>
    </row>
    <row r="715" spans="1:13" ht="15" customHeight="1">
      <c r="A715" s="25" t="s">
        <v>7306</v>
      </c>
      <c r="B715" s="26" t="s">
        <v>5427</v>
      </c>
      <c r="C715" s="26" t="s">
        <v>7307</v>
      </c>
      <c r="D715" s="26" t="s">
        <v>7308</v>
      </c>
      <c r="E715" s="26" t="s">
        <v>5436</v>
      </c>
      <c r="F715" s="27">
        <v>4846098</v>
      </c>
      <c r="G715" s="27">
        <v>0</v>
      </c>
      <c r="H715" s="27">
        <v>0</v>
      </c>
      <c r="I715" s="27">
        <v>0</v>
      </c>
      <c r="J715" s="30">
        <f t="shared" si="33"/>
        <v>0</v>
      </c>
      <c r="K715" s="30">
        <f t="shared" si="34"/>
        <v>0</v>
      </c>
      <c r="L715" s="26">
        <f t="shared" si="35"/>
        <v>0</v>
      </c>
      <c r="M715" s="26" t="s">
        <v>5567</v>
      </c>
    </row>
    <row r="716" spans="1:13" ht="15" customHeight="1">
      <c r="A716" s="25" t="s">
        <v>7309</v>
      </c>
      <c r="B716" s="26" t="s">
        <v>5427</v>
      </c>
      <c r="C716" s="26" t="s">
        <v>7310</v>
      </c>
      <c r="D716" s="26" t="s">
        <v>7311</v>
      </c>
      <c r="E716" s="26" t="s">
        <v>5610</v>
      </c>
      <c r="F716" s="27">
        <v>5257163</v>
      </c>
      <c r="G716" s="27">
        <v>2</v>
      </c>
      <c r="H716" s="27">
        <v>1</v>
      </c>
      <c r="I716" s="27">
        <v>1</v>
      </c>
      <c r="J716" s="30">
        <f t="shared" si="33"/>
        <v>1</v>
      </c>
      <c r="K716" s="30">
        <f t="shared" si="34"/>
        <v>1</v>
      </c>
      <c r="L716" s="26">
        <f t="shared" si="35"/>
        <v>1</v>
      </c>
      <c r="M716" s="26" t="s">
        <v>5611</v>
      </c>
    </row>
    <row r="717" spans="1:13" ht="15" customHeight="1">
      <c r="A717" s="25" t="s">
        <v>7312</v>
      </c>
      <c r="B717" s="26" t="s">
        <v>5423</v>
      </c>
      <c r="C717" s="26" t="s">
        <v>7313</v>
      </c>
      <c r="D717" s="26" t="s">
        <v>7314</v>
      </c>
      <c r="E717" s="26" t="s">
        <v>5442</v>
      </c>
      <c r="F717" s="27">
        <v>5228032</v>
      </c>
      <c r="G717" s="27">
        <v>2</v>
      </c>
      <c r="H717" s="27">
        <v>0</v>
      </c>
      <c r="I717" s="27">
        <v>1</v>
      </c>
      <c r="J717" s="30">
        <f t="shared" si="33"/>
        <v>1</v>
      </c>
      <c r="K717" s="30">
        <f t="shared" si="34"/>
        <v>0</v>
      </c>
      <c r="L717" s="26">
        <f t="shared" si="35"/>
        <v>0</v>
      </c>
      <c r="M717" s="26" t="s">
        <v>5611</v>
      </c>
    </row>
    <row r="718" spans="1:13" ht="15" customHeight="1">
      <c r="A718" s="25" t="s">
        <v>7315</v>
      </c>
      <c r="B718" s="26" t="s">
        <v>5423</v>
      </c>
      <c r="C718" s="26" t="s">
        <v>7316</v>
      </c>
      <c r="D718" s="26" t="s">
        <v>7317</v>
      </c>
      <c r="E718" s="26" t="s">
        <v>5540</v>
      </c>
      <c r="F718" s="27">
        <v>5288973</v>
      </c>
      <c r="G718" s="27">
        <v>1</v>
      </c>
      <c r="H718" s="27">
        <v>1</v>
      </c>
      <c r="I718" s="27">
        <v>1</v>
      </c>
      <c r="J718" s="30">
        <f t="shared" si="33"/>
        <v>1</v>
      </c>
      <c r="K718" s="30">
        <f t="shared" si="34"/>
        <v>1</v>
      </c>
      <c r="L718" s="26">
        <f t="shared" si="35"/>
        <v>1</v>
      </c>
      <c r="M718" s="26"/>
    </row>
    <row r="719" spans="1:13" ht="15" customHeight="1">
      <c r="A719" s="25" t="s">
        <v>7318</v>
      </c>
      <c r="B719" s="26" t="s">
        <v>5427</v>
      </c>
      <c r="C719" s="26" t="s">
        <v>7319</v>
      </c>
      <c r="D719" s="26" t="s">
        <v>7320</v>
      </c>
      <c r="E719" s="26" t="s">
        <v>5475</v>
      </c>
      <c r="F719" s="27">
        <v>5222383</v>
      </c>
      <c r="G719" s="27">
        <v>3</v>
      </c>
      <c r="H719" s="27">
        <v>1</v>
      </c>
      <c r="I719" s="27">
        <v>1</v>
      </c>
      <c r="J719" s="30">
        <f t="shared" si="33"/>
        <v>1</v>
      </c>
      <c r="K719" s="30">
        <f t="shared" si="34"/>
        <v>1</v>
      </c>
      <c r="L719" s="26">
        <f t="shared" si="35"/>
        <v>1</v>
      </c>
      <c r="M719" s="26" t="s">
        <v>5650</v>
      </c>
    </row>
    <row r="720" spans="1:13" ht="15" customHeight="1">
      <c r="A720" s="25" t="s">
        <v>7321</v>
      </c>
      <c r="B720" s="26" t="s">
        <v>5427</v>
      </c>
      <c r="C720" s="26" t="s">
        <v>7322</v>
      </c>
      <c r="D720" s="26" t="s">
        <v>7323</v>
      </c>
      <c r="E720" s="26" t="s">
        <v>5430</v>
      </c>
      <c r="F720" s="27">
        <v>5262955</v>
      </c>
      <c r="G720" s="27">
        <v>1</v>
      </c>
      <c r="H720" s="27">
        <v>0</v>
      </c>
      <c r="I720" s="27">
        <v>1</v>
      </c>
      <c r="J720" s="30">
        <f t="shared" si="33"/>
        <v>1</v>
      </c>
      <c r="K720" s="30">
        <f t="shared" si="34"/>
        <v>0</v>
      </c>
      <c r="L720" s="26">
        <f t="shared" si="35"/>
        <v>0</v>
      </c>
      <c r="M720" s="26"/>
    </row>
    <row r="721" spans="1:13" ht="15" customHeight="1">
      <c r="A721" s="25" t="s">
        <v>7324</v>
      </c>
      <c r="B721" s="26" t="s">
        <v>5427</v>
      </c>
      <c r="C721" s="26" t="s">
        <v>7325</v>
      </c>
      <c r="D721" s="26" t="s">
        <v>7326</v>
      </c>
      <c r="E721" s="26" t="s">
        <v>5654</v>
      </c>
      <c r="F721" s="27">
        <v>5283922</v>
      </c>
      <c r="G721" s="27">
        <v>0</v>
      </c>
      <c r="H721" s="27">
        <v>0</v>
      </c>
      <c r="I721" s="27">
        <v>0</v>
      </c>
      <c r="J721" s="30">
        <f t="shared" si="33"/>
        <v>0</v>
      </c>
      <c r="K721" s="30">
        <f t="shared" si="34"/>
        <v>0</v>
      </c>
      <c r="L721" s="26">
        <f t="shared" si="35"/>
        <v>0</v>
      </c>
      <c r="M721" s="26">
        <v>0</v>
      </c>
    </row>
    <row r="722" spans="1:13" ht="15" customHeight="1">
      <c r="A722" s="25" t="s">
        <v>7327</v>
      </c>
      <c r="B722" s="26" t="s">
        <v>5427</v>
      </c>
      <c r="C722" s="26" t="s">
        <v>7328</v>
      </c>
      <c r="D722" s="26" t="s">
        <v>7329</v>
      </c>
      <c r="E722" s="26" t="s">
        <v>5468</v>
      </c>
      <c r="F722" s="27">
        <v>5289584</v>
      </c>
      <c r="G722" s="27">
        <v>0</v>
      </c>
      <c r="H722" s="27">
        <v>0</v>
      </c>
      <c r="I722" s="27">
        <v>0</v>
      </c>
      <c r="J722" s="30">
        <f t="shared" si="33"/>
        <v>0</v>
      </c>
      <c r="K722" s="30">
        <f t="shared" si="34"/>
        <v>0</v>
      </c>
      <c r="L722" s="26">
        <f t="shared" si="35"/>
        <v>0</v>
      </c>
      <c r="M722" s="26">
        <v>0</v>
      </c>
    </row>
    <row r="723" spans="1:13" ht="15" customHeight="1">
      <c r="A723" s="25" t="s">
        <v>7330</v>
      </c>
      <c r="B723" s="26" t="s">
        <v>5423</v>
      </c>
      <c r="C723" s="26" t="s">
        <v>7331</v>
      </c>
      <c r="D723" s="26" t="s">
        <v>7332</v>
      </c>
      <c r="E723" s="26" t="s">
        <v>5968</v>
      </c>
      <c r="F723" s="27">
        <v>5289457</v>
      </c>
      <c r="G723" s="27">
        <v>0</v>
      </c>
      <c r="H723" s="27">
        <v>0</v>
      </c>
      <c r="I723" s="27">
        <v>0</v>
      </c>
      <c r="J723" s="30">
        <f t="shared" si="33"/>
        <v>0</v>
      </c>
      <c r="K723" s="30">
        <f t="shared" si="34"/>
        <v>0</v>
      </c>
      <c r="L723" s="26">
        <f t="shared" si="35"/>
        <v>0</v>
      </c>
      <c r="M723" s="26">
        <v>0</v>
      </c>
    </row>
    <row r="724" spans="1:13" ht="15" customHeight="1">
      <c r="A724" s="25" t="s">
        <v>7333</v>
      </c>
      <c r="B724" s="26" t="s">
        <v>5423</v>
      </c>
      <c r="C724" s="26" t="s">
        <v>7334</v>
      </c>
      <c r="D724" s="26" t="s">
        <v>7335</v>
      </c>
      <c r="E724" s="26" t="s">
        <v>5522</v>
      </c>
      <c r="F724" s="27">
        <v>5267164</v>
      </c>
      <c r="G724" s="27">
        <v>2</v>
      </c>
      <c r="H724" s="27">
        <v>1</v>
      </c>
      <c r="I724" s="27">
        <v>1</v>
      </c>
      <c r="J724" s="30">
        <f t="shared" si="33"/>
        <v>1</v>
      </c>
      <c r="K724" s="30">
        <f t="shared" si="34"/>
        <v>1</v>
      </c>
      <c r="L724" s="26">
        <f t="shared" si="35"/>
        <v>1</v>
      </c>
      <c r="M724" s="26" t="s">
        <v>5611</v>
      </c>
    </row>
    <row r="725" spans="1:13" ht="15" customHeight="1">
      <c r="A725" s="25" t="s">
        <v>7336</v>
      </c>
      <c r="B725" s="26" t="s">
        <v>5423</v>
      </c>
      <c r="C725" s="26" t="s">
        <v>7337</v>
      </c>
      <c r="D725" s="26" t="s">
        <v>7338</v>
      </c>
      <c r="E725" s="26" t="s">
        <v>5540</v>
      </c>
      <c r="F725" s="27">
        <v>5286344</v>
      </c>
      <c r="G725" s="27">
        <v>0</v>
      </c>
      <c r="H725" s="27">
        <v>0</v>
      </c>
      <c r="I725" s="27">
        <v>0</v>
      </c>
      <c r="J725" s="30">
        <f t="shared" si="33"/>
        <v>0</v>
      </c>
      <c r="K725" s="30">
        <f t="shared" si="34"/>
        <v>0</v>
      </c>
      <c r="L725" s="26">
        <f t="shared" si="35"/>
        <v>0</v>
      </c>
      <c r="M725" s="26">
        <v>0</v>
      </c>
    </row>
    <row r="726" spans="1:13" ht="15" customHeight="1">
      <c r="A726" s="25" t="s">
        <v>7339</v>
      </c>
      <c r="B726" s="26" t="s">
        <v>5427</v>
      </c>
      <c r="C726" s="26" t="s">
        <v>7340</v>
      </c>
      <c r="D726" s="26" t="s">
        <v>7341</v>
      </c>
      <c r="E726" s="26" t="s">
        <v>5504</v>
      </c>
      <c r="F726" s="27">
        <v>5287830</v>
      </c>
      <c r="G726" s="27">
        <v>1</v>
      </c>
      <c r="H726" s="27">
        <v>0</v>
      </c>
      <c r="I726" s="27">
        <v>1</v>
      </c>
      <c r="J726" s="30">
        <f t="shared" si="33"/>
        <v>1</v>
      </c>
      <c r="K726" s="30">
        <f t="shared" si="34"/>
        <v>0</v>
      </c>
      <c r="L726" s="26">
        <f t="shared" si="35"/>
        <v>0</v>
      </c>
      <c r="M726" s="26"/>
    </row>
    <row r="727" spans="1:13" ht="15" customHeight="1">
      <c r="A727" s="25" t="s">
        <v>7342</v>
      </c>
      <c r="B727" s="26" t="s">
        <v>5423</v>
      </c>
      <c r="C727" s="26" t="s">
        <v>7343</v>
      </c>
      <c r="D727" s="26" t="s">
        <v>7344</v>
      </c>
      <c r="E727" s="26" t="s">
        <v>5433</v>
      </c>
      <c r="F727" s="27">
        <v>5285656</v>
      </c>
      <c r="G727" s="27">
        <v>2</v>
      </c>
      <c r="H727" s="27">
        <v>0</v>
      </c>
      <c r="I727" s="27">
        <v>1</v>
      </c>
      <c r="J727" s="30">
        <f t="shared" si="33"/>
        <v>1</v>
      </c>
      <c r="K727" s="30">
        <f t="shared" si="34"/>
        <v>0</v>
      </c>
      <c r="L727" s="26">
        <f t="shared" si="35"/>
        <v>0</v>
      </c>
      <c r="M727" s="26" t="s">
        <v>5611</v>
      </c>
    </row>
    <row r="728" spans="1:13" ht="15" customHeight="1">
      <c r="A728" s="25" t="s">
        <v>7345</v>
      </c>
      <c r="B728" s="26" t="s">
        <v>5423</v>
      </c>
      <c r="C728" s="26" t="s">
        <v>7346</v>
      </c>
      <c r="D728" s="26" t="s">
        <v>7347</v>
      </c>
      <c r="E728" s="26" t="s">
        <v>5522</v>
      </c>
      <c r="F728" s="27">
        <v>4869449</v>
      </c>
      <c r="G728" s="27">
        <v>1</v>
      </c>
      <c r="H728" s="27">
        <v>0</v>
      </c>
      <c r="I728" s="27">
        <v>1</v>
      </c>
      <c r="J728" s="30">
        <f t="shared" si="33"/>
        <v>1</v>
      </c>
      <c r="K728" s="30">
        <f t="shared" si="34"/>
        <v>0</v>
      </c>
      <c r="L728" s="26">
        <f t="shared" si="35"/>
        <v>0</v>
      </c>
      <c r="M728" s="26"/>
    </row>
    <row r="729" spans="1:13" ht="15" customHeight="1">
      <c r="A729" s="25" t="s">
        <v>7348</v>
      </c>
      <c r="B729" s="26" t="s">
        <v>5423</v>
      </c>
      <c r="C729" s="26" t="s">
        <v>7349</v>
      </c>
      <c r="D729" s="26" t="s">
        <v>7350</v>
      </c>
      <c r="E729" s="26" t="s">
        <v>5683</v>
      </c>
      <c r="F729" s="27">
        <v>2940347</v>
      </c>
      <c r="G729" s="27">
        <v>2</v>
      </c>
      <c r="H729" s="27">
        <v>0</v>
      </c>
      <c r="I729" s="27">
        <v>1</v>
      </c>
      <c r="J729" s="30">
        <f t="shared" si="33"/>
        <v>1</v>
      </c>
      <c r="K729" s="30">
        <f t="shared" si="34"/>
        <v>0</v>
      </c>
      <c r="L729" s="26">
        <f t="shared" si="35"/>
        <v>0</v>
      </c>
      <c r="M729" s="26" t="s">
        <v>5611</v>
      </c>
    </row>
    <row r="730" spans="1:13" ht="15" customHeight="1">
      <c r="A730" s="25" t="s">
        <v>7351</v>
      </c>
      <c r="B730" s="26" t="s">
        <v>5423</v>
      </c>
      <c r="C730" s="26" t="s">
        <v>7352</v>
      </c>
      <c r="D730" s="26" t="s">
        <v>7353</v>
      </c>
      <c r="E730" s="26" t="s">
        <v>5468</v>
      </c>
      <c r="F730" s="27">
        <v>5292160</v>
      </c>
      <c r="G730" s="27">
        <v>1</v>
      </c>
      <c r="H730" s="27">
        <v>0</v>
      </c>
      <c r="I730" s="27">
        <v>1</v>
      </c>
      <c r="J730" s="30">
        <f t="shared" si="33"/>
        <v>1</v>
      </c>
      <c r="K730" s="30">
        <f t="shared" si="34"/>
        <v>0</v>
      </c>
      <c r="L730" s="26">
        <f t="shared" si="35"/>
        <v>0</v>
      </c>
      <c r="M730" s="26"/>
    </row>
    <row r="731" spans="1:13" ht="15" customHeight="1">
      <c r="A731" s="25" t="s">
        <v>7354</v>
      </c>
      <c r="B731" s="26" t="s">
        <v>5423</v>
      </c>
      <c r="C731" s="26" t="s">
        <v>7355</v>
      </c>
      <c r="D731" s="26" t="s">
        <v>7356</v>
      </c>
      <c r="E731" s="26" t="s">
        <v>5532</v>
      </c>
      <c r="F731" s="27">
        <v>5291832</v>
      </c>
      <c r="G731" s="27">
        <v>1</v>
      </c>
      <c r="H731" s="27">
        <v>0</v>
      </c>
      <c r="I731" s="27">
        <v>1</v>
      </c>
      <c r="J731" s="30">
        <f t="shared" si="33"/>
        <v>1</v>
      </c>
      <c r="K731" s="30">
        <f t="shared" si="34"/>
        <v>0</v>
      </c>
      <c r="L731" s="26">
        <f t="shared" si="35"/>
        <v>0</v>
      </c>
      <c r="M731" s="26"/>
    </row>
    <row r="732" spans="1:13" ht="15" customHeight="1">
      <c r="A732" s="25" t="s">
        <v>7357</v>
      </c>
      <c r="B732" s="26" t="s">
        <v>5423</v>
      </c>
      <c r="C732" s="26" t="s">
        <v>7358</v>
      </c>
      <c r="D732" s="26" t="s">
        <v>7359</v>
      </c>
      <c r="E732" s="26" t="s">
        <v>5426</v>
      </c>
      <c r="F732" s="27">
        <v>5235354</v>
      </c>
      <c r="G732" s="27">
        <v>1</v>
      </c>
      <c r="H732" s="27">
        <v>0</v>
      </c>
      <c r="I732" s="27">
        <v>1</v>
      </c>
      <c r="J732" s="30">
        <f t="shared" si="33"/>
        <v>1</v>
      </c>
      <c r="K732" s="30">
        <f t="shared" si="34"/>
        <v>0</v>
      </c>
      <c r="L732" s="26">
        <f t="shared" si="35"/>
        <v>0</v>
      </c>
      <c r="M732" s="26"/>
    </row>
    <row r="733" spans="1:13" ht="15" customHeight="1">
      <c r="A733" s="25" t="s">
        <v>7360</v>
      </c>
      <c r="B733" s="26" t="s">
        <v>5423</v>
      </c>
      <c r="C733" s="26" t="s">
        <v>7361</v>
      </c>
      <c r="D733" s="26" t="s">
        <v>7362</v>
      </c>
      <c r="E733" s="26" t="s">
        <v>5540</v>
      </c>
      <c r="F733" s="27">
        <v>4615740</v>
      </c>
      <c r="G733" s="27">
        <v>1</v>
      </c>
      <c r="H733" s="27">
        <v>0</v>
      </c>
      <c r="I733" s="27">
        <v>1</v>
      </c>
      <c r="J733" s="30">
        <f t="shared" si="33"/>
        <v>1</v>
      </c>
      <c r="K733" s="30">
        <f t="shared" si="34"/>
        <v>0</v>
      </c>
      <c r="L733" s="26">
        <f t="shared" si="35"/>
        <v>0</v>
      </c>
      <c r="M733" s="26"/>
    </row>
    <row r="734" spans="1:13" ht="15" customHeight="1">
      <c r="A734" s="25" t="s">
        <v>7363</v>
      </c>
      <c r="B734" s="26" t="s">
        <v>5427</v>
      </c>
      <c r="C734" s="26" t="s">
        <v>7364</v>
      </c>
      <c r="D734" s="26" t="s">
        <v>7365</v>
      </c>
      <c r="E734" s="26" t="s">
        <v>5514</v>
      </c>
      <c r="F734" s="27">
        <v>5246457</v>
      </c>
      <c r="G734" s="27">
        <v>1</v>
      </c>
      <c r="H734" s="27">
        <v>1</v>
      </c>
      <c r="I734" s="27">
        <v>1</v>
      </c>
      <c r="J734" s="30">
        <f t="shared" si="33"/>
        <v>1</v>
      </c>
      <c r="K734" s="30">
        <f t="shared" si="34"/>
        <v>1</v>
      </c>
      <c r="L734" s="26">
        <f t="shared" si="35"/>
        <v>1</v>
      </c>
      <c r="M734" s="26"/>
    </row>
    <row r="735" spans="1:13" ht="15" customHeight="1">
      <c r="A735" s="25" t="s">
        <v>7366</v>
      </c>
      <c r="B735" s="26" t="s">
        <v>5427</v>
      </c>
      <c r="C735" s="26" t="s">
        <v>7367</v>
      </c>
      <c r="D735" s="26" t="s">
        <v>7368</v>
      </c>
      <c r="E735" s="26" t="s">
        <v>5455</v>
      </c>
      <c r="F735" s="27">
        <v>1488225</v>
      </c>
      <c r="G735" s="27">
        <v>0</v>
      </c>
      <c r="H735" s="27">
        <v>0</v>
      </c>
      <c r="I735" s="27">
        <v>0</v>
      </c>
      <c r="J735" s="30">
        <f t="shared" si="33"/>
        <v>0</v>
      </c>
      <c r="K735" s="30">
        <f t="shared" si="34"/>
        <v>0</v>
      </c>
      <c r="L735" s="26">
        <f t="shared" si="35"/>
        <v>0</v>
      </c>
      <c r="M735" s="26">
        <v>0</v>
      </c>
    </row>
    <row r="736" spans="1:13" ht="15" customHeight="1">
      <c r="A736" s="25" t="s">
        <v>7369</v>
      </c>
      <c r="B736" s="26" t="s">
        <v>5423</v>
      </c>
      <c r="C736" s="26" t="s">
        <v>7370</v>
      </c>
      <c r="D736" s="26" t="s">
        <v>7371</v>
      </c>
      <c r="E736" s="26" t="s">
        <v>5683</v>
      </c>
      <c r="F736" s="27">
        <v>5292517</v>
      </c>
      <c r="G736" s="27">
        <v>0</v>
      </c>
      <c r="H736" s="27">
        <v>1</v>
      </c>
      <c r="I736" s="27">
        <v>1</v>
      </c>
      <c r="J736" s="30">
        <f t="shared" si="33"/>
        <v>0</v>
      </c>
      <c r="K736" s="30">
        <f t="shared" si="34"/>
        <v>1</v>
      </c>
      <c r="L736" s="26">
        <f t="shared" si="35"/>
        <v>0</v>
      </c>
      <c r="M736" s="26"/>
    </row>
    <row r="737" spans="1:13" ht="15" customHeight="1">
      <c r="A737" s="25" t="s">
        <v>7372</v>
      </c>
      <c r="B737" s="26" t="s">
        <v>5423</v>
      </c>
      <c r="C737" s="26" t="s">
        <v>7373</v>
      </c>
      <c r="D737" s="26" t="s">
        <v>7374</v>
      </c>
      <c r="E737" s="26" t="s">
        <v>5442</v>
      </c>
      <c r="F737" s="27">
        <v>4728754</v>
      </c>
      <c r="G737" s="27">
        <v>1</v>
      </c>
      <c r="H737" s="27">
        <v>1</v>
      </c>
      <c r="I737" s="27">
        <v>1</v>
      </c>
      <c r="J737" s="30">
        <f t="shared" si="33"/>
        <v>1</v>
      </c>
      <c r="K737" s="30">
        <f t="shared" si="34"/>
        <v>1</v>
      </c>
      <c r="L737" s="26">
        <f t="shared" si="35"/>
        <v>1</v>
      </c>
      <c r="M737" s="26"/>
    </row>
    <row r="738" spans="1:13" ht="15" customHeight="1">
      <c r="A738" s="25" t="s">
        <v>7375</v>
      </c>
      <c r="B738" s="26" t="s">
        <v>5423</v>
      </c>
      <c r="C738" s="26" t="s">
        <v>7376</v>
      </c>
      <c r="D738" s="26" t="s">
        <v>7377</v>
      </c>
      <c r="E738" s="26" t="s">
        <v>5463</v>
      </c>
      <c r="F738" s="27">
        <v>5292584</v>
      </c>
      <c r="G738" s="27">
        <v>0</v>
      </c>
      <c r="H738" s="27">
        <v>0</v>
      </c>
      <c r="I738" s="27">
        <v>0</v>
      </c>
      <c r="J738" s="30">
        <f t="shared" si="33"/>
        <v>0</v>
      </c>
      <c r="K738" s="30">
        <f t="shared" si="34"/>
        <v>0</v>
      </c>
      <c r="L738" s="26">
        <f t="shared" si="35"/>
        <v>0</v>
      </c>
      <c r="M738" s="26">
        <v>0</v>
      </c>
    </row>
    <row r="739" spans="1:13" ht="15" customHeight="1">
      <c r="A739" s="25" t="s">
        <v>7378</v>
      </c>
      <c r="B739" s="26" t="s">
        <v>5423</v>
      </c>
      <c r="C739" s="26" t="s">
        <v>7379</v>
      </c>
      <c r="D739" s="26" t="s">
        <v>7380</v>
      </c>
      <c r="E739" s="26" t="s">
        <v>5517</v>
      </c>
      <c r="F739" s="27">
        <v>5292201</v>
      </c>
      <c r="G739" s="27">
        <v>0</v>
      </c>
      <c r="H739" s="27">
        <v>0</v>
      </c>
      <c r="I739" s="27">
        <v>0</v>
      </c>
      <c r="J739" s="30">
        <f t="shared" si="33"/>
        <v>0</v>
      </c>
      <c r="K739" s="30">
        <f t="shared" si="34"/>
        <v>0</v>
      </c>
      <c r="L739" s="26">
        <f t="shared" si="35"/>
        <v>0</v>
      </c>
      <c r="M739" s="26" t="s">
        <v>5567</v>
      </c>
    </row>
    <row r="740" spans="1:13" ht="15" customHeight="1">
      <c r="A740" s="25" t="s">
        <v>7381</v>
      </c>
      <c r="B740" s="26" t="s">
        <v>5423</v>
      </c>
      <c r="C740" s="26" t="s">
        <v>7382</v>
      </c>
      <c r="D740" s="26" t="s">
        <v>7383</v>
      </c>
      <c r="E740" s="26" t="s">
        <v>5586</v>
      </c>
      <c r="F740" s="27">
        <v>5294326</v>
      </c>
      <c r="G740" s="27">
        <v>1</v>
      </c>
      <c r="H740" s="27">
        <v>0</v>
      </c>
      <c r="I740" s="27">
        <v>1</v>
      </c>
      <c r="J740" s="30">
        <f t="shared" si="33"/>
        <v>1</v>
      </c>
      <c r="K740" s="30">
        <f t="shared" si="34"/>
        <v>0</v>
      </c>
      <c r="L740" s="26">
        <f t="shared" si="35"/>
        <v>0</v>
      </c>
      <c r="M740" s="26"/>
    </row>
    <row r="741" spans="1:13" ht="15" customHeight="1">
      <c r="A741" s="25" t="s">
        <v>7384</v>
      </c>
      <c r="B741" s="26" t="s">
        <v>5423</v>
      </c>
      <c r="C741" s="26" t="s">
        <v>7385</v>
      </c>
      <c r="D741" s="26" t="s">
        <v>7386</v>
      </c>
      <c r="E741" s="26" t="s">
        <v>7387</v>
      </c>
      <c r="F741" s="27">
        <v>5072854</v>
      </c>
      <c r="G741" s="27">
        <v>1</v>
      </c>
      <c r="H741" s="27">
        <v>0</v>
      </c>
      <c r="I741" s="27">
        <v>1</v>
      </c>
      <c r="J741" s="30">
        <f t="shared" si="33"/>
        <v>1</v>
      </c>
      <c r="K741" s="30">
        <f t="shared" si="34"/>
        <v>0</v>
      </c>
      <c r="L741" s="26">
        <f t="shared" si="35"/>
        <v>0</v>
      </c>
      <c r="M741" s="26"/>
    </row>
    <row r="742" spans="1:13" ht="15" customHeight="1">
      <c r="A742" s="25" t="s">
        <v>7388</v>
      </c>
      <c r="B742" s="26" t="s">
        <v>5423</v>
      </c>
      <c r="C742" s="26" t="s">
        <v>7389</v>
      </c>
      <c r="D742" s="26" t="s">
        <v>7390</v>
      </c>
      <c r="E742" s="26" t="s">
        <v>5433</v>
      </c>
      <c r="F742" s="27">
        <v>5292128</v>
      </c>
      <c r="G742" s="27">
        <v>1</v>
      </c>
      <c r="H742" s="27">
        <v>1</v>
      </c>
      <c r="I742" s="27">
        <v>1</v>
      </c>
      <c r="J742" s="30">
        <f t="shared" si="33"/>
        <v>1</v>
      </c>
      <c r="K742" s="30">
        <f t="shared" si="34"/>
        <v>1</v>
      </c>
      <c r="L742" s="26">
        <f t="shared" si="35"/>
        <v>1</v>
      </c>
      <c r="M742" s="26"/>
    </row>
    <row r="743" spans="1:13" ht="15" customHeight="1">
      <c r="A743" s="25" t="s">
        <v>7391</v>
      </c>
      <c r="B743" s="26" t="s">
        <v>5427</v>
      </c>
      <c r="C743" s="26" t="s">
        <v>7392</v>
      </c>
      <c r="D743" s="26" t="s">
        <v>7393</v>
      </c>
      <c r="E743" s="26" t="s">
        <v>5468</v>
      </c>
      <c r="F743" s="27">
        <v>5298680</v>
      </c>
      <c r="G743" s="27">
        <v>0</v>
      </c>
      <c r="H743" s="27">
        <v>0</v>
      </c>
      <c r="I743" s="27">
        <v>0</v>
      </c>
      <c r="J743" s="30">
        <f t="shared" si="33"/>
        <v>0</v>
      </c>
      <c r="K743" s="30">
        <f t="shared" si="34"/>
        <v>0</v>
      </c>
      <c r="L743" s="26">
        <f t="shared" si="35"/>
        <v>0</v>
      </c>
      <c r="M743" s="26" t="s">
        <v>5567</v>
      </c>
    </row>
    <row r="744" spans="1:13" ht="15" customHeight="1">
      <c r="A744" s="25" t="s">
        <v>7394</v>
      </c>
      <c r="B744" s="26" t="s">
        <v>5423</v>
      </c>
      <c r="C744" s="26" t="s">
        <v>7395</v>
      </c>
      <c r="D744" s="26" t="s">
        <v>7396</v>
      </c>
      <c r="E744" s="26" t="s">
        <v>5439</v>
      </c>
      <c r="F744" s="27">
        <v>2244790</v>
      </c>
      <c r="G744" s="27">
        <v>1</v>
      </c>
      <c r="H744" s="27">
        <v>1</v>
      </c>
      <c r="I744" s="27">
        <v>1</v>
      </c>
      <c r="J744" s="30">
        <f t="shared" si="33"/>
        <v>1</v>
      </c>
      <c r="K744" s="30">
        <f t="shared" si="34"/>
        <v>1</v>
      </c>
      <c r="L744" s="26">
        <f t="shared" si="35"/>
        <v>1</v>
      </c>
      <c r="M744" s="26"/>
    </row>
    <row r="745" spans="1:13" ht="15" customHeight="1">
      <c r="A745" s="25" t="s">
        <v>7397</v>
      </c>
      <c r="B745" s="26" t="s">
        <v>5427</v>
      </c>
      <c r="C745" s="26" t="s">
        <v>7398</v>
      </c>
      <c r="D745" s="26" t="s">
        <v>7399</v>
      </c>
      <c r="E745" s="26" t="s">
        <v>5517</v>
      </c>
      <c r="F745" s="27">
        <v>5301482</v>
      </c>
      <c r="G745" s="27">
        <v>0</v>
      </c>
      <c r="H745" s="27">
        <v>1</v>
      </c>
      <c r="I745" s="27">
        <v>1</v>
      </c>
      <c r="J745" s="30">
        <f t="shared" si="33"/>
        <v>0</v>
      </c>
      <c r="K745" s="30">
        <f t="shared" si="34"/>
        <v>1</v>
      </c>
      <c r="L745" s="26">
        <f t="shared" si="35"/>
        <v>0</v>
      </c>
      <c r="M745" s="26"/>
    </row>
    <row r="746" spans="1:13" ht="15" customHeight="1">
      <c r="A746" s="25" t="s">
        <v>7400</v>
      </c>
      <c r="B746" s="26" t="s">
        <v>5423</v>
      </c>
      <c r="C746" s="26" t="s">
        <v>7401</v>
      </c>
      <c r="D746" s="26" t="s">
        <v>7402</v>
      </c>
      <c r="E746" s="26" t="s">
        <v>5452</v>
      </c>
      <c r="F746" s="27">
        <v>5300432</v>
      </c>
      <c r="G746" s="27">
        <v>0</v>
      </c>
      <c r="H746" s="27">
        <v>0</v>
      </c>
      <c r="I746" s="27">
        <v>0</v>
      </c>
      <c r="J746" s="30">
        <f t="shared" si="33"/>
        <v>0</v>
      </c>
      <c r="K746" s="30">
        <f t="shared" si="34"/>
        <v>0</v>
      </c>
      <c r="L746" s="26">
        <f t="shared" si="35"/>
        <v>0</v>
      </c>
      <c r="M746" s="26">
        <v>0</v>
      </c>
    </row>
    <row r="747" spans="1:13" ht="15" customHeight="1">
      <c r="A747" s="25" t="s">
        <v>7403</v>
      </c>
      <c r="B747" s="26" t="s">
        <v>5423</v>
      </c>
      <c r="C747" s="26" t="s">
        <v>7404</v>
      </c>
      <c r="D747" s="26" t="s">
        <v>7405</v>
      </c>
      <c r="E747" s="26" t="s">
        <v>5426</v>
      </c>
      <c r="F747" s="27">
        <v>5300207</v>
      </c>
      <c r="G747" s="27">
        <v>1</v>
      </c>
      <c r="H747" s="27">
        <v>0</v>
      </c>
      <c r="I747" s="27">
        <v>1</v>
      </c>
      <c r="J747" s="30">
        <f t="shared" si="33"/>
        <v>1</v>
      </c>
      <c r="K747" s="30">
        <f t="shared" si="34"/>
        <v>0</v>
      </c>
      <c r="L747" s="26">
        <f t="shared" si="35"/>
        <v>0</v>
      </c>
      <c r="M747" s="26"/>
    </row>
    <row r="748" spans="1:13" ht="15" customHeight="1">
      <c r="A748" s="25" t="s">
        <v>7406</v>
      </c>
      <c r="B748" s="26" t="s">
        <v>5427</v>
      </c>
      <c r="C748" s="26" t="s">
        <v>7407</v>
      </c>
      <c r="D748" s="26" t="s">
        <v>7408</v>
      </c>
      <c r="E748" s="26" t="s">
        <v>5683</v>
      </c>
      <c r="F748" s="27">
        <v>5285665</v>
      </c>
      <c r="G748" s="27">
        <v>1</v>
      </c>
      <c r="H748" s="27">
        <v>1</v>
      </c>
      <c r="I748" s="27">
        <v>1</v>
      </c>
      <c r="J748" s="30">
        <f t="shared" si="33"/>
        <v>1</v>
      </c>
      <c r="K748" s="30">
        <f t="shared" si="34"/>
        <v>1</v>
      </c>
      <c r="L748" s="26">
        <f t="shared" si="35"/>
        <v>1</v>
      </c>
      <c r="M748" s="26"/>
    </row>
    <row r="749" spans="1:13" ht="15" customHeight="1">
      <c r="A749" s="25" t="s">
        <v>7409</v>
      </c>
      <c r="B749" s="26" t="s">
        <v>5423</v>
      </c>
      <c r="C749" s="26" t="s">
        <v>7410</v>
      </c>
      <c r="D749" s="26" t="s">
        <v>7411</v>
      </c>
      <c r="E749" s="26" t="s">
        <v>5540</v>
      </c>
      <c r="F749" s="27">
        <v>5218996</v>
      </c>
      <c r="G749" s="27">
        <v>1</v>
      </c>
      <c r="H749" s="27">
        <v>0</v>
      </c>
      <c r="I749" s="27">
        <v>1</v>
      </c>
      <c r="J749" s="30">
        <f t="shared" si="33"/>
        <v>1</v>
      </c>
      <c r="K749" s="30">
        <f t="shared" si="34"/>
        <v>0</v>
      </c>
      <c r="L749" s="26">
        <f t="shared" si="35"/>
        <v>0</v>
      </c>
      <c r="M749" s="26"/>
    </row>
    <row r="750" spans="1:13" ht="15" customHeight="1">
      <c r="A750" s="25" t="s">
        <v>7412</v>
      </c>
      <c r="B750" s="26" t="s">
        <v>5423</v>
      </c>
      <c r="C750" s="26" t="s">
        <v>7413</v>
      </c>
      <c r="D750" s="26" t="s">
        <v>7414</v>
      </c>
      <c r="E750" s="26" t="s">
        <v>5433</v>
      </c>
      <c r="F750" s="27">
        <v>2171257</v>
      </c>
      <c r="G750" s="27">
        <v>0</v>
      </c>
      <c r="H750" s="27">
        <v>0</v>
      </c>
      <c r="I750" s="27">
        <v>0</v>
      </c>
      <c r="J750" s="30">
        <f t="shared" si="33"/>
        <v>0</v>
      </c>
      <c r="K750" s="30">
        <f t="shared" si="34"/>
        <v>0</v>
      </c>
      <c r="L750" s="26">
        <f t="shared" si="35"/>
        <v>0</v>
      </c>
      <c r="M750" s="26" t="s">
        <v>5567</v>
      </c>
    </row>
    <row r="751" spans="1:13" ht="15" customHeight="1">
      <c r="A751" s="25" t="s">
        <v>7415</v>
      </c>
      <c r="B751" s="26" t="s">
        <v>5423</v>
      </c>
      <c r="C751" s="26" t="s">
        <v>7416</v>
      </c>
      <c r="D751" s="26" t="s">
        <v>7417</v>
      </c>
      <c r="E751" s="26" t="s">
        <v>5522</v>
      </c>
      <c r="F751" s="27">
        <v>5303093</v>
      </c>
      <c r="G751" s="27">
        <v>1</v>
      </c>
      <c r="H751" s="27">
        <v>1</v>
      </c>
      <c r="I751" s="27">
        <v>1</v>
      </c>
      <c r="J751" s="30">
        <f t="shared" si="33"/>
        <v>1</v>
      </c>
      <c r="K751" s="30">
        <f t="shared" si="34"/>
        <v>1</v>
      </c>
      <c r="L751" s="26">
        <f t="shared" si="35"/>
        <v>1</v>
      </c>
      <c r="M751" s="26"/>
    </row>
    <row r="752" spans="1:13" ht="15" customHeight="1">
      <c r="A752" s="25" t="s">
        <v>7418</v>
      </c>
      <c r="B752" s="26" t="s">
        <v>5427</v>
      </c>
      <c r="C752" s="26" t="s">
        <v>7419</v>
      </c>
      <c r="D752" s="26" t="s">
        <v>7420</v>
      </c>
      <c r="E752" s="26" t="s">
        <v>5517</v>
      </c>
      <c r="F752" s="27">
        <v>5302037</v>
      </c>
      <c r="G752" s="27">
        <v>0</v>
      </c>
      <c r="H752" s="27">
        <v>0</v>
      </c>
      <c r="I752" s="27">
        <v>0</v>
      </c>
      <c r="J752" s="30">
        <f t="shared" si="33"/>
        <v>0</v>
      </c>
      <c r="K752" s="30">
        <f t="shared" si="34"/>
        <v>0</v>
      </c>
      <c r="L752" s="26">
        <f t="shared" si="35"/>
        <v>0</v>
      </c>
      <c r="M752" s="26" t="s">
        <v>5567</v>
      </c>
    </row>
    <row r="753" spans="1:13" ht="15" customHeight="1">
      <c r="A753" s="25" t="s">
        <v>7421</v>
      </c>
      <c r="B753" s="26" t="s">
        <v>5423</v>
      </c>
      <c r="C753" s="26" t="s">
        <v>7422</v>
      </c>
      <c r="D753" s="26" t="s">
        <v>7423</v>
      </c>
      <c r="E753" s="26" t="s">
        <v>5522</v>
      </c>
      <c r="F753" s="27">
        <v>5299360</v>
      </c>
      <c r="G753" s="27">
        <v>1</v>
      </c>
      <c r="H753" s="27">
        <v>0</v>
      </c>
      <c r="I753" s="27">
        <v>1</v>
      </c>
      <c r="J753" s="30">
        <f t="shared" si="33"/>
        <v>1</v>
      </c>
      <c r="K753" s="30">
        <f t="shared" si="34"/>
        <v>0</v>
      </c>
      <c r="L753" s="26">
        <f t="shared" si="35"/>
        <v>0</v>
      </c>
      <c r="M753" s="26"/>
    </row>
    <row r="754" spans="1:13" ht="15" customHeight="1">
      <c r="A754" s="25" t="s">
        <v>7424</v>
      </c>
      <c r="B754" s="26" t="s">
        <v>5423</v>
      </c>
      <c r="C754" s="26" t="s">
        <v>7425</v>
      </c>
      <c r="D754" s="26" t="s">
        <v>7426</v>
      </c>
      <c r="E754" s="26" t="s">
        <v>5504</v>
      </c>
      <c r="F754" s="27">
        <v>5285894</v>
      </c>
      <c r="G754" s="27">
        <v>1</v>
      </c>
      <c r="H754" s="27">
        <v>1</v>
      </c>
      <c r="I754" s="27">
        <v>1</v>
      </c>
      <c r="J754" s="30">
        <f t="shared" si="33"/>
        <v>1</v>
      </c>
      <c r="K754" s="30">
        <f t="shared" si="34"/>
        <v>1</v>
      </c>
      <c r="L754" s="26">
        <f t="shared" si="35"/>
        <v>1</v>
      </c>
      <c r="M754" s="26"/>
    </row>
    <row r="755" spans="1:13" ht="15" customHeight="1">
      <c r="A755" s="25" t="s">
        <v>7427</v>
      </c>
      <c r="B755" s="26" t="s">
        <v>5423</v>
      </c>
      <c r="C755" s="26" t="s">
        <v>7428</v>
      </c>
      <c r="D755" s="26" t="s">
        <v>7429</v>
      </c>
      <c r="E755" s="26" t="s">
        <v>5485</v>
      </c>
      <c r="F755" s="27">
        <v>5294663</v>
      </c>
      <c r="G755" s="27">
        <v>1</v>
      </c>
      <c r="H755" s="27">
        <v>1</v>
      </c>
      <c r="I755" s="27">
        <v>1</v>
      </c>
      <c r="J755" s="30">
        <f t="shared" si="33"/>
        <v>1</v>
      </c>
      <c r="K755" s="30">
        <f t="shared" si="34"/>
        <v>1</v>
      </c>
      <c r="L755" s="26">
        <f t="shared" si="35"/>
        <v>1</v>
      </c>
      <c r="M755" s="26"/>
    </row>
    <row r="756" spans="1:13" ht="15" customHeight="1">
      <c r="A756" s="25" t="s">
        <v>7430</v>
      </c>
      <c r="B756" s="26" t="s">
        <v>5427</v>
      </c>
      <c r="C756" s="26" t="s">
        <v>7431</v>
      </c>
      <c r="D756" s="26" t="s">
        <v>7432</v>
      </c>
      <c r="E756" s="26" t="s">
        <v>5586</v>
      </c>
      <c r="F756" s="27">
        <v>2385242</v>
      </c>
      <c r="G756" s="27">
        <v>1</v>
      </c>
      <c r="H756" s="27">
        <v>0</v>
      </c>
      <c r="I756" s="27">
        <v>1</v>
      </c>
      <c r="J756" s="30">
        <f t="shared" si="33"/>
        <v>1</v>
      </c>
      <c r="K756" s="30">
        <f t="shared" si="34"/>
        <v>0</v>
      </c>
      <c r="L756" s="26">
        <f t="shared" si="35"/>
        <v>0</v>
      </c>
      <c r="M756" s="26"/>
    </row>
    <row r="757" spans="1:13" ht="15" customHeight="1">
      <c r="A757" s="25" t="s">
        <v>7433</v>
      </c>
      <c r="B757" s="26" t="s">
        <v>5423</v>
      </c>
      <c r="C757" s="26" t="s">
        <v>7434</v>
      </c>
      <c r="D757" s="26" t="s">
        <v>7435</v>
      </c>
      <c r="E757" s="26" t="s">
        <v>5475</v>
      </c>
      <c r="F757" s="27">
        <v>3942243</v>
      </c>
      <c r="G757" s="27">
        <v>1</v>
      </c>
      <c r="H757" s="27">
        <v>0</v>
      </c>
      <c r="I757" s="27">
        <v>1</v>
      </c>
      <c r="J757" s="30">
        <f t="shared" si="33"/>
        <v>1</v>
      </c>
      <c r="K757" s="30">
        <f t="shared" si="34"/>
        <v>0</v>
      </c>
      <c r="L757" s="26">
        <f t="shared" si="35"/>
        <v>0</v>
      </c>
      <c r="M757" s="26"/>
    </row>
    <row r="758" spans="1:13" ht="15" customHeight="1">
      <c r="A758" s="25" t="s">
        <v>7436</v>
      </c>
      <c r="B758" s="26" t="s">
        <v>5427</v>
      </c>
      <c r="C758" s="26" t="s">
        <v>7437</v>
      </c>
      <c r="D758" s="26" t="s">
        <v>7438</v>
      </c>
      <c r="E758" s="26" t="s">
        <v>7130</v>
      </c>
      <c r="F758" s="27">
        <v>5306124</v>
      </c>
      <c r="G758" s="27">
        <v>1</v>
      </c>
      <c r="H758" s="27">
        <v>0</v>
      </c>
      <c r="I758" s="27">
        <v>1</v>
      </c>
      <c r="J758" s="30">
        <f t="shared" si="33"/>
        <v>1</v>
      </c>
      <c r="K758" s="30">
        <f t="shared" si="34"/>
        <v>0</v>
      </c>
      <c r="L758" s="26">
        <f t="shared" si="35"/>
        <v>0</v>
      </c>
      <c r="M758" s="26"/>
    </row>
    <row r="759" spans="1:13" ht="15" customHeight="1">
      <c r="A759" s="25" t="s">
        <v>7439</v>
      </c>
      <c r="B759" s="26" t="s">
        <v>5423</v>
      </c>
      <c r="C759" s="26" t="s">
        <v>7440</v>
      </c>
      <c r="D759" s="26" t="s">
        <v>7441</v>
      </c>
      <c r="E759" s="26" t="s">
        <v>5426</v>
      </c>
      <c r="F759" s="27">
        <v>5306186</v>
      </c>
      <c r="G759" s="27">
        <v>1</v>
      </c>
      <c r="H759" s="27">
        <v>1</v>
      </c>
      <c r="I759" s="27">
        <v>1</v>
      </c>
      <c r="J759" s="30">
        <f t="shared" si="33"/>
        <v>1</v>
      </c>
      <c r="K759" s="30">
        <f t="shared" si="34"/>
        <v>1</v>
      </c>
      <c r="L759" s="26">
        <f t="shared" si="35"/>
        <v>1</v>
      </c>
      <c r="M759" s="26"/>
    </row>
    <row r="760" spans="1:13" ht="15" customHeight="1">
      <c r="A760" s="25" t="s">
        <v>7442</v>
      </c>
      <c r="B760" s="26" t="s">
        <v>5423</v>
      </c>
      <c r="C760" s="26" t="s">
        <v>7443</v>
      </c>
      <c r="D760" s="26" t="s">
        <v>7444</v>
      </c>
      <c r="E760" s="26" t="s">
        <v>5426</v>
      </c>
      <c r="F760" s="27">
        <v>5306230</v>
      </c>
      <c r="G760" s="27">
        <v>1</v>
      </c>
      <c r="H760" s="27">
        <v>1</v>
      </c>
      <c r="I760" s="27">
        <v>1</v>
      </c>
      <c r="J760" s="30">
        <f t="shared" si="33"/>
        <v>1</v>
      </c>
      <c r="K760" s="30">
        <f t="shared" si="34"/>
        <v>1</v>
      </c>
      <c r="L760" s="26">
        <f t="shared" si="35"/>
        <v>1</v>
      </c>
      <c r="M760" s="26"/>
    </row>
    <row r="761" spans="1:13" ht="15" customHeight="1">
      <c r="A761" s="25" t="s">
        <v>7445</v>
      </c>
      <c r="B761" s="26" t="s">
        <v>5423</v>
      </c>
      <c r="C761" s="26" t="s">
        <v>7446</v>
      </c>
      <c r="D761" s="26" t="s">
        <v>7447</v>
      </c>
      <c r="E761" s="26" t="s">
        <v>5550</v>
      </c>
      <c r="F761" s="27">
        <v>5306671</v>
      </c>
      <c r="G761" s="27">
        <v>1</v>
      </c>
      <c r="H761" s="27">
        <v>0</v>
      </c>
      <c r="I761" s="27">
        <v>1</v>
      </c>
      <c r="J761" s="30">
        <f t="shared" si="33"/>
        <v>1</v>
      </c>
      <c r="K761" s="30">
        <f t="shared" si="34"/>
        <v>0</v>
      </c>
      <c r="L761" s="26">
        <f t="shared" si="35"/>
        <v>0</v>
      </c>
      <c r="M761" s="26"/>
    </row>
    <row r="762" spans="1:13" ht="15" customHeight="1">
      <c r="A762" s="25" t="s">
        <v>7448</v>
      </c>
      <c r="B762" s="26" t="s">
        <v>5427</v>
      </c>
      <c r="C762" s="26" t="s">
        <v>7449</v>
      </c>
      <c r="D762" s="26" t="s">
        <v>7450</v>
      </c>
      <c r="E762" s="26" t="s">
        <v>6123</v>
      </c>
      <c r="F762" s="27">
        <v>5309318</v>
      </c>
      <c r="G762" s="27">
        <v>1</v>
      </c>
      <c r="H762" s="27">
        <v>1</v>
      </c>
      <c r="I762" s="27">
        <v>1</v>
      </c>
      <c r="J762" s="30">
        <f t="shared" si="33"/>
        <v>1</v>
      </c>
      <c r="K762" s="30">
        <f t="shared" si="34"/>
        <v>1</v>
      </c>
      <c r="L762" s="26">
        <f t="shared" si="35"/>
        <v>1</v>
      </c>
      <c r="M762" s="26"/>
    </row>
    <row r="763" spans="1:13" ht="15" customHeight="1">
      <c r="A763" s="25" t="s">
        <v>7451</v>
      </c>
      <c r="B763" s="26" t="s">
        <v>5423</v>
      </c>
      <c r="C763" s="26" t="s">
        <v>7452</v>
      </c>
      <c r="D763" s="26" t="s">
        <v>7453</v>
      </c>
      <c r="E763" s="26" t="s">
        <v>5707</v>
      </c>
      <c r="F763" s="27">
        <v>3826874</v>
      </c>
      <c r="G763" s="27">
        <v>0</v>
      </c>
      <c r="H763" s="27">
        <v>0</v>
      </c>
      <c r="I763" s="27">
        <v>0</v>
      </c>
      <c r="J763" s="30">
        <f t="shared" si="33"/>
        <v>0</v>
      </c>
      <c r="K763" s="30">
        <f t="shared" si="34"/>
        <v>0</v>
      </c>
      <c r="L763" s="26">
        <f t="shared" si="35"/>
        <v>0</v>
      </c>
      <c r="M763" s="26">
        <v>0</v>
      </c>
    </row>
    <row r="764" spans="1:13" ht="15" customHeight="1">
      <c r="A764" s="25" t="s">
        <v>7454</v>
      </c>
      <c r="B764" s="26" t="s">
        <v>5423</v>
      </c>
      <c r="C764" s="26" t="s">
        <v>7455</v>
      </c>
      <c r="D764" s="26" t="s">
        <v>7456</v>
      </c>
      <c r="E764" s="26" t="s">
        <v>5488</v>
      </c>
      <c r="F764" s="27">
        <v>5308278</v>
      </c>
      <c r="G764" s="27">
        <v>1</v>
      </c>
      <c r="H764" s="27">
        <v>1</v>
      </c>
      <c r="I764" s="27">
        <v>1</v>
      </c>
      <c r="J764" s="30">
        <f t="shared" si="33"/>
        <v>1</v>
      </c>
      <c r="K764" s="30">
        <f t="shared" si="34"/>
        <v>1</v>
      </c>
      <c r="L764" s="26">
        <f t="shared" si="35"/>
        <v>1</v>
      </c>
      <c r="M764" s="26"/>
    </row>
    <row r="765" spans="1:13" ht="15" customHeight="1">
      <c r="A765" s="25" t="s">
        <v>7457</v>
      </c>
      <c r="B765" s="26" t="s">
        <v>5423</v>
      </c>
      <c r="C765" s="26" t="s">
        <v>7458</v>
      </c>
      <c r="D765" s="26" t="s">
        <v>7459</v>
      </c>
      <c r="E765" s="26" t="s">
        <v>5480</v>
      </c>
      <c r="F765" s="27">
        <v>1298771</v>
      </c>
      <c r="G765" s="27">
        <v>1</v>
      </c>
      <c r="H765" s="27">
        <v>0</v>
      </c>
      <c r="I765" s="27">
        <v>1</v>
      </c>
      <c r="J765" s="30">
        <f t="shared" si="33"/>
        <v>1</v>
      </c>
      <c r="K765" s="30">
        <f t="shared" si="34"/>
        <v>0</v>
      </c>
      <c r="L765" s="26">
        <f t="shared" si="35"/>
        <v>0</v>
      </c>
      <c r="M765" s="26"/>
    </row>
    <row r="766" spans="1:13" ht="15" customHeight="1">
      <c r="A766" s="25" t="s">
        <v>7460</v>
      </c>
      <c r="B766" s="26" t="s">
        <v>5423</v>
      </c>
      <c r="C766" s="26" t="s">
        <v>7461</v>
      </c>
      <c r="D766" s="26" t="s">
        <v>7462</v>
      </c>
      <c r="E766" s="26" t="s">
        <v>5436</v>
      </c>
      <c r="F766" s="27">
        <v>5314037</v>
      </c>
      <c r="G766" s="27">
        <v>0</v>
      </c>
      <c r="H766" s="27">
        <v>0</v>
      </c>
      <c r="I766" s="27">
        <v>0</v>
      </c>
      <c r="J766" s="30">
        <f t="shared" si="33"/>
        <v>0</v>
      </c>
      <c r="K766" s="30">
        <f t="shared" si="34"/>
        <v>0</v>
      </c>
      <c r="L766" s="26">
        <f t="shared" si="35"/>
        <v>0</v>
      </c>
      <c r="M766" s="26">
        <v>0</v>
      </c>
    </row>
    <row r="767" spans="1:13" ht="15" customHeight="1">
      <c r="A767" s="25" t="s">
        <v>7463</v>
      </c>
      <c r="B767" s="26" t="s">
        <v>5423</v>
      </c>
      <c r="C767" s="26" t="s">
        <v>7464</v>
      </c>
      <c r="D767" s="26" t="s">
        <v>7465</v>
      </c>
      <c r="E767" s="26" t="s">
        <v>5468</v>
      </c>
      <c r="F767" s="27">
        <v>5292664</v>
      </c>
      <c r="G767" s="27">
        <v>1</v>
      </c>
      <c r="H767" s="27">
        <v>1</v>
      </c>
      <c r="I767" s="27">
        <v>1</v>
      </c>
      <c r="J767" s="30">
        <f t="shared" si="33"/>
        <v>1</v>
      </c>
      <c r="K767" s="30">
        <f t="shared" si="34"/>
        <v>1</v>
      </c>
      <c r="L767" s="26">
        <f t="shared" si="35"/>
        <v>1</v>
      </c>
      <c r="M767" s="26"/>
    </row>
    <row r="768" spans="1:13" ht="15" customHeight="1">
      <c r="A768" s="25" t="s">
        <v>7466</v>
      </c>
      <c r="B768" s="26" t="s">
        <v>5427</v>
      </c>
      <c r="C768" s="26" t="s">
        <v>7467</v>
      </c>
      <c r="D768" s="26" t="s">
        <v>7468</v>
      </c>
      <c r="E768" s="26" t="s">
        <v>5433</v>
      </c>
      <c r="F768" s="27">
        <v>5263663</v>
      </c>
      <c r="G768" s="27">
        <v>1</v>
      </c>
      <c r="H768" s="27">
        <v>0</v>
      </c>
      <c r="I768" s="27">
        <v>1</v>
      </c>
      <c r="J768" s="30">
        <f t="shared" si="33"/>
        <v>1</v>
      </c>
      <c r="K768" s="30">
        <f t="shared" si="34"/>
        <v>0</v>
      </c>
      <c r="L768" s="26">
        <f t="shared" si="35"/>
        <v>0</v>
      </c>
      <c r="M768" s="26"/>
    </row>
    <row r="769" spans="1:13" ht="15" customHeight="1">
      <c r="A769" s="25" t="s">
        <v>7469</v>
      </c>
      <c r="B769" s="26" t="s">
        <v>5423</v>
      </c>
      <c r="C769" s="26" t="s">
        <v>7470</v>
      </c>
      <c r="D769" s="26" t="s">
        <v>7471</v>
      </c>
      <c r="E769" s="26" t="s">
        <v>5439</v>
      </c>
      <c r="F769" s="27">
        <v>5201296</v>
      </c>
      <c r="G769" s="27">
        <v>1</v>
      </c>
      <c r="H769" s="27">
        <v>0</v>
      </c>
      <c r="I769" s="27">
        <v>1</v>
      </c>
      <c r="J769" s="30">
        <f t="shared" si="33"/>
        <v>1</v>
      </c>
      <c r="K769" s="30">
        <f t="shared" si="34"/>
        <v>0</v>
      </c>
      <c r="L769" s="26">
        <f t="shared" si="35"/>
        <v>0</v>
      </c>
      <c r="M769" s="26"/>
    </row>
    <row r="770" spans="1:13" ht="15" customHeight="1">
      <c r="A770" s="25" t="s">
        <v>7472</v>
      </c>
      <c r="B770" s="26" t="s">
        <v>5423</v>
      </c>
      <c r="C770" s="26" t="s">
        <v>7473</v>
      </c>
      <c r="D770" s="26" t="s">
        <v>7474</v>
      </c>
      <c r="E770" s="26" t="s">
        <v>5480</v>
      </c>
      <c r="F770" s="27">
        <v>5307305</v>
      </c>
      <c r="G770" s="27">
        <v>1</v>
      </c>
      <c r="H770" s="27">
        <v>1</v>
      </c>
      <c r="I770" s="27">
        <v>1</v>
      </c>
      <c r="J770" s="30">
        <f t="shared" ref="J770:J833" si="36">IF(G770&gt;0,1,0)</f>
        <v>1</v>
      </c>
      <c r="K770" s="30">
        <f t="shared" ref="K770:K833" si="37">IF(H770&gt;0,1,0)</f>
        <v>1</v>
      </c>
      <c r="L770" s="26">
        <f t="shared" ref="L770:L833" si="38">IF(G770&gt;0,IF(H770&gt;0,1,0),0)</f>
        <v>1</v>
      </c>
      <c r="M770" s="26"/>
    </row>
    <row r="771" spans="1:13" ht="15" customHeight="1">
      <c r="A771" s="25" t="s">
        <v>7475</v>
      </c>
      <c r="B771" s="26" t="s">
        <v>5423</v>
      </c>
      <c r="C771" s="26" t="s">
        <v>7476</v>
      </c>
      <c r="D771" s="26" t="s">
        <v>7477</v>
      </c>
      <c r="E771" s="26" t="s">
        <v>5475</v>
      </c>
      <c r="F771" s="27">
        <v>4289788</v>
      </c>
      <c r="G771" s="27">
        <v>1</v>
      </c>
      <c r="H771" s="27">
        <v>0</v>
      </c>
      <c r="I771" s="27">
        <v>1</v>
      </c>
      <c r="J771" s="30">
        <f t="shared" si="36"/>
        <v>1</v>
      </c>
      <c r="K771" s="30">
        <f t="shared" si="37"/>
        <v>0</v>
      </c>
      <c r="L771" s="26">
        <f t="shared" si="38"/>
        <v>0</v>
      </c>
      <c r="M771" s="26"/>
    </row>
    <row r="772" spans="1:13" ht="15" customHeight="1">
      <c r="A772" s="25" t="s">
        <v>7478</v>
      </c>
      <c r="B772" s="26" t="s">
        <v>5423</v>
      </c>
      <c r="C772" s="26" t="s">
        <v>7479</v>
      </c>
      <c r="D772" s="26" t="s">
        <v>7480</v>
      </c>
      <c r="E772" s="26" t="s">
        <v>5540</v>
      </c>
      <c r="F772" s="27">
        <v>5301006</v>
      </c>
      <c r="G772" s="27">
        <v>1</v>
      </c>
      <c r="H772" s="27">
        <v>0</v>
      </c>
      <c r="I772" s="27">
        <v>1</v>
      </c>
      <c r="J772" s="30">
        <f t="shared" si="36"/>
        <v>1</v>
      </c>
      <c r="K772" s="30">
        <f t="shared" si="37"/>
        <v>0</v>
      </c>
      <c r="L772" s="26">
        <f t="shared" si="38"/>
        <v>0</v>
      </c>
      <c r="M772" s="26"/>
    </row>
    <row r="773" spans="1:13" ht="15" customHeight="1">
      <c r="A773" s="25" t="s">
        <v>7481</v>
      </c>
      <c r="B773" s="26" t="s">
        <v>5427</v>
      </c>
      <c r="C773" s="26" t="s">
        <v>7482</v>
      </c>
      <c r="D773" s="26" t="s">
        <v>7483</v>
      </c>
      <c r="E773" s="26" t="s">
        <v>5522</v>
      </c>
      <c r="F773" s="27">
        <v>5308674</v>
      </c>
      <c r="G773" s="27">
        <v>0</v>
      </c>
      <c r="H773" s="27">
        <v>0</v>
      </c>
      <c r="I773" s="27">
        <v>0</v>
      </c>
      <c r="J773" s="30">
        <f t="shared" si="36"/>
        <v>0</v>
      </c>
      <c r="K773" s="30">
        <f t="shared" si="37"/>
        <v>0</v>
      </c>
      <c r="L773" s="26">
        <f t="shared" si="38"/>
        <v>0</v>
      </c>
      <c r="M773" s="26">
        <v>0</v>
      </c>
    </row>
    <row r="774" spans="1:13" ht="15" customHeight="1">
      <c r="A774" s="25" t="s">
        <v>7484</v>
      </c>
      <c r="B774" s="26" t="s">
        <v>5427</v>
      </c>
      <c r="C774" s="26" t="s">
        <v>7485</v>
      </c>
      <c r="D774" s="26" t="s">
        <v>7486</v>
      </c>
      <c r="E774" s="26" t="s">
        <v>5683</v>
      </c>
      <c r="F774" s="27">
        <v>5311033</v>
      </c>
      <c r="G774" s="27">
        <v>0</v>
      </c>
      <c r="H774" s="27">
        <v>1</v>
      </c>
      <c r="I774" s="27">
        <v>1</v>
      </c>
      <c r="J774" s="30">
        <f t="shared" si="36"/>
        <v>0</v>
      </c>
      <c r="K774" s="30">
        <f t="shared" si="37"/>
        <v>1</v>
      </c>
      <c r="L774" s="26">
        <f t="shared" si="38"/>
        <v>0</v>
      </c>
      <c r="M774" s="26"/>
    </row>
    <row r="775" spans="1:13" ht="15" customHeight="1">
      <c r="A775" s="25" t="s">
        <v>7487</v>
      </c>
      <c r="B775" s="26" t="s">
        <v>5423</v>
      </c>
      <c r="C775" s="26" t="s">
        <v>7488</v>
      </c>
      <c r="D775" s="26" t="s">
        <v>7489</v>
      </c>
      <c r="E775" s="26" t="s">
        <v>5475</v>
      </c>
      <c r="F775" s="27">
        <v>5303119</v>
      </c>
      <c r="G775" s="27">
        <v>1</v>
      </c>
      <c r="H775" s="27">
        <v>0</v>
      </c>
      <c r="I775" s="27">
        <v>1</v>
      </c>
      <c r="J775" s="30">
        <f t="shared" si="36"/>
        <v>1</v>
      </c>
      <c r="K775" s="30">
        <f t="shared" si="37"/>
        <v>0</v>
      </c>
      <c r="L775" s="26">
        <f t="shared" si="38"/>
        <v>0</v>
      </c>
      <c r="M775" s="26"/>
    </row>
    <row r="776" spans="1:13" ht="15" customHeight="1">
      <c r="A776" s="25" t="s">
        <v>7490</v>
      </c>
      <c r="B776" s="26" t="s">
        <v>5423</v>
      </c>
      <c r="C776" s="26" t="s">
        <v>7491</v>
      </c>
      <c r="D776" s="26" t="s">
        <v>7492</v>
      </c>
      <c r="E776" s="26" t="s">
        <v>5517</v>
      </c>
      <c r="F776" s="27">
        <v>5209901</v>
      </c>
      <c r="G776" s="27">
        <v>2</v>
      </c>
      <c r="H776" s="27">
        <v>1</v>
      </c>
      <c r="I776" s="27">
        <v>1</v>
      </c>
      <c r="J776" s="30">
        <f t="shared" si="36"/>
        <v>1</v>
      </c>
      <c r="K776" s="30">
        <f t="shared" si="37"/>
        <v>1</v>
      </c>
      <c r="L776" s="26">
        <f t="shared" si="38"/>
        <v>1</v>
      </c>
      <c r="M776" s="26" t="s">
        <v>5611</v>
      </c>
    </row>
    <row r="777" spans="1:13" ht="15" customHeight="1">
      <c r="A777" s="25" t="s">
        <v>7493</v>
      </c>
      <c r="B777" s="26" t="s">
        <v>5423</v>
      </c>
      <c r="C777" s="26" t="s">
        <v>7494</v>
      </c>
      <c r="D777" s="26" t="s">
        <v>7495</v>
      </c>
      <c r="E777" s="26" t="s">
        <v>5968</v>
      </c>
      <c r="F777" s="27">
        <v>3579219</v>
      </c>
      <c r="G777" s="27">
        <v>0</v>
      </c>
      <c r="H777" s="27">
        <v>1</v>
      </c>
      <c r="I777" s="27">
        <v>1</v>
      </c>
      <c r="J777" s="30">
        <f t="shared" si="36"/>
        <v>0</v>
      </c>
      <c r="K777" s="30">
        <f t="shared" si="37"/>
        <v>1</v>
      </c>
      <c r="L777" s="26">
        <f t="shared" si="38"/>
        <v>0</v>
      </c>
      <c r="M777" s="26"/>
    </row>
    <row r="778" spans="1:13" ht="15" customHeight="1">
      <c r="A778" s="25" t="s">
        <v>7496</v>
      </c>
      <c r="B778" s="26" t="s">
        <v>5423</v>
      </c>
      <c r="C778" s="26" t="s">
        <v>7497</v>
      </c>
      <c r="D778" s="26" t="s">
        <v>7498</v>
      </c>
      <c r="E778" s="26" t="s">
        <v>5488</v>
      </c>
      <c r="F778" s="27">
        <v>5312890</v>
      </c>
      <c r="G778" s="27">
        <v>0</v>
      </c>
      <c r="H778" s="27">
        <v>0</v>
      </c>
      <c r="I778" s="27">
        <v>0</v>
      </c>
      <c r="J778" s="30">
        <f t="shared" si="36"/>
        <v>0</v>
      </c>
      <c r="K778" s="30">
        <f t="shared" si="37"/>
        <v>0</v>
      </c>
      <c r="L778" s="26">
        <f t="shared" si="38"/>
        <v>0</v>
      </c>
      <c r="M778" s="26">
        <v>0</v>
      </c>
    </row>
    <row r="779" spans="1:13" ht="15" customHeight="1">
      <c r="A779" s="25" t="s">
        <v>7499</v>
      </c>
      <c r="B779" s="26" t="s">
        <v>5427</v>
      </c>
      <c r="C779" s="26" t="s">
        <v>7500</v>
      </c>
      <c r="D779" s="26" t="s">
        <v>7501</v>
      </c>
      <c r="E779" s="26" t="s">
        <v>5475</v>
      </c>
      <c r="F779" s="27">
        <v>5315261</v>
      </c>
      <c r="G779" s="27">
        <v>1</v>
      </c>
      <c r="H779" s="27">
        <v>1</v>
      </c>
      <c r="I779" s="27">
        <v>1</v>
      </c>
      <c r="J779" s="30">
        <f t="shared" si="36"/>
        <v>1</v>
      </c>
      <c r="K779" s="30">
        <f t="shared" si="37"/>
        <v>1</v>
      </c>
      <c r="L779" s="26">
        <f t="shared" si="38"/>
        <v>1</v>
      </c>
      <c r="M779" s="26"/>
    </row>
    <row r="780" spans="1:13" ht="15" customHeight="1">
      <c r="A780" s="25" t="s">
        <v>7502</v>
      </c>
      <c r="B780" s="26" t="s">
        <v>5423</v>
      </c>
      <c r="C780" s="26" t="s">
        <v>7503</v>
      </c>
      <c r="D780" s="26" t="s">
        <v>7504</v>
      </c>
      <c r="E780" s="26" t="s">
        <v>5426</v>
      </c>
      <c r="F780" s="27">
        <v>5313961</v>
      </c>
      <c r="G780" s="27">
        <v>1</v>
      </c>
      <c r="H780" s="27">
        <v>1</v>
      </c>
      <c r="I780" s="27">
        <v>1</v>
      </c>
      <c r="J780" s="30">
        <f t="shared" si="36"/>
        <v>1</v>
      </c>
      <c r="K780" s="30">
        <f t="shared" si="37"/>
        <v>1</v>
      </c>
      <c r="L780" s="26">
        <f t="shared" si="38"/>
        <v>1</v>
      </c>
      <c r="M780" s="26"/>
    </row>
    <row r="781" spans="1:13" ht="15" customHeight="1">
      <c r="A781" s="25" t="s">
        <v>7505</v>
      </c>
      <c r="B781" s="26" t="s">
        <v>5423</v>
      </c>
      <c r="C781" s="26" t="s">
        <v>7506</v>
      </c>
      <c r="D781" s="26" t="s">
        <v>7507</v>
      </c>
      <c r="E781" s="26" t="s">
        <v>5504</v>
      </c>
      <c r="F781" s="27">
        <v>5314032</v>
      </c>
      <c r="G781" s="27">
        <v>0</v>
      </c>
      <c r="H781" s="27">
        <v>1</v>
      </c>
      <c r="I781" s="27">
        <v>1</v>
      </c>
      <c r="J781" s="30">
        <f t="shared" si="36"/>
        <v>0</v>
      </c>
      <c r="K781" s="30">
        <f t="shared" si="37"/>
        <v>1</v>
      </c>
      <c r="L781" s="26">
        <f t="shared" si="38"/>
        <v>0</v>
      </c>
      <c r="M781" s="26"/>
    </row>
    <row r="782" spans="1:13" ht="15" customHeight="1">
      <c r="A782" s="25" t="s">
        <v>7508</v>
      </c>
      <c r="B782" s="26" t="s">
        <v>5427</v>
      </c>
      <c r="C782" s="26" t="s">
        <v>7509</v>
      </c>
      <c r="D782" s="26" t="s">
        <v>7510</v>
      </c>
      <c r="E782" s="26" t="s">
        <v>5439</v>
      </c>
      <c r="F782" s="27">
        <v>5199467</v>
      </c>
      <c r="G782" s="27">
        <v>1</v>
      </c>
      <c r="H782" s="27">
        <v>1</v>
      </c>
      <c r="I782" s="27">
        <v>1</v>
      </c>
      <c r="J782" s="30">
        <f t="shared" si="36"/>
        <v>1</v>
      </c>
      <c r="K782" s="30">
        <f t="shared" si="37"/>
        <v>1</v>
      </c>
      <c r="L782" s="26">
        <f t="shared" si="38"/>
        <v>1</v>
      </c>
      <c r="M782" s="26"/>
    </row>
    <row r="783" spans="1:13" ht="15" customHeight="1">
      <c r="A783" s="25" t="s">
        <v>7511</v>
      </c>
      <c r="B783" s="26" t="s">
        <v>5423</v>
      </c>
      <c r="C783" s="26" t="s">
        <v>7512</v>
      </c>
      <c r="D783" s="26" t="s">
        <v>7513</v>
      </c>
      <c r="E783" s="26" t="s">
        <v>5442</v>
      </c>
      <c r="F783" s="27">
        <v>5295245</v>
      </c>
      <c r="G783" s="27">
        <v>1</v>
      </c>
      <c r="H783" s="27">
        <v>0</v>
      </c>
      <c r="I783" s="27">
        <v>1</v>
      </c>
      <c r="J783" s="30">
        <f t="shared" si="36"/>
        <v>1</v>
      </c>
      <c r="K783" s="30">
        <f t="shared" si="37"/>
        <v>0</v>
      </c>
      <c r="L783" s="26">
        <f t="shared" si="38"/>
        <v>0</v>
      </c>
      <c r="M783" s="26"/>
    </row>
    <row r="784" spans="1:13" ht="15" customHeight="1">
      <c r="A784" s="25" t="s">
        <v>7514</v>
      </c>
      <c r="B784" s="26" t="s">
        <v>5427</v>
      </c>
      <c r="C784" s="26" t="s">
        <v>7515</v>
      </c>
      <c r="D784" s="26" t="s">
        <v>7516</v>
      </c>
      <c r="E784" s="26" t="s">
        <v>5463</v>
      </c>
      <c r="F784" s="27">
        <v>5299884</v>
      </c>
      <c r="G784" s="27">
        <v>1</v>
      </c>
      <c r="H784" s="27">
        <v>0</v>
      </c>
      <c r="I784" s="27">
        <v>1</v>
      </c>
      <c r="J784" s="30">
        <f t="shared" si="36"/>
        <v>1</v>
      </c>
      <c r="K784" s="30">
        <f t="shared" si="37"/>
        <v>0</v>
      </c>
      <c r="L784" s="26">
        <f t="shared" si="38"/>
        <v>0</v>
      </c>
      <c r="M784" s="26"/>
    </row>
    <row r="785" spans="1:13" ht="15" customHeight="1">
      <c r="A785" s="25" t="s">
        <v>7517</v>
      </c>
      <c r="B785" s="26" t="s">
        <v>5423</v>
      </c>
      <c r="C785" s="26" t="s">
        <v>7518</v>
      </c>
      <c r="D785" s="26" t="s">
        <v>7519</v>
      </c>
      <c r="E785" s="26" t="s">
        <v>5485</v>
      </c>
      <c r="F785" s="27">
        <v>5256220</v>
      </c>
      <c r="G785" s="27">
        <v>2</v>
      </c>
      <c r="H785" s="27">
        <v>1</v>
      </c>
      <c r="I785" s="27">
        <v>1</v>
      </c>
      <c r="J785" s="30">
        <f t="shared" si="36"/>
        <v>1</v>
      </c>
      <c r="K785" s="30">
        <f t="shared" si="37"/>
        <v>1</v>
      </c>
      <c r="L785" s="26">
        <f t="shared" si="38"/>
        <v>1</v>
      </c>
      <c r="M785" s="26" t="s">
        <v>5611</v>
      </c>
    </row>
    <row r="786" spans="1:13" ht="15" customHeight="1">
      <c r="A786" s="25" t="s">
        <v>7520</v>
      </c>
      <c r="B786" s="26" t="s">
        <v>5423</v>
      </c>
      <c r="C786" s="26" t="s">
        <v>7521</v>
      </c>
      <c r="D786" s="26" t="s">
        <v>7522</v>
      </c>
      <c r="E786" s="26" t="s">
        <v>5426</v>
      </c>
      <c r="F786" s="27">
        <v>5316298</v>
      </c>
      <c r="G786" s="27">
        <v>0</v>
      </c>
      <c r="H786" s="27">
        <v>0</v>
      </c>
      <c r="I786" s="27">
        <v>0</v>
      </c>
      <c r="J786" s="30">
        <f t="shared" si="36"/>
        <v>0</v>
      </c>
      <c r="K786" s="30">
        <f t="shared" si="37"/>
        <v>0</v>
      </c>
      <c r="L786" s="26">
        <f t="shared" si="38"/>
        <v>0</v>
      </c>
      <c r="M786" s="26" t="s">
        <v>5567</v>
      </c>
    </row>
    <row r="787" spans="1:13" ht="15" customHeight="1">
      <c r="A787" s="25" t="s">
        <v>7523</v>
      </c>
      <c r="B787" s="26" t="s">
        <v>5423</v>
      </c>
      <c r="C787" s="26" t="s">
        <v>7524</v>
      </c>
      <c r="D787" s="26" t="s">
        <v>7525</v>
      </c>
      <c r="E787" s="26" t="s">
        <v>5442</v>
      </c>
      <c r="F787" s="27">
        <v>5246070</v>
      </c>
      <c r="G787" s="27">
        <v>1</v>
      </c>
      <c r="H787" s="27">
        <v>0</v>
      </c>
      <c r="I787" s="27">
        <v>1</v>
      </c>
      <c r="J787" s="30">
        <f t="shared" si="36"/>
        <v>1</v>
      </c>
      <c r="K787" s="30">
        <f t="shared" si="37"/>
        <v>0</v>
      </c>
      <c r="L787" s="26">
        <f t="shared" si="38"/>
        <v>0</v>
      </c>
      <c r="M787" s="26"/>
    </row>
    <row r="788" spans="1:13" ht="15" customHeight="1">
      <c r="A788" s="25" t="s">
        <v>7526</v>
      </c>
      <c r="B788" s="26" t="s">
        <v>5423</v>
      </c>
      <c r="C788" s="26" t="s">
        <v>7527</v>
      </c>
      <c r="D788" s="26" t="s">
        <v>7528</v>
      </c>
      <c r="E788" s="26" t="s">
        <v>5550</v>
      </c>
      <c r="F788" s="27">
        <v>1985047</v>
      </c>
      <c r="G788" s="27">
        <v>1</v>
      </c>
      <c r="H788" s="27">
        <v>1</v>
      </c>
      <c r="I788" s="27">
        <v>1</v>
      </c>
      <c r="J788" s="30">
        <f t="shared" si="36"/>
        <v>1</v>
      </c>
      <c r="K788" s="30">
        <f t="shared" si="37"/>
        <v>1</v>
      </c>
      <c r="L788" s="26">
        <f t="shared" si="38"/>
        <v>1</v>
      </c>
      <c r="M788" s="26"/>
    </row>
    <row r="789" spans="1:13" ht="15" customHeight="1">
      <c r="A789" s="25" t="s">
        <v>7529</v>
      </c>
      <c r="B789" s="26" t="s">
        <v>5427</v>
      </c>
      <c r="C789" s="26" t="s">
        <v>7530</v>
      </c>
      <c r="D789" s="26" t="s">
        <v>7531</v>
      </c>
      <c r="E789" s="26" t="s">
        <v>5442</v>
      </c>
      <c r="F789" s="27">
        <v>5275612</v>
      </c>
      <c r="G789" s="27">
        <v>1</v>
      </c>
      <c r="H789" s="27">
        <v>0</v>
      </c>
      <c r="I789" s="27">
        <v>1</v>
      </c>
      <c r="J789" s="30">
        <f t="shared" si="36"/>
        <v>1</v>
      </c>
      <c r="K789" s="30">
        <f t="shared" si="37"/>
        <v>0</v>
      </c>
      <c r="L789" s="26">
        <f t="shared" si="38"/>
        <v>0</v>
      </c>
      <c r="M789" s="26"/>
    </row>
    <row r="790" spans="1:13" ht="15" customHeight="1">
      <c r="A790" s="25" t="s">
        <v>7532</v>
      </c>
      <c r="B790" s="26" t="s">
        <v>5427</v>
      </c>
      <c r="C790" s="26" t="s">
        <v>7533</v>
      </c>
      <c r="D790" s="26" t="s">
        <v>7534</v>
      </c>
      <c r="E790" s="26" t="s">
        <v>5654</v>
      </c>
      <c r="F790" s="27">
        <v>5318478</v>
      </c>
      <c r="G790" s="27">
        <v>0</v>
      </c>
      <c r="H790" s="27">
        <v>0</v>
      </c>
      <c r="I790" s="27">
        <v>0</v>
      </c>
      <c r="J790" s="30">
        <f t="shared" si="36"/>
        <v>0</v>
      </c>
      <c r="K790" s="30">
        <f t="shared" si="37"/>
        <v>0</v>
      </c>
      <c r="L790" s="26">
        <f t="shared" si="38"/>
        <v>0</v>
      </c>
      <c r="M790" s="26">
        <v>0</v>
      </c>
    </row>
    <row r="791" spans="1:13" ht="15" customHeight="1">
      <c r="A791" s="25" t="s">
        <v>7535</v>
      </c>
      <c r="B791" s="26" t="s">
        <v>5423</v>
      </c>
      <c r="C791" s="26" t="s">
        <v>7536</v>
      </c>
      <c r="D791" s="26" t="s">
        <v>7537</v>
      </c>
      <c r="E791" s="26" t="s">
        <v>5707</v>
      </c>
      <c r="F791" s="27">
        <v>5299283</v>
      </c>
      <c r="G791" s="27">
        <v>1</v>
      </c>
      <c r="H791" s="27">
        <v>0</v>
      </c>
      <c r="I791" s="27">
        <v>1</v>
      </c>
      <c r="J791" s="30">
        <f t="shared" si="36"/>
        <v>1</v>
      </c>
      <c r="K791" s="30">
        <f t="shared" si="37"/>
        <v>0</v>
      </c>
      <c r="L791" s="26">
        <f t="shared" si="38"/>
        <v>0</v>
      </c>
      <c r="M791" s="26"/>
    </row>
    <row r="792" spans="1:13" ht="15" customHeight="1">
      <c r="A792" s="25" t="s">
        <v>7538</v>
      </c>
      <c r="B792" s="26" t="s">
        <v>5423</v>
      </c>
      <c r="C792" s="26" t="s">
        <v>7539</v>
      </c>
      <c r="D792" s="26" t="s">
        <v>7540</v>
      </c>
      <c r="E792" s="26" t="s">
        <v>5430</v>
      </c>
      <c r="F792" s="27">
        <v>5318362</v>
      </c>
      <c r="G792" s="27">
        <v>1</v>
      </c>
      <c r="H792" s="27">
        <v>1</v>
      </c>
      <c r="I792" s="27">
        <v>1</v>
      </c>
      <c r="J792" s="30">
        <f t="shared" si="36"/>
        <v>1</v>
      </c>
      <c r="K792" s="30">
        <f t="shared" si="37"/>
        <v>1</v>
      </c>
      <c r="L792" s="26">
        <f t="shared" si="38"/>
        <v>1</v>
      </c>
      <c r="M792" s="26"/>
    </row>
    <row r="793" spans="1:13" ht="15" customHeight="1">
      <c r="A793" s="25" t="s">
        <v>7541</v>
      </c>
      <c r="B793" s="26" t="s">
        <v>5423</v>
      </c>
      <c r="C793" s="26" t="s">
        <v>7542</v>
      </c>
      <c r="D793" s="26" t="s">
        <v>7543</v>
      </c>
      <c r="E793" s="26" t="s">
        <v>5540</v>
      </c>
      <c r="F793" s="27">
        <v>2365618</v>
      </c>
      <c r="G793" s="27">
        <v>1</v>
      </c>
      <c r="H793" s="27">
        <v>1</v>
      </c>
      <c r="I793" s="27">
        <v>1</v>
      </c>
      <c r="J793" s="30">
        <f t="shared" si="36"/>
        <v>1</v>
      </c>
      <c r="K793" s="30">
        <f t="shared" si="37"/>
        <v>1</v>
      </c>
      <c r="L793" s="26">
        <f t="shared" si="38"/>
        <v>1</v>
      </c>
      <c r="M793" s="26"/>
    </row>
    <row r="794" spans="1:13" ht="15" customHeight="1">
      <c r="A794" s="25" t="s">
        <v>7544</v>
      </c>
      <c r="B794" s="26" t="s">
        <v>5423</v>
      </c>
      <c r="C794" s="26" t="s">
        <v>7545</v>
      </c>
      <c r="D794" s="26" t="s">
        <v>7546</v>
      </c>
      <c r="E794" s="26" t="s">
        <v>5763</v>
      </c>
      <c r="F794" s="27">
        <v>5125587</v>
      </c>
      <c r="G794" s="27">
        <v>1</v>
      </c>
      <c r="H794" s="27">
        <v>1</v>
      </c>
      <c r="I794" s="27">
        <v>1</v>
      </c>
      <c r="J794" s="30">
        <f t="shared" si="36"/>
        <v>1</v>
      </c>
      <c r="K794" s="30">
        <f t="shared" si="37"/>
        <v>1</v>
      </c>
      <c r="L794" s="26">
        <f t="shared" si="38"/>
        <v>1</v>
      </c>
      <c r="M794" s="26"/>
    </row>
    <row r="795" spans="1:13" ht="15" customHeight="1">
      <c r="A795" s="25" t="s">
        <v>7547</v>
      </c>
      <c r="B795" s="26" t="s">
        <v>5423</v>
      </c>
      <c r="C795" s="26" t="s">
        <v>7548</v>
      </c>
      <c r="D795" s="26" t="s">
        <v>7549</v>
      </c>
      <c r="E795" s="26" t="s">
        <v>5439</v>
      </c>
      <c r="F795" s="27">
        <v>3439726</v>
      </c>
      <c r="G795" s="27">
        <v>1</v>
      </c>
      <c r="H795" s="27">
        <v>0</v>
      </c>
      <c r="I795" s="27">
        <v>1</v>
      </c>
      <c r="J795" s="30">
        <f t="shared" si="36"/>
        <v>1</v>
      </c>
      <c r="K795" s="30">
        <f t="shared" si="37"/>
        <v>0</v>
      </c>
      <c r="L795" s="26">
        <f t="shared" si="38"/>
        <v>0</v>
      </c>
      <c r="M795" s="26"/>
    </row>
    <row r="796" spans="1:13" ht="15" customHeight="1">
      <c r="A796" s="25" t="s">
        <v>7550</v>
      </c>
      <c r="B796" s="26" t="s">
        <v>5423</v>
      </c>
      <c r="C796" s="26" t="s">
        <v>7551</v>
      </c>
      <c r="D796" s="26" t="s">
        <v>7552</v>
      </c>
      <c r="E796" s="26" t="s">
        <v>5535</v>
      </c>
      <c r="F796" s="27">
        <v>5161003</v>
      </c>
      <c r="G796" s="27">
        <v>0</v>
      </c>
      <c r="H796" s="27">
        <v>0</v>
      </c>
      <c r="I796" s="27">
        <v>0</v>
      </c>
      <c r="J796" s="30">
        <f t="shared" si="36"/>
        <v>0</v>
      </c>
      <c r="K796" s="30">
        <f t="shared" si="37"/>
        <v>0</v>
      </c>
      <c r="L796" s="26">
        <f t="shared" si="38"/>
        <v>0</v>
      </c>
      <c r="M796" s="26" t="s">
        <v>7553</v>
      </c>
    </row>
    <row r="797" spans="1:13" ht="15" customHeight="1">
      <c r="A797" s="25" t="s">
        <v>7554</v>
      </c>
      <c r="B797" s="26" t="s">
        <v>5423</v>
      </c>
      <c r="C797" s="26" t="s">
        <v>7555</v>
      </c>
      <c r="D797" s="26" t="s">
        <v>7556</v>
      </c>
      <c r="E797" s="26" t="s">
        <v>5968</v>
      </c>
      <c r="F797" s="27">
        <v>5302021</v>
      </c>
      <c r="G797" s="27">
        <v>0</v>
      </c>
      <c r="H797" s="27">
        <v>0</v>
      </c>
      <c r="I797" s="27">
        <v>0</v>
      </c>
      <c r="J797" s="30">
        <f t="shared" si="36"/>
        <v>0</v>
      </c>
      <c r="K797" s="30">
        <f t="shared" si="37"/>
        <v>0</v>
      </c>
      <c r="L797" s="26">
        <f t="shared" si="38"/>
        <v>0</v>
      </c>
      <c r="M797" s="26" t="s">
        <v>5567</v>
      </c>
    </row>
    <row r="798" spans="1:13" ht="15" customHeight="1">
      <c r="A798" s="25" t="s">
        <v>7557</v>
      </c>
      <c r="B798" s="26" t="s">
        <v>5427</v>
      </c>
      <c r="C798" s="26" t="s">
        <v>7558</v>
      </c>
      <c r="D798" s="26" t="s">
        <v>7559</v>
      </c>
      <c r="E798" s="26" t="s">
        <v>5610</v>
      </c>
      <c r="F798" s="27">
        <v>5323926</v>
      </c>
      <c r="G798" s="27">
        <v>1</v>
      </c>
      <c r="H798" s="27">
        <v>1</v>
      </c>
      <c r="I798" s="27">
        <v>1</v>
      </c>
      <c r="J798" s="30">
        <f t="shared" si="36"/>
        <v>1</v>
      </c>
      <c r="K798" s="30">
        <f t="shared" si="37"/>
        <v>1</v>
      </c>
      <c r="L798" s="26">
        <f t="shared" si="38"/>
        <v>1</v>
      </c>
      <c r="M798" s="26" t="s">
        <v>6735</v>
      </c>
    </row>
    <row r="799" spans="1:13" ht="15" customHeight="1">
      <c r="A799" s="25" t="s">
        <v>7560</v>
      </c>
      <c r="B799" s="26" t="s">
        <v>5427</v>
      </c>
      <c r="C799" s="26" t="s">
        <v>7561</v>
      </c>
      <c r="D799" s="26" t="s">
        <v>7562</v>
      </c>
      <c r="E799" s="26" t="s">
        <v>5514</v>
      </c>
      <c r="F799" s="27">
        <v>5328786</v>
      </c>
      <c r="G799" s="27">
        <v>0</v>
      </c>
      <c r="H799" s="27">
        <v>0</v>
      </c>
      <c r="I799" s="27">
        <v>0</v>
      </c>
      <c r="J799" s="30">
        <f t="shared" si="36"/>
        <v>0</v>
      </c>
      <c r="K799" s="30">
        <f t="shared" si="37"/>
        <v>0</v>
      </c>
      <c r="L799" s="26">
        <f t="shared" si="38"/>
        <v>0</v>
      </c>
      <c r="M799" s="26">
        <v>0</v>
      </c>
    </row>
    <row r="800" spans="1:13" ht="15" customHeight="1">
      <c r="A800" s="25" t="s">
        <v>7563</v>
      </c>
      <c r="B800" s="26" t="s">
        <v>5423</v>
      </c>
      <c r="C800" s="26" t="s">
        <v>7564</v>
      </c>
      <c r="D800" s="26" t="s">
        <v>7565</v>
      </c>
      <c r="E800" s="26" t="s">
        <v>5763</v>
      </c>
      <c r="F800" s="27">
        <v>5324728</v>
      </c>
      <c r="G800" s="27">
        <v>1</v>
      </c>
      <c r="H800" s="27">
        <v>1</v>
      </c>
      <c r="I800" s="27">
        <v>1</v>
      </c>
      <c r="J800" s="30">
        <f t="shared" si="36"/>
        <v>1</v>
      </c>
      <c r="K800" s="30">
        <f t="shared" si="37"/>
        <v>1</v>
      </c>
      <c r="L800" s="26">
        <f t="shared" si="38"/>
        <v>1</v>
      </c>
      <c r="M800" s="26"/>
    </row>
    <row r="801" spans="1:13" ht="15" customHeight="1">
      <c r="A801" s="25" t="s">
        <v>7566</v>
      </c>
      <c r="B801" s="26" t="s">
        <v>5423</v>
      </c>
      <c r="C801" s="26" t="s">
        <v>7567</v>
      </c>
      <c r="D801" s="26" t="s">
        <v>7568</v>
      </c>
      <c r="E801" s="26" t="s">
        <v>5485</v>
      </c>
      <c r="F801" s="27">
        <v>3427879</v>
      </c>
      <c r="G801" s="27">
        <v>2</v>
      </c>
      <c r="H801" s="27">
        <v>1</v>
      </c>
      <c r="I801" s="27">
        <v>1</v>
      </c>
      <c r="J801" s="30">
        <f t="shared" si="36"/>
        <v>1</v>
      </c>
      <c r="K801" s="30">
        <f t="shared" si="37"/>
        <v>1</v>
      </c>
      <c r="L801" s="26">
        <f t="shared" si="38"/>
        <v>1</v>
      </c>
      <c r="M801" s="26" t="s">
        <v>5611</v>
      </c>
    </row>
    <row r="802" spans="1:13" ht="15" customHeight="1">
      <c r="A802" s="25" t="s">
        <v>7569</v>
      </c>
      <c r="B802" s="26" t="s">
        <v>5423</v>
      </c>
      <c r="C802" s="26" t="s">
        <v>7570</v>
      </c>
      <c r="D802" s="26" t="s">
        <v>7571</v>
      </c>
      <c r="E802" s="26" t="s">
        <v>5529</v>
      </c>
      <c r="F802" s="27">
        <v>5324960</v>
      </c>
      <c r="G802" s="27">
        <v>1</v>
      </c>
      <c r="H802" s="27">
        <v>0</v>
      </c>
      <c r="I802" s="27">
        <v>1</v>
      </c>
      <c r="J802" s="30">
        <f t="shared" si="36"/>
        <v>1</v>
      </c>
      <c r="K802" s="30">
        <f t="shared" si="37"/>
        <v>0</v>
      </c>
      <c r="L802" s="26">
        <f t="shared" si="38"/>
        <v>0</v>
      </c>
      <c r="M802" s="26"/>
    </row>
    <row r="803" spans="1:13" ht="15" customHeight="1">
      <c r="A803" s="25" t="s">
        <v>7572</v>
      </c>
      <c r="B803" s="26" t="s">
        <v>5423</v>
      </c>
      <c r="C803" s="26" t="s">
        <v>7573</v>
      </c>
      <c r="D803" s="26" t="s">
        <v>7574</v>
      </c>
      <c r="E803" s="26" t="s">
        <v>5504</v>
      </c>
      <c r="F803" s="27">
        <v>5019045</v>
      </c>
      <c r="G803" s="27">
        <v>0</v>
      </c>
      <c r="H803" s="27">
        <v>0</v>
      </c>
      <c r="I803" s="27">
        <v>0</v>
      </c>
      <c r="J803" s="30">
        <f t="shared" si="36"/>
        <v>0</v>
      </c>
      <c r="K803" s="30">
        <f t="shared" si="37"/>
        <v>0</v>
      </c>
      <c r="L803" s="26">
        <f t="shared" si="38"/>
        <v>0</v>
      </c>
      <c r="M803" s="26">
        <v>0</v>
      </c>
    </row>
    <row r="804" spans="1:13" ht="15" customHeight="1">
      <c r="A804" s="25" t="s">
        <v>7575</v>
      </c>
      <c r="B804" s="26" t="s">
        <v>5423</v>
      </c>
      <c r="C804" s="26" t="s">
        <v>7576</v>
      </c>
      <c r="D804" s="26" t="s">
        <v>7577</v>
      </c>
      <c r="E804" s="26" t="s">
        <v>5475</v>
      </c>
      <c r="F804" s="27">
        <v>5324813</v>
      </c>
      <c r="G804" s="27">
        <v>0</v>
      </c>
      <c r="H804" s="27">
        <v>0</v>
      </c>
      <c r="I804" s="27">
        <v>0</v>
      </c>
      <c r="J804" s="30">
        <f t="shared" si="36"/>
        <v>0</v>
      </c>
      <c r="K804" s="30">
        <f t="shared" si="37"/>
        <v>0</v>
      </c>
      <c r="L804" s="26">
        <f t="shared" si="38"/>
        <v>0</v>
      </c>
      <c r="M804" s="26">
        <v>0</v>
      </c>
    </row>
    <row r="805" spans="1:13" ht="15" customHeight="1">
      <c r="A805" s="25" t="s">
        <v>7578</v>
      </c>
      <c r="B805" s="26" t="s">
        <v>5423</v>
      </c>
      <c r="C805" s="26" t="s">
        <v>7579</v>
      </c>
      <c r="D805" s="26" t="s">
        <v>7580</v>
      </c>
      <c r="E805" s="26" t="s">
        <v>5529</v>
      </c>
      <c r="F805" s="27">
        <v>5325953</v>
      </c>
      <c r="G805" s="27">
        <v>0</v>
      </c>
      <c r="H805" s="27">
        <v>0</v>
      </c>
      <c r="I805" s="27">
        <v>0</v>
      </c>
      <c r="J805" s="30">
        <f t="shared" si="36"/>
        <v>0</v>
      </c>
      <c r="K805" s="30">
        <f t="shared" si="37"/>
        <v>0</v>
      </c>
      <c r="L805" s="26">
        <f t="shared" si="38"/>
        <v>0</v>
      </c>
      <c r="M805" s="26">
        <v>0</v>
      </c>
    </row>
    <row r="806" spans="1:13" ht="15" customHeight="1">
      <c r="A806" s="25" t="s">
        <v>7581</v>
      </c>
      <c r="B806" s="26" t="s">
        <v>5427</v>
      </c>
      <c r="C806" s="26" t="s">
        <v>7582</v>
      </c>
      <c r="D806" s="26" t="s">
        <v>7583</v>
      </c>
      <c r="E806" s="26" t="s">
        <v>5433</v>
      </c>
      <c r="F806" s="27">
        <v>5298009</v>
      </c>
      <c r="G806" s="27">
        <v>2</v>
      </c>
      <c r="H806" s="27">
        <v>1</v>
      </c>
      <c r="I806" s="27">
        <v>1</v>
      </c>
      <c r="J806" s="30">
        <f t="shared" si="36"/>
        <v>1</v>
      </c>
      <c r="K806" s="30">
        <f t="shared" si="37"/>
        <v>1</v>
      </c>
      <c r="L806" s="26">
        <f t="shared" si="38"/>
        <v>1</v>
      </c>
      <c r="M806" s="26" t="s">
        <v>5611</v>
      </c>
    </row>
    <row r="807" spans="1:13" ht="15" customHeight="1">
      <c r="A807" s="25" t="s">
        <v>7584</v>
      </c>
      <c r="B807" s="26" t="s">
        <v>5427</v>
      </c>
      <c r="C807" s="26" t="s">
        <v>7585</v>
      </c>
      <c r="D807" s="26" t="s">
        <v>7586</v>
      </c>
      <c r="E807" s="26" t="s">
        <v>5586</v>
      </c>
      <c r="F807" s="27">
        <v>5327867</v>
      </c>
      <c r="G807" s="27">
        <v>1</v>
      </c>
      <c r="H807" s="27">
        <v>0</v>
      </c>
      <c r="I807" s="27">
        <v>1</v>
      </c>
      <c r="J807" s="30">
        <f t="shared" si="36"/>
        <v>1</v>
      </c>
      <c r="K807" s="30">
        <f t="shared" si="37"/>
        <v>0</v>
      </c>
      <c r="L807" s="26">
        <f t="shared" si="38"/>
        <v>0</v>
      </c>
      <c r="M807" s="26"/>
    </row>
    <row r="808" spans="1:13" ht="15" customHeight="1">
      <c r="A808" s="25" t="s">
        <v>7587</v>
      </c>
      <c r="B808" s="26" t="s">
        <v>5423</v>
      </c>
      <c r="C808" s="26" t="s">
        <v>7588</v>
      </c>
      <c r="D808" s="26" t="s">
        <v>7589</v>
      </c>
      <c r="E808" s="26" t="s">
        <v>5452</v>
      </c>
      <c r="F808" s="27">
        <v>5327647</v>
      </c>
      <c r="G808" s="27">
        <v>1</v>
      </c>
      <c r="H808" s="27">
        <v>1</v>
      </c>
      <c r="I808" s="27">
        <v>1</v>
      </c>
      <c r="J808" s="30">
        <f t="shared" si="36"/>
        <v>1</v>
      </c>
      <c r="K808" s="30">
        <f t="shared" si="37"/>
        <v>1</v>
      </c>
      <c r="L808" s="26">
        <f t="shared" si="38"/>
        <v>1</v>
      </c>
      <c r="M808" s="26"/>
    </row>
    <row r="809" spans="1:13" ht="15" customHeight="1">
      <c r="A809" s="25" t="s">
        <v>7590</v>
      </c>
      <c r="B809" s="26" t="s">
        <v>5423</v>
      </c>
      <c r="C809" s="26" t="s">
        <v>7591</v>
      </c>
      <c r="D809" s="26" t="s">
        <v>7592</v>
      </c>
      <c r="E809" s="26" t="s">
        <v>5447</v>
      </c>
      <c r="F809" s="27">
        <v>5327963</v>
      </c>
      <c r="G809" s="27">
        <v>1</v>
      </c>
      <c r="H809" s="27">
        <v>1</v>
      </c>
      <c r="I809" s="27">
        <v>1</v>
      </c>
      <c r="J809" s="30">
        <f t="shared" si="36"/>
        <v>1</v>
      </c>
      <c r="K809" s="30">
        <f t="shared" si="37"/>
        <v>1</v>
      </c>
      <c r="L809" s="26">
        <f t="shared" si="38"/>
        <v>1</v>
      </c>
      <c r="M809" s="26"/>
    </row>
    <row r="810" spans="1:13" ht="15" customHeight="1">
      <c r="A810" s="25" t="s">
        <v>7593</v>
      </c>
      <c r="B810" s="26" t="s">
        <v>5423</v>
      </c>
      <c r="C810" s="26" t="s">
        <v>7594</v>
      </c>
      <c r="D810" s="26" t="s">
        <v>7595</v>
      </c>
      <c r="E810" s="26" t="s">
        <v>5540</v>
      </c>
      <c r="F810" s="27">
        <v>5322913</v>
      </c>
      <c r="G810" s="27">
        <v>1</v>
      </c>
      <c r="H810" s="27">
        <v>1</v>
      </c>
      <c r="I810" s="27">
        <v>1</v>
      </c>
      <c r="J810" s="30">
        <f t="shared" si="36"/>
        <v>1</v>
      </c>
      <c r="K810" s="30">
        <f t="shared" si="37"/>
        <v>1</v>
      </c>
      <c r="L810" s="26">
        <f t="shared" si="38"/>
        <v>1</v>
      </c>
      <c r="M810" s="26"/>
    </row>
    <row r="811" spans="1:13" ht="15" customHeight="1">
      <c r="A811" s="25" t="s">
        <v>7596</v>
      </c>
      <c r="B811" s="26" t="s">
        <v>5427</v>
      </c>
      <c r="C811" s="26" t="s">
        <v>7597</v>
      </c>
      <c r="D811" s="26" t="s">
        <v>7598</v>
      </c>
      <c r="E811" s="26" t="s">
        <v>5455</v>
      </c>
      <c r="F811" s="27">
        <v>5332251</v>
      </c>
      <c r="G811" s="27">
        <v>1</v>
      </c>
      <c r="H811" s="27">
        <v>1</v>
      </c>
      <c r="I811" s="27">
        <v>1</v>
      </c>
      <c r="J811" s="30">
        <f t="shared" si="36"/>
        <v>1</v>
      </c>
      <c r="K811" s="30">
        <f t="shared" si="37"/>
        <v>1</v>
      </c>
      <c r="L811" s="26">
        <f t="shared" si="38"/>
        <v>1</v>
      </c>
      <c r="M811" s="26"/>
    </row>
    <row r="812" spans="1:13" ht="15" customHeight="1">
      <c r="A812" s="25">
        <v>1499687</v>
      </c>
      <c r="B812" s="26" t="s">
        <v>5423</v>
      </c>
      <c r="C812" s="26" t="s">
        <v>7599</v>
      </c>
      <c r="D812" s="26" t="s">
        <v>7600</v>
      </c>
      <c r="E812" s="26" t="s">
        <v>5447</v>
      </c>
      <c r="F812" s="27">
        <v>3700747</v>
      </c>
      <c r="G812" s="27">
        <v>1</v>
      </c>
      <c r="H812" s="27">
        <v>1</v>
      </c>
      <c r="I812" s="27">
        <v>1</v>
      </c>
      <c r="J812" s="30">
        <f t="shared" si="36"/>
        <v>1</v>
      </c>
      <c r="K812" s="30">
        <f t="shared" si="37"/>
        <v>1</v>
      </c>
      <c r="L812" s="26">
        <f t="shared" si="38"/>
        <v>1</v>
      </c>
      <c r="M812" s="26"/>
    </row>
    <row r="813" spans="1:13" ht="15" customHeight="1">
      <c r="A813" s="25" t="s">
        <v>7601</v>
      </c>
      <c r="B813" s="26" t="s">
        <v>5423</v>
      </c>
      <c r="C813" s="26" t="s">
        <v>7602</v>
      </c>
      <c r="D813" s="26" t="s">
        <v>7603</v>
      </c>
      <c r="E813" s="26" t="s">
        <v>5426</v>
      </c>
      <c r="F813" s="27">
        <v>5304213</v>
      </c>
      <c r="G813" s="27">
        <v>1</v>
      </c>
      <c r="H813" s="27">
        <v>1</v>
      </c>
      <c r="I813" s="27">
        <v>1</v>
      </c>
      <c r="J813" s="30">
        <f t="shared" si="36"/>
        <v>1</v>
      </c>
      <c r="K813" s="30">
        <f t="shared" si="37"/>
        <v>1</v>
      </c>
      <c r="L813" s="26">
        <f t="shared" si="38"/>
        <v>1</v>
      </c>
      <c r="M813" s="26"/>
    </row>
    <row r="814" spans="1:13" ht="15" customHeight="1">
      <c r="A814" s="25" t="s">
        <v>7604</v>
      </c>
      <c r="B814" s="26" t="s">
        <v>5427</v>
      </c>
      <c r="C814" s="26" t="s">
        <v>7605</v>
      </c>
      <c r="D814" s="26" t="s">
        <v>7606</v>
      </c>
      <c r="E814" s="26" t="s">
        <v>5535</v>
      </c>
      <c r="F814" s="27">
        <v>5312989</v>
      </c>
      <c r="G814" s="27">
        <v>1</v>
      </c>
      <c r="H814" s="27">
        <v>1</v>
      </c>
      <c r="I814" s="27">
        <v>1</v>
      </c>
      <c r="J814" s="30">
        <f t="shared" si="36"/>
        <v>1</v>
      </c>
      <c r="K814" s="30">
        <f t="shared" si="37"/>
        <v>1</v>
      </c>
      <c r="L814" s="26">
        <f t="shared" si="38"/>
        <v>1</v>
      </c>
      <c r="M814" s="26"/>
    </row>
    <row r="815" spans="1:13" ht="15" customHeight="1">
      <c r="A815" s="25" t="s">
        <v>7607</v>
      </c>
      <c r="B815" s="26" t="s">
        <v>5423</v>
      </c>
      <c r="C815" s="26" t="s">
        <v>7608</v>
      </c>
      <c r="D815" s="26" t="s">
        <v>7609</v>
      </c>
      <c r="E815" s="26" t="s">
        <v>5540</v>
      </c>
      <c r="F815" s="27">
        <v>5332390</v>
      </c>
      <c r="G815" s="27">
        <v>1</v>
      </c>
      <c r="H815" s="27">
        <v>1</v>
      </c>
      <c r="I815" s="27">
        <v>1</v>
      </c>
      <c r="J815" s="30">
        <f t="shared" si="36"/>
        <v>1</v>
      </c>
      <c r="K815" s="30">
        <f t="shared" si="37"/>
        <v>1</v>
      </c>
      <c r="L815" s="26">
        <f t="shared" si="38"/>
        <v>1</v>
      </c>
      <c r="M815" s="26"/>
    </row>
    <row r="816" spans="1:13" ht="15" customHeight="1">
      <c r="A816" s="25" t="s">
        <v>7610</v>
      </c>
      <c r="B816" s="26" t="s">
        <v>5423</v>
      </c>
      <c r="C816" s="26" t="s">
        <v>7611</v>
      </c>
      <c r="D816" s="26" t="s">
        <v>7612</v>
      </c>
      <c r="E816" s="26" t="s">
        <v>5517</v>
      </c>
      <c r="F816" s="27">
        <v>5331465</v>
      </c>
      <c r="G816" s="27">
        <v>1</v>
      </c>
      <c r="H816" s="27">
        <v>1</v>
      </c>
      <c r="I816" s="27">
        <v>1</v>
      </c>
      <c r="J816" s="30">
        <f t="shared" si="36"/>
        <v>1</v>
      </c>
      <c r="K816" s="30">
        <f t="shared" si="37"/>
        <v>1</v>
      </c>
      <c r="L816" s="26">
        <f t="shared" si="38"/>
        <v>1</v>
      </c>
      <c r="M816" s="26"/>
    </row>
    <row r="817" spans="1:13" ht="15" customHeight="1">
      <c r="A817" s="25" t="s">
        <v>7613</v>
      </c>
      <c r="B817" s="26" t="s">
        <v>5423</v>
      </c>
      <c r="C817" s="26" t="s">
        <v>7614</v>
      </c>
      <c r="D817" s="26" t="s">
        <v>7615</v>
      </c>
      <c r="E817" s="26" t="s">
        <v>5488</v>
      </c>
      <c r="F817" s="27">
        <v>5317679</v>
      </c>
      <c r="G817" s="27">
        <v>1</v>
      </c>
      <c r="H817" s="27">
        <v>1</v>
      </c>
      <c r="I817" s="27">
        <v>1</v>
      </c>
      <c r="J817" s="30">
        <f t="shared" si="36"/>
        <v>1</v>
      </c>
      <c r="K817" s="30">
        <f t="shared" si="37"/>
        <v>1</v>
      </c>
      <c r="L817" s="26">
        <f t="shared" si="38"/>
        <v>1</v>
      </c>
      <c r="M817" s="26"/>
    </row>
    <row r="818" spans="1:13" ht="15" customHeight="1">
      <c r="A818" s="25" t="s">
        <v>7616</v>
      </c>
      <c r="B818" s="26" t="s">
        <v>5427</v>
      </c>
      <c r="C818" s="26" t="s">
        <v>7617</v>
      </c>
      <c r="D818" s="26" t="s">
        <v>7618</v>
      </c>
      <c r="E818" s="26" t="s">
        <v>5447</v>
      </c>
      <c r="F818" s="27">
        <v>5331450</v>
      </c>
      <c r="G818" s="27">
        <v>0</v>
      </c>
      <c r="H818" s="27">
        <v>0</v>
      </c>
      <c r="I818" s="27">
        <v>0</v>
      </c>
      <c r="J818" s="30">
        <f t="shared" si="36"/>
        <v>0</v>
      </c>
      <c r="K818" s="30">
        <f t="shared" si="37"/>
        <v>0</v>
      </c>
      <c r="L818" s="26">
        <f t="shared" si="38"/>
        <v>0</v>
      </c>
      <c r="M818" s="26">
        <v>0</v>
      </c>
    </row>
    <row r="819" spans="1:13" ht="15" customHeight="1">
      <c r="A819" s="25" t="s">
        <v>7619</v>
      </c>
      <c r="B819" s="26" t="s">
        <v>5423</v>
      </c>
      <c r="C819" s="26" t="s">
        <v>7620</v>
      </c>
      <c r="D819" s="26" t="s">
        <v>7621</v>
      </c>
      <c r="E819" s="26" t="s">
        <v>5430</v>
      </c>
      <c r="F819" s="27">
        <v>5333243</v>
      </c>
      <c r="G819" s="27">
        <v>1</v>
      </c>
      <c r="H819" s="27">
        <v>0</v>
      </c>
      <c r="I819" s="27">
        <v>1</v>
      </c>
      <c r="J819" s="30">
        <f t="shared" si="36"/>
        <v>1</v>
      </c>
      <c r="K819" s="30">
        <f t="shared" si="37"/>
        <v>0</v>
      </c>
      <c r="L819" s="26">
        <f t="shared" si="38"/>
        <v>0</v>
      </c>
      <c r="M819" s="26"/>
    </row>
    <row r="820" spans="1:13" ht="15" customHeight="1">
      <c r="A820" s="25" t="s">
        <v>7622</v>
      </c>
      <c r="B820" s="26" t="s">
        <v>5423</v>
      </c>
      <c r="C820" s="26" t="s">
        <v>7623</v>
      </c>
      <c r="D820" s="26" t="s">
        <v>7624</v>
      </c>
      <c r="E820" s="26" t="s">
        <v>5683</v>
      </c>
      <c r="F820" s="27">
        <v>5293114</v>
      </c>
      <c r="G820" s="27">
        <v>1</v>
      </c>
      <c r="H820" s="27">
        <v>0</v>
      </c>
      <c r="I820" s="27">
        <v>1</v>
      </c>
      <c r="J820" s="30">
        <f t="shared" si="36"/>
        <v>1</v>
      </c>
      <c r="K820" s="30">
        <f t="shared" si="37"/>
        <v>0</v>
      </c>
      <c r="L820" s="26">
        <f t="shared" si="38"/>
        <v>0</v>
      </c>
      <c r="M820" s="26"/>
    </row>
    <row r="821" spans="1:13" ht="15" customHeight="1">
      <c r="A821" s="25" t="s">
        <v>7625</v>
      </c>
      <c r="B821" s="26" t="s">
        <v>5427</v>
      </c>
      <c r="C821" s="26" t="s">
        <v>7626</v>
      </c>
      <c r="D821" s="26" t="s">
        <v>7627</v>
      </c>
      <c r="E821" s="26" t="s">
        <v>5488</v>
      </c>
      <c r="F821" s="27">
        <v>5338638</v>
      </c>
      <c r="G821" s="27">
        <v>0</v>
      </c>
      <c r="H821" s="27">
        <v>0</v>
      </c>
      <c r="I821" s="27">
        <v>0</v>
      </c>
      <c r="J821" s="30">
        <f t="shared" si="36"/>
        <v>0</v>
      </c>
      <c r="K821" s="30">
        <f t="shared" si="37"/>
        <v>0</v>
      </c>
      <c r="L821" s="26">
        <f t="shared" si="38"/>
        <v>0</v>
      </c>
      <c r="M821" s="26">
        <v>0</v>
      </c>
    </row>
    <row r="822" spans="1:13" ht="15" customHeight="1">
      <c r="A822" s="25" t="s">
        <v>7628</v>
      </c>
      <c r="B822" s="26" t="s">
        <v>5427</v>
      </c>
      <c r="C822" s="26" t="s">
        <v>7629</v>
      </c>
      <c r="D822" s="26" t="s">
        <v>7630</v>
      </c>
      <c r="E822" s="26" t="s">
        <v>5475</v>
      </c>
      <c r="F822" s="27">
        <v>5317598</v>
      </c>
      <c r="G822" s="27">
        <v>1</v>
      </c>
      <c r="H822" s="27">
        <v>1</v>
      </c>
      <c r="I822" s="27">
        <v>1</v>
      </c>
      <c r="J822" s="30">
        <f t="shared" si="36"/>
        <v>1</v>
      </c>
      <c r="K822" s="30">
        <f t="shared" si="37"/>
        <v>1</v>
      </c>
      <c r="L822" s="26">
        <f t="shared" si="38"/>
        <v>1</v>
      </c>
      <c r="M822" s="26"/>
    </row>
    <row r="823" spans="1:13" ht="15" customHeight="1">
      <c r="A823" s="25" t="s">
        <v>7631</v>
      </c>
      <c r="B823" s="26" t="s">
        <v>5427</v>
      </c>
      <c r="C823" s="26" t="s">
        <v>7632</v>
      </c>
      <c r="D823" s="26" t="s">
        <v>7633</v>
      </c>
      <c r="E823" s="26" t="s">
        <v>5485</v>
      </c>
      <c r="F823" s="27">
        <v>5335125</v>
      </c>
      <c r="G823" s="27">
        <v>1</v>
      </c>
      <c r="H823" s="27">
        <v>0</v>
      </c>
      <c r="I823" s="27">
        <v>1</v>
      </c>
      <c r="J823" s="30">
        <f t="shared" si="36"/>
        <v>1</v>
      </c>
      <c r="K823" s="30">
        <f t="shared" si="37"/>
        <v>0</v>
      </c>
      <c r="L823" s="26">
        <f t="shared" si="38"/>
        <v>0</v>
      </c>
      <c r="M823" s="26"/>
    </row>
    <row r="824" spans="1:13" ht="15" customHeight="1">
      <c r="A824" s="25" t="s">
        <v>7634</v>
      </c>
      <c r="B824" s="26" t="s">
        <v>5423</v>
      </c>
      <c r="C824" s="26" t="s">
        <v>7635</v>
      </c>
      <c r="D824" s="26" t="s">
        <v>7636</v>
      </c>
      <c r="E824" s="26" t="s">
        <v>5463</v>
      </c>
      <c r="F824" s="27">
        <v>5334982</v>
      </c>
      <c r="G824" s="27">
        <v>1</v>
      </c>
      <c r="H824" s="27">
        <v>0</v>
      </c>
      <c r="I824" s="27">
        <v>1</v>
      </c>
      <c r="J824" s="30">
        <f t="shared" si="36"/>
        <v>1</v>
      </c>
      <c r="K824" s="30">
        <f t="shared" si="37"/>
        <v>0</v>
      </c>
      <c r="L824" s="26">
        <f t="shared" si="38"/>
        <v>0</v>
      </c>
      <c r="M824" s="26"/>
    </row>
    <row r="825" spans="1:13" ht="15" customHeight="1">
      <c r="A825" s="25" t="s">
        <v>7637</v>
      </c>
      <c r="B825" s="26" t="s">
        <v>5423</v>
      </c>
      <c r="C825" s="26" t="s">
        <v>7638</v>
      </c>
      <c r="D825" s="26" t="s">
        <v>7639</v>
      </c>
      <c r="E825" s="26" t="s">
        <v>5586</v>
      </c>
      <c r="F825" s="27">
        <v>3564836</v>
      </c>
      <c r="G825" s="27">
        <v>1</v>
      </c>
      <c r="H825" s="27">
        <v>1</v>
      </c>
      <c r="I825" s="27">
        <v>1</v>
      </c>
      <c r="J825" s="30">
        <f t="shared" si="36"/>
        <v>1</v>
      </c>
      <c r="K825" s="30">
        <f t="shared" si="37"/>
        <v>1</v>
      </c>
      <c r="L825" s="26">
        <f t="shared" si="38"/>
        <v>1</v>
      </c>
      <c r="M825" s="26"/>
    </row>
    <row r="826" spans="1:13" ht="15" customHeight="1">
      <c r="A826" s="25" t="s">
        <v>7640</v>
      </c>
      <c r="B826" s="26" t="s">
        <v>5427</v>
      </c>
      <c r="C826" s="26" t="s">
        <v>7641</v>
      </c>
      <c r="D826" s="26" t="s">
        <v>7642</v>
      </c>
      <c r="E826" s="26" t="s">
        <v>5430</v>
      </c>
      <c r="F826" s="27">
        <v>5338562</v>
      </c>
      <c r="G826" s="27">
        <v>1</v>
      </c>
      <c r="H826" s="27">
        <v>1</v>
      </c>
      <c r="I826" s="27">
        <v>1</v>
      </c>
      <c r="J826" s="30">
        <f t="shared" si="36"/>
        <v>1</v>
      </c>
      <c r="K826" s="30">
        <f t="shared" si="37"/>
        <v>1</v>
      </c>
      <c r="L826" s="26">
        <f t="shared" si="38"/>
        <v>1</v>
      </c>
      <c r="M826" s="26"/>
    </row>
    <row r="827" spans="1:13" ht="15" customHeight="1">
      <c r="A827" s="25" t="s">
        <v>7643</v>
      </c>
      <c r="B827" s="26" t="s">
        <v>5427</v>
      </c>
      <c r="C827" s="26" t="s">
        <v>7644</v>
      </c>
      <c r="D827" s="26" t="s">
        <v>7645</v>
      </c>
      <c r="E827" s="26" t="s">
        <v>5430</v>
      </c>
      <c r="F827" s="27">
        <v>5319520</v>
      </c>
      <c r="G827" s="27">
        <v>0</v>
      </c>
      <c r="H827" s="27">
        <v>1</v>
      </c>
      <c r="I827" s="27">
        <v>1</v>
      </c>
      <c r="J827" s="30">
        <f t="shared" si="36"/>
        <v>0</v>
      </c>
      <c r="K827" s="30">
        <f t="shared" si="37"/>
        <v>1</v>
      </c>
      <c r="L827" s="26">
        <f t="shared" si="38"/>
        <v>0</v>
      </c>
      <c r="M827" s="26"/>
    </row>
    <row r="828" spans="1:13" ht="15" customHeight="1">
      <c r="A828" s="25" t="s">
        <v>7646</v>
      </c>
      <c r="B828" s="26" t="s">
        <v>5427</v>
      </c>
      <c r="C828" s="26" t="s">
        <v>7647</v>
      </c>
      <c r="D828" s="26" t="s">
        <v>7648</v>
      </c>
      <c r="E828" s="26" t="s">
        <v>5455</v>
      </c>
      <c r="F828" s="27">
        <v>5334180</v>
      </c>
      <c r="G828" s="27">
        <v>0</v>
      </c>
      <c r="H828" s="27">
        <v>1</v>
      </c>
      <c r="I828" s="27">
        <v>1</v>
      </c>
      <c r="J828" s="30">
        <f t="shared" si="36"/>
        <v>0</v>
      </c>
      <c r="K828" s="30">
        <f t="shared" si="37"/>
        <v>1</v>
      </c>
      <c r="L828" s="26">
        <f t="shared" si="38"/>
        <v>0</v>
      </c>
      <c r="M828" s="26"/>
    </row>
    <row r="829" spans="1:13" ht="15" customHeight="1">
      <c r="A829" s="25" t="s">
        <v>7649</v>
      </c>
      <c r="B829" s="26" t="s">
        <v>5423</v>
      </c>
      <c r="C829" s="26" t="s">
        <v>7650</v>
      </c>
      <c r="D829" s="26" t="s">
        <v>7651</v>
      </c>
      <c r="E829" s="26" t="s">
        <v>5468</v>
      </c>
      <c r="F829" s="27">
        <v>5339621</v>
      </c>
      <c r="G829" s="27">
        <v>0</v>
      </c>
      <c r="H829" s="27">
        <v>0</v>
      </c>
      <c r="I829" s="27">
        <v>0</v>
      </c>
      <c r="J829" s="30">
        <f t="shared" si="36"/>
        <v>0</v>
      </c>
      <c r="K829" s="30">
        <f t="shared" si="37"/>
        <v>0</v>
      </c>
      <c r="L829" s="26">
        <f t="shared" si="38"/>
        <v>0</v>
      </c>
      <c r="M829" s="26" t="s">
        <v>7652</v>
      </c>
    </row>
    <row r="830" spans="1:13" ht="15" customHeight="1">
      <c r="A830" s="25" t="s">
        <v>7653</v>
      </c>
      <c r="B830" s="26" t="s">
        <v>5423</v>
      </c>
      <c r="C830" s="26" t="s">
        <v>7654</v>
      </c>
      <c r="D830" s="26" t="s">
        <v>7655</v>
      </c>
      <c r="E830" s="26" t="s">
        <v>5468</v>
      </c>
      <c r="F830" s="27">
        <v>5286378</v>
      </c>
      <c r="G830" s="27">
        <v>1</v>
      </c>
      <c r="H830" s="27">
        <v>0</v>
      </c>
      <c r="I830" s="27">
        <v>1</v>
      </c>
      <c r="J830" s="30">
        <f t="shared" si="36"/>
        <v>1</v>
      </c>
      <c r="K830" s="30">
        <f t="shared" si="37"/>
        <v>0</v>
      </c>
      <c r="L830" s="26">
        <f t="shared" si="38"/>
        <v>0</v>
      </c>
      <c r="M830" s="26"/>
    </row>
    <row r="831" spans="1:13" ht="15" customHeight="1">
      <c r="A831" s="25" t="s">
        <v>7656</v>
      </c>
      <c r="B831" s="26" t="s">
        <v>5427</v>
      </c>
      <c r="C831" s="26" t="s">
        <v>7657</v>
      </c>
      <c r="D831" s="26" t="s">
        <v>7658</v>
      </c>
      <c r="E831" s="26" t="s">
        <v>5654</v>
      </c>
      <c r="F831" s="27">
        <v>5320219</v>
      </c>
      <c r="G831" s="27">
        <v>0</v>
      </c>
      <c r="H831" s="27">
        <v>0</v>
      </c>
      <c r="I831" s="27">
        <v>0</v>
      </c>
      <c r="J831" s="30">
        <f t="shared" si="36"/>
        <v>0</v>
      </c>
      <c r="K831" s="30">
        <f t="shared" si="37"/>
        <v>0</v>
      </c>
      <c r="L831" s="26">
        <f t="shared" si="38"/>
        <v>0</v>
      </c>
      <c r="M831" s="26" t="s">
        <v>5567</v>
      </c>
    </row>
    <row r="832" spans="1:13" ht="15" customHeight="1">
      <c r="A832" s="25" t="s">
        <v>7659</v>
      </c>
      <c r="B832" s="26" t="s">
        <v>5423</v>
      </c>
      <c r="C832" s="26" t="s">
        <v>7660</v>
      </c>
      <c r="D832" s="26" t="s">
        <v>7661</v>
      </c>
      <c r="E832" s="26" t="s">
        <v>5433</v>
      </c>
      <c r="F832" s="27">
        <v>5341654</v>
      </c>
      <c r="G832" s="27">
        <v>1</v>
      </c>
      <c r="H832" s="27">
        <v>1</v>
      </c>
      <c r="I832" s="27">
        <v>1</v>
      </c>
      <c r="J832" s="30">
        <f t="shared" si="36"/>
        <v>1</v>
      </c>
      <c r="K832" s="30">
        <f t="shared" si="37"/>
        <v>1</v>
      </c>
      <c r="L832" s="26">
        <f t="shared" si="38"/>
        <v>1</v>
      </c>
      <c r="M832" s="26"/>
    </row>
    <row r="833" spans="1:13" ht="15" customHeight="1">
      <c r="A833" s="25" t="s">
        <v>7662</v>
      </c>
      <c r="B833" s="26" t="s">
        <v>5427</v>
      </c>
      <c r="C833" s="26" t="s">
        <v>7663</v>
      </c>
      <c r="D833" s="26" t="s">
        <v>7664</v>
      </c>
      <c r="E833" s="26" t="s">
        <v>5891</v>
      </c>
      <c r="F833" s="27">
        <v>5341279</v>
      </c>
      <c r="G833" s="27">
        <v>1</v>
      </c>
      <c r="H833" s="27">
        <v>0</v>
      </c>
      <c r="I833" s="27">
        <v>1</v>
      </c>
      <c r="J833" s="30">
        <f t="shared" si="36"/>
        <v>1</v>
      </c>
      <c r="K833" s="30">
        <f t="shared" si="37"/>
        <v>0</v>
      </c>
      <c r="L833" s="26">
        <f t="shared" si="38"/>
        <v>0</v>
      </c>
      <c r="M833" s="26"/>
    </row>
    <row r="834" spans="1:13" ht="15" customHeight="1">
      <c r="A834" s="25" t="s">
        <v>7665</v>
      </c>
      <c r="B834" s="26" t="s">
        <v>5423</v>
      </c>
      <c r="C834" s="26" t="s">
        <v>7666</v>
      </c>
      <c r="D834" s="26" t="s">
        <v>7667</v>
      </c>
      <c r="E834" s="26" t="s">
        <v>5718</v>
      </c>
      <c r="F834" s="27">
        <v>5342383</v>
      </c>
      <c r="G834" s="27">
        <v>0</v>
      </c>
      <c r="H834" s="27">
        <v>0</v>
      </c>
      <c r="I834" s="27">
        <v>0</v>
      </c>
      <c r="J834" s="30">
        <f t="shared" ref="J834:J897" si="39">IF(G834&gt;0,1,0)</f>
        <v>0</v>
      </c>
      <c r="K834" s="30">
        <f t="shared" ref="K834:K897" si="40">IF(H834&gt;0,1,0)</f>
        <v>0</v>
      </c>
      <c r="L834" s="26">
        <f t="shared" ref="L834:L897" si="41">IF(G834&gt;0,IF(H834&gt;0,1,0),0)</f>
        <v>0</v>
      </c>
      <c r="M834" s="26">
        <v>0</v>
      </c>
    </row>
    <row r="835" spans="1:13" ht="15" customHeight="1">
      <c r="A835" s="25" t="s">
        <v>7668</v>
      </c>
      <c r="B835" s="26" t="s">
        <v>5427</v>
      </c>
      <c r="C835" s="26" t="s">
        <v>7669</v>
      </c>
      <c r="D835" s="26" t="s">
        <v>7670</v>
      </c>
      <c r="E835" s="26" t="s">
        <v>5514</v>
      </c>
      <c r="F835" s="27">
        <v>5342996</v>
      </c>
      <c r="G835" s="27">
        <v>1</v>
      </c>
      <c r="H835" s="27">
        <v>0</v>
      </c>
      <c r="I835" s="27">
        <v>1</v>
      </c>
      <c r="J835" s="30">
        <f t="shared" si="39"/>
        <v>1</v>
      </c>
      <c r="K835" s="30">
        <f t="shared" si="40"/>
        <v>0</v>
      </c>
      <c r="L835" s="26">
        <f t="shared" si="41"/>
        <v>0</v>
      </c>
      <c r="M835" s="26"/>
    </row>
    <row r="836" spans="1:13" ht="15" customHeight="1">
      <c r="A836" s="25" t="s">
        <v>7671</v>
      </c>
      <c r="B836" s="26" t="s">
        <v>5423</v>
      </c>
      <c r="C836" s="26" t="s">
        <v>7672</v>
      </c>
      <c r="D836" s="26" t="s">
        <v>7673</v>
      </c>
      <c r="E836" s="26" t="s">
        <v>5683</v>
      </c>
      <c r="F836" s="27">
        <v>5342918</v>
      </c>
      <c r="G836" s="27">
        <v>1</v>
      </c>
      <c r="H836" s="27">
        <v>0</v>
      </c>
      <c r="I836" s="27">
        <v>1</v>
      </c>
      <c r="J836" s="30">
        <f t="shared" si="39"/>
        <v>1</v>
      </c>
      <c r="K836" s="30">
        <f t="shared" si="40"/>
        <v>0</v>
      </c>
      <c r="L836" s="26">
        <f t="shared" si="41"/>
        <v>0</v>
      </c>
      <c r="M836" s="26"/>
    </row>
    <row r="837" spans="1:13" ht="15" customHeight="1">
      <c r="A837" s="25" t="s">
        <v>7674</v>
      </c>
      <c r="B837" s="26" t="s">
        <v>5423</v>
      </c>
      <c r="C837" s="26" t="s">
        <v>7675</v>
      </c>
      <c r="D837" s="26" t="s">
        <v>7676</v>
      </c>
      <c r="E837" s="26" t="s">
        <v>5522</v>
      </c>
      <c r="F837" s="27">
        <v>5346134</v>
      </c>
      <c r="G837" s="27">
        <v>1</v>
      </c>
      <c r="H837" s="27">
        <v>0</v>
      </c>
      <c r="I837" s="27">
        <v>1</v>
      </c>
      <c r="J837" s="30">
        <f t="shared" si="39"/>
        <v>1</v>
      </c>
      <c r="K837" s="30">
        <f t="shared" si="40"/>
        <v>0</v>
      </c>
      <c r="L837" s="26">
        <f t="shared" si="41"/>
        <v>0</v>
      </c>
      <c r="M837" s="26"/>
    </row>
    <row r="838" spans="1:13" ht="15" customHeight="1">
      <c r="A838" s="25" t="s">
        <v>7677</v>
      </c>
      <c r="B838" s="26" t="s">
        <v>5423</v>
      </c>
      <c r="C838" s="26" t="s">
        <v>7678</v>
      </c>
      <c r="D838" s="26" t="s">
        <v>7679</v>
      </c>
      <c r="E838" s="26" t="s">
        <v>5545</v>
      </c>
      <c r="F838" s="27">
        <v>5279091</v>
      </c>
      <c r="G838" s="27">
        <v>2</v>
      </c>
      <c r="H838" s="27">
        <v>1</v>
      </c>
      <c r="I838" s="27">
        <v>1</v>
      </c>
      <c r="J838" s="30">
        <f t="shared" si="39"/>
        <v>1</v>
      </c>
      <c r="K838" s="30">
        <f t="shared" si="40"/>
        <v>1</v>
      </c>
      <c r="L838" s="26">
        <f t="shared" si="41"/>
        <v>1</v>
      </c>
      <c r="M838" s="26" t="s">
        <v>5611</v>
      </c>
    </row>
    <row r="839" spans="1:13" ht="15" customHeight="1">
      <c r="A839" s="25" t="s">
        <v>7680</v>
      </c>
      <c r="B839" s="26" t="s">
        <v>5427</v>
      </c>
      <c r="C839" s="26" t="s">
        <v>7681</v>
      </c>
      <c r="D839" s="26" t="s">
        <v>7682</v>
      </c>
      <c r="E839" s="26" t="s">
        <v>5491</v>
      </c>
      <c r="F839" s="27">
        <v>5231872</v>
      </c>
      <c r="G839" s="27">
        <v>0</v>
      </c>
      <c r="H839" s="27">
        <v>0</v>
      </c>
      <c r="I839" s="27">
        <v>0</v>
      </c>
      <c r="J839" s="30">
        <f t="shared" si="39"/>
        <v>0</v>
      </c>
      <c r="K839" s="30">
        <f t="shared" si="40"/>
        <v>0</v>
      </c>
      <c r="L839" s="26">
        <f t="shared" si="41"/>
        <v>0</v>
      </c>
      <c r="M839" s="26" t="s">
        <v>5567</v>
      </c>
    </row>
    <row r="840" spans="1:13" ht="15" customHeight="1">
      <c r="A840" s="25" t="s">
        <v>7683</v>
      </c>
      <c r="B840" s="26" t="s">
        <v>5423</v>
      </c>
      <c r="C840" s="26" t="s">
        <v>7684</v>
      </c>
      <c r="D840" s="26" t="s">
        <v>7685</v>
      </c>
      <c r="E840" s="26" t="s">
        <v>5535</v>
      </c>
      <c r="F840" s="27">
        <v>2695515</v>
      </c>
      <c r="G840" s="27">
        <v>1</v>
      </c>
      <c r="H840" s="27">
        <v>1</v>
      </c>
      <c r="I840" s="27">
        <v>1</v>
      </c>
      <c r="J840" s="30">
        <f t="shared" si="39"/>
        <v>1</v>
      </c>
      <c r="K840" s="30">
        <f t="shared" si="40"/>
        <v>1</v>
      </c>
      <c r="L840" s="26">
        <f t="shared" si="41"/>
        <v>1</v>
      </c>
      <c r="M840" s="26"/>
    </row>
    <row r="841" spans="1:13" ht="15" customHeight="1">
      <c r="A841" s="25" t="s">
        <v>7686</v>
      </c>
      <c r="B841" s="26" t="s">
        <v>5427</v>
      </c>
      <c r="C841" s="26" t="s">
        <v>7687</v>
      </c>
      <c r="D841" s="26" t="s">
        <v>7688</v>
      </c>
      <c r="E841" s="26" t="s">
        <v>5517</v>
      </c>
      <c r="F841" s="27">
        <v>5323327</v>
      </c>
      <c r="G841" s="27">
        <v>1</v>
      </c>
      <c r="H841" s="27">
        <v>0</v>
      </c>
      <c r="I841" s="27">
        <v>1</v>
      </c>
      <c r="J841" s="30">
        <f t="shared" si="39"/>
        <v>1</v>
      </c>
      <c r="K841" s="30">
        <f t="shared" si="40"/>
        <v>0</v>
      </c>
      <c r="L841" s="26">
        <f t="shared" si="41"/>
        <v>0</v>
      </c>
      <c r="M841" s="26"/>
    </row>
    <row r="842" spans="1:13" ht="15" customHeight="1">
      <c r="A842" s="25" t="s">
        <v>7689</v>
      </c>
      <c r="B842" s="26" t="s">
        <v>5423</v>
      </c>
      <c r="C842" s="26" t="s">
        <v>7690</v>
      </c>
      <c r="D842" s="26" t="s">
        <v>7691</v>
      </c>
      <c r="E842" s="26" t="s">
        <v>5475</v>
      </c>
      <c r="F842" s="27">
        <v>5326690</v>
      </c>
      <c r="G842" s="27">
        <v>1</v>
      </c>
      <c r="H842" s="27">
        <v>0</v>
      </c>
      <c r="I842" s="27">
        <v>1</v>
      </c>
      <c r="J842" s="30">
        <f t="shared" si="39"/>
        <v>1</v>
      </c>
      <c r="K842" s="30">
        <f t="shared" si="40"/>
        <v>0</v>
      </c>
      <c r="L842" s="26">
        <f t="shared" si="41"/>
        <v>0</v>
      </c>
      <c r="M842" s="26"/>
    </row>
    <row r="843" spans="1:13" ht="15" customHeight="1">
      <c r="A843" s="25" t="s">
        <v>7692</v>
      </c>
      <c r="B843" s="26" t="s">
        <v>5423</v>
      </c>
      <c r="C843" s="26" t="s">
        <v>7693</v>
      </c>
      <c r="D843" s="26" t="s">
        <v>7694</v>
      </c>
      <c r="E843" s="26" t="s">
        <v>5718</v>
      </c>
      <c r="F843" s="27" t="s">
        <v>7695</v>
      </c>
      <c r="G843" s="27">
        <v>1</v>
      </c>
      <c r="H843" s="27">
        <v>0</v>
      </c>
      <c r="I843" s="27">
        <v>1</v>
      </c>
      <c r="J843" s="30">
        <f t="shared" si="39"/>
        <v>1</v>
      </c>
      <c r="K843" s="30">
        <f t="shared" si="40"/>
        <v>0</v>
      </c>
      <c r="L843" s="26">
        <f t="shared" si="41"/>
        <v>0</v>
      </c>
      <c r="M843" s="31"/>
    </row>
    <row r="844" spans="1:13" ht="15" customHeight="1">
      <c r="A844" s="25" t="s">
        <v>7696</v>
      </c>
      <c r="B844" s="26" t="s">
        <v>5427</v>
      </c>
      <c r="C844" s="26" t="s">
        <v>7697</v>
      </c>
      <c r="D844" s="26" t="s">
        <v>7698</v>
      </c>
      <c r="E844" s="26" t="s">
        <v>5463</v>
      </c>
      <c r="F844" s="27">
        <v>4978803</v>
      </c>
      <c r="G844" s="27">
        <v>1</v>
      </c>
      <c r="H844" s="27">
        <v>0</v>
      </c>
      <c r="I844" s="27">
        <v>1</v>
      </c>
      <c r="J844" s="30">
        <f t="shared" si="39"/>
        <v>1</v>
      </c>
      <c r="K844" s="30">
        <f t="shared" si="40"/>
        <v>0</v>
      </c>
      <c r="L844" s="26">
        <f t="shared" si="41"/>
        <v>0</v>
      </c>
      <c r="M844" s="26"/>
    </row>
    <row r="845" spans="1:13" ht="15" customHeight="1">
      <c r="A845" s="25" t="s">
        <v>7699</v>
      </c>
      <c r="B845" s="26" t="s">
        <v>5423</v>
      </c>
      <c r="C845" s="26" t="s">
        <v>7700</v>
      </c>
      <c r="D845" s="26" t="s">
        <v>7701</v>
      </c>
      <c r="E845" s="26" t="s">
        <v>5718</v>
      </c>
      <c r="F845" s="27">
        <v>5346042</v>
      </c>
      <c r="G845" s="27">
        <v>0</v>
      </c>
      <c r="H845" s="27">
        <v>0</v>
      </c>
      <c r="I845" s="27">
        <v>0</v>
      </c>
      <c r="J845" s="30">
        <f t="shared" si="39"/>
        <v>0</v>
      </c>
      <c r="K845" s="30">
        <f t="shared" si="40"/>
        <v>0</v>
      </c>
      <c r="L845" s="26">
        <f t="shared" si="41"/>
        <v>0</v>
      </c>
      <c r="M845" s="26">
        <v>0</v>
      </c>
    </row>
    <row r="846" spans="1:13" ht="15" customHeight="1">
      <c r="A846" s="25" t="s">
        <v>7702</v>
      </c>
      <c r="B846" s="26" t="s">
        <v>5423</v>
      </c>
      <c r="C846" s="26" t="s">
        <v>7703</v>
      </c>
      <c r="D846" s="26" t="s">
        <v>7704</v>
      </c>
      <c r="E846" s="26" t="s">
        <v>5455</v>
      </c>
      <c r="F846" s="27">
        <v>5347006</v>
      </c>
      <c r="G846" s="27">
        <v>0</v>
      </c>
      <c r="H846" s="27">
        <v>0</v>
      </c>
      <c r="I846" s="27">
        <v>0</v>
      </c>
      <c r="J846" s="30">
        <f t="shared" si="39"/>
        <v>0</v>
      </c>
      <c r="K846" s="30">
        <f t="shared" si="40"/>
        <v>0</v>
      </c>
      <c r="L846" s="26">
        <f t="shared" si="41"/>
        <v>0</v>
      </c>
      <c r="M846" s="26">
        <v>0</v>
      </c>
    </row>
    <row r="847" spans="1:13" ht="15" customHeight="1">
      <c r="A847" s="25" t="s">
        <v>7705</v>
      </c>
      <c r="B847" s="26" t="s">
        <v>5427</v>
      </c>
      <c r="C847" s="26" t="s">
        <v>7706</v>
      </c>
      <c r="D847" s="26" t="s">
        <v>7707</v>
      </c>
      <c r="E847" s="26" t="s">
        <v>5532</v>
      </c>
      <c r="F847" s="27">
        <v>4378673</v>
      </c>
      <c r="G847" s="27">
        <v>0</v>
      </c>
      <c r="H847" s="27">
        <v>1</v>
      </c>
      <c r="I847" s="27">
        <v>1</v>
      </c>
      <c r="J847" s="30">
        <f t="shared" si="39"/>
        <v>0</v>
      </c>
      <c r="K847" s="30">
        <f t="shared" si="40"/>
        <v>1</v>
      </c>
      <c r="L847" s="26">
        <f t="shared" si="41"/>
        <v>0</v>
      </c>
      <c r="M847" s="26"/>
    </row>
    <row r="848" spans="1:13" ht="15" customHeight="1">
      <c r="A848" s="25" t="s">
        <v>7708</v>
      </c>
      <c r="B848" s="26" t="s">
        <v>5423</v>
      </c>
      <c r="C848" s="26" t="s">
        <v>7709</v>
      </c>
      <c r="D848" s="26" t="s">
        <v>7710</v>
      </c>
      <c r="E848" s="26" t="s">
        <v>5447</v>
      </c>
      <c r="F848" s="27">
        <v>5346664</v>
      </c>
      <c r="G848" s="27">
        <v>0</v>
      </c>
      <c r="H848" s="27">
        <v>0</v>
      </c>
      <c r="I848" s="27">
        <v>0</v>
      </c>
      <c r="J848" s="30">
        <f t="shared" si="39"/>
        <v>0</v>
      </c>
      <c r="K848" s="30">
        <f t="shared" si="40"/>
        <v>0</v>
      </c>
      <c r="L848" s="26">
        <f t="shared" si="41"/>
        <v>0</v>
      </c>
      <c r="M848" s="26">
        <v>0</v>
      </c>
    </row>
    <row r="849" spans="1:13" ht="15" customHeight="1">
      <c r="A849" s="25" t="s">
        <v>7711</v>
      </c>
      <c r="B849" s="26" t="s">
        <v>5423</v>
      </c>
      <c r="C849" s="26" t="s">
        <v>7712</v>
      </c>
      <c r="D849" s="26" t="s">
        <v>7713</v>
      </c>
      <c r="E849" s="26" t="s">
        <v>5683</v>
      </c>
      <c r="F849" s="27">
        <v>5341790</v>
      </c>
      <c r="G849" s="27">
        <v>0</v>
      </c>
      <c r="H849" s="27">
        <v>0</v>
      </c>
      <c r="I849" s="27">
        <v>0</v>
      </c>
      <c r="J849" s="30">
        <f t="shared" si="39"/>
        <v>0</v>
      </c>
      <c r="K849" s="30">
        <f t="shared" si="40"/>
        <v>0</v>
      </c>
      <c r="L849" s="26">
        <f t="shared" si="41"/>
        <v>0</v>
      </c>
      <c r="M849" s="26">
        <v>0</v>
      </c>
    </row>
    <row r="850" spans="1:13" ht="15" customHeight="1">
      <c r="A850" s="25" t="s">
        <v>7714</v>
      </c>
      <c r="B850" s="26" t="s">
        <v>5423</v>
      </c>
      <c r="C850" s="26" t="s">
        <v>7715</v>
      </c>
      <c r="D850" s="26" t="s">
        <v>7716</v>
      </c>
      <c r="E850" s="26" t="s">
        <v>5430</v>
      </c>
      <c r="F850" s="27">
        <v>5332399</v>
      </c>
      <c r="G850" s="27">
        <v>1</v>
      </c>
      <c r="H850" s="27">
        <v>0</v>
      </c>
      <c r="I850" s="27">
        <v>1</v>
      </c>
      <c r="J850" s="30">
        <f t="shared" si="39"/>
        <v>1</v>
      </c>
      <c r="K850" s="30">
        <f t="shared" si="40"/>
        <v>0</v>
      </c>
      <c r="L850" s="26">
        <f t="shared" si="41"/>
        <v>0</v>
      </c>
      <c r="M850" s="26"/>
    </row>
    <row r="851" spans="1:13" ht="15" customHeight="1">
      <c r="A851" s="25" t="s">
        <v>7717</v>
      </c>
      <c r="B851" s="26" t="s">
        <v>5427</v>
      </c>
      <c r="C851" s="26" t="s">
        <v>7718</v>
      </c>
      <c r="D851" s="26" t="s">
        <v>7719</v>
      </c>
      <c r="E851" s="26" t="s">
        <v>5433</v>
      </c>
      <c r="F851" s="27">
        <v>4542162</v>
      </c>
      <c r="G851" s="27">
        <v>1</v>
      </c>
      <c r="H851" s="27">
        <v>0</v>
      </c>
      <c r="I851" s="27">
        <v>1</v>
      </c>
      <c r="J851" s="30">
        <f t="shared" si="39"/>
        <v>1</v>
      </c>
      <c r="K851" s="30">
        <f t="shared" si="40"/>
        <v>0</v>
      </c>
      <c r="L851" s="26">
        <f t="shared" si="41"/>
        <v>0</v>
      </c>
      <c r="M851" s="26"/>
    </row>
    <row r="852" spans="1:13" ht="15" customHeight="1">
      <c r="A852" s="25" t="s">
        <v>7720</v>
      </c>
      <c r="B852" s="26" t="s">
        <v>5423</v>
      </c>
      <c r="C852" s="26" t="s">
        <v>7721</v>
      </c>
      <c r="D852" s="26" t="s">
        <v>7722</v>
      </c>
      <c r="E852" s="26" t="s">
        <v>5504</v>
      </c>
      <c r="F852" s="27">
        <v>5338758</v>
      </c>
      <c r="G852" s="27">
        <v>1</v>
      </c>
      <c r="H852" s="27">
        <v>0</v>
      </c>
      <c r="I852" s="27">
        <v>1</v>
      </c>
      <c r="J852" s="30">
        <f t="shared" si="39"/>
        <v>1</v>
      </c>
      <c r="K852" s="30">
        <f t="shared" si="40"/>
        <v>0</v>
      </c>
      <c r="L852" s="26">
        <f t="shared" si="41"/>
        <v>0</v>
      </c>
      <c r="M852" s="26"/>
    </row>
    <row r="853" spans="1:13" ht="15" customHeight="1">
      <c r="A853" s="25" t="s">
        <v>7723</v>
      </c>
      <c r="B853" s="26" t="s">
        <v>5423</v>
      </c>
      <c r="C853" s="26" t="s">
        <v>7724</v>
      </c>
      <c r="D853" s="26" t="s">
        <v>7725</v>
      </c>
      <c r="E853" s="26" t="s">
        <v>5575</v>
      </c>
      <c r="F853" s="27">
        <v>4496339</v>
      </c>
      <c r="G853" s="27">
        <v>1</v>
      </c>
      <c r="H853" s="27">
        <v>0</v>
      </c>
      <c r="I853" s="27">
        <v>1</v>
      </c>
      <c r="J853" s="30">
        <f t="shared" si="39"/>
        <v>1</v>
      </c>
      <c r="K853" s="30">
        <f t="shared" si="40"/>
        <v>0</v>
      </c>
      <c r="L853" s="26">
        <f t="shared" si="41"/>
        <v>0</v>
      </c>
      <c r="M853" s="26"/>
    </row>
    <row r="854" spans="1:13" ht="15" customHeight="1">
      <c r="A854" s="25" t="s">
        <v>7726</v>
      </c>
      <c r="B854" s="26" t="s">
        <v>5423</v>
      </c>
      <c r="C854" s="26" t="s">
        <v>7727</v>
      </c>
      <c r="D854" s="26" t="s">
        <v>7728</v>
      </c>
      <c r="E854" s="26" t="s">
        <v>5504</v>
      </c>
      <c r="F854" s="27">
        <v>5348412</v>
      </c>
      <c r="G854" s="27">
        <v>1</v>
      </c>
      <c r="H854" s="27">
        <v>0</v>
      </c>
      <c r="I854" s="27">
        <v>1</v>
      </c>
      <c r="J854" s="30">
        <f t="shared" si="39"/>
        <v>1</v>
      </c>
      <c r="K854" s="30">
        <f t="shared" si="40"/>
        <v>0</v>
      </c>
      <c r="L854" s="26">
        <f t="shared" si="41"/>
        <v>0</v>
      </c>
      <c r="M854" s="26"/>
    </row>
    <row r="855" spans="1:13" ht="15" customHeight="1">
      <c r="A855" s="25" t="s">
        <v>7729</v>
      </c>
      <c r="B855" s="26" t="s">
        <v>5423</v>
      </c>
      <c r="C855" s="26" t="s">
        <v>7730</v>
      </c>
      <c r="D855" s="26" t="s">
        <v>7731</v>
      </c>
      <c r="E855" s="26" t="s">
        <v>5463</v>
      </c>
      <c r="F855" s="27">
        <v>5349396</v>
      </c>
      <c r="G855" s="27">
        <v>1</v>
      </c>
      <c r="H855" s="27">
        <v>0</v>
      </c>
      <c r="I855" s="27">
        <v>1</v>
      </c>
      <c r="J855" s="30">
        <f t="shared" si="39"/>
        <v>1</v>
      </c>
      <c r="K855" s="30">
        <f t="shared" si="40"/>
        <v>0</v>
      </c>
      <c r="L855" s="26">
        <f t="shared" si="41"/>
        <v>0</v>
      </c>
      <c r="M855" s="26"/>
    </row>
    <row r="856" spans="1:13" ht="15" customHeight="1">
      <c r="A856" s="25" t="s">
        <v>7732</v>
      </c>
      <c r="B856" s="26" t="s">
        <v>5423</v>
      </c>
      <c r="C856" s="26" t="s">
        <v>7733</v>
      </c>
      <c r="D856" s="26" t="s">
        <v>7734</v>
      </c>
      <c r="E856" s="26" t="s">
        <v>5426</v>
      </c>
      <c r="F856" s="27">
        <v>4992079</v>
      </c>
      <c r="G856" s="27">
        <v>0</v>
      </c>
      <c r="H856" s="27">
        <v>0</v>
      </c>
      <c r="I856" s="27">
        <v>0</v>
      </c>
      <c r="J856" s="30">
        <f t="shared" si="39"/>
        <v>0</v>
      </c>
      <c r="K856" s="30">
        <f t="shared" si="40"/>
        <v>0</v>
      </c>
      <c r="L856" s="26">
        <f t="shared" si="41"/>
        <v>0</v>
      </c>
      <c r="M856" s="26">
        <v>0</v>
      </c>
    </row>
    <row r="857" spans="1:13" ht="15" customHeight="1">
      <c r="A857" s="25" t="s">
        <v>7735</v>
      </c>
      <c r="B857" s="26" t="s">
        <v>5423</v>
      </c>
      <c r="C857" s="26" t="s">
        <v>7736</v>
      </c>
      <c r="D857" s="26" t="s">
        <v>7737</v>
      </c>
      <c r="E857" s="26" t="s">
        <v>5439</v>
      </c>
      <c r="F857" s="27">
        <v>5353580</v>
      </c>
      <c r="G857" s="27">
        <v>1</v>
      </c>
      <c r="H857" s="27">
        <v>0</v>
      </c>
      <c r="I857" s="27">
        <v>1</v>
      </c>
      <c r="J857" s="30">
        <f t="shared" si="39"/>
        <v>1</v>
      </c>
      <c r="K857" s="30">
        <f t="shared" si="40"/>
        <v>0</v>
      </c>
      <c r="L857" s="26">
        <f t="shared" si="41"/>
        <v>0</v>
      </c>
      <c r="M857" s="26"/>
    </row>
    <row r="858" spans="1:13" ht="15" customHeight="1">
      <c r="A858" s="25" t="s">
        <v>7738</v>
      </c>
      <c r="B858" s="26" t="s">
        <v>5427</v>
      </c>
      <c r="C858" s="26" t="s">
        <v>7739</v>
      </c>
      <c r="D858" s="26" t="s">
        <v>7740</v>
      </c>
      <c r="E858" s="26" t="s">
        <v>5455</v>
      </c>
      <c r="F858" s="27">
        <v>5354172</v>
      </c>
      <c r="G858" s="27">
        <v>1</v>
      </c>
      <c r="H858" s="27">
        <v>1</v>
      </c>
      <c r="I858" s="27">
        <v>1</v>
      </c>
      <c r="J858" s="30">
        <f t="shared" si="39"/>
        <v>1</v>
      </c>
      <c r="K858" s="30">
        <f t="shared" si="40"/>
        <v>1</v>
      </c>
      <c r="L858" s="26">
        <f t="shared" si="41"/>
        <v>1</v>
      </c>
      <c r="M858" s="26"/>
    </row>
    <row r="859" spans="1:13" ht="15" customHeight="1">
      <c r="A859" s="25" t="s">
        <v>7741</v>
      </c>
      <c r="B859" s="26" t="s">
        <v>5423</v>
      </c>
      <c r="C859" s="26" t="s">
        <v>7742</v>
      </c>
      <c r="D859" s="26" t="s">
        <v>7743</v>
      </c>
      <c r="E859" s="26" t="s">
        <v>5475</v>
      </c>
      <c r="F859" s="27">
        <v>5351695</v>
      </c>
      <c r="G859" s="27">
        <v>1</v>
      </c>
      <c r="H859" s="27">
        <v>1</v>
      </c>
      <c r="I859" s="27">
        <v>1</v>
      </c>
      <c r="J859" s="30">
        <f t="shared" si="39"/>
        <v>1</v>
      </c>
      <c r="K859" s="30">
        <f t="shared" si="40"/>
        <v>1</v>
      </c>
      <c r="L859" s="26">
        <f t="shared" si="41"/>
        <v>1</v>
      </c>
      <c r="M859" s="26"/>
    </row>
    <row r="860" spans="1:13" ht="15" customHeight="1">
      <c r="A860" s="25" t="s">
        <v>7744</v>
      </c>
      <c r="B860" s="26" t="s">
        <v>5423</v>
      </c>
      <c r="C860" s="26" t="s">
        <v>7745</v>
      </c>
      <c r="D860" s="26" t="s">
        <v>7746</v>
      </c>
      <c r="E860" s="26" t="s">
        <v>5480</v>
      </c>
      <c r="F860" s="27">
        <v>5350489</v>
      </c>
      <c r="G860" s="27">
        <v>0</v>
      </c>
      <c r="H860" s="27">
        <v>0</v>
      </c>
      <c r="I860" s="27">
        <v>0</v>
      </c>
      <c r="J860" s="30">
        <f t="shared" si="39"/>
        <v>0</v>
      </c>
      <c r="K860" s="30">
        <f t="shared" si="40"/>
        <v>0</v>
      </c>
      <c r="L860" s="26">
        <f t="shared" si="41"/>
        <v>0</v>
      </c>
      <c r="M860" s="26">
        <v>0</v>
      </c>
    </row>
    <row r="861" spans="1:13" ht="15" customHeight="1">
      <c r="A861" s="25" t="s">
        <v>7747</v>
      </c>
      <c r="B861" s="26" t="s">
        <v>5423</v>
      </c>
      <c r="C861" s="26" t="s">
        <v>7748</v>
      </c>
      <c r="D861" s="26" t="s">
        <v>7749</v>
      </c>
      <c r="E861" s="26" t="s">
        <v>5522</v>
      </c>
      <c r="F861" s="27">
        <v>5320808</v>
      </c>
      <c r="G861" s="27">
        <v>1</v>
      </c>
      <c r="H861" s="27">
        <v>1</v>
      </c>
      <c r="I861" s="27">
        <v>1</v>
      </c>
      <c r="J861" s="30">
        <f t="shared" si="39"/>
        <v>1</v>
      </c>
      <c r="K861" s="30">
        <f t="shared" si="40"/>
        <v>1</v>
      </c>
      <c r="L861" s="26">
        <f t="shared" si="41"/>
        <v>1</v>
      </c>
      <c r="M861" s="26"/>
    </row>
    <row r="862" spans="1:13" ht="15" customHeight="1">
      <c r="A862" s="25" t="s">
        <v>7750</v>
      </c>
      <c r="B862" s="26" t="s">
        <v>5423</v>
      </c>
      <c r="C862" s="26" t="s">
        <v>7751</v>
      </c>
      <c r="D862" s="26" t="s">
        <v>7752</v>
      </c>
      <c r="E862" s="26" t="s">
        <v>5447</v>
      </c>
      <c r="F862" s="27">
        <v>5348791</v>
      </c>
      <c r="G862" s="27">
        <v>0</v>
      </c>
      <c r="H862" s="27">
        <v>1</v>
      </c>
      <c r="I862" s="27">
        <v>1</v>
      </c>
      <c r="J862" s="30">
        <f t="shared" si="39"/>
        <v>0</v>
      </c>
      <c r="K862" s="30">
        <f t="shared" si="40"/>
        <v>1</v>
      </c>
      <c r="L862" s="26">
        <f t="shared" si="41"/>
        <v>0</v>
      </c>
      <c r="M862" s="26"/>
    </row>
    <row r="863" spans="1:13" ht="15" customHeight="1">
      <c r="A863" s="25" t="s">
        <v>7753</v>
      </c>
      <c r="B863" s="26" t="s">
        <v>5423</v>
      </c>
      <c r="C863" s="26" t="s">
        <v>7754</v>
      </c>
      <c r="D863" s="26" t="s">
        <v>7755</v>
      </c>
      <c r="E863" s="26" t="s">
        <v>5517</v>
      </c>
      <c r="F863" s="27">
        <v>5352860</v>
      </c>
      <c r="G863" s="27">
        <v>0</v>
      </c>
      <c r="H863" s="27">
        <v>0</v>
      </c>
      <c r="I863" s="27">
        <v>0</v>
      </c>
      <c r="J863" s="30">
        <f t="shared" si="39"/>
        <v>0</v>
      </c>
      <c r="K863" s="30">
        <f t="shared" si="40"/>
        <v>0</v>
      </c>
      <c r="L863" s="26">
        <f t="shared" si="41"/>
        <v>0</v>
      </c>
      <c r="M863" s="26">
        <v>0</v>
      </c>
    </row>
    <row r="864" spans="1:13" ht="15" customHeight="1">
      <c r="A864" s="25" t="s">
        <v>7756</v>
      </c>
      <c r="B864" s="26" t="s">
        <v>5423</v>
      </c>
      <c r="C864" s="26" t="s">
        <v>7757</v>
      </c>
      <c r="D864" s="26" t="s">
        <v>7758</v>
      </c>
      <c r="E864" s="26" t="s">
        <v>5603</v>
      </c>
      <c r="F864" s="27">
        <v>5353147</v>
      </c>
      <c r="G864" s="27">
        <v>0</v>
      </c>
      <c r="H864" s="27">
        <v>0</v>
      </c>
      <c r="I864" s="27">
        <v>0</v>
      </c>
      <c r="J864" s="30">
        <f t="shared" si="39"/>
        <v>0</v>
      </c>
      <c r="K864" s="30">
        <f t="shared" si="40"/>
        <v>0</v>
      </c>
      <c r="L864" s="26">
        <f t="shared" si="41"/>
        <v>0</v>
      </c>
      <c r="M864" s="26">
        <v>0</v>
      </c>
    </row>
    <row r="865" spans="1:13" ht="15" customHeight="1">
      <c r="A865" s="25" t="s">
        <v>7759</v>
      </c>
      <c r="B865" s="26" t="s">
        <v>5423</v>
      </c>
      <c r="C865" s="26" t="s">
        <v>7760</v>
      </c>
      <c r="D865" s="26" t="s">
        <v>7761</v>
      </c>
      <c r="E865" s="26" t="s">
        <v>5447</v>
      </c>
      <c r="F865" s="27">
        <v>5356565</v>
      </c>
      <c r="G865" s="27">
        <v>0</v>
      </c>
      <c r="H865" s="27">
        <v>0</v>
      </c>
      <c r="I865" s="27">
        <v>0</v>
      </c>
      <c r="J865" s="30">
        <f t="shared" si="39"/>
        <v>0</v>
      </c>
      <c r="K865" s="30">
        <f t="shared" si="40"/>
        <v>0</v>
      </c>
      <c r="L865" s="26">
        <f t="shared" si="41"/>
        <v>0</v>
      </c>
      <c r="M865" s="26">
        <v>0</v>
      </c>
    </row>
    <row r="866" spans="1:13" ht="15" customHeight="1">
      <c r="A866" s="25" t="s">
        <v>7762</v>
      </c>
      <c r="B866" s="26" t="s">
        <v>5423</v>
      </c>
      <c r="C866" s="26" t="s">
        <v>7763</v>
      </c>
      <c r="D866" s="26" t="s">
        <v>7764</v>
      </c>
      <c r="E866" s="26" t="s">
        <v>5433</v>
      </c>
      <c r="F866" s="27">
        <v>5334683</v>
      </c>
      <c r="G866" s="27">
        <v>1</v>
      </c>
      <c r="H866" s="27">
        <v>0</v>
      </c>
      <c r="I866" s="27">
        <v>1</v>
      </c>
      <c r="J866" s="30">
        <f t="shared" si="39"/>
        <v>1</v>
      </c>
      <c r="K866" s="30">
        <f t="shared" si="40"/>
        <v>0</v>
      </c>
      <c r="L866" s="26">
        <f t="shared" si="41"/>
        <v>0</v>
      </c>
      <c r="M866" s="26"/>
    </row>
    <row r="867" spans="1:13" ht="15" customHeight="1">
      <c r="A867" s="25" t="s">
        <v>7765</v>
      </c>
      <c r="B867" s="26" t="s">
        <v>5423</v>
      </c>
      <c r="C867" s="26" t="s">
        <v>7766</v>
      </c>
      <c r="D867" s="26" t="s">
        <v>7767</v>
      </c>
      <c r="E867" s="26" t="s">
        <v>5430</v>
      </c>
      <c r="F867" s="27">
        <v>5348377</v>
      </c>
      <c r="G867" s="27">
        <v>1</v>
      </c>
      <c r="H867" s="27">
        <v>0</v>
      </c>
      <c r="I867" s="27">
        <v>1</v>
      </c>
      <c r="J867" s="30">
        <f t="shared" si="39"/>
        <v>1</v>
      </c>
      <c r="K867" s="30">
        <f t="shared" si="40"/>
        <v>0</v>
      </c>
      <c r="L867" s="26">
        <f t="shared" si="41"/>
        <v>0</v>
      </c>
      <c r="M867" s="26"/>
    </row>
    <row r="868" spans="1:13" ht="15" customHeight="1">
      <c r="A868" s="25" t="s">
        <v>7768</v>
      </c>
      <c r="B868" s="26" t="s">
        <v>5427</v>
      </c>
      <c r="C868" s="26" t="s">
        <v>7769</v>
      </c>
      <c r="D868" s="26" t="s">
        <v>7770</v>
      </c>
      <c r="E868" s="26" t="s">
        <v>5968</v>
      </c>
      <c r="F868" s="27">
        <v>5360753</v>
      </c>
      <c r="G868" s="27">
        <v>0</v>
      </c>
      <c r="H868" s="27">
        <v>0</v>
      </c>
      <c r="I868" s="27">
        <v>0</v>
      </c>
      <c r="J868" s="30">
        <f t="shared" si="39"/>
        <v>0</v>
      </c>
      <c r="K868" s="30">
        <f t="shared" si="40"/>
        <v>0</v>
      </c>
      <c r="L868" s="26">
        <f t="shared" si="41"/>
        <v>0</v>
      </c>
      <c r="M868" s="26">
        <v>0</v>
      </c>
    </row>
    <row r="869" spans="1:13" ht="15" customHeight="1">
      <c r="A869" s="25" t="s">
        <v>7771</v>
      </c>
      <c r="B869" s="26" t="s">
        <v>5423</v>
      </c>
      <c r="C869" s="26" t="s">
        <v>7772</v>
      </c>
      <c r="D869" s="26" t="s">
        <v>7773</v>
      </c>
      <c r="E869" s="26" t="s">
        <v>5426</v>
      </c>
      <c r="F869" s="27">
        <v>5361814</v>
      </c>
      <c r="G869" s="27">
        <v>1</v>
      </c>
      <c r="H869" s="27">
        <v>1</v>
      </c>
      <c r="I869" s="27">
        <v>1</v>
      </c>
      <c r="J869" s="30">
        <f t="shared" si="39"/>
        <v>1</v>
      </c>
      <c r="K869" s="30">
        <f t="shared" si="40"/>
        <v>1</v>
      </c>
      <c r="L869" s="26">
        <f t="shared" si="41"/>
        <v>1</v>
      </c>
      <c r="M869" s="26"/>
    </row>
    <row r="870" spans="1:13" ht="15" customHeight="1">
      <c r="A870" s="25" t="s">
        <v>7774</v>
      </c>
      <c r="B870" s="26" t="s">
        <v>5423</v>
      </c>
      <c r="C870" s="26" t="s">
        <v>7775</v>
      </c>
      <c r="D870" s="26" t="s">
        <v>7776</v>
      </c>
      <c r="E870" s="26" t="s">
        <v>5532</v>
      </c>
      <c r="F870" s="27">
        <v>3850154</v>
      </c>
      <c r="G870" s="27">
        <v>1</v>
      </c>
      <c r="H870" s="27">
        <v>0</v>
      </c>
      <c r="I870" s="27">
        <v>1</v>
      </c>
      <c r="J870" s="30">
        <f t="shared" si="39"/>
        <v>1</v>
      </c>
      <c r="K870" s="30">
        <f t="shared" si="40"/>
        <v>0</v>
      </c>
      <c r="L870" s="26">
        <f t="shared" si="41"/>
        <v>0</v>
      </c>
      <c r="M870" s="26"/>
    </row>
    <row r="871" spans="1:13" ht="15" customHeight="1">
      <c r="A871" s="25" t="s">
        <v>7777</v>
      </c>
      <c r="B871" s="26" t="s">
        <v>5423</v>
      </c>
      <c r="C871" s="26" t="s">
        <v>7778</v>
      </c>
      <c r="D871" s="26" t="s">
        <v>7779</v>
      </c>
      <c r="E871" s="26" t="s">
        <v>5439</v>
      </c>
      <c r="F871" s="27">
        <v>5361815</v>
      </c>
      <c r="G871" s="27">
        <v>1</v>
      </c>
      <c r="H871" s="27">
        <v>1</v>
      </c>
      <c r="I871" s="27">
        <v>1</v>
      </c>
      <c r="J871" s="30">
        <f t="shared" si="39"/>
        <v>1</v>
      </c>
      <c r="K871" s="30">
        <f t="shared" si="40"/>
        <v>1</v>
      </c>
      <c r="L871" s="26">
        <f t="shared" si="41"/>
        <v>1</v>
      </c>
      <c r="M871" s="26"/>
    </row>
    <row r="872" spans="1:13" ht="15" customHeight="1">
      <c r="A872" s="25" t="s">
        <v>7780</v>
      </c>
      <c r="B872" s="26" t="s">
        <v>5423</v>
      </c>
      <c r="C872" s="26" t="s">
        <v>7781</v>
      </c>
      <c r="D872" s="26" t="s">
        <v>7782</v>
      </c>
      <c r="E872" s="26" t="s">
        <v>5654</v>
      </c>
      <c r="F872" s="27">
        <v>5328298</v>
      </c>
      <c r="G872" s="27">
        <v>0</v>
      </c>
      <c r="H872" s="27">
        <v>0</v>
      </c>
      <c r="I872" s="27">
        <v>0</v>
      </c>
      <c r="J872" s="30">
        <f t="shared" si="39"/>
        <v>0</v>
      </c>
      <c r="K872" s="30">
        <f t="shared" si="40"/>
        <v>0</v>
      </c>
      <c r="L872" s="26">
        <f t="shared" si="41"/>
        <v>0</v>
      </c>
      <c r="M872" s="26">
        <v>0</v>
      </c>
    </row>
    <row r="873" spans="1:13" ht="15" customHeight="1">
      <c r="A873" s="25" t="s">
        <v>7783</v>
      </c>
      <c r="B873" s="26" t="s">
        <v>5423</v>
      </c>
      <c r="C873" s="26" t="s">
        <v>7784</v>
      </c>
      <c r="D873" s="26" t="s">
        <v>7785</v>
      </c>
      <c r="E873" s="26" t="s">
        <v>5480</v>
      </c>
      <c r="F873" s="27">
        <v>5361819</v>
      </c>
      <c r="G873" s="27">
        <v>1</v>
      </c>
      <c r="H873" s="27">
        <v>1</v>
      </c>
      <c r="I873" s="27">
        <v>1</v>
      </c>
      <c r="J873" s="30">
        <f t="shared" si="39"/>
        <v>1</v>
      </c>
      <c r="K873" s="30">
        <f t="shared" si="40"/>
        <v>1</v>
      </c>
      <c r="L873" s="26">
        <f t="shared" si="41"/>
        <v>1</v>
      </c>
      <c r="M873" s="26"/>
    </row>
    <row r="874" spans="1:13" ht="15" customHeight="1">
      <c r="A874" s="25" t="s">
        <v>7786</v>
      </c>
      <c r="B874" s="26" t="s">
        <v>5423</v>
      </c>
      <c r="C874" s="26" t="s">
        <v>7787</v>
      </c>
      <c r="D874" s="26" t="s">
        <v>7788</v>
      </c>
      <c r="E874" s="26" t="s">
        <v>5517</v>
      </c>
      <c r="F874" s="27">
        <v>5360735</v>
      </c>
      <c r="G874" s="27">
        <v>1</v>
      </c>
      <c r="H874" s="27">
        <v>1</v>
      </c>
      <c r="I874" s="27">
        <v>1</v>
      </c>
      <c r="J874" s="30">
        <f t="shared" si="39"/>
        <v>1</v>
      </c>
      <c r="K874" s="30">
        <f t="shared" si="40"/>
        <v>1</v>
      </c>
      <c r="L874" s="26">
        <f t="shared" si="41"/>
        <v>1</v>
      </c>
      <c r="M874" s="26"/>
    </row>
    <row r="875" spans="1:13" ht="15" customHeight="1">
      <c r="A875" s="25" t="s">
        <v>7789</v>
      </c>
      <c r="B875" s="26" t="s">
        <v>5423</v>
      </c>
      <c r="C875" s="26" t="s">
        <v>7790</v>
      </c>
      <c r="D875" s="26" t="s">
        <v>7791</v>
      </c>
      <c r="E875" s="26" t="s">
        <v>5763</v>
      </c>
      <c r="F875" s="27">
        <v>5362832</v>
      </c>
      <c r="G875" s="27">
        <v>0</v>
      </c>
      <c r="H875" s="27">
        <v>1</v>
      </c>
      <c r="I875" s="27">
        <v>1</v>
      </c>
      <c r="J875" s="30">
        <f t="shared" si="39"/>
        <v>0</v>
      </c>
      <c r="K875" s="30">
        <f t="shared" si="40"/>
        <v>1</v>
      </c>
      <c r="L875" s="26">
        <f t="shared" si="41"/>
        <v>0</v>
      </c>
      <c r="M875" s="26"/>
    </row>
    <row r="876" spans="1:13" ht="15" customHeight="1">
      <c r="A876" s="25" t="s">
        <v>7792</v>
      </c>
      <c r="B876" s="26" t="s">
        <v>5427</v>
      </c>
      <c r="C876" s="26" t="s">
        <v>7793</v>
      </c>
      <c r="D876" s="26" t="s">
        <v>7794</v>
      </c>
      <c r="E876" s="26" t="s">
        <v>5603</v>
      </c>
      <c r="F876" s="27">
        <v>5406476</v>
      </c>
      <c r="G876" s="27">
        <v>0</v>
      </c>
      <c r="H876" s="27">
        <v>0</v>
      </c>
      <c r="I876" s="27">
        <v>0</v>
      </c>
      <c r="J876" s="30">
        <f t="shared" si="39"/>
        <v>0</v>
      </c>
      <c r="K876" s="30">
        <f t="shared" si="40"/>
        <v>0</v>
      </c>
      <c r="L876" s="26">
        <f t="shared" si="41"/>
        <v>0</v>
      </c>
      <c r="M876" s="26">
        <v>0</v>
      </c>
    </row>
    <row r="877" spans="1:13" ht="15" customHeight="1">
      <c r="A877" s="25" t="s">
        <v>7795</v>
      </c>
      <c r="B877" s="26" t="s">
        <v>5423</v>
      </c>
      <c r="C877" s="26" t="s">
        <v>7796</v>
      </c>
      <c r="D877" s="26" t="s">
        <v>7797</v>
      </c>
      <c r="E877" s="26" t="s">
        <v>5522</v>
      </c>
      <c r="F877" s="27">
        <v>4146626</v>
      </c>
      <c r="G877" s="27">
        <v>2</v>
      </c>
      <c r="H877" s="27">
        <v>1</v>
      </c>
      <c r="I877" s="27">
        <v>1</v>
      </c>
      <c r="J877" s="30">
        <f t="shared" si="39"/>
        <v>1</v>
      </c>
      <c r="K877" s="30">
        <f t="shared" si="40"/>
        <v>1</v>
      </c>
      <c r="L877" s="26">
        <f t="shared" si="41"/>
        <v>1</v>
      </c>
      <c r="M877" s="26" t="s">
        <v>5611</v>
      </c>
    </row>
    <row r="878" spans="1:13" ht="15" customHeight="1">
      <c r="A878" s="25" t="s">
        <v>7798</v>
      </c>
      <c r="B878" s="26" t="s">
        <v>5423</v>
      </c>
      <c r="C878" s="26" t="s">
        <v>7799</v>
      </c>
      <c r="D878" s="26" t="s">
        <v>7800</v>
      </c>
      <c r="E878" s="26" t="s">
        <v>5514</v>
      </c>
      <c r="F878" s="27">
        <v>5358531</v>
      </c>
      <c r="G878" s="27">
        <v>0</v>
      </c>
      <c r="H878" s="27">
        <v>0</v>
      </c>
      <c r="I878" s="27">
        <v>0</v>
      </c>
      <c r="J878" s="30">
        <f t="shared" si="39"/>
        <v>0</v>
      </c>
      <c r="K878" s="30">
        <f t="shared" si="40"/>
        <v>0</v>
      </c>
      <c r="L878" s="26">
        <f t="shared" si="41"/>
        <v>0</v>
      </c>
      <c r="M878" s="26">
        <v>0</v>
      </c>
    </row>
    <row r="879" spans="1:13" ht="15" customHeight="1">
      <c r="A879" s="25" t="s">
        <v>7801</v>
      </c>
      <c r="B879" s="26" t="s">
        <v>5423</v>
      </c>
      <c r="C879" s="26" t="s">
        <v>7802</v>
      </c>
      <c r="D879" s="26" t="s">
        <v>7803</v>
      </c>
      <c r="E879" s="26" t="s">
        <v>5430</v>
      </c>
      <c r="F879" s="27">
        <v>3722809</v>
      </c>
      <c r="G879" s="27">
        <v>0</v>
      </c>
      <c r="H879" s="27">
        <v>0</v>
      </c>
      <c r="I879" s="27">
        <v>0</v>
      </c>
      <c r="J879" s="30">
        <f t="shared" si="39"/>
        <v>0</v>
      </c>
      <c r="K879" s="30">
        <f t="shared" si="40"/>
        <v>0</v>
      </c>
      <c r="L879" s="26">
        <f t="shared" si="41"/>
        <v>0</v>
      </c>
      <c r="M879" s="26">
        <v>0</v>
      </c>
    </row>
    <row r="880" spans="1:13" ht="15" customHeight="1">
      <c r="A880" s="25" t="s">
        <v>7804</v>
      </c>
      <c r="B880" s="26" t="s">
        <v>5427</v>
      </c>
      <c r="C880" s="26" t="s">
        <v>7805</v>
      </c>
      <c r="D880" s="26" t="s">
        <v>7806</v>
      </c>
      <c r="E880" s="26" t="s">
        <v>5603</v>
      </c>
      <c r="F880" s="27">
        <v>5323150</v>
      </c>
      <c r="G880" s="27">
        <v>2</v>
      </c>
      <c r="H880" s="27">
        <v>1</v>
      </c>
      <c r="I880" s="27">
        <v>1</v>
      </c>
      <c r="J880" s="30">
        <f t="shared" si="39"/>
        <v>1</v>
      </c>
      <c r="K880" s="30">
        <f t="shared" si="40"/>
        <v>1</v>
      </c>
      <c r="L880" s="26">
        <f t="shared" si="41"/>
        <v>1</v>
      </c>
      <c r="M880" s="26" t="s">
        <v>5611</v>
      </c>
    </row>
    <row r="881" spans="1:13" ht="15" customHeight="1">
      <c r="A881" s="25" t="s">
        <v>7807</v>
      </c>
      <c r="B881" s="26" t="s">
        <v>5427</v>
      </c>
      <c r="C881" s="26" t="s">
        <v>7808</v>
      </c>
      <c r="D881" s="26" t="s">
        <v>7809</v>
      </c>
      <c r="E881" s="26" t="s">
        <v>5436</v>
      </c>
      <c r="F881" s="27">
        <v>5358636</v>
      </c>
      <c r="G881" s="27">
        <v>1</v>
      </c>
      <c r="H881" s="27">
        <v>0</v>
      </c>
      <c r="I881" s="27">
        <v>1</v>
      </c>
      <c r="J881" s="30">
        <f t="shared" si="39"/>
        <v>1</v>
      </c>
      <c r="K881" s="30">
        <f t="shared" si="40"/>
        <v>0</v>
      </c>
      <c r="L881" s="26">
        <f t="shared" si="41"/>
        <v>0</v>
      </c>
      <c r="M881" s="26"/>
    </row>
    <row r="882" spans="1:13" ht="15" customHeight="1">
      <c r="A882" s="25" t="s">
        <v>7810</v>
      </c>
      <c r="B882" s="26" t="s">
        <v>5423</v>
      </c>
      <c r="C882" s="26" t="s">
        <v>7811</v>
      </c>
      <c r="D882" s="26" t="s">
        <v>7812</v>
      </c>
      <c r="E882" s="26" t="s">
        <v>5485</v>
      </c>
      <c r="F882" s="27">
        <v>5362060</v>
      </c>
      <c r="G882" s="27">
        <v>0</v>
      </c>
      <c r="H882" s="27">
        <v>0</v>
      </c>
      <c r="I882" s="27">
        <v>0</v>
      </c>
      <c r="J882" s="30">
        <f t="shared" si="39"/>
        <v>0</v>
      </c>
      <c r="K882" s="30">
        <f t="shared" si="40"/>
        <v>0</v>
      </c>
      <c r="L882" s="26">
        <f t="shared" si="41"/>
        <v>0</v>
      </c>
      <c r="M882" s="26">
        <v>0</v>
      </c>
    </row>
    <row r="883" spans="1:13" ht="15" customHeight="1">
      <c r="A883" s="25" t="s">
        <v>7813</v>
      </c>
      <c r="B883" s="26" t="s">
        <v>5423</v>
      </c>
      <c r="C883" s="26" t="s">
        <v>7814</v>
      </c>
      <c r="D883" s="26" t="s">
        <v>7815</v>
      </c>
      <c r="E883" s="26" t="s">
        <v>5475</v>
      </c>
      <c r="F883" s="27">
        <v>5363050</v>
      </c>
      <c r="G883" s="27">
        <v>0</v>
      </c>
      <c r="H883" s="27">
        <v>0</v>
      </c>
      <c r="I883" s="27">
        <v>0</v>
      </c>
      <c r="J883" s="30">
        <f t="shared" si="39"/>
        <v>0</v>
      </c>
      <c r="K883" s="30">
        <f t="shared" si="40"/>
        <v>0</v>
      </c>
      <c r="L883" s="26">
        <f t="shared" si="41"/>
        <v>0</v>
      </c>
      <c r="M883" s="26">
        <v>0</v>
      </c>
    </row>
    <row r="884" spans="1:13" ht="15" customHeight="1">
      <c r="A884" s="25" t="s">
        <v>7816</v>
      </c>
      <c r="B884" s="26" t="s">
        <v>5427</v>
      </c>
      <c r="C884" s="26" t="s">
        <v>7817</v>
      </c>
      <c r="D884" s="26" t="s">
        <v>7818</v>
      </c>
      <c r="E884" s="26" t="s">
        <v>5550</v>
      </c>
      <c r="F884" s="27">
        <v>5255479</v>
      </c>
      <c r="G884" s="27">
        <v>2</v>
      </c>
      <c r="H884" s="27">
        <v>0</v>
      </c>
      <c r="I884" s="27">
        <v>1</v>
      </c>
      <c r="J884" s="30">
        <f t="shared" si="39"/>
        <v>1</v>
      </c>
      <c r="K884" s="30">
        <f t="shared" si="40"/>
        <v>0</v>
      </c>
      <c r="L884" s="26">
        <f t="shared" si="41"/>
        <v>0</v>
      </c>
      <c r="M884" s="26" t="s">
        <v>5611</v>
      </c>
    </row>
    <row r="885" spans="1:13" ht="15" customHeight="1">
      <c r="A885" s="25" t="s">
        <v>7819</v>
      </c>
      <c r="B885" s="26" t="s">
        <v>5423</v>
      </c>
      <c r="C885" s="26" t="s">
        <v>7820</v>
      </c>
      <c r="D885" s="26" t="s">
        <v>7821</v>
      </c>
      <c r="E885" s="26" t="s">
        <v>5485</v>
      </c>
      <c r="F885" s="27">
        <v>5368549</v>
      </c>
      <c r="G885" s="27">
        <v>1</v>
      </c>
      <c r="H885" s="27">
        <v>1</v>
      </c>
      <c r="I885" s="27">
        <v>1</v>
      </c>
      <c r="J885" s="30">
        <f t="shared" si="39"/>
        <v>1</v>
      </c>
      <c r="K885" s="30">
        <f t="shared" si="40"/>
        <v>1</v>
      </c>
      <c r="L885" s="26">
        <f t="shared" si="41"/>
        <v>1</v>
      </c>
      <c r="M885" s="26"/>
    </row>
    <row r="886" spans="1:13" ht="15" customHeight="1">
      <c r="A886" s="25" t="s">
        <v>7822</v>
      </c>
      <c r="B886" s="26" t="s">
        <v>5427</v>
      </c>
      <c r="C886" s="26" t="s">
        <v>7823</v>
      </c>
      <c r="D886" s="26" t="s">
        <v>7824</v>
      </c>
      <c r="E886" s="26" t="s">
        <v>5545</v>
      </c>
      <c r="F886" s="27">
        <v>5360234</v>
      </c>
      <c r="G886" s="27">
        <v>0</v>
      </c>
      <c r="H886" s="27">
        <v>1</v>
      </c>
      <c r="I886" s="27">
        <v>1</v>
      </c>
      <c r="J886" s="30">
        <f t="shared" si="39"/>
        <v>0</v>
      </c>
      <c r="K886" s="30">
        <f t="shared" si="40"/>
        <v>1</v>
      </c>
      <c r="L886" s="26">
        <f t="shared" si="41"/>
        <v>0</v>
      </c>
      <c r="M886" s="26"/>
    </row>
    <row r="887" spans="1:13" ht="15" customHeight="1">
      <c r="A887" s="25" t="s">
        <v>7825</v>
      </c>
      <c r="B887" s="26" t="s">
        <v>5427</v>
      </c>
      <c r="C887" s="26" t="s">
        <v>7826</v>
      </c>
      <c r="D887" s="26" t="s">
        <v>7827</v>
      </c>
      <c r="E887" s="26" t="s">
        <v>5532</v>
      </c>
      <c r="F887" s="27">
        <v>5348273</v>
      </c>
      <c r="G887" s="27">
        <v>1</v>
      </c>
      <c r="H887" s="27">
        <v>0</v>
      </c>
      <c r="I887" s="27">
        <v>1</v>
      </c>
      <c r="J887" s="30">
        <f t="shared" si="39"/>
        <v>1</v>
      </c>
      <c r="K887" s="30">
        <f t="shared" si="40"/>
        <v>0</v>
      </c>
      <c r="L887" s="26">
        <f t="shared" si="41"/>
        <v>0</v>
      </c>
      <c r="M887" s="26"/>
    </row>
    <row r="888" spans="1:13" ht="15" customHeight="1">
      <c r="A888" s="25" t="s">
        <v>7828</v>
      </c>
      <c r="B888" s="26" t="s">
        <v>5427</v>
      </c>
      <c r="C888" s="26" t="s">
        <v>7829</v>
      </c>
      <c r="D888" s="26" t="s">
        <v>7830</v>
      </c>
      <c r="E888" s="26" t="s">
        <v>5683</v>
      </c>
      <c r="F888" s="27">
        <v>5317477</v>
      </c>
      <c r="G888" s="27">
        <v>1</v>
      </c>
      <c r="H888" s="27">
        <v>0</v>
      </c>
      <c r="I888" s="27">
        <v>1</v>
      </c>
      <c r="J888" s="30">
        <f t="shared" si="39"/>
        <v>1</v>
      </c>
      <c r="K888" s="30">
        <f t="shared" si="40"/>
        <v>0</v>
      </c>
      <c r="L888" s="26">
        <f t="shared" si="41"/>
        <v>0</v>
      </c>
      <c r="M888" s="26"/>
    </row>
    <row r="889" spans="1:13" ht="15" customHeight="1">
      <c r="A889" s="25" t="s">
        <v>7831</v>
      </c>
      <c r="B889" s="26" t="s">
        <v>5423</v>
      </c>
      <c r="C889" s="26" t="s">
        <v>7832</v>
      </c>
      <c r="D889" s="26" t="s">
        <v>7833</v>
      </c>
      <c r="E889" s="26" t="s">
        <v>5540</v>
      </c>
      <c r="F889" s="27">
        <v>5369544</v>
      </c>
      <c r="G889" s="27">
        <v>1</v>
      </c>
      <c r="H889" s="27">
        <v>1</v>
      </c>
      <c r="I889" s="27">
        <v>1</v>
      </c>
      <c r="J889" s="30">
        <f t="shared" si="39"/>
        <v>1</v>
      </c>
      <c r="K889" s="30">
        <f t="shared" si="40"/>
        <v>1</v>
      </c>
      <c r="L889" s="26">
        <f t="shared" si="41"/>
        <v>1</v>
      </c>
      <c r="M889" s="26"/>
    </row>
    <row r="890" spans="1:13" ht="15" customHeight="1">
      <c r="A890" s="25" t="s">
        <v>7834</v>
      </c>
      <c r="B890" s="26" t="s">
        <v>5423</v>
      </c>
      <c r="C890" s="26" t="s">
        <v>7835</v>
      </c>
      <c r="D890" s="26" t="s">
        <v>7836</v>
      </c>
      <c r="E890" s="26" t="s">
        <v>5491</v>
      </c>
      <c r="F890" s="27">
        <v>5250076</v>
      </c>
      <c r="G890" s="27">
        <v>1</v>
      </c>
      <c r="H890" s="27">
        <v>1</v>
      </c>
      <c r="I890" s="27">
        <v>1</v>
      </c>
      <c r="J890" s="30">
        <f t="shared" si="39"/>
        <v>1</v>
      </c>
      <c r="K890" s="30">
        <f t="shared" si="40"/>
        <v>1</v>
      </c>
      <c r="L890" s="26">
        <f t="shared" si="41"/>
        <v>1</v>
      </c>
      <c r="M890" s="26"/>
    </row>
    <row r="891" spans="1:13" ht="15" customHeight="1">
      <c r="A891" s="25" t="s">
        <v>7837</v>
      </c>
      <c r="B891" s="26" t="s">
        <v>5423</v>
      </c>
      <c r="C891" s="26" t="s">
        <v>7838</v>
      </c>
      <c r="D891" s="26" t="s">
        <v>7839</v>
      </c>
      <c r="E891" s="26" t="s">
        <v>5452</v>
      </c>
      <c r="F891" s="27">
        <v>2462099</v>
      </c>
      <c r="G891" s="27">
        <v>1</v>
      </c>
      <c r="H891" s="27">
        <v>0</v>
      </c>
      <c r="I891" s="27">
        <v>1</v>
      </c>
      <c r="J891" s="30">
        <f t="shared" si="39"/>
        <v>1</v>
      </c>
      <c r="K891" s="30">
        <f t="shared" si="40"/>
        <v>0</v>
      </c>
      <c r="L891" s="26">
        <f t="shared" si="41"/>
        <v>0</v>
      </c>
      <c r="M891" s="26"/>
    </row>
    <row r="892" spans="1:13" ht="15" customHeight="1">
      <c r="A892" s="25" t="s">
        <v>7840</v>
      </c>
      <c r="B892" s="26" t="s">
        <v>5427</v>
      </c>
      <c r="C892" s="26" t="s">
        <v>7841</v>
      </c>
      <c r="D892" s="26" t="s">
        <v>7842</v>
      </c>
      <c r="E892" s="26" t="s">
        <v>5540</v>
      </c>
      <c r="F892" s="27">
        <v>5329552</v>
      </c>
      <c r="G892" s="27">
        <v>1</v>
      </c>
      <c r="H892" s="27">
        <v>1</v>
      </c>
      <c r="I892" s="27">
        <v>1</v>
      </c>
      <c r="J892" s="30">
        <f t="shared" si="39"/>
        <v>1</v>
      </c>
      <c r="K892" s="30">
        <f t="shared" si="40"/>
        <v>1</v>
      </c>
      <c r="L892" s="26">
        <f t="shared" si="41"/>
        <v>1</v>
      </c>
      <c r="M892" s="26"/>
    </row>
    <row r="893" spans="1:13" ht="15" customHeight="1">
      <c r="A893" s="25" t="s">
        <v>7843</v>
      </c>
      <c r="B893" s="26" t="s">
        <v>5423</v>
      </c>
      <c r="C893" s="26" t="s">
        <v>7844</v>
      </c>
      <c r="D893" s="26" t="s">
        <v>7845</v>
      </c>
      <c r="E893" s="26" t="s">
        <v>5442</v>
      </c>
      <c r="F893" s="27">
        <v>5246070</v>
      </c>
      <c r="G893" s="27">
        <v>0</v>
      </c>
      <c r="H893" s="27">
        <v>0</v>
      </c>
      <c r="I893" s="27">
        <v>0</v>
      </c>
      <c r="J893" s="30">
        <f t="shared" si="39"/>
        <v>0</v>
      </c>
      <c r="K893" s="30">
        <f t="shared" si="40"/>
        <v>0</v>
      </c>
      <c r="L893" s="26">
        <f t="shared" si="41"/>
        <v>0</v>
      </c>
      <c r="M893" s="26" t="s">
        <v>7846</v>
      </c>
    </row>
    <row r="894" spans="1:13" ht="15" customHeight="1">
      <c r="A894" s="25" t="s">
        <v>7847</v>
      </c>
      <c r="B894" s="26" t="s">
        <v>5423</v>
      </c>
      <c r="C894" s="26" t="s">
        <v>7848</v>
      </c>
      <c r="D894" s="26" t="s">
        <v>7849</v>
      </c>
      <c r="E894" s="26" t="s">
        <v>5426</v>
      </c>
      <c r="F894" s="27">
        <v>5357217</v>
      </c>
      <c r="G894" s="27">
        <v>1</v>
      </c>
      <c r="H894" s="27">
        <v>0</v>
      </c>
      <c r="I894" s="27">
        <v>1</v>
      </c>
      <c r="J894" s="30">
        <f t="shared" si="39"/>
        <v>1</v>
      </c>
      <c r="K894" s="30">
        <f t="shared" si="40"/>
        <v>0</v>
      </c>
      <c r="L894" s="26">
        <f t="shared" si="41"/>
        <v>0</v>
      </c>
      <c r="M894" s="26"/>
    </row>
    <row r="895" spans="1:13" ht="15" customHeight="1">
      <c r="A895" s="25" t="s">
        <v>7850</v>
      </c>
      <c r="B895" s="26" t="s">
        <v>5427</v>
      </c>
      <c r="C895" s="26" t="s">
        <v>7851</v>
      </c>
      <c r="D895" s="26" t="s">
        <v>7852</v>
      </c>
      <c r="E895" s="26" t="s">
        <v>5426</v>
      </c>
      <c r="F895" s="27">
        <v>5367287</v>
      </c>
      <c r="G895" s="27">
        <v>0</v>
      </c>
      <c r="H895" s="27">
        <v>0</v>
      </c>
      <c r="I895" s="27">
        <v>0</v>
      </c>
      <c r="J895" s="30">
        <f t="shared" si="39"/>
        <v>0</v>
      </c>
      <c r="K895" s="30">
        <f t="shared" si="40"/>
        <v>0</v>
      </c>
      <c r="L895" s="26">
        <f t="shared" si="41"/>
        <v>0</v>
      </c>
      <c r="M895" s="26">
        <v>0</v>
      </c>
    </row>
    <row r="896" spans="1:13" ht="15" customHeight="1">
      <c r="A896" s="25" t="s">
        <v>7853</v>
      </c>
      <c r="B896" s="26" t="s">
        <v>5423</v>
      </c>
      <c r="C896" s="26" t="s">
        <v>7854</v>
      </c>
      <c r="D896" s="26" t="s">
        <v>7855</v>
      </c>
      <c r="E896" s="26" t="s">
        <v>5447</v>
      </c>
      <c r="F896" s="27">
        <v>5371298</v>
      </c>
      <c r="G896" s="27">
        <v>0</v>
      </c>
      <c r="H896" s="27">
        <v>1</v>
      </c>
      <c r="I896" s="27">
        <v>1</v>
      </c>
      <c r="J896" s="30">
        <f t="shared" si="39"/>
        <v>0</v>
      </c>
      <c r="K896" s="30">
        <f t="shared" si="40"/>
        <v>1</v>
      </c>
      <c r="L896" s="26">
        <f t="shared" si="41"/>
        <v>0</v>
      </c>
      <c r="M896" s="26"/>
    </row>
    <row r="897" spans="1:13" ht="15" customHeight="1">
      <c r="A897" s="25" t="s">
        <v>7856</v>
      </c>
      <c r="B897" s="26" t="s">
        <v>5427</v>
      </c>
      <c r="C897" s="26" t="s">
        <v>7857</v>
      </c>
      <c r="D897" s="26" t="s">
        <v>7858</v>
      </c>
      <c r="E897" s="26" t="s">
        <v>5535</v>
      </c>
      <c r="F897" s="27">
        <v>5368435</v>
      </c>
      <c r="G897" s="27">
        <v>0</v>
      </c>
      <c r="H897" s="27">
        <v>0</v>
      </c>
      <c r="I897" s="27">
        <v>0</v>
      </c>
      <c r="J897" s="30">
        <f t="shared" si="39"/>
        <v>0</v>
      </c>
      <c r="K897" s="30">
        <f t="shared" si="40"/>
        <v>0</v>
      </c>
      <c r="L897" s="26">
        <f t="shared" si="41"/>
        <v>0</v>
      </c>
      <c r="M897" s="26">
        <v>0</v>
      </c>
    </row>
    <row r="898" spans="1:13" ht="15" customHeight="1">
      <c r="A898" s="25" t="s">
        <v>7859</v>
      </c>
      <c r="B898" s="26" t="s">
        <v>5423</v>
      </c>
      <c r="C898" s="26" t="s">
        <v>7860</v>
      </c>
      <c r="D898" s="26" t="s">
        <v>7861</v>
      </c>
      <c r="E898" s="26" t="s">
        <v>5517</v>
      </c>
      <c r="F898" s="27">
        <v>5369980</v>
      </c>
      <c r="G898" s="27">
        <v>0</v>
      </c>
      <c r="H898" s="27">
        <v>0</v>
      </c>
      <c r="I898" s="27">
        <v>0</v>
      </c>
      <c r="J898" s="30">
        <f t="shared" ref="J898:J961" si="42">IF(G898&gt;0,1,0)</f>
        <v>0</v>
      </c>
      <c r="K898" s="30">
        <f t="shared" ref="K898:K961" si="43">IF(H898&gt;0,1,0)</f>
        <v>0</v>
      </c>
      <c r="L898" s="26">
        <f t="shared" ref="L898:L961" si="44">IF(G898&gt;0,IF(H898&gt;0,1,0),0)</f>
        <v>0</v>
      </c>
      <c r="M898" s="26">
        <v>0</v>
      </c>
    </row>
    <row r="899" spans="1:13" ht="15" customHeight="1">
      <c r="A899" s="25" t="s">
        <v>7862</v>
      </c>
      <c r="B899" s="26" t="s">
        <v>5423</v>
      </c>
      <c r="C899" s="26" t="s">
        <v>7863</v>
      </c>
      <c r="D899" s="26" t="s">
        <v>7864</v>
      </c>
      <c r="E899" s="26" t="s">
        <v>5455</v>
      </c>
      <c r="F899" s="27">
        <v>5368000</v>
      </c>
      <c r="G899" s="27">
        <v>0</v>
      </c>
      <c r="H899" s="27">
        <v>0</v>
      </c>
      <c r="I899" s="27">
        <v>0</v>
      </c>
      <c r="J899" s="30">
        <f t="shared" si="42"/>
        <v>0</v>
      </c>
      <c r="K899" s="30">
        <f t="shared" si="43"/>
        <v>0</v>
      </c>
      <c r="L899" s="26">
        <f t="shared" si="44"/>
        <v>0</v>
      </c>
      <c r="M899" s="26">
        <v>0</v>
      </c>
    </row>
    <row r="900" spans="1:13" ht="15" customHeight="1">
      <c r="A900" s="25" t="s">
        <v>7865</v>
      </c>
      <c r="B900" s="26" t="s">
        <v>5423</v>
      </c>
      <c r="C900" s="26" t="s">
        <v>7866</v>
      </c>
      <c r="D900" s="26" t="s">
        <v>7867</v>
      </c>
      <c r="E900" s="26" t="s">
        <v>5504</v>
      </c>
      <c r="F900" s="27">
        <v>5366231</v>
      </c>
      <c r="G900" s="27">
        <v>1</v>
      </c>
      <c r="H900" s="27">
        <v>1</v>
      </c>
      <c r="I900" s="27">
        <v>1</v>
      </c>
      <c r="J900" s="30">
        <f t="shared" si="42"/>
        <v>1</v>
      </c>
      <c r="K900" s="30">
        <f t="shared" si="43"/>
        <v>1</v>
      </c>
      <c r="L900" s="26">
        <f t="shared" si="44"/>
        <v>1</v>
      </c>
      <c r="M900" s="26"/>
    </row>
    <row r="901" spans="1:13" ht="15" customHeight="1">
      <c r="A901" s="25" t="s">
        <v>7868</v>
      </c>
      <c r="B901" s="26" t="s">
        <v>5423</v>
      </c>
      <c r="C901" s="26" t="s">
        <v>7869</v>
      </c>
      <c r="D901" s="26" t="s">
        <v>7870</v>
      </c>
      <c r="E901" s="26" t="s">
        <v>5452</v>
      </c>
      <c r="F901" s="27">
        <v>5371195</v>
      </c>
      <c r="G901" s="27">
        <v>0</v>
      </c>
      <c r="H901" s="27">
        <v>0</v>
      </c>
      <c r="I901" s="27">
        <v>0</v>
      </c>
      <c r="J901" s="30">
        <f t="shared" si="42"/>
        <v>0</v>
      </c>
      <c r="K901" s="30">
        <f t="shared" si="43"/>
        <v>0</v>
      </c>
      <c r="L901" s="26">
        <f t="shared" si="44"/>
        <v>0</v>
      </c>
      <c r="M901" s="26">
        <v>0</v>
      </c>
    </row>
    <row r="902" spans="1:13" ht="15" customHeight="1">
      <c r="A902" s="25" t="s">
        <v>7871</v>
      </c>
      <c r="B902" s="26" t="s">
        <v>5423</v>
      </c>
      <c r="C902" s="26" t="s">
        <v>7872</v>
      </c>
      <c r="D902" s="26" t="s">
        <v>7873</v>
      </c>
      <c r="E902" s="26" t="s">
        <v>5522</v>
      </c>
      <c r="F902" s="27">
        <v>2555898</v>
      </c>
      <c r="G902" s="27">
        <v>1</v>
      </c>
      <c r="H902" s="27">
        <v>0</v>
      </c>
      <c r="I902" s="27">
        <v>1</v>
      </c>
      <c r="J902" s="30">
        <f t="shared" si="42"/>
        <v>1</v>
      </c>
      <c r="K902" s="30">
        <f t="shared" si="43"/>
        <v>0</v>
      </c>
      <c r="L902" s="26">
        <f t="shared" si="44"/>
        <v>0</v>
      </c>
      <c r="M902" s="26"/>
    </row>
    <row r="903" spans="1:13" ht="15" customHeight="1">
      <c r="A903" s="25" t="s">
        <v>7874</v>
      </c>
      <c r="B903" s="26" t="s">
        <v>5423</v>
      </c>
      <c r="C903" s="26" t="s">
        <v>7875</v>
      </c>
      <c r="D903" s="26" t="s">
        <v>7876</v>
      </c>
      <c r="E903" s="26" t="s">
        <v>7877</v>
      </c>
      <c r="F903" s="27">
        <v>5056068</v>
      </c>
      <c r="G903" s="27">
        <v>0</v>
      </c>
      <c r="H903" s="27">
        <v>0</v>
      </c>
      <c r="I903" s="27">
        <v>0</v>
      </c>
      <c r="J903" s="30">
        <f t="shared" si="42"/>
        <v>0</v>
      </c>
      <c r="K903" s="30">
        <f t="shared" si="43"/>
        <v>0</v>
      </c>
      <c r="L903" s="26">
        <f t="shared" si="44"/>
        <v>0</v>
      </c>
      <c r="M903" s="26">
        <v>0</v>
      </c>
    </row>
    <row r="904" spans="1:13" ht="15" customHeight="1">
      <c r="A904" s="25" t="s">
        <v>7878</v>
      </c>
      <c r="B904" s="26" t="s">
        <v>5427</v>
      </c>
      <c r="C904" s="26" t="s">
        <v>7879</v>
      </c>
      <c r="D904" s="26" t="s">
        <v>7880</v>
      </c>
      <c r="E904" s="26" t="s">
        <v>5586</v>
      </c>
      <c r="F904" s="27">
        <v>5373027</v>
      </c>
      <c r="G904" s="27">
        <v>1</v>
      </c>
      <c r="H904" s="27">
        <v>0</v>
      </c>
      <c r="I904" s="27">
        <v>1</v>
      </c>
      <c r="J904" s="30">
        <f t="shared" si="42"/>
        <v>1</v>
      </c>
      <c r="K904" s="30">
        <f t="shared" si="43"/>
        <v>0</v>
      </c>
      <c r="L904" s="26">
        <f t="shared" si="44"/>
        <v>0</v>
      </c>
      <c r="M904" s="26"/>
    </row>
    <row r="905" spans="1:13" ht="15" customHeight="1">
      <c r="A905" s="25" t="s">
        <v>7881</v>
      </c>
      <c r="B905" s="26" t="s">
        <v>5423</v>
      </c>
      <c r="C905" s="26" t="s">
        <v>7882</v>
      </c>
      <c r="D905" s="26" t="s">
        <v>7883</v>
      </c>
      <c r="E905" s="26" t="s">
        <v>5480</v>
      </c>
      <c r="F905" s="27">
        <v>1298771</v>
      </c>
      <c r="G905" s="27">
        <v>1</v>
      </c>
      <c r="H905" s="27">
        <v>0</v>
      </c>
      <c r="I905" s="27">
        <v>1</v>
      </c>
      <c r="J905" s="30">
        <f t="shared" si="42"/>
        <v>1</v>
      </c>
      <c r="K905" s="30">
        <f t="shared" si="43"/>
        <v>0</v>
      </c>
      <c r="L905" s="26">
        <f t="shared" si="44"/>
        <v>0</v>
      </c>
      <c r="M905" s="26"/>
    </row>
    <row r="906" spans="1:13" ht="15" customHeight="1">
      <c r="A906" s="25" t="s">
        <v>7884</v>
      </c>
      <c r="B906" s="26" t="s">
        <v>5423</v>
      </c>
      <c r="C906" s="26" t="s">
        <v>7885</v>
      </c>
      <c r="D906" s="26" t="s">
        <v>7886</v>
      </c>
      <c r="E906" s="26" t="s">
        <v>5679</v>
      </c>
      <c r="F906" s="27">
        <v>5374216</v>
      </c>
      <c r="G906" s="27">
        <v>1</v>
      </c>
      <c r="H906" s="27">
        <v>1</v>
      </c>
      <c r="I906" s="27">
        <v>1</v>
      </c>
      <c r="J906" s="30">
        <f t="shared" si="42"/>
        <v>1</v>
      </c>
      <c r="K906" s="30">
        <f t="shared" si="43"/>
        <v>1</v>
      </c>
      <c r="L906" s="26">
        <f t="shared" si="44"/>
        <v>1</v>
      </c>
      <c r="M906" s="26"/>
    </row>
    <row r="907" spans="1:13" ht="15" customHeight="1">
      <c r="A907" s="25" t="s">
        <v>7887</v>
      </c>
      <c r="B907" s="26" t="s">
        <v>5427</v>
      </c>
      <c r="C907" s="26" t="s">
        <v>7888</v>
      </c>
      <c r="D907" s="26" t="s">
        <v>7889</v>
      </c>
      <c r="E907" s="26" t="s">
        <v>5504</v>
      </c>
      <c r="F907" s="27">
        <v>5380087</v>
      </c>
      <c r="G907" s="27">
        <v>0</v>
      </c>
      <c r="H907" s="27">
        <v>0</v>
      </c>
      <c r="I907" s="27">
        <v>0</v>
      </c>
      <c r="J907" s="30">
        <f t="shared" si="42"/>
        <v>0</v>
      </c>
      <c r="K907" s="30">
        <f t="shared" si="43"/>
        <v>0</v>
      </c>
      <c r="L907" s="26">
        <f t="shared" si="44"/>
        <v>0</v>
      </c>
      <c r="M907" s="26">
        <v>0</v>
      </c>
    </row>
    <row r="908" spans="1:13" ht="15" customHeight="1">
      <c r="A908" s="25" t="s">
        <v>7890</v>
      </c>
      <c r="B908" s="26" t="s">
        <v>5423</v>
      </c>
      <c r="C908" s="26" t="s">
        <v>7891</v>
      </c>
      <c r="D908" s="26" t="s">
        <v>7892</v>
      </c>
      <c r="E908" s="26" t="s">
        <v>5603</v>
      </c>
      <c r="F908" s="27">
        <v>5377649</v>
      </c>
      <c r="G908" s="27">
        <v>0</v>
      </c>
      <c r="H908" s="27">
        <v>0</v>
      </c>
      <c r="I908" s="27">
        <v>0</v>
      </c>
      <c r="J908" s="30">
        <f t="shared" si="42"/>
        <v>0</v>
      </c>
      <c r="K908" s="30">
        <f t="shared" si="43"/>
        <v>0</v>
      </c>
      <c r="L908" s="26">
        <f t="shared" si="44"/>
        <v>0</v>
      </c>
      <c r="M908" s="26">
        <v>0</v>
      </c>
    </row>
    <row r="909" spans="1:13" ht="15" customHeight="1">
      <c r="A909" s="25" t="s">
        <v>7893</v>
      </c>
      <c r="B909" s="26" t="s">
        <v>5423</v>
      </c>
      <c r="C909" s="26" t="s">
        <v>7894</v>
      </c>
      <c r="D909" s="26" t="s">
        <v>7895</v>
      </c>
      <c r="E909" s="26" t="s">
        <v>5540</v>
      </c>
      <c r="F909" s="27">
        <v>5373340</v>
      </c>
      <c r="G909" s="27">
        <v>1</v>
      </c>
      <c r="H909" s="27">
        <v>0</v>
      </c>
      <c r="I909" s="27">
        <v>1</v>
      </c>
      <c r="J909" s="30">
        <f t="shared" si="42"/>
        <v>1</v>
      </c>
      <c r="K909" s="30">
        <f t="shared" si="43"/>
        <v>0</v>
      </c>
      <c r="L909" s="26">
        <f t="shared" si="44"/>
        <v>0</v>
      </c>
      <c r="M909" s="26"/>
    </row>
    <row r="910" spans="1:13" ht="15" customHeight="1">
      <c r="A910" s="25" t="s">
        <v>7896</v>
      </c>
      <c r="B910" s="26" t="s">
        <v>5423</v>
      </c>
      <c r="C910" s="26" t="s">
        <v>7897</v>
      </c>
      <c r="D910" s="26" t="s">
        <v>7898</v>
      </c>
      <c r="E910" s="26" t="s">
        <v>5560</v>
      </c>
      <c r="F910" s="27">
        <v>5380095</v>
      </c>
      <c r="G910" s="27">
        <v>0</v>
      </c>
      <c r="H910" s="27">
        <v>0</v>
      </c>
      <c r="I910" s="27">
        <v>0</v>
      </c>
      <c r="J910" s="30">
        <f t="shared" si="42"/>
        <v>0</v>
      </c>
      <c r="K910" s="30">
        <f t="shared" si="43"/>
        <v>0</v>
      </c>
      <c r="L910" s="26">
        <f t="shared" si="44"/>
        <v>0</v>
      </c>
      <c r="M910" s="26">
        <v>0</v>
      </c>
    </row>
    <row r="911" spans="1:13" ht="15" customHeight="1">
      <c r="A911" s="25" t="s">
        <v>7899</v>
      </c>
      <c r="B911" s="26" t="s">
        <v>5423</v>
      </c>
      <c r="C911" s="26" t="s">
        <v>7900</v>
      </c>
      <c r="D911" s="26" t="s">
        <v>7901</v>
      </c>
      <c r="E911" s="26" t="s">
        <v>5442</v>
      </c>
      <c r="F911" s="27">
        <v>5288677</v>
      </c>
      <c r="G911" s="27">
        <v>1</v>
      </c>
      <c r="H911" s="27">
        <v>0</v>
      </c>
      <c r="I911" s="27">
        <v>1</v>
      </c>
      <c r="J911" s="30">
        <f t="shared" si="42"/>
        <v>1</v>
      </c>
      <c r="K911" s="30">
        <f t="shared" si="43"/>
        <v>0</v>
      </c>
      <c r="L911" s="26">
        <f t="shared" si="44"/>
        <v>0</v>
      </c>
      <c r="M911" s="26"/>
    </row>
    <row r="912" spans="1:13" ht="15" customHeight="1">
      <c r="A912" s="25">
        <v>1514674</v>
      </c>
      <c r="B912" s="26" t="s">
        <v>5423</v>
      </c>
      <c r="C912" s="26" t="s">
        <v>7902</v>
      </c>
      <c r="D912" s="26" t="s">
        <v>7903</v>
      </c>
      <c r="E912" s="26" t="s">
        <v>5491</v>
      </c>
      <c r="F912" s="27">
        <v>4775622</v>
      </c>
      <c r="G912" s="27">
        <v>0</v>
      </c>
      <c r="H912" s="27">
        <v>0</v>
      </c>
      <c r="I912" s="27">
        <v>0</v>
      </c>
      <c r="J912" s="30">
        <f t="shared" si="42"/>
        <v>0</v>
      </c>
      <c r="K912" s="30">
        <f t="shared" si="43"/>
        <v>0</v>
      </c>
      <c r="L912" s="26">
        <f t="shared" si="44"/>
        <v>0</v>
      </c>
      <c r="M912" s="26">
        <v>0</v>
      </c>
    </row>
    <row r="913" spans="1:13" ht="15" customHeight="1">
      <c r="A913" s="25">
        <v>1514680</v>
      </c>
      <c r="B913" s="26" t="s">
        <v>5423</v>
      </c>
      <c r="C913" s="26" t="s">
        <v>7904</v>
      </c>
      <c r="D913" s="26" t="s">
        <v>7905</v>
      </c>
      <c r="E913" s="26" t="s">
        <v>5514</v>
      </c>
      <c r="F913" s="27">
        <v>5377650</v>
      </c>
      <c r="G913" s="27">
        <v>0</v>
      </c>
      <c r="H913" s="27">
        <v>0</v>
      </c>
      <c r="I913" s="27">
        <v>0</v>
      </c>
      <c r="J913" s="30">
        <f t="shared" si="42"/>
        <v>0</v>
      </c>
      <c r="K913" s="30">
        <f t="shared" si="43"/>
        <v>0</v>
      </c>
      <c r="L913" s="26">
        <f t="shared" si="44"/>
        <v>0</v>
      </c>
      <c r="M913" s="26">
        <v>0</v>
      </c>
    </row>
    <row r="914" spans="1:13" ht="15" customHeight="1">
      <c r="A914" s="25">
        <v>1514835</v>
      </c>
      <c r="B914" s="26" t="s">
        <v>5427</v>
      </c>
      <c r="C914" s="26" t="s">
        <v>7906</v>
      </c>
      <c r="D914" s="26" t="s">
        <v>7907</v>
      </c>
      <c r="E914" s="26" t="s">
        <v>5654</v>
      </c>
      <c r="F914" s="27">
        <v>5377514</v>
      </c>
      <c r="G914" s="27">
        <v>1</v>
      </c>
      <c r="H914" s="27">
        <v>0</v>
      </c>
      <c r="I914" s="27">
        <v>1</v>
      </c>
      <c r="J914" s="30">
        <f t="shared" si="42"/>
        <v>1</v>
      </c>
      <c r="K914" s="30">
        <f t="shared" si="43"/>
        <v>0</v>
      </c>
      <c r="L914" s="26">
        <f t="shared" si="44"/>
        <v>0</v>
      </c>
      <c r="M914" s="26"/>
    </row>
    <row r="915" spans="1:13" ht="15" customHeight="1">
      <c r="A915" s="25">
        <v>1514932</v>
      </c>
      <c r="B915" s="26" t="s">
        <v>5427</v>
      </c>
      <c r="C915" s="26" t="s">
        <v>7908</v>
      </c>
      <c r="D915" s="26" t="s">
        <v>7909</v>
      </c>
      <c r="E915" s="26" t="s">
        <v>5718</v>
      </c>
      <c r="F915" s="27">
        <v>5270252</v>
      </c>
      <c r="G915" s="27">
        <v>1</v>
      </c>
      <c r="H915" s="27">
        <v>1</v>
      </c>
      <c r="I915" s="27">
        <v>1</v>
      </c>
      <c r="J915" s="30">
        <f t="shared" si="42"/>
        <v>1</v>
      </c>
      <c r="K915" s="30">
        <f t="shared" si="43"/>
        <v>1</v>
      </c>
      <c r="L915" s="26">
        <f t="shared" si="44"/>
        <v>1</v>
      </c>
      <c r="M915" s="26" t="s">
        <v>7910</v>
      </c>
    </row>
    <row r="916" spans="1:13" ht="15" customHeight="1">
      <c r="A916" s="25">
        <v>1514957</v>
      </c>
      <c r="B916" s="26" t="s">
        <v>5423</v>
      </c>
      <c r="C916" s="26" t="s">
        <v>7911</v>
      </c>
      <c r="D916" s="26" t="s">
        <v>7912</v>
      </c>
      <c r="E916" s="26" t="s">
        <v>5540</v>
      </c>
      <c r="F916" s="27">
        <v>5377452</v>
      </c>
      <c r="G916" s="27">
        <v>1</v>
      </c>
      <c r="H916" s="27">
        <v>0</v>
      </c>
      <c r="I916" s="27">
        <v>1</v>
      </c>
      <c r="J916" s="30">
        <f t="shared" si="42"/>
        <v>1</v>
      </c>
      <c r="K916" s="30">
        <f t="shared" si="43"/>
        <v>0</v>
      </c>
      <c r="L916" s="26">
        <f t="shared" si="44"/>
        <v>0</v>
      </c>
      <c r="M916" s="26"/>
    </row>
    <row r="917" spans="1:13" ht="15" customHeight="1">
      <c r="A917" s="25">
        <v>1514958</v>
      </c>
      <c r="B917" s="26" t="s">
        <v>5423</v>
      </c>
      <c r="C917" s="26" t="s">
        <v>7913</v>
      </c>
      <c r="D917" s="26" t="s">
        <v>7914</v>
      </c>
      <c r="E917" s="26" t="s">
        <v>5683</v>
      </c>
      <c r="F917" s="27">
        <v>5373628</v>
      </c>
      <c r="G917" s="27">
        <v>1</v>
      </c>
      <c r="H917" s="27">
        <v>1</v>
      </c>
      <c r="I917" s="27">
        <v>1</v>
      </c>
      <c r="J917" s="30">
        <f t="shared" si="42"/>
        <v>1</v>
      </c>
      <c r="K917" s="30">
        <f t="shared" si="43"/>
        <v>1</v>
      </c>
      <c r="L917" s="26">
        <f t="shared" si="44"/>
        <v>1</v>
      </c>
      <c r="M917" s="26"/>
    </row>
    <row r="918" spans="1:13" ht="15" customHeight="1">
      <c r="A918" s="25">
        <v>1514964</v>
      </c>
      <c r="B918" s="26" t="s">
        <v>5427</v>
      </c>
      <c r="C918" s="26" t="s">
        <v>7915</v>
      </c>
      <c r="D918" s="26" t="s">
        <v>7916</v>
      </c>
      <c r="E918" s="26" t="s">
        <v>5540</v>
      </c>
      <c r="F918" s="27">
        <v>1458883</v>
      </c>
      <c r="G918" s="27">
        <v>1</v>
      </c>
      <c r="H918" s="27">
        <v>1</v>
      </c>
      <c r="I918" s="27">
        <v>1</v>
      </c>
      <c r="J918" s="30">
        <f t="shared" si="42"/>
        <v>1</v>
      </c>
      <c r="K918" s="30">
        <f t="shared" si="43"/>
        <v>1</v>
      </c>
      <c r="L918" s="26">
        <f t="shared" si="44"/>
        <v>1</v>
      </c>
      <c r="M918" s="26"/>
    </row>
    <row r="919" spans="1:13" ht="15" customHeight="1">
      <c r="A919" s="25">
        <v>1515005</v>
      </c>
      <c r="B919" s="26" t="s">
        <v>5423</v>
      </c>
      <c r="C919" s="26" t="s">
        <v>7917</v>
      </c>
      <c r="D919" s="26" t="s">
        <v>7918</v>
      </c>
      <c r="E919" s="26" t="s">
        <v>5480</v>
      </c>
      <c r="F919" s="27">
        <v>5377582</v>
      </c>
      <c r="G919" s="27">
        <v>1</v>
      </c>
      <c r="H919" s="27">
        <v>0</v>
      </c>
      <c r="I919" s="27">
        <v>1</v>
      </c>
      <c r="J919" s="30">
        <f t="shared" si="42"/>
        <v>1</v>
      </c>
      <c r="K919" s="30">
        <f t="shared" si="43"/>
        <v>0</v>
      </c>
      <c r="L919" s="26">
        <f t="shared" si="44"/>
        <v>0</v>
      </c>
      <c r="M919" s="26"/>
    </row>
    <row r="920" spans="1:13" ht="15" customHeight="1">
      <c r="A920" s="25">
        <v>1515371</v>
      </c>
      <c r="B920" s="26" t="s">
        <v>5423</v>
      </c>
      <c r="C920" s="26" t="s">
        <v>7919</v>
      </c>
      <c r="D920" s="26" t="s">
        <v>7920</v>
      </c>
      <c r="E920" s="26" t="s">
        <v>5455</v>
      </c>
      <c r="F920" s="27">
        <v>5380285</v>
      </c>
      <c r="G920" s="27">
        <v>0</v>
      </c>
      <c r="H920" s="27">
        <v>1</v>
      </c>
      <c r="I920" s="27">
        <v>1</v>
      </c>
      <c r="J920" s="30">
        <f t="shared" si="42"/>
        <v>0</v>
      </c>
      <c r="K920" s="30">
        <f t="shared" si="43"/>
        <v>1</v>
      </c>
      <c r="L920" s="26">
        <f t="shared" si="44"/>
        <v>0</v>
      </c>
      <c r="M920" s="26"/>
    </row>
    <row r="921" spans="1:13" ht="15" customHeight="1">
      <c r="A921" s="25">
        <v>1515452</v>
      </c>
      <c r="B921" s="26" t="s">
        <v>5427</v>
      </c>
      <c r="C921" s="26" t="s">
        <v>7921</v>
      </c>
      <c r="D921" s="26" t="s">
        <v>7922</v>
      </c>
      <c r="E921" s="26" t="s">
        <v>5683</v>
      </c>
      <c r="F921" s="27">
        <v>3756635</v>
      </c>
      <c r="G921" s="27">
        <v>1</v>
      </c>
      <c r="H921" s="27">
        <v>0</v>
      </c>
      <c r="I921" s="27">
        <v>1</v>
      </c>
      <c r="J921" s="30">
        <f t="shared" si="42"/>
        <v>1</v>
      </c>
      <c r="K921" s="30">
        <f t="shared" si="43"/>
        <v>0</v>
      </c>
      <c r="L921" s="26">
        <f t="shared" si="44"/>
        <v>0</v>
      </c>
      <c r="M921" s="26"/>
    </row>
    <row r="922" spans="1:13" ht="15" customHeight="1">
      <c r="A922" s="25">
        <v>1515673</v>
      </c>
      <c r="B922" s="26" t="s">
        <v>5423</v>
      </c>
      <c r="C922" s="26" t="s">
        <v>7923</v>
      </c>
      <c r="D922" s="26" t="s">
        <v>7924</v>
      </c>
      <c r="E922" s="26" t="s">
        <v>5517</v>
      </c>
      <c r="F922" s="27">
        <v>1556987</v>
      </c>
      <c r="G922" s="27">
        <v>1</v>
      </c>
      <c r="H922" s="27">
        <v>0</v>
      </c>
      <c r="I922" s="27">
        <v>1</v>
      </c>
      <c r="J922" s="30">
        <f t="shared" si="42"/>
        <v>1</v>
      </c>
      <c r="K922" s="30">
        <f t="shared" si="43"/>
        <v>0</v>
      </c>
      <c r="L922" s="26">
        <f t="shared" si="44"/>
        <v>0</v>
      </c>
      <c r="M922" s="26"/>
    </row>
    <row r="923" spans="1:13" ht="15" customHeight="1">
      <c r="A923" s="25">
        <v>1515989</v>
      </c>
      <c r="B923" s="26" t="s">
        <v>5423</v>
      </c>
      <c r="C923" s="26" t="s">
        <v>7925</v>
      </c>
      <c r="D923" s="26" t="s">
        <v>7926</v>
      </c>
      <c r="E923" s="26" t="s">
        <v>5436</v>
      </c>
      <c r="F923" s="27">
        <v>5387065</v>
      </c>
      <c r="G923" s="27">
        <v>0</v>
      </c>
      <c r="H923" s="27">
        <v>0</v>
      </c>
      <c r="I923" s="27">
        <v>0</v>
      </c>
      <c r="J923" s="30">
        <f t="shared" si="42"/>
        <v>0</v>
      </c>
      <c r="K923" s="30">
        <f t="shared" si="43"/>
        <v>0</v>
      </c>
      <c r="L923" s="26">
        <f t="shared" si="44"/>
        <v>0</v>
      </c>
      <c r="M923" s="26">
        <v>0</v>
      </c>
    </row>
    <row r="924" spans="1:13" ht="15" customHeight="1">
      <c r="A924" s="25">
        <v>1516050</v>
      </c>
      <c r="B924" s="26" t="s">
        <v>5423</v>
      </c>
      <c r="C924" s="26" t="s">
        <v>7927</v>
      </c>
      <c r="D924" s="26" t="s">
        <v>7928</v>
      </c>
      <c r="E924" s="26" t="s">
        <v>5654</v>
      </c>
      <c r="F924" s="27">
        <v>5328298</v>
      </c>
      <c r="G924" s="27">
        <v>0</v>
      </c>
      <c r="H924" s="27">
        <v>0</v>
      </c>
      <c r="I924" s="27">
        <v>0</v>
      </c>
      <c r="J924" s="30">
        <f t="shared" si="42"/>
        <v>0</v>
      </c>
      <c r="K924" s="30">
        <f t="shared" si="43"/>
        <v>0</v>
      </c>
      <c r="L924" s="26">
        <f t="shared" si="44"/>
        <v>0</v>
      </c>
      <c r="M924" s="26">
        <v>0</v>
      </c>
    </row>
    <row r="925" spans="1:13" ht="15" customHeight="1">
      <c r="A925" s="25">
        <v>1516120</v>
      </c>
      <c r="B925" s="26" t="s">
        <v>5423</v>
      </c>
      <c r="C925" s="26" t="s">
        <v>7929</v>
      </c>
      <c r="D925" s="26" t="s">
        <v>7930</v>
      </c>
      <c r="E925" s="26" t="s">
        <v>5968</v>
      </c>
      <c r="F925" s="27">
        <v>4604864</v>
      </c>
      <c r="G925" s="27">
        <v>0</v>
      </c>
      <c r="H925" s="27">
        <v>0</v>
      </c>
      <c r="I925" s="27">
        <v>0</v>
      </c>
      <c r="J925" s="30">
        <f t="shared" si="42"/>
        <v>0</v>
      </c>
      <c r="K925" s="30">
        <f t="shared" si="43"/>
        <v>0</v>
      </c>
      <c r="L925" s="26">
        <f t="shared" si="44"/>
        <v>0</v>
      </c>
      <c r="M925" s="26">
        <v>0</v>
      </c>
    </row>
    <row r="926" spans="1:13" ht="15" customHeight="1">
      <c r="A926" s="25">
        <v>1516173</v>
      </c>
      <c r="B926" s="26" t="s">
        <v>5423</v>
      </c>
      <c r="C926" s="26" t="s">
        <v>7931</v>
      </c>
      <c r="D926" s="26" t="s">
        <v>7932</v>
      </c>
      <c r="E926" s="26" t="s">
        <v>5550</v>
      </c>
      <c r="F926" s="27">
        <v>5387066</v>
      </c>
      <c r="G926" s="27">
        <v>0</v>
      </c>
      <c r="H926" s="27">
        <v>0</v>
      </c>
      <c r="I926" s="27">
        <v>0</v>
      </c>
      <c r="J926" s="30">
        <f t="shared" si="42"/>
        <v>0</v>
      </c>
      <c r="K926" s="30">
        <f t="shared" si="43"/>
        <v>0</v>
      </c>
      <c r="L926" s="26">
        <f t="shared" si="44"/>
        <v>0</v>
      </c>
      <c r="M926" s="26">
        <v>0</v>
      </c>
    </row>
    <row r="927" spans="1:13" ht="15" customHeight="1">
      <c r="A927" s="25">
        <v>1516316</v>
      </c>
      <c r="B927" s="26" t="s">
        <v>5423</v>
      </c>
      <c r="C927" s="26" t="s">
        <v>7933</v>
      </c>
      <c r="D927" s="26" t="s">
        <v>7934</v>
      </c>
      <c r="E927" s="26" t="s">
        <v>5442</v>
      </c>
      <c r="F927" s="27">
        <v>5381272</v>
      </c>
      <c r="G927" s="27">
        <v>0</v>
      </c>
      <c r="H927" s="27">
        <v>0</v>
      </c>
      <c r="I927" s="27">
        <v>0</v>
      </c>
      <c r="J927" s="30">
        <f t="shared" si="42"/>
        <v>0</v>
      </c>
      <c r="K927" s="30">
        <f t="shared" si="43"/>
        <v>0</v>
      </c>
      <c r="L927" s="26">
        <f t="shared" si="44"/>
        <v>0</v>
      </c>
      <c r="M927" s="26">
        <v>0</v>
      </c>
    </row>
    <row r="928" spans="1:13" ht="15" customHeight="1">
      <c r="A928" s="25">
        <v>1516387</v>
      </c>
      <c r="B928" s="26" t="s">
        <v>5423</v>
      </c>
      <c r="C928" s="26" t="s">
        <v>7935</v>
      </c>
      <c r="D928" s="26" t="s">
        <v>7936</v>
      </c>
      <c r="E928" s="26" t="s">
        <v>5679</v>
      </c>
      <c r="F928" s="27">
        <v>5380030</v>
      </c>
      <c r="G928" s="27">
        <v>1</v>
      </c>
      <c r="H928" s="27">
        <v>1</v>
      </c>
      <c r="I928" s="27">
        <v>1</v>
      </c>
      <c r="J928" s="30">
        <f t="shared" si="42"/>
        <v>1</v>
      </c>
      <c r="K928" s="30">
        <f t="shared" si="43"/>
        <v>1</v>
      </c>
      <c r="L928" s="26">
        <f t="shared" si="44"/>
        <v>1</v>
      </c>
      <c r="M928" s="26"/>
    </row>
    <row r="929" spans="1:13" ht="15" customHeight="1">
      <c r="A929" s="25">
        <v>1516403</v>
      </c>
      <c r="B929" s="26" t="s">
        <v>5423</v>
      </c>
      <c r="C929" s="26" t="s">
        <v>7937</v>
      </c>
      <c r="D929" s="26" t="s">
        <v>7938</v>
      </c>
      <c r="E929" s="26" t="s">
        <v>5532</v>
      </c>
      <c r="F929" s="27">
        <v>5382134</v>
      </c>
      <c r="G929" s="27">
        <v>1</v>
      </c>
      <c r="H929" s="27">
        <v>1</v>
      </c>
      <c r="I929" s="27">
        <v>1</v>
      </c>
      <c r="J929" s="30">
        <f t="shared" si="42"/>
        <v>1</v>
      </c>
      <c r="K929" s="30">
        <f t="shared" si="43"/>
        <v>1</v>
      </c>
      <c r="L929" s="26">
        <f t="shared" si="44"/>
        <v>1</v>
      </c>
      <c r="M929" s="26"/>
    </row>
    <row r="930" spans="1:13" ht="15" customHeight="1">
      <c r="A930" s="25">
        <v>1516420</v>
      </c>
      <c r="B930" s="26" t="s">
        <v>5423</v>
      </c>
      <c r="C930" s="26" t="s">
        <v>7939</v>
      </c>
      <c r="D930" s="26" t="s">
        <v>7940</v>
      </c>
      <c r="E930" s="26" t="s">
        <v>5586</v>
      </c>
      <c r="F930" s="27">
        <v>4528227</v>
      </c>
      <c r="G930" s="27">
        <v>1</v>
      </c>
      <c r="H930" s="27">
        <v>0</v>
      </c>
      <c r="I930" s="27">
        <v>1</v>
      </c>
      <c r="J930" s="30">
        <f t="shared" si="42"/>
        <v>1</v>
      </c>
      <c r="K930" s="30">
        <f t="shared" si="43"/>
        <v>0</v>
      </c>
      <c r="L930" s="26">
        <f t="shared" si="44"/>
        <v>0</v>
      </c>
      <c r="M930" s="26"/>
    </row>
    <row r="931" spans="1:13" ht="15" customHeight="1">
      <c r="A931" s="25">
        <v>1516438</v>
      </c>
      <c r="B931" s="26" t="s">
        <v>5427</v>
      </c>
      <c r="C931" s="26" t="s">
        <v>7941</v>
      </c>
      <c r="D931" s="26" t="s">
        <v>7942</v>
      </c>
      <c r="E931" s="26" t="s">
        <v>5491</v>
      </c>
      <c r="F931" s="27">
        <v>5321471</v>
      </c>
      <c r="G931" s="27">
        <v>1</v>
      </c>
      <c r="H931" s="27">
        <v>1</v>
      </c>
      <c r="I931" s="27">
        <v>1</v>
      </c>
      <c r="J931" s="30">
        <f t="shared" si="42"/>
        <v>1</v>
      </c>
      <c r="K931" s="30">
        <f t="shared" si="43"/>
        <v>1</v>
      </c>
      <c r="L931" s="26">
        <f t="shared" si="44"/>
        <v>1</v>
      </c>
      <c r="M931" s="26"/>
    </row>
    <row r="932" spans="1:13" ht="15" customHeight="1">
      <c r="A932" s="25">
        <v>1516785</v>
      </c>
      <c r="B932" s="26" t="s">
        <v>5423</v>
      </c>
      <c r="C932" s="26" t="s">
        <v>7943</v>
      </c>
      <c r="D932" s="26" t="s">
        <v>7944</v>
      </c>
      <c r="E932" s="26" t="s">
        <v>6423</v>
      </c>
      <c r="F932" s="27">
        <v>5377406</v>
      </c>
      <c r="G932" s="27">
        <v>0</v>
      </c>
      <c r="H932" s="27">
        <v>1</v>
      </c>
      <c r="I932" s="27">
        <v>1</v>
      </c>
      <c r="J932" s="30">
        <f t="shared" si="42"/>
        <v>0</v>
      </c>
      <c r="K932" s="30">
        <f t="shared" si="43"/>
        <v>1</v>
      </c>
      <c r="L932" s="26">
        <f t="shared" si="44"/>
        <v>0</v>
      </c>
      <c r="M932" s="26"/>
    </row>
    <row r="933" spans="1:13" ht="15" customHeight="1">
      <c r="A933" s="25">
        <v>1516851</v>
      </c>
      <c r="B933" s="26" t="s">
        <v>5423</v>
      </c>
      <c r="C933" s="26" t="s">
        <v>7945</v>
      </c>
      <c r="D933" s="26" t="s">
        <v>7946</v>
      </c>
      <c r="E933" s="26" t="s">
        <v>5458</v>
      </c>
      <c r="F933" s="27">
        <v>5331953</v>
      </c>
      <c r="G933" s="27">
        <v>1</v>
      </c>
      <c r="H933" s="27">
        <v>1</v>
      </c>
      <c r="I933" s="27">
        <v>1</v>
      </c>
      <c r="J933" s="30">
        <f t="shared" si="42"/>
        <v>1</v>
      </c>
      <c r="K933" s="30">
        <f t="shared" si="43"/>
        <v>1</v>
      </c>
      <c r="L933" s="26">
        <f t="shared" si="44"/>
        <v>1</v>
      </c>
      <c r="M933" s="26"/>
    </row>
    <row r="934" spans="1:13" ht="15" customHeight="1">
      <c r="A934" s="25">
        <v>1516880</v>
      </c>
      <c r="B934" s="26" t="s">
        <v>5423</v>
      </c>
      <c r="C934" s="26" t="s">
        <v>7947</v>
      </c>
      <c r="D934" s="26" t="s">
        <v>7948</v>
      </c>
      <c r="E934" s="26" t="s">
        <v>5426</v>
      </c>
      <c r="F934" s="27">
        <v>5376438</v>
      </c>
      <c r="G934" s="27">
        <v>1</v>
      </c>
      <c r="H934" s="27">
        <v>1</v>
      </c>
      <c r="I934" s="27">
        <v>1</v>
      </c>
      <c r="J934" s="30">
        <f t="shared" si="42"/>
        <v>1</v>
      </c>
      <c r="K934" s="30">
        <f t="shared" si="43"/>
        <v>1</v>
      </c>
      <c r="L934" s="26">
        <f t="shared" si="44"/>
        <v>1</v>
      </c>
      <c r="M934" s="26"/>
    </row>
    <row r="935" spans="1:13" ht="15" customHeight="1">
      <c r="A935" s="25">
        <v>1517274</v>
      </c>
      <c r="B935" s="26" t="s">
        <v>5423</v>
      </c>
      <c r="C935" s="26" t="s">
        <v>7949</v>
      </c>
      <c r="D935" s="26" t="s">
        <v>7950</v>
      </c>
      <c r="E935" s="26" t="s">
        <v>5683</v>
      </c>
      <c r="F935" s="27">
        <v>5384830</v>
      </c>
      <c r="G935" s="27">
        <v>0</v>
      </c>
      <c r="H935" s="27">
        <v>1</v>
      </c>
      <c r="I935" s="27">
        <v>1</v>
      </c>
      <c r="J935" s="30">
        <f t="shared" si="42"/>
        <v>0</v>
      </c>
      <c r="K935" s="30">
        <f t="shared" si="43"/>
        <v>1</v>
      </c>
      <c r="L935" s="26">
        <f t="shared" si="44"/>
        <v>0</v>
      </c>
      <c r="M935" s="26"/>
    </row>
    <row r="936" spans="1:13" ht="15" customHeight="1">
      <c r="A936" s="25">
        <v>1517395</v>
      </c>
      <c r="B936" s="26" t="s">
        <v>5423</v>
      </c>
      <c r="C936" s="26" t="s">
        <v>7951</v>
      </c>
      <c r="D936" s="26" t="s">
        <v>7952</v>
      </c>
      <c r="E936" s="26" t="s">
        <v>5433</v>
      </c>
      <c r="F936" s="27">
        <v>5153377</v>
      </c>
      <c r="G936" s="27">
        <v>1</v>
      </c>
      <c r="H936" s="27">
        <v>0</v>
      </c>
      <c r="I936" s="27">
        <v>1</v>
      </c>
      <c r="J936" s="30">
        <f t="shared" si="42"/>
        <v>1</v>
      </c>
      <c r="K936" s="30">
        <f t="shared" si="43"/>
        <v>0</v>
      </c>
      <c r="L936" s="26">
        <f t="shared" si="44"/>
        <v>0</v>
      </c>
      <c r="M936" s="26"/>
    </row>
    <row r="937" spans="1:13" ht="15" customHeight="1">
      <c r="A937" s="25">
        <v>1517536</v>
      </c>
      <c r="B937" s="26" t="s">
        <v>5427</v>
      </c>
      <c r="C937" s="26" t="s">
        <v>7953</v>
      </c>
      <c r="D937" s="26" t="s">
        <v>7954</v>
      </c>
      <c r="E937" s="26" t="s">
        <v>5458</v>
      </c>
      <c r="F937" s="27">
        <v>5388449</v>
      </c>
      <c r="G937" s="27">
        <v>0</v>
      </c>
      <c r="H937" s="27">
        <v>0</v>
      </c>
      <c r="I937" s="27">
        <v>0</v>
      </c>
      <c r="J937" s="30">
        <f t="shared" si="42"/>
        <v>0</v>
      </c>
      <c r="K937" s="30">
        <f t="shared" si="43"/>
        <v>0</v>
      </c>
      <c r="L937" s="26">
        <f t="shared" si="44"/>
        <v>0</v>
      </c>
      <c r="M937" s="26">
        <v>0</v>
      </c>
    </row>
    <row r="938" spans="1:13" ht="15" customHeight="1">
      <c r="A938" s="25">
        <v>1517639</v>
      </c>
      <c r="B938" s="26" t="s">
        <v>5423</v>
      </c>
      <c r="C938" s="26" t="s">
        <v>7955</v>
      </c>
      <c r="D938" s="26" t="s">
        <v>7956</v>
      </c>
      <c r="E938" s="26" t="s">
        <v>5436</v>
      </c>
      <c r="F938" s="27">
        <v>5378181</v>
      </c>
      <c r="G938" s="27">
        <v>1</v>
      </c>
      <c r="H938" s="27">
        <v>0</v>
      </c>
      <c r="I938" s="27">
        <v>1</v>
      </c>
      <c r="J938" s="30">
        <f t="shared" si="42"/>
        <v>1</v>
      </c>
      <c r="K938" s="30">
        <f t="shared" si="43"/>
        <v>0</v>
      </c>
      <c r="L938" s="26">
        <f t="shared" si="44"/>
        <v>0</v>
      </c>
      <c r="M938" s="26"/>
    </row>
    <row r="939" spans="1:13" ht="15" customHeight="1">
      <c r="A939" s="25">
        <v>1517711</v>
      </c>
      <c r="B939" s="26" t="s">
        <v>5423</v>
      </c>
      <c r="C939" s="26" t="s">
        <v>7957</v>
      </c>
      <c r="D939" s="26" t="s">
        <v>7958</v>
      </c>
      <c r="E939" s="26" t="s">
        <v>5439</v>
      </c>
      <c r="F939" s="27">
        <v>5364281</v>
      </c>
      <c r="G939" s="27">
        <v>1</v>
      </c>
      <c r="H939" s="27">
        <v>0</v>
      </c>
      <c r="I939" s="27">
        <v>1</v>
      </c>
      <c r="J939" s="30">
        <f t="shared" si="42"/>
        <v>1</v>
      </c>
      <c r="K939" s="30">
        <f t="shared" si="43"/>
        <v>0</v>
      </c>
      <c r="L939" s="26">
        <f t="shared" si="44"/>
        <v>0</v>
      </c>
      <c r="M939" s="26"/>
    </row>
    <row r="940" spans="1:13" ht="15" customHeight="1">
      <c r="A940" s="25">
        <v>1518167</v>
      </c>
      <c r="B940" s="26" t="s">
        <v>5423</v>
      </c>
      <c r="C940" s="26" t="s">
        <v>7959</v>
      </c>
      <c r="D940" s="26" t="s">
        <v>7960</v>
      </c>
      <c r="E940" s="26" t="s">
        <v>5439</v>
      </c>
      <c r="F940" s="27">
        <v>5385953</v>
      </c>
      <c r="G940" s="27">
        <v>0</v>
      </c>
      <c r="H940" s="27">
        <v>0</v>
      </c>
      <c r="I940" s="27">
        <v>0</v>
      </c>
      <c r="J940" s="30">
        <f t="shared" si="42"/>
        <v>0</v>
      </c>
      <c r="K940" s="30">
        <f t="shared" si="43"/>
        <v>0</v>
      </c>
      <c r="L940" s="26">
        <f t="shared" si="44"/>
        <v>0</v>
      </c>
      <c r="M940" s="26">
        <v>0</v>
      </c>
    </row>
    <row r="941" spans="1:13" ht="15" customHeight="1">
      <c r="A941" s="25">
        <v>1518464</v>
      </c>
      <c r="B941" s="26" t="s">
        <v>5423</v>
      </c>
      <c r="C941" s="26" t="s">
        <v>7961</v>
      </c>
      <c r="D941" s="26" t="s">
        <v>7962</v>
      </c>
      <c r="E941" s="26" t="s">
        <v>5540</v>
      </c>
      <c r="F941" s="27">
        <v>5387756</v>
      </c>
      <c r="G941" s="27">
        <v>1</v>
      </c>
      <c r="H941" s="27">
        <v>0</v>
      </c>
      <c r="I941" s="27">
        <v>1</v>
      </c>
      <c r="J941" s="30">
        <f t="shared" si="42"/>
        <v>1</v>
      </c>
      <c r="K941" s="30">
        <f t="shared" si="43"/>
        <v>0</v>
      </c>
      <c r="L941" s="26">
        <f t="shared" si="44"/>
        <v>0</v>
      </c>
      <c r="M941" s="26"/>
    </row>
    <row r="942" spans="1:13" ht="15" customHeight="1">
      <c r="A942" s="25">
        <v>1519008</v>
      </c>
      <c r="B942" s="26" t="s">
        <v>5423</v>
      </c>
      <c r="C942" s="26" t="s">
        <v>7963</v>
      </c>
      <c r="D942" s="26" t="s">
        <v>7964</v>
      </c>
      <c r="E942" s="26" t="s">
        <v>5683</v>
      </c>
      <c r="F942" s="27">
        <v>5387441</v>
      </c>
      <c r="G942" s="27">
        <v>0</v>
      </c>
      <c r="H942" s="27">
        <v>0</v>
      </c>
      <c r="I942" s="27">
        <v>0</v>
      </c>
      <c r="J942" s="30">
        <f t="shared" si="42"/>
        <v>0</v>
      </c>
      <c r="K942" s="30">
        <f t="shared" si="43"/>
        <v>0</v>
      </c>
      <c r="L942" s="26">
        <f t="shared" si="44"/>
        <v>0</v>
      </c>
      <c r="M942" s="26" t="s">
        <v>5567</v>
      </c>
    </row>
    <row r="943" spans="1:13" ht="15" customHeight="1">
      <c r="A943" s="25">
        <v>1519078</v>
      </c>
      <c r="B943" s="26" t="s">
        <v>5423</v>
      </c>
      <c r="C943" s="26" t="s">
        <v>7965</v>
      </c>
      <c r="D943" s="26" t="s">
        <v>7966</v>
      </c>
      <c r="E943" s="26" t="s">
        <v>5442</v>
      </c>
      <c r="F943" s="27">
        <v>5370731</v>
      </c>
      <c r="G943" s="27">
        <v>1</v>
      </c>
      <c r="H943" s="27">
        <v>0</v>
      </c>
      <c r="I943" s="27">
        <v>1</v>
      </c>
      <c r="J943" s="30">
        <f t="shared" si="42"/>
        <v>1</v>
      </c>
      <c r="K943" s="30">
        <f t="shared" si="43"/>
        <v>0</v>
      </c>
      <c r="L943" s="26">
        <f t="shared" si="44"/>
        <v>0</v>
      </c>
      <c r="M943" s="26"/>
    </row>
    <row r="944" spans="1:13" ht="15" customHeight="1">
      <c r="A944" s="25">
        <v>1519085</v>
      </c>
      <c r="B944" s="26" t="s">
        <v>5423</v>
      </c>
      <c r="C944" s="26" t="s">
        <v>7967</v>
      </c>
      <c r="D944" s="26" t="s">
        <v>7968</v>
      </c>
      <c r="E944" s="26" t="s">
        <v>5485</v>
      </c>
      <c r="F944" s="27">
        <v>5390956</v>
      </c>
      <c r="G944" s="27">
        <v>1</v>
      </c>
      <c r="H944" s="27">
        <v>1</v>
      </c>
      <c r="I944" s="27">
        <v>1</v>
      </c>
      <c r="J944" s="30">
        <f t="shared" si="42"/>
        <v>1</v>
      </c>
      <c r="K944" s="30">
        <f t="shared" si="43"/>
        <v>1</v>
      </c>
      <c r="L944" s="26">
        <f t="shared" si="44"/>
        <v>1</v>
      </c>
      <c r="M944" s="26" t="s">
        <v>7910</v>
      </c>
    </row>
    <row r="945" spans="1:13" ht="15" customHeight="1">
      <c r="A945" s="25">
        <v>1519118</v>
      </c>
      <c r="B945" s="26" t="s">
        <v>5423</v>
      </c>
      <c r="C945" s="26" t="s">
        <v>7969</v>
      </c>
      <c r="D945" s="26" t="s">
        <v>7970</v>
      </c>
      <c r="E945" s="26" t="s">
        <v>5458</v>
      </c>
      <c r="F945" s="27">
        <v>5395101</v>
      </c>
      <c r="G945" s="27">
        <v>0</v>
      </c>
      <c r="H945" s="27">
        <v>0</v>
      </c>
      <c r="I945" s="27">
        <v>0</v>
      </c>
      <c r="J945" s="30">
        <f t="shared" si="42"/>
        <v>0</v>
      </c>
      <c r="K945" s="30">
        <f t="shared" si="43"/>
        <v>0</v>
      </c>
      <c r="L945" s="26">
        <f t="shared" si="44"/>
        <v>0</v>
      </c>
      <c r="M945" s="26">
        <v>0</v>
      </c>
    </row>
    <row r="946" spans="1:13" ht="15" customHeight="1">
      <c r="A946" s="25">
        <v>1519557</v>
      </c>
      <c r="B946" s="26" t="s">
        <v>5423</v>
      </c>
      <c r="C946" s="26" t="s">
        <v>7971</v>
      </c>
      <c r="D946" s="26" t="s">
        <v>7972</v>
      </c>
      <c r="E946" s="26" t="s">
        <v>5442</v>
      </c>
      <c r="F946" s="27">
        <v>5360337</v>
      </c>
      <c r="G946" s="27">
        <v>1</v>
      </c>
      <c r="H946" s="27">
        <v>0</v>
      </c>
      <c r="I946" s="27">
        <v>1</v>
      </c>
      <c r="J946" s="30">
        <f t="shared" si="42"/>
        <v>1</v>
      </c>
      <c r="K946" s="30">
        <f t="shared" si="43"/>
        <v>0</v>
      </c>
      <c r="L946" s="26">
        <f t="shared" si="44"/>
        <v>0</v>
      </c>
      <c r="M946" s="26"/>
    </row>
    <row r="947" spans="1:13" ht="15" customHeight="1">
      <c r="A947" s="25">
        <v>1519945</v>
      </c>
      <c r="B947" s="26" t="s">
        <v>5427</v>
      </c>
      <c r="C947" s="26" t="s">
        <v>7973</v>
      </c>
      <c r="D947" s="26" t="s">
        <v>7974</v>
      </c>
      <c r="E947" s="26" t="s">
        <v>5550</v>
      </c>
      <c r="F947" s="27">
        <v>5396254</v>
      </c>
      <c r="G947" s="27">
        <v>0</v>
      </c>
      <c r="H947" s="27">
        <v>0</v>
      </c>
      <c r="I947" s="27">
        <v>0</v>
      </c>
      <c r="J947" s="30">
        <f t="shared" si="42"/>
        <v>0</v>
      </c>
      <c r="K947" s="30">
        <f t="shared" si="43"/>
        <v>0</v>
      </c>
      <c r="L947" s="26">
        <f t="shared" si="44"/>
        <v>0</v>
      </c>
      <c r="M947" s="26">
        <v>0</v>
      </c>
    </row>
    <row r="948" spans="1:13" ht="15" customHeight="1">
      <c r="A948" s="25">
        <v>1519949</v>
      </c>
      <c r="B948" s="26" t="s">
        <v>5427</v>
      </c>
      <c r="C948" s="26" t="s">
        <v>7975</v>
      </c>
      <c r="D948" s="26" t="s">
        <v>7976</v>
      </c>
      <c r="E948" s="26" t="s">
        <v>5545</v>
      </c>
      <c r="F948" s="27">
        <v>3575163</v>
      </c>
      <c r="G948" s="27">
        <v>1</v>
      </c>
      <c r="H948" s="27">
        <v>0</v>
      </c>
      <c r="I948" s="27">
        <v>1</v>
      </c>
      <c r="J948" s="30">
        <f t="shared" si="42"/>
        <v>1</v>
      </c>
      <c r="K948" s="30">
        <f t="shared" si="43"/>
        <v>0</v>
      </c>
      <c r="L948" s="26">
        <f t="shared" si="44"/>
        <v>0</v>
      </c>
      <c r="M948" s="26"/>
    </row>
    <row r="949" spans="1:13" ht="15" customHeight="1">
      <c r="A949" s="25">
        <v>1519976</v>
      </c>
      <c r="B949" s="26" t="s">
        <v>5423</v>
      </c>
      <c r="C949" s="26" t="s">
        <v>7977</v>
      </c>
      <c r="D949" s="26" t="s">
        <v>7978</v>
      </c>
      <c r="E949" s="26" t="s">
        <v>5550</v>
      </c>
      <c r="F949" s="27">
        <v>5356310</v>
      </c>
      <c r="G949" s="27">
        <v>1</v>
      </c>
      <c r="H949" s="27">
        <v>0</v>
      </c>
      <c r="I949" s="27">
        <v>1</v>
      </c>
      <c r="J949" s="30">
        <f t="shared" si="42"/>
        <v>1</v>
      </c>
      <c r="K949" s="30">
        <f t="shared" si="43"/>
        <v>0</v>
      </c>
      <c r="L949" s="26">
        <f t="shared" si="44"/>
        <v>0</v>
      </c>
      <c r="M949" s="26"/>
    </row>
    <row r="950" spans="1:13" ht="15" customHeight="1">
      <c r="A950" s="25">
        <v>1520326</v>
      </c>
      <c r="B950" s="26" t="s">
        <v>5423</v>
      </c>
      <c r="C950" s="26" t="s">
        <v>7979</v>
      </c>
      <c r="D950" s="26" t="s">
        <v>7980</v>
      </c>
      <c r="E950" s="26" t="s">
        <v>5488</v>
      </c>
      <c r="F950" s="27">
        <v>5391263</v>
      </c>
      <c r="G950" s="27">
        <v>0</v>
      </c>
      <c r="H950" s="27">
        <v>0</v>
      </c>
      <c r="I950" s="27">
        <v>0</v>
      </c>
      <c r="J950" s="30">
        <f t="shared" si="42"/>
        <v>0</v>
      </c>
      <c r="K950" s="30">
        <f t="shared" si="43"/>
        <v>0</v>
      </c>
      <c r="L950" s="26">
        <f t="shared" si="44"/>
        <v>0</v>
      </c>
      <c r="M950" s="26">
        <v>0</v>
      </c>
    </row>
    <row r="951" spans="1:13" ht="15" customHeight="1">
      <c r="A951" s="25">
        <v>1520531</v>
      </c>
      <c r="B951" s="26" t="s">
        <v>5423</v>
      </c>
      <c r="C951" s="26" t="s">
        <v>7981</v>
      </c>
      <c r="D951" s="26" t="s">
        <v>7982</v>
      </c>
      <c r="E951" s="26" t="s">
        <v>5517</v>
      </c>
      <c r="F951" s="27">
        <v>5393670</v>
      </c>
      <c r="G951" s="27">
        <v>0</v>
      </c>
      <c r="H951" s="27">
        <v>0</v>
      </c>
      <c r="I951" s="27">
        <v>0</v>
      </c>
      <c r="J951" s="30">
        <f t="shared" si="42"/>
        <v>0</v>
      </c>
      <c r="K951" s="30">
        <f t="shared" si="43"/>
        <v>0</v>
      </c>
      <c r="L951" s="26">
        <f t="shared" si="44"/>
        <v>0</v>
      </c>
      <c r="M951" s="26">
        <v>0</v>
      </c>
    </row>
    <row r="952" spans="1:13" ht="15" customHeight="1">
      <c r="A952" s="25">
        <v>1520753</v>
      </c>
      <c r="B952" s="26" t="s">
        <v>5423</v>
      </c>
      <c r="C952" s="26" t="s">
        <v>7983</v>
      </c>
      <c r="D952" s="26" t="s">
        <v>7984</v>
      </c>
      <c r="E952" s="26" t="s">
        <v>5532</v>
      </c>
      <c r="F952" s="27">
        <v>5393944</v>
      </c>
      <c r="G952" s="27">
        <v>1</v>
      </c>
      <c r="H952" s="27">
        <v>0</v>
      </c>
      <c r="I952" s="27">
        <v>1</v>
      </c>
      <c r="J952" s="30">
        <f t="shared" si="42"/>
        <v>1</v>
      </c>
      <c r="K952" s="30">
        <f t="shared" si="43"/>
        <v>0</v>
      </c>
      <c r="L952" s="26">
        <f t="shared" si="44"/>
        <v>0</v>
      </c>
      <c r="M952" s="26"/>
    </row>
    <row r="953" spans="1:13" ht="15" customHeight="1">
      <c r="A953" s="25">
        <v>1521080</v>
      </c>
      <c r="B953" s="26" t="s">
        <v>5423</v>
      </c>
      <c r="C953" s="26" t="s">
        <v>7985</v>
      </c>
      <c r="D953" s="26" t="s">
        <v>7986</v>
      </c>
      <c r="E953" s="26" t="s">
        <v>5485</v>
      </c>
      <c r="F953" s="27"/>
      <c r="G953" s="27">
        <v>0</v>
      </c>
      <c r="H953" s="27">
        <v>0</v>
      </c>
      <c r="I953" s="27">
        <v>0</v>
      </c>
      <c r="J953" s="30">
        <f t="shared" si="42"/>
        <v>0</v>
      </c>
      <c r="K953" s="30">
        <f t="shared" si="43"/>
        <v>0</v>
      </c>
      <c r="L953" s="26">
        <f t="shared" si="44"/>
        <v>0</v>
      </c>
      <c r="M953" s="26">
        <v>0</v>
      </c>
    </row>
    <row r="954" spans="1:13" ht="15" customHeight="1">
      <c r="A954" s="25">
        <v>1521134</v>
      </c>
      <c r="B954" s="26" t="s">
        <v>5423</v>
      </c>
      <c r="C954" s="26" t="s">
        <v>7987</v>
      </c>
      <c r="D954" s="26" t="s">
        <v>7988</v>
      </c>
      <c r="E954" s="26" t="s">
        <v>5447</v>
      </c>
      <c r="F954" s="27"/>
      <c r="G954" s="27">
        <v>0</v>
      </c>
      <c r="H954" s="27">
        <v>0</v>
      </c>
      <c r="I954" s="27">
        <v>0</v>
      </c>
      <c r="J954" s="30">
        <f t="shared" si="42"/>
        <v>0</v>
      </c>
      <c r="K954" s="30">
        <f t="shared" si="43"/>
        <v>0</v>
      </c>
      <c r="L954" s="26">
        <f t="shared" si="44"/>
        <v>0</v>
      </c>
      <c r="M954" s="26" t="s">
        <v>5557</v>
      </c>
    </row>
    <row r="955" spans="1:13" ht="15" customHeight="1">
      <c r="A955" s="25">
        <v>1521236</v>
      </c>
      <c r="B955" s="26" t="s">
        <v>5427</v>
      </c>
      <c r="C955" s="26" t="s">
        <v>7989</v>
      </c>
      <c r="D955" s="26" t="s">
        <v>7990</v>
      </c>
      <c r="E955" s="26" t="s">
        <v>5447</v>
      </c>
      <c r="F955" s="27">
        <v>5396405</v>
      </c>
      <c r="G955" s="27">
        <v>1</v>
      </c>
      <c r="H955" s="27">
        <v>1</v>
      </c>
      <c r="I955" s="27">
        <v>1</v>
      </c>
      <c r="J955" s="30">
        <f t="shared" si="42"/>
        <v>1</v>
      </c>
      <c r="K955" s="30">
        <f t="shared" si="43"/>
        <v>1</v>
      </c>
      <c r="L955" s="26">
        <f t="shared" si="44"/>
        <v>1</v>
      </c>
      <c r="M955" s="26"/>
    </row>
    <row r="956" spans="1:13" ht="15" customHeight="1">
      <c r="A956" s="25">
        <v>1521244</v>
      </c>
      <c r="B956" s="26" t="s">
        <v>5427</v>
      </c>
      <c r="C956" s="26" t="s">
        <v>7991</v>
      </c>
      <c r="D956" s="26" t="s">
        <v>7992</v>
      </c>
      <c r="E956" s="26" t="s">
        <v>6123</v>
      </c>
      <c r="F956" s="27">
        <v>5396873</v>
      </c>
      <c r="G956" s="27">
        <v>1</v>
      </c>
      <c r="H956" s="27">
        <v>1</v>
      </c>
      <c r="I956" s="27">
        <v>1</v>
      </c>
      <c r="J956" s="30">
        <f t="shared" si="42"/>
        <v>1</v>
      </c>
      <c r="K956" s="30">
        <f t="shared" si="43"/>
        <v>1</v>
      </c>
      <c r="L956" s="26">
        <f t="shared" si="44"/>
        <v>1</v>
      </c>
      <c r="M956" s="26"/>
    </row>
    <row r="957" spans="1:13" ht="15" customHeight="1">
      <c r="A957" s="25">
        <v>1521403</v>
      </c>
      <c r="B957" s="26" t="s">
        <v>5423</v>
      </c>
      <c r="C957" s="26" t="s">
        <v>7993</v>
      </c>
      <c r="D957" s="26" t="s">
        <v>7994</v>
      </c>
      <c r="E957" s="26" t="s">
        <v>5491</v>
      </c>
      <c r="F957" s="27">
        <v>4523845</v>
      </c>
      <c r="G957" s="27">
        <v>0</v>
      </c>
      <c r="H957" s="27">
        <v>0</v>
      </c>
      <c r="I957" s="27">
        <v>0</v>
      </c>
      <c r="J957" s="30">
        <f t="shared" si="42"/>
        <v>0</v>
      </c>
      <c r="K957" s="30">
        <f t="shared" si="43"/>
        <v>0</v>
      </c>
      <c r="L957" s="26">
        <f t="shared" si="44"/>
        <v>0</v>
      </c>
      <c r="M957" s="26">
        <v>0</v>
      </c>
    </row>
    <row r="958" spans="1:13" ht="15" customHeight="1">
      <c r="A958" s="25">
        <v>1521472</v>
      </c>
      <c r="B958" s="26" t="s">
        <v>5423</v>
      </c>
      <c r="C958" s="26" t="s">
        <v>7995</v>
      </c>
      <c r="D958" s="26" t="s">
        <v>7996</v>
      </c>
      <c r="E958" s="26" t="s">
        <v>5504</v>
      </c>
      <c r="F958" s="27">
        <v>5318425</v>
      </c>
      <c r="G958" s="27">
        <v>1</v>
      </c>
      <c r="H958" s="27">
        <v>1</v>
      </c>
      <c r="I958" s="27">
        <v>1</v>
      </c>
      <c r="J958" s="30">
        <f t="shared" si="42"/>
        <v>1</v>
      </c>
      <c r="K958" s="30">
        <f t="shared" si="43"/>
        <v>1</v>
      </c>
      <c r="L958" s="26">
        <f t="shared" si="44"/>
        <v>1</v>
      </c>
      <c r="M958" s="26"/>
    </row>
    <row r="959" spans="1:13" ht="15" customHeight="1">
      <c r="A959" s="25">
        <v>1521591</v>
      </c>
      <c r="B959" s="26" t="s">
        <v>5423</v>
      </c>
      <c r="C959" s="26" t="s">
        <v>7997</v>
      </c>
      <c r="D959" s="26" t="s">
        <v>7998</v>
      </c>
      <c r="E959" s="26" t="s">
        <v>5683</v>
      </c>
      <c r="F959" s="27">
        <v>2284180</v>
      </c>
      <c r="G959" s="27">
        <v>1</v>
      </c>
      <c r="H959" s="27">
        <v>1</v>
      </c>
      <c r="I959" s="27">
        <v>1</v>
      </c>
      <c r="J959" s="30">
        <f t="shared" si="42"/>
        <v>1</v>
      </c>
      <c r="K959" s="30">
        <f t="shared" si="43"/>
        <v>1</v>
      </c>
      <c r="L959" s="26">
        <f t="shared" si="44"/>
        <v>1</v>
      </c>
      <c r="M959" s="26"/>
    </row>
    <row r="960" spans="1:13" ht="15" customHeight="1">
      <c r="A960" s="25">
        <v>1521637</v>
      </c>
      <c r="B960" s="26" t="s">
        <v>5423</v>
      </c>
      <c r="C960" s="26" t="s">
        <v>7999</v>
      </c>
      <c r="D960" s="26" t="s">
        <v>8000</v>
      </c>
      <c r="E960" s="26" t="s">
        <v>5491</v>
      </c>
      <c r="F960" s="27">
        <v>4963489</v>
      </c>
      <c r="G960" s="27">
        <v>1</v>
      </c>
      <c r="H960" s="27">
        <v>1</v>
      </c>
      <c r="I960" s="27">
        <v>1</v>
      </c>
      <c r="J960" s="30">
        <f t="shared" si="42"/>
        <v>1</v>
      </c>
      <c r="K960" s="30">
        <f t="shared" si="43"/>
        <v>1</v>
      </c>
      <c r="L960" s="26">
        <f t="shared" si="44"/>
        <v>1</v>
      </c>
      <c r="M960" s="26"/>
    </row>
    <row r="961" spans="1:13" ht="15" customHeight="1">
      <c r="A961" s="25">
        <v>1521914</v>
      </c>
      <c r="B961" s="26" t="s">
        <v>5423</v>
      </c>
      <c r="C961" s="26" t="s">
        <v>8001</v>
      </c>
      <c r="D961" s="26" t="s">
        <v>8002</v>
      </c>
      <c r="E961" s="26" t="s">
        <v>5480</v>
      </c>
      <c r="F961" s="27">
        <v>5385213</v>
      </c>
      <c r="G961" s="27">
        <v>0</v>
      </c>
      <c r="H961" s="27">
        <v>0</v>
      </c>
      <c r="I961" s="27">
        <v>0</v>
      </c>
      <c r="J961" s="30">
        <f t="shared" si="42"/>
        <v>0</v>
      </c>
      <c r="K961" s="30">
        <f t="shared" si="43"/>
        <v>0</v>
      </c>
      <c r="L961" s="26">
        <f t="shared" si="44"/>
        <v>0</v>
      </c>
      <c r="M961" s="26">
        <v>0</v>
      </c>
    </row>
    <row r="962" spans="1:13" ht="15" customHeight="1">
      <c r="A962" s="25">
        <v>1522499</v>
      </c>
      <c r="B962" s="26" t="s">
        <v>5423</v>
      </c>
      <c r="C962" s="26" t="s">
        <v>8003</v>
      </c>
      <c r="D962" s="26" t="s">
        <v>8004</v>
      </c>
      <c r="E962" s="26" t="s">
        <v>5475</v>
      </c>
      <c r="F962" s="27">
        <v>5400400</v>
      </c>
      <c r="G962" s="27">
        <v>0</v>
      </c>
      <c r="H962" s="27">
        <v>0</v>
      </c>
      <c r="I962" s="27">
        <v>0</v>
      </c>
      <c r="J962" s="30">
        <f t="shared" ref="J962:J1025" si="45">IF(G962&gt;0,1,0)</f>
        <v>0</v>
      </c>
      <c r="K962" s="30">
        <f t="shared" ref="K962:K1025" si="46">IF(H962&gt;0,1,0)</f>
        <v>0</v>
      </c>
      <c r="L962" s="26">
        <f t="shared" ref="L962:L1025" si="47">IF(G962&gt;0,IF(H962&gt;0,1,0),0)</f>
        <v>0</v>
      </c>
      <c r="M962" s="26">
        <v>0</v>
      </c>
    </row>
    <row r="963" spans="1:13" ht="15" customHeight="1">
      <c r="A963" s="25">
        <v>1522722</v>
      </c>
      <c r="B963" s="26" t="s">
        <v>5423</v>
      </c>
      <c r="C963" s="26" t="s">
        <v>8005</v>
      </c>
      <c r="D963" s="26" t="s">
        <v>8006</v>
      </c>
      <c r="E963" s="26" t="s">
        <v>5504</v>
      </c>
      <c r="F963" s="27">
        <v>5399296</v>
      </c>
      <c r="G963" s="27">
        <v>0</v>
      </c>
      <c r="H963" s="27">
        <v>1</v>
      </c>
      <c r="I963" s="27">
        <v>1</v>
      </c>
      <c r="J963" s="30">
        <f t="shared" si="45"/>
        <v>0</v>
      </c>
      <c r="K963" s="30">
        <f t="shared" si="46"/>
        <v>1</v>
      </c>
      <c r="L963" s="26">
        <f t="shared" si="47"/>
        <v>0</v>
      </c>
      <c r="M963" s="26"/>
    </row>
    <row r="964" spans="1:13" ht="15" customHeight="1">
      <c r="A964" s="25">
        <v>1522978</v>
      </c>
      <c r="B964" s="26" t="s">
        <v>5423</v>
      </c>
      <c r="C964" s="26" t="s">
        <v>8007</v>
      </c>
      <c r="D964" s="26" t="s">
        <v>8008</v>
      </c>
      <c r="E964" s="26" t="s">
        <v>5426</v>
      </c>
      <c r="F964" s="27">
        <v>5401937</v>
      </c>
      <c r="G964" s="27">
        <v>1</v>
      </c>
      <c r="H964" s="27">
        <v>0</v>
      </c>
      <c r="I964" s="27">
        <v>1</v>
      </c>
      <c r="J964" s="30">
        <f t="shared" si="45"/>
        <v>1</v>
      </c>
      <c r="K964" s="30">
        <f t="shared" si="46"/>
        <v>0</v>
      </c>
      <c r="L964" s="26">
        <f t="shared" si="47"/>
        <v>0</v>
      </c>
      <c r="M964" s="26"/>
    </row>
    <row r="965" spans="1:13" ht="15" customHeight="1">
      <c r="A965" s="25">
        <v>1523017</v>
      </c>
      <c r="B965" s="26" t="s">
        <v>5423</v>
      </c>
      <c r="C965" s="26" t="s">
        <v>8009</v>
      </c>
      <c r="D965" s="26" t="s">
        <v>8010</v>
      </c>
      <c r="E965" s="26" t="s">
        <v>5442</v>
      </c>
      <c r="F965" s="27">
        <v>2643852</v>
      </c>
      <c r="G965" s="27">
        <v>1</v>
      </c>
      <c r="H965" s="27">
        <v>0</v>
      </c>
      <c r="I965" s="27">
        <v>1</v>
      </c>
      <c r="J965" s="30">
        <f t="shared" si="45"/>
        <v>1</v>
      </c>
      <c r="K965" s="30">
        <f t="shared" si="46"/>
        <v>0</v>
      </c>
      <c r="L965" s="26">
        <f t="shared" si="47"/>
        <v>0</v>
      </c>
      <c r="M965" s="26"/>
    </row>
    <row r="966" spans="1:13" ht="15" customHeight="1">
      <c r="A966" s="25">
        <v>1523290</v>
      </c>
      <c r="B966" s="26" t="s">
        <v>5423</v>
      </c>
      <c r="C966" s="26" t="s">
        <v>8011</v>
      </c>
      <c r="D966" s="26" t="s">
        <v>8012</v>
      </c>
      <c r="E966" s="26" t="s">
        <v>5468</v>
      </c>
      <c r="F966" s="27">
        <v>5402756</v>
      </c>
      <c r="G966" s="27">
        <v>0</v>
      </c>
      <c r="H966" s="27">
        <v>1</v>
      </c>
      <c r="I966" s="27">
        <v>1</v>
      </c>
      <c r="J966" s="30">
        <f t="shared" si="45"/>
        <v>0</v>
      </c>
      <c r="K966" s="30">
        <f t="shared" si="46"/>
        <v>1</v>
      </c>
      <c r="L966" s="26">
        <f t="shared" si="47"/>
        <v>0</v>
      </c>
      <c r="M966" s="26"/>
    </row>
    <row r="967" spans="1:13" ht="15" customHeight="1">
      <c r="A967" s="25">
        <v>1523410</v>
      </c>
      <c r="B967" s="26" t="s">
        <v>5427</v>
      </c>
      <c r="C967" s="26" t="s">
        <v>8013</v>
      </c>
      <c r="D967" s="26" t="s">
        <v>8014</v>
      </c>
      <c r="E967" s="26" t="s">
        <v>5430</v>
      </c>
      <c r="F967" s="27">
        <v>5382406</v>
      </c>
      <c r="G967" s="27">
        <v>1</v>
      </c>
      <c r="H967" s="27">
        <v>1</v>
      </c>
      <c r="I967" s="27">
        <v>1</v>
      </c>
      <c r="J967" s="30">
        <f t="shared" si="45"/>
        <v>1</v>
      </c>
      <c r="K967" s="30">
        <f t="shared" si="46"/>
        <v>1</v>
      </c>
      <c r="L967" s="26">
        <f t="shared" si="47"/>
        <v>1</v>
      </c>
      <c r="M967" s="26"/>
    </row>
    <row r="968" spans="1:13" ht="15" customHeight="1">
      <c r="A968" s="25">
        <v>1523504</v>
      </c>
      <c r="B968" s="26" t="s">
        <v>5423</v>
      </c>
      <c r="C968" s="26" t="s">
        <v>8015</v>
      </c>
      <c r="D968" s="26" t="s">
        <v>8016</v>
      </c>
      <c r="E968" s="26" t="s">
        <v>5433</v>
      </c>
      <c r="F968" s="27"/>
      <c r="G968" s="27">
        <v>0</v>
      </c>
      <c r="H968" s="27">
        <v>0</v>
      </c>
      <c r="I968" s="27">
        <v>0</v>
      </c>
      <c r="J968" s="30">
        <f t="shared" si="45"/>
        <v>0</v>
      </c>
      <c r="K968" s="30">
        <f t="shared" si="46"/>
        <v>0</v>
      </c>
      <c r="L968" s="26">
        <f t="shared" si="47"/>
        <v>0</v>
      </c>
      <c r="M968" s="26" t="s">
        <v>8017</v>
      </c>
    </row>
    <row r="969" spans="1:13" ht="15" customHeight="1">
      <c r="A969" s="25">
        <v>1523724</v>
      </c>
      <c r="B969" s="26" t="s">
        <v>5423</v>
      </c>
      <c r="C969" s="26" t="s">
        <v>8018</v>
      </c>
      <c r="D969" s="26" t="s">
        <v>8019</v>
      </c>
      <c r="E969" s="26" t="s">
        <v>5535</v>
      </c>
      <c r="F969" s="27">
        <v>5402824</v>
      </c>
      <c r="G969" s="27">
        <v>1</v>
      </c>
      <c r="H969" s="27">
        <v>0</v>
      </c>
      <c r="I969" s="27">
        <v>1</v>
      </c>
      <c r="J969" s="30">
        <f t="shared" si="45"/>
        <v>1</v>
      </c>
      <c r="K969" s="30">
        <f t="shared" si="46"/>
        <v>0</v>
      </c>
      <c r="L969" s="26">
        <f t="shared" si="47"/>
        <v>0</v>
      </c>
      <c r="M969" s="26"/>
    </row>
    <row r="970" spans="1:13" ht="15" customHeight="1">
      <c r="A970" s="25" t="s">
        <v>8020</v>
      </c>
      <c r="B970" s="26" t="s">
        <v>5427</v>
      </c>
      <c r="C970" s="26" t="s">
        <v>8021</v>
      </c>
      <c r="D970" s="26" t="s">
        <v>8022</v>
      </c>
      <c r="E970" s="26" t="s">
        <v>5603</v>
      </c>
      <c r="F970" s="27">
        <v>5406476</v>
      </c>
      <c r="G970" s="27">
        <v>1</v>
      </c>
      <c r="H970" s="27">
        <v>1</v>
      </c>
      <c r="I970" s="27">
        <v>1</v>
      </c>
      <c r="J970" s="30">
        <f t="shared" si="45"/>
        <v>1</v>
      </c>
      <c r="K970" s="30">
        <f t="shared" si="46"/>
        <v>1</v>
      </c>
      <c r="L970" s="26">
        <f t="shared" si="47"/>
        <v>1</v>
      </c>
      <c r="M970" s="26"/>
    </row>
    <row r="971" spans="1:13" ht="15" customHeight="1">
      <c r="A971" s="25">
        <v>1523944</v>
      </c>
      <c r="B971" s="26" t="s">
        <v>5427</v>
      </c>
      <c r="C971" s="26" t="s">
        <v>8023</v>
      </c>
      <c r="D971" s="26" t="s">
        <v>8024</v>
      </c>
      <c r="E971" s="26" t="s">
        <v>5426</v>
      </c>
      <c r="F971" s="27">
        <v>5376457</v>
      </c>
      <c r="G971" s="27">
        <v>0</v>
      </c>
      <c r="H971" s="27">
        <v>1</v>
      </c>
      <c r="I971" s="27">
        <v>1</v>
      </c>
      <c r="J971" s="30">
        <f t="shared" si="45"/>
        <v>0</v>
      </c>
      <c r="K971" s="30">
        <f t="shared" si="46"/>
        <v>1</v>
      </c>
      <c r="L971" s="26">
        <f t="shared" si="47"/>
        <v>0</v>
      </c>
      <c r="M971" s="26"/>
    </row>
    <row r="972" spans="1:13" ht="15" customHeight="1">
      <c r="A972" s="25">
        <v>1524061</v>
      </c>
      <c r="B972" s="26" t="s">
        <v>5427</v>
      </c>
      <c r="C972" s="26" t="s">
        <v>8025</v>
      </c>
      <c r="D972" s="26" t="s">
        <v>8026</v>
      </c>
      <c r="E972" s="26" t="s">
        <v>5458</v>
      </c>
      <c r="F972" s="27">
        <v>5405243</v>
      </c>
      <c r="G972" s="27">
        <v>0</v>
      </c>
      <c r="H972" s="27">
        <v>0</v>
      </c>
      <c r="I972" s="27">
        <v>0</v>
      </c>
      <c r="J972" s="30">
        <f t="shared" si="45"/>
        <v>0</v>
      </c>
      <c r="K972" s="30">
        <f t="shared" si="46"/>
        <v>0</v>
      </c>
      <c r="L972" s="26">
        <f t="shared" si="47"/>
        <v>0</v>
      </c>
      <c r="M972" s="26">
        <v>0</v>
      </c>
    </row>
    <row r="973" spans="1:13" ht="15" customHeight="1">
      <c r="A973" s="25">
        <v>1524200</v>
      </c>
      <c r="B973" s="26" t="s">
        <v>5427</v>
      </c>
      <c r="C973" s="26" t="s">
        <v>8027</v>
      </c>
      <c r="D973" s="26" t="s">
        <v>8028</v>
      </c>
      <c r="E973" s="26" t="s">
        <v>5707</v>
      </c>
      <c r="F973" s="27">
        <v>5407588</v>
      </c>
      <c r="G973" s="27">
        <v>0</v>
      </c>
      <c r="H973" s="27">
        <v>0</v>
      </c>
      <c r="I973" s="27">
        <v>0</v>
      </c>
      <c r="J973" s="30">
        <f t="shared" si="45"/>
        <v>0</v>
      </c>
      <c r="K973" s="30">
        <f t="shared" si="46"/>
        <v>0</v>
      </c>
      <c r="L973" s="26">
        <f t="shared" si="47"/>
        <v>0</v>
      </c>
      <c r="M973" s="26">
        <v>0</v>
      </c>
    </row>
    <row r="974" spans="1:13" ht="15" customHeight="1">
      <c r="A974" s="25">
        <v>1524241</v>
      </c>
      <c r="B974" s="26" t="s">
        <v>5423</v>
      </c>
      <c r="C974" s="26" t="s">
        <v>8029</v>
      </c>
      <c r="D974" s="26" t="s">
        <v>8030</v>
      </c>
      <c r="E974" s="26" t="s">
        <v>5439</v>
      </c>
      <c r="F974" s="27"/>
      <c r="G974" s="27">
        <v>0</v>
      </c>
      <c r="H974" s="27">
        <v>0</v>
      </c>
      <c r="I974" s="27">
        <v>0</v>
      </c>
      <c r="J974" s="30">
        <f t="shared" si="45"/>
        <v>0</v>
      </c>
      <c r="K974" s="30">
        <f t="shared" si="46"/>
        <v>0</v>
      </c>
      <c r="L974" s="26">
        <f t="shared" si="47"/>
        <v>0</v>
      </c>
      <c r="M974" s="26" t="s">
        <v>5567</v>
      </c>
    </row>
    <row r="975" spans="1:13" ht="15" customHeight="1">
      <c r="A975" s="25">
        <v>1524252</v>
      </c>
      <c r="B975" s="26" t="s">
        <v>5423</v>
      </c>
      <c r="C975" s="26" t="s">
        <v>8031</v>
      </c>
      <c r="D975" s="26" t="s">
        <v>8032</v>
      </c>
      <c r="E975" s="26" t="s">
        <v>5430</v>
      </c>
      <c r="F975" s="27">
        <v>5406649</v>
      </c>
      <c r="G975" s="27">
        <v>1</v>
      </c>
      <c r="H975" s="27">
        <v>1</v>
      </c>
      <c r="I975" s="27">
        <v>1</v>
      </c>
      <c r="J975" s="30">
        <f t="shared" si="45"/>
        <v>1</v>
      </c>
      <c r="K975" s="30">
        <f t="shared" si="46"/>
        <v>1</v>
      </c>
      <c r="L975" s="26">
        <f t="shared" si="47"/>
        <v>1</v>
      </c>
      <c r="M975" s="26"/>
    </row>
    <row r="976" spans="1:13" ht="15" customHeight="1">
      <c r="A976" s="25">
        <v>1524277</v>
      </c>
      <c r="B976" s="26" t="s">
        <v>5423</v>
      </c>
      <c r="C976" s="26" t="s">
        <v>8033</v>
      </c>
      <c r="D976" s="26" t="s">
        <v>8034</v>
      </c>
      <c r="E976" s="26" t="s">
        <v>5514</v>
      </c>
      <c r="F976" s="27">
        <v>5406308</v>
      </c>
      <c r="G976" s="27">
        <v>0</v>
      </c>
      <c r="H976" s="27">
        <v>0</v>
      </c>
      <c r="I976" s="27">
        <v>0</v>
      </c>
      <c r="J976" s="30">
        <f t="shared" si="45"/>
        <v>0</v>
      </c>
      <c r="K976" s="30">
        <f t="shared" si="46"/>
        <v>0</v>
      </c>
      <c r="L976" s="26">
        <f t="shared" si="47"/>
        <v>0</v>
      </c>
      <c r="M976" s="26">
        <v>0</v>
      </c>
    </row>
    <row r="977" spans="1:13" ht="15" customHeight="1">
      <c r="A977" s="25">
        <v>1524304</v>
      </c>
      <c r="B977" s="26" t="s">
        <v>5423</v>
      </c>
      <c r="C977" s="26" t="s">
        <v>8035</v>
      </c>
      <c r="D977" s="26" t="s">
        <v>8036</v>
      </c>
      <c r="E977" s="26" t="s">
        <v>5545</v>
      </c>
      <c r="F977" s="27">
        <v>5406277</v>
      </c>
      <c r="G977" s="27">
        <v>0</v>
      </c>
      <c r="H977" s="27">
        <v>0</v>
      </c>
      <c r="I977" s="27">
        <v>0</v>
      </c>
      <c r="J977" s="30">
        <f t="shared" si="45"/>
        <v>0</v>
      </c>
      <c r="K977" s="30">
        <f t="shared" si="46"/>
        <v>0</v>
      </c>
      <c r="L977" s="26">
        <f t="shared" si="47"/>
        <v>0</v>
      </c>
      <c r="M977" s="26">
        <v>0</v>
      </c>
    </row>
    <row r="978" spans="1:13" ht="15" customHeight="1">
      <c r="A978" s="25">
        <v>1524604</v>
      </c>
      <c r="B978" s="26" t="s">
        <v>5427</v>
      </c>
      <c r="C978" s="26" t="s">
        <v>8037</v>
      </c>
      <c r="D978" s="26" t="s">
        <v>8038</v>
      </c>
      <c r="E978" s="26" t="s">
        <v>5603</v>
      </c>
      <c r="F978" s="27"/>
      <c r="G978" s="27">
        <v>0</v>
      </c>
      <c r="H978" s="27">
        <v>0</v>
      </c>
      <c r="I978" s="27">
        <v>0</v>
      </c>
      <c r="J978" s="30">
        <f t="shared" si="45"/>
        <v>0</v>
      </c>
      <c r="K978" s="30">
        <f t="shared" si="46"/>
        <v>0</v>
      </c>
      <c r="L978" s="26">
        <f t="shared" si="47"/>
        <v>0</v>
      </c>
      <c r="M978" s="26">
        <v>0</v>
      </c>
    </row>
    <row r="979" spans="1:13" ht="15" customHeight="1">
      <c r="A979" s="25">
        <v>1524728</v>
      </c>
      <c r="B979" s="26" t="s">
        <v>5423</v>
      </c>
      <c r="C979" s="26" t="s">
        <v>8039</v>
      </c>
      <c r="D979" s="26" t="s">
        <v>8040</v>
      </c>
      <c r="E979" s="26" t="s">
        <v>5522</v>
      </c>
      <c r="F979" s="27">
        <v>5387752</v>
      </c>
      <c r="G979" s="27">
        <v>1</v>
      </c>
      <c r="H979" s="27">
        <v>0</v>
      </c>
      <c r="I979" s="27">
        <v>1</v>
      </c>
      <c r="J979" s="30">
        <f t="shared" si="45"/>
        <v>1</v>
      </c>
      <c r="K979" s="30">
        <f t="shared" si="46"/>
        <v>0</v>
      </c>
      <c r="L979" s="26">
        <f t="shared" si="47"/>
        <v>0</v>
      </c>
      <c r="M979" s="26"/>
    </row>
    <row r="980" spans="1:13" ht="15" customHeight="1">
      <c r="A980" s="25">
        <v>1524980</v>
      </c>
      <c r="B980" s="26" t="s">
        <v>5427</v>
      </c>
      <c r="C980" s="26" t="s">
        <v>8041</v>
      </c>
      <c r="D980" s="26" t="s">
        <v>8042</v>
      </c>
      <c r="E980" s="26" t="s">
        <v>5517</v>
      </c>
      <c r="F980" s="27">
        <v>5405416</v>
      </c>
      <c r="G980" s="27">
        <v>0</v>
      </c>
      <c r="H980" s="27">
        <v>0</v>
      </c>
      <c r="I980" s="27">
        <v>0</v>
      </c>
      <c r="J980" s="30">
        <f t="shared" si="45"/>
        <v>0</v>
      </c>
      <c r="K980" s="30">
        <f t="shared" si="46"/>
        <v>0</v>
      </c>
      <c r="L980" s="26">
        <f t="shared" si="47"/>
        <v>0</v>
      </c>
      <c r="M980" s="26">
        <v>0</v>
      </c>
    </row>
    <row r="981" spans="1:13" ht="15" customHeight="1">
      <c r="A981" s="25">
        <v>1524998</v>
      </c>
      <c r="B981" s="26" t="s">
        <v>5423</v>
      </c>
      <c r="C981" s="26" t="s">
        <v>8043</v>
      </c>
      <c r="D981" s="26" t="s">
        <v>8044</v>
      </c>
      <c r="E981" s="26" t="s">
        <v>5488</v>
      </c>
      <c r="F981" s="27">
        <v>4807401</v>
      </c>
      <c r="G981" s="27">
        <v>1</v>
      </c>
      <c r="H981" s="27">
        <v>0</v>
      </c>
      <c r="I981" s="27">
        <v>1</v>
      </c>
      <c r="J981" s="30">
        <f t="shared" si="45"/>
        <v>1</v>
      </c>
      <c r="K981" s="30">
        <f t="shared" si="46"/>
        <v>0</v>
      </c>
      <c r="L981" s="26">
        <f t="shared" si="47"/>
        <v>0</v>
      </c>
      <c r="M981" s="26" t="s">
        <v>8045</v>
      </c>
    </row>
    <row r="982" spans="1:13" ht="15" customHeight="1">
      <c r="A982" s="25">
        <v>1525061</v>
      </c>
      <c r="B982" s="26" t="s">
        <v>5423</v>
      </c>
      <c r="C982" s="26" t="s">
        <v>8046</v>
      </c>
      <c r="D982" s="26" t="s">
        <v>8047</v>
      </c>
      <c r="E982" s="26" t="s">
        <v>5507</v>
      </c>
      <c r="F982" s="27">
        <v>5410050</v>
      </c>
      <c r="G982" s="27">
        <v>0</v>
      </c>
      <c r="H982" s="27">
        <v>0</v>
      </c>
      <c r="I982" s="27">
        <v>0</v>
      </c>
      <c r="J982" s="30">
        <f t="shared" si="45"/>
        <v>0</v>
      </c>
      <c r="K982" s="30">
        <f t="shared" si="46"/>
        <v>0</v>
      </c>
      <c r="L982" s="26">
        <f t="shared" si="47"/>
        <v>0</v>
      </c>
      <c r="M982" s="26">
        <v>0</v>
      </c>
    </row>
    <row r="983" spans="1:13" ht="15" customHeight="1">
      <c r="A983" s="25">
        <v>1525090</v>
      </c>
      <c r="B983" s="26" t="s">
        <v>5423</v>
      </c>
      <c r="C983" s="26" t="s">
        <v>8048</v>
      </c>
      <c r="D983" s="26" t="s">
        <v>8049</v>
      </c>
      <c r="E983" s="26" t="s">
        <v>5683</v>
      </c>
      <c r="F983" s="27">
        <v>5406245</v>
      </c>
      <c r="G983" s="27">
        <v>0</v>
      </c>
      <c r="H983" s="27">
        <v>0</v>
      </c>
      <c r="I983" s="27">
        <v>0</v>
      </c>
      <c r="J983" s="30">
        <f t="shared" si="45"/>
        <v>0</v>
      </c>
      <c r="K983" s="30">
        <f t="shared" si="46"/>
        <v>0</v>
      </c>
      <c r="L983" s="26">
        <f t="shared" si="47"/>
        <v>0</v>
      </c>
      <c r="M983" s="26">
        <v>0</v>
      </c>
    </row>
    <row r="984" spans="1:13" ht="15" customHeight="1">
      <c r="A984" s="25">
        <v>1525098</v>
      </c>
      <c r="B984" s="26" t="s">
        <v>5427</v>
      </c>
      <c r="C984" s="26" t="s">
        <v>8050</v>
      </c>
      <c r="D984" s="26" t="s">
        <v>8051</v>
      </c>
      <c r="E984" s="26" t="s">
        <v>5535</v>
      </c>
      <c r="F984" s="27"/>
      <c r="G984" s="27">
        <v>0</v>
      </c>
      <c r="H984" s="27">
        <v>0</v>
      </c>
      <c r="I984" s="27">
        <v>0</v>
      </c>
      <c r="J984" s="30">
        <f t="shared" si="45"/>
        <v>0</v>
      </c>
      <c r="K984" s="30">
        <f t="shared" si="46"/>
        <v>0</v>
      </c>
      <c r="L984" s="26">
        <f t="shared" si="47"/>
        <v>0</v>
      </c>
      <c r="M984" s="26" t="s">
        <v>5557</v>
      </c>
    </row>
    <row r="985" spans="1:13" ht="15" customHeight="1">
      <c r="A985" s="25">
        <v>1525519</v>
      </c>
      <c r="B985" s="26" t="s">
        <v>5423</v>
      </c>
      <c r="C985" s="26" t="s">
        <v>8052</v>
      </c>
      <c r="D985" s="26" t="s">
        <v>8053</v>
      </c>
      <c r="E985" s="26" t="s">
        <v>5491</v>
      </c>
      <c r="F985" s="27">
        <v>1019284</v>
      </c>
      <c r="G985" s="27">
        <v>0</v>
      </c>
      <c r="H985" s="27">
        <v>0</v>
      </c>
      <c r="I985" s="27">
        <v>0</v>
      </c>
      <c r="J985" s="30">
        <f t="shared" si="45"/>
        <v>0</v>
      </c>
      <c r="K985" s="30">
        <f t="shared" si="46"/>
        <v>0</v>
      </c>
      <c r="L985" s="26">
        <f t="shared" si="47"/>
        <v>0</v>
      </c>
      <c r="M985" s="26">
        <v>0</v>
      </c>
    </row>
    <row r="986" spans="1:13" ht="15" customHeight="1">
      <c r="A986" s="25">
        <v>1525926</v>
      </c>
      <c r="B986" s="26" t="s">
        <v>5427</v>
      </c>
      <c r="C986" s="26" t="s">
        <v>8054</v>
      </c>
      <c r="D986" s="26" t="s">
        <v>8055</v>
      </c>
      <c r="E986" s="26" t="s">
        <v>5463</v>
      </c>
      <c r="F986" s="27">
        <v>5410678</v>
      </c>
      <c r="G986" s="27">
        <v>1</v>
      </c>
      <c r="H986" s="27">
        <v>1</v>
      </c>
      <c r="I986" s="27">
        <v>1</v>
      </c>
      <c r="J986" s="30">
        <f t="shared" si="45"/>
        <v>1</v>
      </c>
      <c r="K986" s="30">
        <f t="shared" si="46"/>
        <v>1</v>
      </c>
      <c r="L986" s="26">
        <f t="shared" si="47"/>
        <v>1</v>
      </c>
      <c r="M986" s="26"/>
    </row>
    <row r="987" spans="1:13" ht="15" customHeight="1">
      <c r="A987" s="25">
        <v>1525928</v>
      </c>
      <c r="B987" s="26" t="s">
        <v>5423</v>
      </c>
      <c r="C987" s="26" t="s">
        <v>8056</v>
      </c>
      <c r="D987" s="26" t="s">
        <v>8057</v>
      </c>
      <c r="E987" s="26" t="s">
        <v>5529</v>
      </c>
      <c r="F987" s="27">
        <v>5400387</v>
      </c>
      <c r="G987" s="27">
        <v>1</v>
      </c>
      <c r="H987" s="27">
        <v>1</v>
      </c>
      <c r="I987" s="27">
        <v>1</v>
      </c>
      <c r="J987" s="30">
        <f t="shared" si="45"/>
        <v>1</v>
      </c>
      <c r="K987" s="30">
        <f t="shared" si="46"/>
        <v>1</v>
      </c>
      <c r="L987" s="26">
        <f t="shared" si="47"/>
        <v>1</v>
      </c>
      <c r="M987" s="26"/>
    </row>
    <row r="988" spans="1:13" ht="15" customHeight="1">
      <c r="A988" s="25">
        <v>1526536</v>
      </c>
      <c r="B988" s="26" t="s">
        <v>5423</v>
      </c>
      <c r="C988" s="26" t="s">
        <v>8058</v>
      </c>
      <c r="D988" s="26" t="s">
        <v>8059</v>
      </c>
      <c r="E988" s="26" t="s">
        <v>5433</v>
      </c>
      <c r="F988" s="27">
        <v>5409373</v>
      </c>
      <c r="G988" s="27">
        <v>0</v>
      </c>
      <c r="H988" s="27">
        <v>0</v>
      </c>
      <c r="I988" s="27">
        <v>0</v>
      </c>
      <c r="J988" s="30">
        <f t="shared" si="45"/>
        <v>0</v>
      </c>
      <c r="K988" s="30">
        <f t="shared" si="46"/>
        <v>0</v>
      </c>
      <c r="L988" s="26">
        <f t="shared" si="47"/>
        <v>0</v>
      </c>
      <c r="M988" s="26">
        <v>0</v>
      </c>
    </row>
    <row r="989" spans="1:13" ht="15" customHeight="1">
      <c r="A989" s="25">
        <v>1526556</v>
      </c>
      <c r="B989" s="26" t="s">
        <v>5423</v>
      </c>
      <c r="C989" s="26" t="s">
        <v>8060</v>
      </c>
      <c r="D989" s="26" t="s">
        <v>8061</v>
      </c>
      <c r="E989" s="26" t="s">
        <v>5430</v>
      </c>
      <c r="F989" s="27">
        <v>5419976</v>
      </c>
      <c r="G989" s="27">
        <v>0</v>
      </c>
      <c r="H989" s="27">
        <v>0</v>
      </c>
      <c r="I989" s="27">
        <v>0</v>
      </c>
      <c r="J989" s="30">
        <f t="shared" si="45"/>
        <v>0</v>
      </c>
      <c r="K989" s="30">
        <f t="shared" si="46"/>
        <v>0</v>
      </c>
      <c r="L989" s="26">
        <f t="shared" si="47"/>
        <v>0</v>
      </c>
      <c r="M989" s="26">
        <v>0</v>
      </c>
    </row>
    <row r="990" spans="1:13" ht="15" customHeight="1">
      <c r="A990" s="25">
        <v>1526558</v>
      </c>
      <c r="B990" s="26" t="s">
        <v>5423</v>
      </c>
      <c r="C990" s="26" t="s">
        <v>8062</v>
      </c>
      <c r="D990" s="26" t="s">
        <v>8063</v>
      </c>
      <c r="E990" s="26" t="s">
        <v>5433</v>
      </c>
      <c r="F990" s="27">
        <v>5419977</v>
      </c>
      <c r="G990" s="27">
        <v>0</v>
      </c>
      <c r="H990" s="27">
        <v>0</v>
      </c>
      <c r="I990" s="27">
        <v>0</v>
      </c>
      <c r="J990" s="30">
        <f t="shared" si="45"/>
        <v>0</v>
      </c>
      <c r="K990" s="30">
        <f t="shared" si="46"/>
        <v>0</v>
      </c>
      <c r="L990" s="26">
        <f t="shared" si="47"/>
        <v>0</v>
      </c>
      <c r="M990" s="26">
        <v>0</v>
      </c>
    </row>
    <row r="991" spans="1:13" ht="15" customHeight="1">
      <c r="A991" s="25">
        <v>1526568</v>
      </c>
      <c r="B991" s="26" t="s">
        <v>5423</v>
      </c>
      <c r="C991" s="26" t="s">
        <v>8064</v>
      </c>
      <c r="D991" s="26" t="s">
        <v>8065</v>
      </c>
      <c r="E991" s="26" t="s">
        <v>5504</v>
      </c>
      <c r="F991" s="27">
        <v>5411960</v>
      </c>
      <c r="G991" s="27">
        <v>0</v>
      </c>
      <c r="H991" s="27">
        <v>0</v>
      </c>
      <c r="I991" s="27">
        <v>0</v>
      </c>
      <c r="J991" s="30">
        <f t="shared" si="45"/>
        <v>0</v>
      </c>
      <c r="K991" s="30">
        <f t="shared" si="46"/>
        <v>0</v>
      </c>
      <c r="L991" s="26">
        <f t="shared" si="47"/>
        <v>0</v>
      </c>
      <c r="M991" s="26">
        <v>0</v>
      </c>
    </row>
    <row r="992" spans="1:13" ht="15" customHeight="1">
      <c r="A992" s="25">
        <v>1526639</v>
      </c>
      <c r="B992" s="26" t="s">
        <v>5423</v>
      </c>
      <c r="C992" s="26" t="s">
        <v>8066</v>
      </c>
      <c r="D992" s="26" t="s">
        <v>8067</v>
      </c>
      <c r="E992" s="26" t="s">
        <v>5540</v>
      </c>
      <c r="F992" s="27">
        <v>5404715</v>
      </c>
      <c r="G992" s="27">
        <v>1</v>
      </c>
      <c r="H992" s="27">
        <v>1</v>
      </c>
      <c r="I992" s="27">
        <v>1</v>
      </c>
      <c r="J992" s="30">
        <f t="shared" si="45"/>
        <v>1</v>
      </c>
      <c r="K992" s="30">
        <f t="shared" si="46"/>
        <v>1</v>
      </c>
      <c r="L992" s="26">
        <f t="shared" si="47"/>
        <v>1</v>
      </c>
      <c r="M992" s="26"/>
    </row>
    <row r="993" spans="1:13" ht="15" customHeight="1">
      <c r="A993" s="25">
        <v>1526644</v>
      </c>
      <c r="B993" s="26" t="s">
        <v>5423</v>
      </c>
      <c r="C993" s="26" t="s">
        <v>8068</v>
      </c>
      <c r="D993" s="26" t="s">
        <v>8069</v>
      </c>
      <c r="E993" s="26" t="s">
        <v>5433</v>
      </c>
      <c r="F993" s="27">
        <v>3789921</v>
      </c>
      <c r="G993" s="27">
        <v>1</v>
      </c>
      <c r="H993" s="27">
        <v>1</v>
      </c>
      <c r="I993" s="27">
        <v>1</v>
      </c>
      <c r="J993" s="30">
        <f t="shared" si="45"/>
        <v>1</v>
      </c>
      <c r="K993" s="30">
        <f t="shared" si="46"/>
        <v>1</v>
      </c>
      <c r="L993" s="26">
        <f t="shared" si="47"/>
        <v>1</v>
      </c>
      <c r="M993" s="26"/>
    </row>
    <row r="994" spans="1:13" ht="15" customHeight="1">
      <c r="A994" s="25">
        <v>1526767</v>
      </c>
      <c r="B994" s="26" t="s">
        <v>5423</v>
      </c>
      <c r="C994" s="26" t="s">
        <v>8070</v>
      </c>
      <c r="D994" s="26" t="s">
        <v>8071</v>
      </c>
      <c r="E994" s="26" t="s">
        <v>5436</v>
      </c>
      <c r="F994" s="27">
        <v>5417293</v>
      </c>
      <c r="G994" s="27">
        <v>0</v>
      </c>
      <c r="H994" s="27">
        <v>0</v>
      </c>
      <c r="I994" s="27">
        <v>0</v>
      </c>
      <c r="J994" s="30">
        <f t="shared" si="45"/>
        <v>0</v>
      </c>
      <c r="K994" s="30">
        <f t="shared" si="46"/>
        <v>0</v>
      </c>
      <c r="L994" s="26">
        <f t="shared" si="47"/>
        <v>0</v>
      </c>
      <c r="M994" s="26">
        <v>0</v>
      </c>
    </row>
    <row r="995" spans="1:13" ht="15" customHeight="1">
      <c r="A995" s="25">
        <v>1526773</v>
      </c>
      <c r="B995" s="26" t="s">
        <v>5427</v>
      </c>
      <c r="C995" s="26" t="s">
        <v>8072</v>
      </c>
      <c r="D995" s="26" t="s">
        <v>8073</v>
      </c>
      <c r="E995" s="26" t="s">
        <v>5586</v>
      </c>
      <c r="F995" s="27">
        <v>5414223</v>
      </c>
      <c r="G995" s="27">
        <v>1</v>
      </c>
      <c r="H995" s="27">
        <v>1</v>
      </c>
      <c r="I995" s="27">
        <v>1</v>
      </c>
      <c r="J995" s="30">
        <f t="shared" si="45"/>
        <v>1</v>
      </c>
      <c r="K995" s="30">
        <f t="shared" si="46"/>
        <v>1</v>
      </c>
      <c r="L995" s="26">
        <f t="shared" si="47"/>
        <v>1</v>
      </c>
      <c r="M995" s="26"/>
    </row>
    <row r="996" spans="1:13" ht="15" customHeight="1">
      <c r="A996" s="25">
        <v>1526777</v>
      </c>
      <c r="B996" s="26" t="s">
        <v>5423</v>
      </c>
      <c r="C996" s="26" t="s">
        <v>8074</v>
      </c>
      <c r="D996" s="26" t="s">
        <v>8075</v>
      </c>
      <c r="E996" s="26" t="s">
        <v>5532</v>
      </c>
      <c r="F996" s="27">
        <v>5403780</v>
      </c>
      <c r="G996" s="27">
        <v>1</v>
      </c>
      <c r="H996" s="27">
        <v>1</v>
      </c>
      <c r="I996" s="27">
        <v>1</v>
      </c>
      <c r="J996" s="30">
        <f t="shared" si="45"/>
        <v>1</v>
      </c>
      <c r="K996" s="30">
        <f t="shared" si="46"/>
        <v>1</v>
      </c>
      <c r="L996" s="26">
        <f t="shared" si="47"/>
        <v>1</v>
      </c>
      <c r="M996" s="26"/>
    </row>
    <row r="997" spans="1:13" ht="15" customHeight="1">
      <c r="A997" s="25">
        <v>1526813</v>
      </c>
      <c r="B997" s="26" t="s">
        <v>5427</v>
      </c>
      <c r="C997" s="26" t="s">
        <v>8076</v>
      </c>
      <c r="D997" s="26" t="s">
        <v>8077</v>
      </c>
      <c r="E997" s="26" t="s">
        <v>5540</v>
      </c>
      <c r="F997" s="27">
        <v>5417294</v>
      </c>
      <c r="G997" s="27">
        <v>0</v>
      </c>
      <c r="H997" s="27">
        <v>0</v>
      </c>
      <c r="I997" s="27">
        <v>0</v>
      </c>
      <c r="J997" s="30">
        <f t="shared" si="45"/>
        <v>0</v>
      </c>
      <c r="K997" s="30">
        <f t="shared" si="46"/>
        <v>0</v>
      </c>
      <c r="L997" s="26">
        <f t="shared" si="47"/>
        <v>0</v>
      </c>
      <c r="M997" s="26">
        <v>0</v>
      </c>
    </row>
    <row r="998" spans="1:13" ht="15" customHeight="1">
      <c r="A998" s="25">
        <v>1526815</v>
      </c>
      <c r="B998" s="26" t="s">
        <v>5423</v>
      </c>
      <c r="C998" s="26" t="s">
        <v>8078</v>
      </c>
      <c r="D998" s="26" t="s">
        <v>8079</v>
      </c>
      <c r="E998" s="26" t="s">
        <v>5480</v>
      </c>
      <c r="F998" s="27">
        <v>5413036</v>
      </c>
      <c r="G998" s="27">
        <v>1</v>
      </c>
      <c r="H998" s="27">
        <v>1</v>
      </c>
      <c r="I998" s="27">
        <v>1</v>
      </c>
      <c r="J998" s="30">
        <f t="shared" si="45"/>
        <v>1</v>
      </c>
      <c r="K998" s="30">
        <f t="shared" si="46"/>
        <v>1</v>
      </c>
      <c r="L998" s="26">
        <f t="shared" si="47"/>
        <v>1</v>
      </c>
      <c r="M998" s="26"/>
    </row>
    <row r="999" spans="1:13" ht="15" customHeight="1">
      <c r="A999" s="25">
        <v>1526824</v>
      </c>
      <c r="B999" s="26" t="s">
        <v>5423</v>
      </c>
      <c r="C999" s="26" t="s">
        <v>8080</v>
      </c>
      <c r="D999" s="26" t="s">
        <v>8081</v>
      </c>
      <c r="E999" s="26" t="s">
        <v>5463</v>
      </c>
      <c r="F999" s="27">
        <v>4589081</v>
      </c>
      <c r="G999" s="27">
        <v>0</v>
      </c>
      <c r="H999" s="27">
        <v>1</v>
      </c>
      <c r="I999" s="27">
        <v>1</v>
      </c>
      <c r="J999" s="30">
        <f t="shared" si="45"/>
        <v>0</v>
      </c>
      <c r="K999" s="30">
        <f t="shared" si="46"/>
        <v>1</v>
      </c>
      <c r="L999" s="26">
        <f t="shared" si="47"/>
        <v>0</v>
      </c>
      <c r="M999" s="26"/>
    </row>
    <row r="1000" spans="1:13" ht="15" customHeight="1">
      <c r="A1000" s="25">
        <v>1527430</v>
      </c>
      <c r="B1000" s="26" t="s">
        <v>5427</v>
      </c>
      <c r="C1000" s="26" t="s">
        <v>8082</v>
      </c>
      <c r="D1000" s="26" t="s">
        <v>8083</v>
      </c>
      <c r="E1000" s="26" t="s">
        <v>5426</v>
      </c>
      <c r="F1000" s="27">
        <v>5414374</v>
      </c>
      <c r="G1000" s="27">
        <v>1</v>
      </c>
      <c r="H1000" s="27">
        <v>0</v>
      </c>
      <c r="I1000" s="27">
        <v>1</v>
      </c>
      <c r="J1000" s="30">
        <f t="shared" si="45"/>
        <v>1</v>
      </c>
      <c r="K1000" s="30">
        <f t="shared" si="46"/>
        <v>0</v>
      </c>
      <c r="L1000" s="26">
        <f t="shared" si="47"/>
        <v>0</v>
      </c>
      <c r="M1000" s="26"/>
    </row>
    <row r="1001" spans="1:13" ht="15" customHeight="1">
      <c r="A1001" s="25">
        <v>1527856</v>
      </c>
      <c r="B1001" s="26" t="s">
        <v>5423</v>
      </c>
      <c r="C1001" s="26" t="s">
        <v>8084</v>
      </c>
      <c r="D1001" s="26" t="s">
        <v>8085</v>
      </c>
      <c r="E1001" s="26" t="s">
        <v>5517</v>
      </c>
      <c r="F1001" s="27">
        <v>5414652</v>
      </c>
      <c r="G1001" s="27">
        <v>1</v>
      </c>
      <c r="H1001" s="27">
        <v>0</v>
      </c>
      <c r="I1001" s="27">
        <v>1</v>
      </c>
      <c r="J1001" s="30">
        <f t="shared" si="45"/>
        <v>1</v>
      </c>
      <c r="K1001" s="30">
        <f t="shared" si="46"/>
        <v>0</v>
      </c>
      <c r="L1001" s="26">
        <f t="shared" si="47"/>
        <v>0</v>
      </c>
      <c r="M1001" s="26"/>
    </row>
    <row r="1002" spans="1:13" ht="15" customHeight="1">
      <c r="A1002" s="25">
        <v>1528030</v>
      </c>
      <c r="B1002" s="26" t="s">
        <v>5427</v>
      </c>
      <c r="C1002" s="26" t="s">
        <v>8086</v>
      </c>
      <c r="D1002" s="26" t="s">
        <v>8087</v>
      </c>
      <c r="E1002" s="26" t="s">
        <v>5545</v>
      </c>
      <c r="F1002" s="27">
        <v>5413082</v>
      </c>
      <c r="G1002" s="27">
        <v>1</v>
      </c>
      <c r="H1002" s="27">
        <v>0</v>
      </c>
      <c r="I1002" s="27">
        <v>1</v>
      </c>
      <c r="J1002" s="30">
        <f t="shared" si="45"/>
        <v>1</v>
      </c>
      <c r="K1002" s="30">
        <f t="shared" si="46"/>
        <v>0</v>
      </c>
      <c r="L1002" s="26">
        <f t="shared" si="47"/>
        <v>0</v>
      </c>
      <c r="M1002" s="26"/>
    </row>
    <row r="1003" spans="1:13" ht="15" customHeight="1">
      <c r="A1003" s="25">
        <v>1528448</v>
      </c>
      <c r="B1003" s="26" t="s">
        <v>5427</v>
      </c>
      <c r="C1003" s="26" t="s">
        <v>8088</v>
      </c>
      <c r="D1003" s="26" t="s">
        <v>8089</v>
      </c>
      <c r="E1003" s="26" t="s">
        <v>5891</v>
      </c>
      <c r="F1003" s="27">
        <v>5420423</v>
      </c>
      <c r="G1003" s="27">
        <v>1</v>
      </c>
      <c r="H1003" s="27">
        <v>1</v>
      </c>
      <c r="I1003" s="27">
        <v>1</v>
      </c>
      <c r="J1003" s="30">
        <f t="shared" si="45"/>
        <v>1</v>
      </c>
      <c r="K1003" s="30">
        <f t="shared" si="46"/>
        <v>1</v>
      </c>
      <c r="L1003" s="26">
        <f t="shared" si="47"/>
        <v>1</v>
      </c>
      <c r="M1003" s="26"/>
    </row>
    <row r="1004" spans="1:13" ht="15" customHeight="1">
      <c r="A1004" s="25">
        <v>1528759</v>
      </c>
      <c r="B1004" s="26" t="s">
        <v>5423</v>
      </c>
      <c r="C1004" s="26" t="s">
        <v>8090</v>
      </c>
      <c r="D1004" s="26" t="s">
        <v>8091</v>
      </c>
      <c r="E1004" s="26" t="s">
        <v>5540</v>
      </c>
      <c r="F1004" s="27">
        <v>5412994</v>
      </c>
      <c r="G1004" s="27">
        <v>1</v>
      </c>
      <c r="H1004" s="27">
        <v>1</v>
      </c>
      <c r="I1004" s="27">
        <v>1</v>
      </c>
      <c r="J1004" s="30">
        <f t="shared" si="45"/>
        <v>1</v>
      </c>
      <c r="K1004" s="30">
        <f t="shared" si="46"/>
        <v>1</v>
      </c>
      <c r="L1004" s="26">
        <f t="shared" si="47"/>
        <v>1</v>
      </c>
      <c r="M1004" s="26"/>
    </row>
    <row r="1005" spans="1:13" ht="15" customHeight="1">
      <c r="A1005" s="25">
        <v>1528932</v>
      </c>
      <c r="B1005" s="26" t="s">
        <v>5423</v>
      </c>
      <c r="C1005" s="26" t="s">
        <v>8092</v>
      </c>
      <c r="D1005" s="26" t="s">
        <v>8093</v>
      </c>
      <c r="E1005" s="26" t="s">
        <v>5535</v>
      </c>
      <c r="F1005" s="27">
        <v>5420032</v>
      </c>
      <c r="G1005" s="27">
        <v>0</v>
      </c>
      <c r="H1005" s="27">
        <v>0</v>
      </c>
      <c r="I1005" s="27">
        <v>0</v>
      </c>
      <c r="J1005" s="30">
        <f t="shared" si="45"/>
        <v>0</v>
      </c>
      <c r="K1005" s="30">
        <f t="shared" si="46"/>
        <v>0</v>
      </c>
      <c r="L1005" s="26">
        <f t="shared" si="47"/>
        <v>0</v>
      </c>
      <c r="M1005" s="26">
        <v>0</v>
      </c>
    </row>
    <row r="1006" spans="1:13" ht="15" customHeight="1">
      <c r="A1006" s="25">
        <v>1529216</v>
      </c>
      <c r="B1006" s="26" t="s">
        <v>5423</v>
      </c>
      <c r="C1006" s="26" t="s">
        <v>8094</v>
      </c>
      <c r="D1006" s="26" t="s">
        <v>8095</v>
      </c>
      <c r="E1006" s="26" t="s">
        <v>5610</v>
      </c>
      <c r="F1006" s="27">
        <v>5424483</v>
      </c>
      <c r="G1006" s="27">
        <v>0</v>
      </c>
      <c r="H1006" s="27">
        <v>0</v>
      </c>
      <c r="I1006" s="27">
        <v>0</v>
      </c>
      <c r="J1006" s="30">
        <f t="shared" si="45"/>
        <v>0</v>
      </c>
      <c r="K1006" s="30">
        <f t="shared" si="46"/>
        <v>0</v>
      </c>
      <c r="L1006" s="26">
        <f t="shared" si="47"/>
        <v>0</v>
      </c>
      <c r="M1006" s="26">
        <v>0</v>
      </c>
    </row>
    <row r="1007" spans="1:13" ht="15" customHeight="1">
      <c r="A1007" s="25">
        <v>1529235</v>
      </c>
      <c r="B1007" s="26" t="s">
        <v>5423</v>
      </c>
      <c r="C1007" s="26" t="s">
        <v>8096</v>
      </c>
      <c r="D1007" s="26" t="s">
        <v>8097</v>
      </c>
      <c r="E1007" s="26" t="s">
        <v>5504</v>
      </c>
      <c r="F1007" s="27">
        <v>5414685</v>
      </c>
      <c r="G1007" s="27">
        <v>1</v>
      </c>
      <c r="H1007" s="27">
        <v>1</v>
      </c>
      <c r="I1007" s="27">
        <v>1</v>
      </c>
      <c r="J1007" s="30">
        <f t="shared" si="45"/>
        <v>1</v>
      </c>
      <c r="K1007" s="30">
        <f t="shared" si="46"/>
        <v>1</v>
      </c>
      <c r="L1007" s="26">
        <f t="shared" si="47"/>
        <v>1</v>
      </c>
      <c r="M1007" s="26"/>
    </row>
    <row r="1008" spans="1:13" ht="15" customHeight="1">
      <c r="A1008" s="25">
        <v>1529263</v>
      </c>
      <c r="B1008" s="26" t="s">
        <v>5423</v>
      </c>
      <c r="C1008" s="26" t="s">
        <v>8098</v>
      </c>
      <c r="D1008" s="26" t="s">
        <v>8099</v>
      </c>
      <c r="E1008" s="26" t="s">
        <v>5763</v>
      </c>
      <c r="F1008" s="27">
        <v>5421826</v>
      </c>
      <c r="G1008" s="27">
        <v>0</v>
      </c>
      <c r="H1008" s="27">
        <v>1</v>
      </c>
      <c r="I1008" s="27">
        <v>1</v>
      </c>
      <c r="J1008" s="30">
        <f t="shared" si="45"/>
        <v>0</v>
      </c>
      <c r="K1008" s="30">
        <f t="shared" si="46"/>
        <v>1</v>
      </c>
      <c r="L1008" s="26">
        <f t="shared" si="47"/>
        <v>0</v>
      </c>
      <c r="M1008" s="26"/>
    </row>
    <row r="1009" spans="1:13" ht="15" customHeight="1">
      <c r="A1009" s="25">
        <v>1529276</v>
      </c>
      <c r="B1009" s="26" t="s">
        <v>5427</v>
      </c>
      <c r="C1009" s="26" t="s">
        <v>8100</v>
      </c>
      <c r="D1009" s="26" t="s">
        <v>8101</v>
      </c>
      <c r="E1009" s="26" t="s">
        <v>5545</v>
      </c>
      <c r="F1009" s="27">
        <v>5421472</v>
      </c>
      <c r="G1009" s="27">
        <v>0</v>
      </c>
      <c r="H1009" s="27">
        <v>0</v>
      </c>
      <c r="I1009" s="27">
        <v>0</v>
      </c>
      <c r="J1009" s="30">
        <f t="shared" si="45"/>
        <v>0</v>
      </c>
      <c r="K1009" s="30">
        <f t="shared" si="46"/>
        <v>0</v>
      </c>
      <c r="L1009" s="26">
        <f t="shared" si="47"/>
        <v>0</v>
      </c>
      <c r="M1009" s="26">
        <v>0</v>
      </c>
    </row>
    <row r="1010" spans="1:13" ht="15" customHeight="1">
      <c r="A1010" s="25">
        <v>1529317</v>
      </c>
      <c r="B1010" s="26" t="s">
        <v>5427</v>
      </c>
      <c r="C1010" s="26" t="s">
        <v>8102</v>
      </c>
      <c r="D1010" s="26" t="s">
        <v>8103</v>
      </c>
      <c r="E1010" s="26" t="s">
        <v>5447</v>
      </c>
      <c r="F1010" s="27">
        <v>5419423</v>
      </c>
      <c r="G1010" s="27">
        <v>0</v>
      </c>
      <c r="H1010" s="27">
        <v>1</v>
      </c>
      <c r="I1010" s="27">
        <v>1</v>
      </c>
      <c r="J1010" s="30">
        <f t="shared" si="45"/>
        <v>0</v>
      </c>
      <c r="K1010" s="30">
        <f t="shared" si="46"/>
        <v>1</v>
      </c>
      <c r="L1010" s="26">
        <f t="shared" si="47"/>
        <v>0</v>
      </c>
      <c r="M1010" s="26"/>
    </row>
    <row r="1011" spans="1:13" ht="15" customHeight="1">
      <c r="A1011" s="25">
        <v>1529330</v>
      </c>
      <c r="B1011" s="26" t="s">
        <v>5427</v>
      </c>
      <c r="C1011" s="26" t="s">
        <v>8104</v>
      </c>
      <c r="D1011" s="26" t="s">
        <v>8105</v>
      </c>
      <c r="E1011" s="26" t="s">
        <v>5968</v>
      </c>
      <c r="F1011" s="27">
        <v>5408209</v>
      </c>
      <c r="G1011" s="27">
        <v>1</v>
      </c>
      <c r="H1011" s="27">
        <v>1</v>
      </c>
      <c r="I1011" s="27">
        <v>1</v>
      </c>
      <c r="J1011" s="30">
        <f t="shared" si="45"/>
        <v>1</v>
      </c>
      <c r="K1011" s="30">
        <f t="shared" si="46"/>
        <v>1</v>
      </c>
      <c r="L1011" s="26">
        <f t="shared" si="47"/>
        <v>1</v>
      </c>
      <c r="M1011" s="26"/>
    </row>
    <row r="1012" spans="1:13" ht="15" customHeight="1">
      <c r="A1012" s="25">
        <v>1529495</v>
      </c>
      <c r="B1012" s="26" t="s">
        <v>5427</v>
      </c>
      <c r="C1012" s="26" t="s">
        <v>8106</v>
      </c>
      <c r="D1012" s="26" t="s">
        <v>8107</v>
      </c>
      <c r="E1012" s="26" t="s">
        <v>5455</v>
      </c>
      <c r="F1012" s="27">
        <v>5421725</v>
      </c>
      <c r="G1012" s="27">
        <v>0</v>
      </c>
      <c r="H1012" s="27">
        <v>1</v>
      </c>
      <c r="I1012" s="27">
        <v>1</v>
      </c>
      <c r="J1012" s="30">
        <f t="shared" si="45"/>
        <v>0</v>
      </c>
      <c r="K1012" s="30">
        <f t="shared" si="46"/>
        <v>1</v>
      </c>
      <c r="L1012" s="26">
        <f t="shared" si="47"/>
        <v>0</v>
      </c>
      <c r="M1012" s="26" t="s">
        <v>7910</v>
      </c>
    </row>
    <row r="1013" spans="1:13" ht="15" customHeight="1">
      <c r="A1013" s="25">
        <v>1529509</v>
      </c>
      <c r="B1013" s="26" t="s">
        <v>5423</v>
      </c>
      <c r="C1013" s="26" t="s">
        <v>8108</v>
      </c>
      <c r="D1013" s="26" t="s">
        <v>8109</v>
      </c>
      <c r="E1013" s="26" t="s">
        <v>5517</v>
      </c>
      <c r="F1013" s="27">
        <v>5428507</v>
      </c>
      <c r="G1013" s="27">
        <v>0</v>
      </c>
      <c r="H1013" s="27">
        <v>0</v>
      </c>
      <c r="I1013" s="27">
        <v>0</v>
      </c>
      <c r="J1013" s="30">
        <f t="shared" si="45"/>
        <v>0</v>
      </c>
      <c r="K1013" s="30">
        <f t="shared" si="46"/>
        <v>0</v>
      </c>
      <c r="L1013" s="26">
        <f t="shared" si="47"/>
        <v>0</v>
      </c>
      <c r="M1013" s="26">
        <v>0</v>
      </c>
    </row>
    <row r="1014" spans="1:13" ht="15" customHeight="1">
      <c r="A1014" s="25">
        <v>1529516</v>
      </c>
      <c r="B1014" s="26" t="s">
        <v>5423</v>
      </c>
      <c r="C1014" s="26" t="s">
        <v>8110</v>
      </c>
      <c r="D1014" s="26" t="s">
        <v>8111</v>
      </c>
      <c r="E1014" s="26" t="s">
        <v>5603</v>
      </c>
      <c r="F1014" s="27">
        <v>5396997</v>
      </c>
      <c r="G1014" s="27">
        <v>1</v>
      </c>
      <c r="H1014" s="27">
        <v>0</v>
      </c>
      <c r="I1014" s="27">
        <v>1</v>
      </c>
      <c r="J1014" s="30">
        <f t="shared" si="45"/>
        <v>1</v>
      </c>
      <c r="K1014" s="30">
        <f t="shared" si="46"/>
        <v>0</v>
      </c>
      <c r="L1014" s="26">
        <f t="shared" si="47"/>
        <v>0</v>
      </c>
      <c r="M1014" s="26"/>
    </row>
    <row r="1015" spans="1:13" ht="15" customHeight="1">
      <c r="A1015" s="25">
        <v>1529543</v>
      </c>
      <c r="B1015" s="26" t="s">
        <v>5423</v>
      </c>
      <c r="C1015" s="26" t="s">
        <v>8112</v>
      </c>
      <c r="D1015" s="26" t="s">
        <v>8113</v>
      </c>
      <c r="E1015" s="26" t="s">
        <v>5439</v>
      </c>
      <c r="F1015" s="27">
        <v>5419937</v>
      </c>
      <c r="G1015" s="27">
        <v>0</v>
      </c>
      <c r="H1015" s="27">
        <v>0</v>
      </c>
      <c r="I1015" s="27">
        <v>0</v>
      </c>
      <c r="J1015" s="30">
        <f t="shared" si="45"/>
        <v>0</v>
      </c>
      <c r="K1015" s="30">
        <f t="shared" si="46"/>
        <v>0</v>
      </c>
      <c r="L1015" s="26">
        <f t="shared" si="47"/>
        <v>0</v>
      </c>
      <c r="M1015" s="26">
        <v>0</v>
      </c>
    </row>
    <row r="1016" spans="1:13" ht="15" customHeight="1">
      <c r="A1016" s="25">
        <v>1529694</v>
      </c>
      <c r="B1016" s="26" t="s">
        <v>5423</v>
      </c>
      <c r="C1016" s="26" t="s">
        <v>8114</v>
      </c>
      <c r="D1016" s="26" t="s">
        <v>8115</v>
      </c>
      <c r="E1016" s="26" t="s">
        <v>5433</v>
      </c>
      <c r="F1016" s="27">
        <v>4157928</v>
      </c>
      <c r="G1016" s="27">
        <v>1</v>
      </c>
      <c r="H1016" s="27">
        <v>0</v>
      </c>
      <c r="I1016" s="27">
        <v>1</v>
      </c>
      <c r="J1016" s="30">
        <f t="shared" si="45"/>
        <v>1</v>
      </c>
      <c r="K1016" s="30">
        <f t="shared" si="46"/>
        <v>0</v>
      </c>
      <c r="L1016" s="26">
        <f t="shared" si="47"/>
        <v>0</v>
      </c>
      <c r="M1016" s="26"/>
    </row>
    <row r="1017" spans="1:13" ht="15" customHeight="1">
      <c r="A1017" s="25">
        <v>1529915</v>
      </c>
      <c r="B1017" s="26" t="s">
        <v>5423</v>
      </c>
      <c r="C1017" s="26" t="s">
        <v>8116</v>
      </c>
      <c r="D1017" s="26" t="s">
        <v>8117</v>
      </c>
      <c r="E1017" s="26" t="s">
        <v>5468</v>
      </c>
      <c r="F1017" s="27">
        <v>4980319</v>
      </c>
      <c r="G1017" s="27">
        <v>0</v>
      </c>
      <c r="H1017" s="27">
        <v>0</v>
      </c>
      <c r="I1017" s="27">
        <v>0</v>
      </c>
      <c r="J1017" s="30">
        <f t="shared" si="45"/>
        <v>0</v>
      </c>
      <c r="K1017" s="30">
        <f t="shared" si="46"/>
        <v>0</v>
      </c>
      <c r="L1017" s="26">
        <f t="shared" si="47"/>
        <v>0</v>
      </c>
      <c r="M1017" s="26">
        <v>0</v>
      </c>
    </row>
    <row r="1018" spans="1:13" ht="15" customHeight="1">
      <c r="A1018" s="25">
        <v>1529929</v>
      </c>
      <c r="B1018" s="26" t="s">
        <v>5423</v>
      </c>
      <c r="C1018" s="26" t="s">
        <v>8118</v>
      </c>
      <c r="D1018" s="26" t="s">
        <v>8119</v>
      </c>
      <c r="E1018" s="26" t="s">
        <v>5522</v>
      </c>
      <c r="F1018" s="27">
        <v>5361091</v>
      </c>
      <c r="G1018" s="27">
        <v>1</v>
      </c>
      <c r="H1018" s="27">
        <v>0</v>
      </c>
      <c r="I1018" s="27">
        <v>1</v>
      </c>
      <c r="J1018" s="30">
        <f t="shared" si="45"/>
        <v>1</v>
      </c>
      <c r="K1018" s="30">
        <f t="shared" si="46"/>
        <v>0</v>
      </c>
      <c r="L1018" s="26">
        <f t="shared" si="47"/>
        <v>0</v>
      </c>
      <c r="M1018" s="26"/>
    </row>
    <row r="1019" spans="1:13" ht="15" customHeight="1">
      <c r="A1019" s="25">
        <v>1529930</v>
      </c>
      <c r="B1019" s="26" t="s">
        <v>5423</v>
      </c>
      <c r="C1019" s="26" t="s">
        <v>8120</v>
      </c>
      <c r="D1019" s="26" t="s">
        <v>8121</v>
      </c>
      <c r="E1019" s="26" t="s">
        <v>5430</v>
      </c>
      <c r="F1019" s="27">
        <v>5423495</v>
      </c>
      <c r="G1019" s="27">
        <v>0</v>
      </c>
      <c r="H1019" s="27">
        <v>0</v>
      </c>
      <c r="I1019" s="27">
        <v>0</v>
      </c>
      <c r="J1019" s="30">
        <f t="shared" si="45"/>
        <v>0</v>
      </c>
      <c r="K1019" s="30">
        <f t="shared" si="46"/>
        <v>0</v>
      </c>
      <c r="L1019" s="26">
        <f t="shared" si="47"/>
        <v>0</v>
      </c>
      <c r="M1019" s="26">
        <v>0</v>
      </c>
    </row>
    <row r="1020" spans="1:13" ht="15" customHeight="1">
      <c r="A1020" s="25">
        <v>1530346</v>
      </c>
      <c r="B1020" s="26" t="s">
        <v>5427</v>
      </c>
      <c r="C1020" s="26" t="s">
        <v>8122</v>
      </c>
      <c r="D1020" s="26" t="s">
        <v>8123</v>
      </c>
      <c r="E1020" s="26" t="s">
        <v>5891</v>
      </c>
      <c r="F1020" s="27">
        <v>5431343</v>
      </c>
      <c r="G1020" s="27">
        <v>0</v>
      </c>
      <c r="H1020" s="27">
        <v>0</v>
      </c>
      <c r="I1020" s="27">
        <v>0</v>
      </c>
      <c r="J1020" s="30">
        <f t="shared" si="45"/>
        <v>0</v>
      </c>
      <c r="K1020" s="30">
        <f t="shared" si="46"/>
        <v>0</v>
      </c>
      <c r="L1020" s="26">
        <f t="shared" si="47"/>
        <v>0</v>
      </c>
      <c r="M1020" s="26">
        <v>0</v>
      </c>
    </row>
    <row r="1021" spans="1:13" ht="15" customHeight="1">
      <c r="A1021" s="25">
        <v>1530475</v>
      </c>
      <c r="B1021" s="26" t="s">
        <v>5423</v>
      </c>
      <c r="C1021" s="26" t="s">
        <v>8124</v>
      </c>
      <c r="D1021" s="26" t="s">
        <v>8125</v>
      </c>
      <c r="E1021" s="26" t="s">
        <v>5522</v>
      </c>
      <c r="F1021" s="27">
        <v>4237069</v>
      </c>
      <c r="G1021" s="27">
        <v>1</v>
      </c>
      <c r="H1021" s="27">
        <v>0</v>
      </c>
      <c r="I1021" s="27">
        <v>1</v>
      </c>
      <c r="J1021" s="30">
        <f t="shared" si="45"/>
        <v>1</v>
      </c>
      <c r="K1021" s="30">
        <f t="shared" si="46"/>
        <v>0</v>
      </c>
      <c r="L1021" s="26">
        <f t="shared" si="47"/>
        <v>0</v>
      </c>
      <c r="M1021" s="26" t="s">
        <v>8126</v>
      </c>
    </row>
    <row r="1022" spans="1:13" ht="15" customHeight="1">
      <c r="A1022" s="25">
        <v>1530530</v>
      </c>
      <c r="B1022" s="26" t="s">
        <v>5423</v>
      </c>
      <c r="C1022" s="26" t="s">
        <v>8127</v>
      </c>
      <c r="D1022" s="26" t="s">
        <v>8128</v>
      </c>
      <c r="E1022" s="26" t="s">
        <v>5430</v>
      </c>
      <c r="F1022" s="27">
        <v>5402597</v>
      </c>
      <c r="G1022" s="27">
        <v>0</v>
      </c>
      <c r="H1022" s="27">
        <v>1</v>
      </c>
      <c r="I1022" s="27">
        <v>1</v>
      </c>
      <c r="J1022" s="30">
        <f t="shared" si="45"/>
        <v>0</v>
      </c>
      <c r="K1022" s="30">
        <f t="shared" si="46"/>
        <v>1</v>
      </c>
      <c r="L1022" s="26">
        <f t="shared" si="47"/>
        <v>0</v>
      </c>
      <c r="M1022" s="26"/>
    </row>
    <row r="1023" spans="1:13" ht="15" customHeight="1">
      <c r="A1023" s="25">
        <v>1530694</v>
      </c>
      <c r="B1023" s="26" t="s">
        <v>5427</v>
      </c>
      <c r="C1023" s="26" t="s">
        <v>8129</v>
      </c>
      <c r="D1023" s="26" t="s">
        <v>8130</v>
      </c>
      <c r="E1023" s="26" t="s">
        <v>5455</v>
      </c>
      <c r="F1023" s="27">
        <v>5425245</v>
      </c>
      <c r="G1023" s="27">
        <v>0</v>
      </c>
      <c r="H1023" s="27">
        <v>0</v>
      </c>
      <c r="I1023" s="27">
        <v>0</v>
      </c>
      <c r="J1023" s="30">
        <f t="shared" si="45"/>
        <v>0</v>
      </c>
      <c r="K1023" s="30">
        <f t="shared" si="46"/>
        <v>0</v>
      </c>
      <c r="L1023" s="26">
        <f t="shared" si="47"/>
        <v>0</v>
      </c>
      <c r="M1023" s="26">
        <v>0</v>
      </c>
    </row>
    <row r="1024" spans="1:13" ht="15" customHeight="1">
      <c r="A1024" s="25">
        <v>1530789</v>
      </c>
      <c r="B1024" s="26" t="s">
        <v>5423</v>
      </c>
      <c r="C1024" s="26" t="s">
        <v>8131</v>
      </c>
      <c r="D1024" s="26" t="s">
        <v>8132</v>
      </c>
      <c r="E1024" s="26" t="s">
        <v>5488</v>
      </c>
      <c r="F1024" s="27">
        <v>5409955</v>
      </c>
      <c r="G1024" s="27">
        <v>1</v>
      </c>
      <c r="H1024" s="27">
        <v>1</v>
      </c>
      <c r="I1024" s="27">
        <v>1</v>
      </c>
      <c r="J1024" s="30">
        <f t="shared" si="45"/>
        <v>1</v>
      </c>
      <c r="K1024" s="30">
        <f t="shared" si="46"/>
        <v>1</v>
      </c>
      <c r="L1024" s="26">
        <f t="shared" si="47"/>
        <v>1</v>
      </c>
      <c r="M1024" s="26"/>
    </row>
    <row r="1025" spans="1:13" ht="15" customHeight="1">
      <c r="A1025" s="25">
        <v>1531105</v>
      </c>
      <c r="B1025" s="26" t="s">
        <v>5423</v>
      </c>
      <c r="C1025" s="26" t="s">
        <v>8133</v>
      </c>
      <c r="D1025" s="26" t="s">
        <v>8134</v>
      </c>
      <c r="E1025" s="26" t="s">
        <v>5468</v>
      </c>
      <c r="F1025" s="27">
        <v>5425400</v>
      </c>
      <c r="G1025" s="27">
        <v>0</v>
      </c>
      <c r="H1025" s="27">
        <v>0</v>
      </c>
      <c r="I1025" s="27">
        <v>0</v>
      </c>
      <c r="J1025" s="30">
        <f t="shared" si="45"/>
        <v>0</v>
      </c>
      <c r="K1025" s="30">
        <f t="shared" si="46"/>
        <v>0</v>
      </c>
      <c r="L1025" s="26">
        <f t="shared" si="47"/>
        <v>0</v>
      </c>
      <c r="M1025" s="26">
        <v>0</v>
      </c>
    </row>
    <row r="1026" spans="1:13" ht="15" customHeight="1">
      <c r="A1026" s="25">
        <v>1531154</v>
      </c>
      <c r="B1026" s="26" t="s">
        <v>5423</v>
      </c>
      <c r="C1026" s="26" t="s">
        <v>8135</v>
      </c>
      <c r="D1026" s="26" t="s">
        <v>8136</v>
      </c>
      <c r="E1026" s="26" t="s">
        <v>5463</v>
      </c>
      <c r="F1026" s="27">
        <v>5428410</v>
      </c>
      <c r="G1026" s="27">
        <v>1</v>
      </c>
      <c r="H1026" s="27">
        <v>1</v>
      </c>
      <c r="I1026" s="27">
        <v>1</v>
      </c>
      <c r="J1026" s="30">
        <f t="shared" ref="J1026:J1089" si="48">IF(G1026&gt;0,1,0)</f>
        <v>1</v>
      </c>
      <c r="K1026" s="30">
        <f t="shared" ref="K1026:K1089" si="49">IF(H1026&gt;0,1,0)</f>
        <v>1</v>
      </c>
      <c r="L1026" s="26">
        <f t="shared" ref="L1026:L1089" si="50">IF(G1026&gt;0,IF(H1026&gt;0,1,0),0)</f>
        <v>1</v>
      </c>
      <c r="M1026" s="26"/>
    </row>
    <row r="1027" spans="1:13" ht="15" customHeight="1">
      <c r="A1027" s="25">
        <v>1531186</v>
      </c>
      <c r="B1027" s="26" t="s">
        <v>5423</v>
      </c>
      <c r="C1027" s="26" t="s">
        <v>8137</v>
      </c>
      <c r="D1027" s="26" t="s">
        <v>8138</v>
      </c>
      <c r="E1027" s="26" t="s">
        <v>5683</v>
      </c>
      <c r="F1027" s="27">
        <v>5200780</v>
      </c>
      <c r="G1027" s="27">
        <v>1</v>
      </c>
      <c r="H1027" s="27">
        <v>1</v>
      </c>
      <c r="I1027" s="27">
        <v>1</v>
      </c>
      <c r="J1027" s="30">
        <f t="shared" si="48"/>
        <v>1</v>
      </c>
      <c r="K1027" s="30">
        <f t="shared" si="49"/>
        <v>1</v>
      </c>
      <c r="L1027" s="26">
        <f t="shared" si="50"/>
        <v>1</v>
      </c>
      <c r="M1027" s="26"/>
    </row>
    <row r="1028" spans="1:13" ht="15" customHeight="1">
      <c r="A1028" s="25">
        <v>1531415</v>
      </c>
      <c r="B1028" s="26" t="s">
        <v>5423</v>
      </c>
      <c r="C1028" s="26" t="s">
        <v>8139</v>
      </c>
      <c r="D1028" s="26" t="s">
        <v>8140</v>
      </c>
      <c r="E1028" s="26" t="s">
        <v>5430</v>
      </c>
      <c r="F1028" s="27">
        <v>5428259</v>
      </c>
      <c r="G1028" s="27">
        <v>0</v>
      </c>
      <c r="H1028" s="27">
        <v>0</v>
      </c>
      <c r="I1028" s="27">
        <v>0</v>
      </c>
      <c r="J1028" s="30">
        <f t="shared" si="48"/>
        <v>0</v>
      </c>
      <c r="K1028" s="30">
        <f t="shared" si="49"/>
        <v>0</v>
      </c>
      <c r="L1028" s="26">
        <f t="shared" si="50"/>
        <v>0</v>
      </c>
      <c r="M1028" s="26">
        <v>0</v>
      </c>
    </row>
    <row r="1029" spans="1:13" ht="15" customHeight="1">
      <c r="A1029" s="25">
        <v>1531444</v>
      </c>
      <c r="B1029" s="26" t="s">
        <v>5423</v>
      </c>
      <c r="C1029" s="26" t="s">
        <v>8141</v>
      </c>
      <c r="D1029" s="26" t="s">
        <v>8142</v>
      </c>
      <c r="E1029" s="26" t="s">
        <v>5463</v>
      </c>
      <c r="F1029" s="27">
        <v>5406308</v>
      </c>
      <c r="G1029" s="27">
        <v>0</v>
      </c>
      <c r="H1029" s="27">
        <v>1</v>
      </c>
      <c r="I1029" s="27">
        <v>1</v>
      </c>
      <c r="J1029" s="30">
        <f t="shared" si="48"/>
        <v>0</v>
      </c>
      <c r="K1029" s="30">
        <f t="shared" si="49"/>
        <v>1</v>
      </c>
      <c r="L1029" s="26">
        <f t="shared" si="50"/>
        <v>0</v>
      </c>
      <c r="M1029" s="26"/>
    </row>
    <row r="1030" spans="1:13" ht="15" customHeight="1">
      <c r="A1030" s="25">
        <v>1531617</v>
      </c>
      <c r="B1030" s="26" t="s">
        <v>5427</v>
      </c>
      <c r="C1030" s="26" t="s">
        <v>8143</v>
      </c>
      <c r="D1030" s="26" t="s">
        <v>8144</v>
      </c>
      <c r="E1030" s="26" t="s">
        <v>5683</v>
      </c>
      <c r="F1030" s="27"/>
      <c r="G1030" s="27">
        <v>0</v>
      </c>
      <c r="H1030" s="27">
        <v>0</v>
      </c>
      <c r="I1030" s="27">
        <v>0</v>
      </c>
      <c r="J1030" s="30">
        <f t="shared" si="48"/>
        <v>0</v>
      </c>
      <c r="K1030" s="30">
        <f t="shared" si="49"/>
        <v>0</v>
      </c>
      <c r="L1030" s="26">
        <f t="shared" si="50"/>
        <v>0</v>
      </c>
      <c r="M1030" s="26" t="s">
        <v>5557</v>
      </c>
    </row>
    <row r="1031" spans="1:13" ht="15" customHeight="1">
      <c r="A1031" s="25">
        <v>1531647</v>
      </c>
      <c r="B1031" s="26" t="s">
        <v>5423</v>
      </c>
      <c r="C1031" s="26" t="s">
        <v>8145</v>
      </c>
      <c r="D1031" s="26" t="s">
        <v>8146</v>
      </c>
      <c r="E1031" s="26" t="s">
        <v>5517</v>
      </c>
      <c r="F1031" s="27">
        <v>4947006</v>
      </c>
      <c r="G1031" s="27">
        <v>0</v>
      </c>
      <c r="H1031" s="27">
        <v>0</v>
      </c>
      <c r="I1031" s="27">
        <v>0</v>
      </c>
      <c r="J1031" s="30">
        <f t="shared" si="48"/>
        <v>0</v>
      </c>
      <c r="K1031" s="30">
        <f t="shared" si="49"/>
        <v>0</v>
      </c>
      <c r="L1031" s="26">
        <f t="shared" si="50"/>
        <v>0</v>
      </c>
      <c r="M1031" s="26" t="s">
        <v>8147</v>
      </c>
    </row>
    <row r="1032" spans="1:13" ht="15" customHeight="1">
      <c r="A1032" s="25">
        <v>1531655</v>
      </c>
      <c r="B1032" s="26" t="s">
        <v>5423</v>
      </c>
      <c r="C1032" s="26" t="s">
        <v>8148</v>
      </c>
      <c r="D1032" s="26" t="s">
        <v>8149</v>
      </c>
      <c r="E1032" s="26" t="s">
        <v>5532</v>
      </c>
      <c r="F1032" s="27">
        <v>1758303</v>
      </c>
      <c r="G1032" s="27">
        <v>1</v>
      </c>
      <c r="H1032" s="27">
        <v>1</v>
      </c>
      <c r="I1032" s="27">
        <v>1</v>
      </c>
      <c r="J1032" s="30">
        <f t="shared" si="48"/>
        <v>1</v>
      </c>
      <c r="K1032" s="30">
        <f t="shared" si="49"/>
        <v>1</v>
      </c>
      <c r="L1032" s="26">
        <f t="shared" si="50"/>
        <v>1</v>
      </c>
      <c r="M1032" s="26"/>
    </row>
    <row r="1033" spans="1:13" ht="15" customHeight="1">
      <c r="A1033" s="25">
        <v>1531676</v>
      </c>
      <c r="B1033" s="26" t="s">
        <v>5423</v>
      </c>
      <c r="C1033" s="26" t="s">
        <v>8150</v>
      </c>
      <c r="D1033" s="26" t="s">
        <v>8151</v>
      </c>
      <c r="E1033" s="26" t="s">
        <v>5480</v>
      </c>
      <c r="F1033" s="27">
        <v>5414622</v>
      </c>
      <c r="G1033" s="27">
        <v>1</v>
      </c>
      <c r="H1033" s="27">
        <v>0</v>
      </c>
      <c r="I1033" s="27">
        <v>1</v>
      </c>
      <c r="J1033" s="30">
        <f t="shared" si="48"/>
        <v>1</v>
      </c>
      <c r="K1033" s="30">
        <f t="shared" si="49"/>
        <v>0</v>
      </c>
      <c r="L1033" s="26">
        <f t="shared" si="50"/>
        <v>0</v>
      </c>
      <c r="M1033" s="26"/>
    </row>
    <row r="1034" spans="1:13" ht="15" customHeight="1">
      <c r="A1034" s="25">
        <v>1532067</v>
      </c>
      <c r="B1034" s="26" t="s">
        <v>5423</v>
      </c>
      <c r="C1034" s="26" t="s">
        <v>8152</v>
      </c>
      <c r="D1034" s="26" t="s">
        <v>8153</v>
      </c>
      <c r="E1034" s="26" t="s">
        <v>5458</v>
      </c>
      <c r="F1034" s="27">
        <v>5436021</v>
      </c>
      <c r="G1034" s="27">
        <v>0</v>
      </c>
      <c r="H1034" s="27">
        <v>0</v>
      </c>
      <c r="I1034" s="27">
        <v>0</v>
      </c>
      <c r="J1034" s="30">
        <f t="shared" si="48"/>
        <v>0</v>
      </c>
      <c r="K1034" s="30">
        <f t="shared" si="49"/>
        <v>0</v>
      </c>
      <c r="L1034" s="26">
        <f t="shared" si="50"/>
        <v>0</v>
      </c>
      <c r="M1034" s="26">
        <v>0</v>
      </c>
    </row>
    <row r="1035" spans="1:13" ht="15" customHeight="1">
      <c r="A1035" s="25">
        <v>1532268</v>
      </c>
      <c r="B1035" s="26" t="s">
        <v>5423</v>
      </c>
      <c r="C1035" s="26" t="s">
        <v>8154</v>
      </c>
      <c r="D1035" s="26" t="s">
        <v>8155</v>
      </c>
      <c r="E1035" s="26" t="s">
        <v>5522</v>
      </c>
      <c r="F1035" s="27">
        <v>5429297</v>
      </c>
      <c r="G1035" s="27">
        <v>0</v>
      </c>
      <c r="H1035" s="27">
        <v>0</v>
      </c>
      <c r="I1035" s="27">
        <v>0</v>
      </c>
      <c r="J1035" s="30">
        <f t="shared" si="48"/>
        <v>0</v>
      </c>
      <c r="K1035" s="30">
        <f t="shared" si="49"/>
        <v>0</v>
      </c>
      <c r="L1035" s="26">
        <f t="shared" si="50"/>
        <v>0</v>
      </c>
      <c r="M1035" s="26">
        <v>0</v>
      </c>
    </row>
    <row r="1036" spans="1:13" ht="15" customHeight="1">
      <c r="A1036" s="25">
        <v>1532507</v>
      </c>
      <c r="B1036" s="26" t="s">
        <v>5423</v>
      </c>
      <c r="C1036" s="26" t="s">
        <v>8156</v>
      </c>
      <c r="D1036" s="26" t="s">
        <v>8157</v>
      </c>
      <c r="E1036" s="26" t="s">
        <v>5452</v>
      </c>
      <c r="F1036" s="27">
        <v>5428697</v>
      </c>
      <c r="G1036" s="27">
        <v>0</v>
      </c>
      <c r="H1036" s="27">
        <v>0</v>
      </c>
      <c r="I1036" s="27">
        <v>0</v>
      </c>
      <c r="J1036" s="30">
        <f t="shared" si="48"/>
        <v>0</v>
      </c>
      <c r="K1036" s="30">
        <f t="shared" si="49"/>
        <v>0</v>
      </c>
      <c r="L1036" s="26">
        <f t="shared" si="50"/>
        <v>0</v>
      </c>
      <c r="M1036" s="26">
        <v>0</v>
      </c>
    </row>
    <row r="1037" spans="1:13" ht="15" customHeight="1">
      <c r="A1037" s="25">
        <v>1532579</v>
      </c>
      <c r="B1037" s="26" t="s">
        <v>5423</v>
      </c>
      <c r="C1037" s="26" t="s">
        <v>8158</v>
      </c>
      <c r="D1037" s="26" t="s">
        <v>8159</v>
      </c>
      <c r="E1037" s="26" t="s">
        <v>5575</v>
      </c>
      <c r="F1037" s="27"/>
      <c r="G1037" s="27">
        <v>0</v>
      </c>
      <c r="H1037" s="27">
        <v>0</v>
      </c>
      <c r="I1037" s="27">
        <v>0</v>
      </c>
      <c r="J1037" s="30">
        <f t="shared" si="48"/>
        <v>0</v>
      </c>
      <c r="K1037" s="30">
        <f t="shared" si="49"/>
        <v>0</v>
      </c>
      <c r="L1037" s="26">
        <f t="shared" si="50"/>
        <v>0</v>
      </c>
      <c r="M1037" s="26" t="s">
        <v>8160</v>
      </c>
    </row>
    <row r="1038" spans="1:13" ht="15" customHeight="1">
      <c r="A1038" s="25">
        <v>1532653</v>
      </c>
      <c r="B1038" s="26" t="s">
        <v>5427</v>
      </c>
      <c r="C1038" s="26" t="s">
        <v>8161</v>
      </c>
      <c r="D1038" s="26" t="s">
        <v>8162</v>
      </c>
      <c r="E1038" s="26" t="s">
        <v>5603</v>
      </c>
      <c r="F1038" s="27">
        <v>2646877</v>
      </c>
      <c r="G1038" s="27">
        <v>1</v>
      </c>
      <c r="H1038" s="27">
        <v>0</v>
      </c>
      <c r="I1038" s="27">
        <v>1</v>
      </c>
      <c r="J1038" s="30">
        <f t="shared" si="48"/>
        <v>1</v>
      </c>
      <c r="K1038" s="30">
        <f t="shared" si="49"/>
        <v>0</v>
      </c>
      <c r="L1038" s="26">
        <f t="shared" si="50"/>
        <v>0</v>
      </c>
      <c r="M1038" s="26"/>
    </row>
    <row r="1039" spans="1:13" ht="15" customHeight="1">
      <c r="A1039" s="25">
        <v>1532857</v>
      </c>
      <c r="B1039" s="26" t="s">
        <v>5423</v>
      </c>
      <c r="C1039" s="26" t="s">
        <v>8163</v>
      </c>
      <c r="D1039" s="26" t="s">
        <v>8164</v>
      </c>
      <c r="E1039" s="26" t="s">
        <v>5522</v>
      </c>
      <c r="F1039" s="27">
        <v>5436434</v>
      </c>
      <c r="G1039" s="27">
        <v>1</v>
      </c>
      <c r="H1039" s="27">
        <v>0</v>
      </c>
      <c r="I1039" s="27">
        <v>1</v>
      </c>
      <c r="J1039" s="30">
        <f t="shared" si="48"/>
        <v>1</v>
      </c>
      <c r="K1039" s="30">
        <f t="shared" si="49"/>
        <v>0</v>
      </c>
      <c r="L1039" s="26">
        <f t="shared" si="50"/>
        <v>0</v>
      </c>
      <c r="M1039" s="26"/>
    </row>
    <row r="1040" spans="1:13" ht="15" customHeight="1">
      <c r="A1040" s="25">
        <v>1533012</v>
      </c>
      <c r="B1040" s="26" t="s">
        <v>5423</v>
      </c>
      <c r="C1040" s="26" t="s">
        <v>8165</v>
      </c>
      <c r="D1040" s="26" t="s">
        <v>8166</v>
      </c>
      <c r="E1040" s="26" t="s">
        <v>5430</v>
      </c>
      <c r="F1040" s="27">
        <v>5418291</v>
      </c>
      <c r="G1040" s="27">
        <v>1</v>
      </c>
      <c r="H1040" s="27">
        <v>0</v>
      </c>
      <c r="I1040" s="27">
        <v>1</v>
      </c>
      <c r="J1040" s="30">
        <f t="shared" si="48"/>
        <v>1</v>
      </c>
      <c r="K1040" s="30">
        <f t="shared" si="49"/>
        <v>0</v>
      </c>
      <c r="L1040" s="26">
        <f t="shared" si="50"/>
        <v>0</v>
      </c>
      <c r="M1040" s="26"/>
    </row>
    <row r="1041" spans="1:13" ht="15" customHeight="1">
      <c r="A1041" s="25">
        <v>1533109</v>
      </c>
      <c r="B1041" s="26" t="s">
        <v>5427</v>
      </c>
      <c r="C1041" s="26" t="s">
        <v>8167</v>
      </c>
      <c r="D1041" s="26" t="s">
        <v>8168</v>
      </c>
      <c r="E1041" s="26" t="s">
        <v>6075</v>
      </c>
      <c r="F1041" s="27">
        <v>5414343</v>
      </c>
      <c r="G1041" s="27">
        <v>1</v>
      </c>
      <c r="H1041" s="27">
        <v>1</v>
      </c>
      <c r="I1041" s="27">
        <v>1</v>
      </c>
      <c r="J1041" s="30">
        <f t="shared" si="48"/>
        <v>1</v>
      </c>
      <c r="K1041" s="30">
        <f t="shared" si="49"/>
        <v>1</v>
      </c>
      <c r="L1041" s="26">
        <f t="shared" si="50"/>
        <v>1</v>
      </c>
      <c r="M1041" s="26" t="s">
        <v>8169</v>
      </c>
    </row>
    <row r="1042" spans="1:13" ht="15" customHeight="1">
      <c r="A1042" s="25">
        <v>1533223</v>
      </c>
      <c r="B1042" s="26" t="s">
        <v>5423</v>
      </c>
      <c r="C1042" s="26" t="s">
        <v>8170</v>
      </c>
      <c r="D1042" s="26" t="s">
        <v>8171</v>
      </c>
      <c r="E1042" s="26" t="s">
        <v>5430</v>
      </c>
      <c r="F1042" s="27"/>
      <c r="G1042" s="27">
        <v>0</v>
      </c>
      <c r="H1042" s="27">
        <v>0</v>
      </c>
      <c r="I1042" s="27">
        <v>0</v>
      </c>
      <c r="J1042" s="30">
        <f t="shared" si="48"/>
        <v>0</v>
      </c>
      <c r="K1042" s="30">
        <f t="shared" si="49"/>
        <v>0</v>
      </c>
      <c r="L1042" s="26">
        <f t="shared" si="50"/>
        <v>0</v>
      </c>
      <c r="M1042" s="26">
        <v>0</v>
      </c>
    </row>
    <row r="1043" spans="1:13" ht="15" customHeight="1">
      <c r="A1043" s="25">
        <v>1533492</v>
      </c>
      <c r="B1043" s="26" t="s">
        <v>5427</v>
      </c>
      <c r="C1043" s="26" t="s">
        <v>8172</v>
      </c>
      <c r="D1043" s="26" t="s">
        <v>8173</v>
      </c>
      <c r="E1043" s="26" t="s">
        <v>5514</v>
      </c>
      <c r="F1043" s="27">
        <v>5388083</v>
      </c>
      <c r="G1043" s="27">
        <v>1</v>
      </c>
      <c r="H1043" s="27">
        <v>0</v>
      </c>
      <c r="I1043" s="27">
        <v>1</v>
      </c>
      <c r="J1043" s="30">
        <f t="shared" si="48"/>
        <v>1</v>
      </c>
      <c r="K1043" s="30">
        <f t="shared" si="49"/>
        <v>0</v>
      </c>
      <c r="L1043" s="26">
        <f t="shared" si="50"/>
        <v>0</v>
      </c>
      <c r="M1043" s="26"/>
    </row>
    <row r="1044" spans="1:13" ht="15" customHeight="1">
      <c r="A1044" s="25">
        <v>1533760</v>
      </c>
      <c r="B1044" s="26" t="s">
        <v>5423</v>
      </c>
      <c r="C1044" s="26" t="s">
        <v>8174</v>
      </c>
      <c r="D1044" s="26" t="s">
        <v>8175</v>
      </c>
      <c r="E1044" s="26" t="s">
        <v>5603</v>
      </c>
      <c r="F1044" s="27">
        <v>2255838</v>
      </c>
      <c r="G1044" s="27">
        <v>1</v>
      </c>
      <c r="H1044" s="27">
        <v>1</v>
      </c>
      <c r="I1044" s="27">
        <v>1</v>
      </c>
      <c r="J1044" s="30">
        <f t="shared" si="48"/>
        <v>1</v>
      </c>
      <c r="K1044" s="30">
        <f t="shared" si="49"/>
        <v>1</v>
      </c>
      <c r="L1044" s="26">
        <f t="shared" si="50"/>
        <v>1</v>
      </c>
      <c r="M1044" s="26"/>
    </row>
    <row r="1045" spans="1:13" ht="15" customHeight="1">
      <c r="A1045" s="25">
        <v>1533761</v>
      </c>
      <c r="B1045" s="26" t="s">
        <v>5423</v>
      </c>
      <c r="C1045" s="26" t="s">
        <v>8176</v>
      </c>
      <c r="D1045" s="26" t="s">
        <v>8177</v>
      </c>
      <c r="E1045" s="26" t="s">
        <v>5463</v>
      </c>
      <c r="F1045" s="27">
        <v>5435163</v>
      </c>
      <c r="G1045" s="27">
        <v>1</v>
      </c>
      <c r="H1045" s="27">
        <v>0</v>
      </c>
      <c r="I1045" s="27">
        <v>1</v>
      </c>
      <c r="J1045" s="30">
        <f t="shared" si="48"/>
        <v>1</v>
      </c>
      <c r="K1045" s="30">
        <f t="shared" si="49"/>
        <v>0</v>
      </c>
      <c r="L1045" s="26">
        <f t="shared" si="50"/>
        <v>0</v>
      </c>
      <c r="M1045" s="26"/>
    </row>
    <row r="1046" spans="1:13" ht="15" customHeight="1">
      <c r="A1046" s="25">
        <v>1533793</v>
      </c>
      <c r="B1046" s="26" t="s">
        <v>5423</v>
      </c>
      <c r="C1046" s="26" t="s">
        <v>8178</v>
      </c>
      <c r="D1046" s="26" t="s">
        <v>8179</v>
      </c>
      <c r="E1046" s="26" t="s">
        <v>5442</v>
      </c>
      <c r="F1046" s="27">
        <v>5436787</v>
      </c>
      <c r="G1046" s="27">
        <v>1</v>
      </c>
      <c r="H1046" s="27">
        <v>0</v>
      </c>
      <c r="I1046" s="27">
        <v>1</v>
      </c>
      <c r="J1046" s="30">
        <f t="shared" si="48"/>
        <v>1</v>
      </c>
      <c r="K1046" s="30">
        <f t="shared" si="49"/>
        <v>0</v>
      </c>
      <c r="L1046" s="26">
        <f t="shared" si="50"/>
        <v>0</v>
      </c>
      <c r="M1046" s="26"/>
    </row>
    <row r="1047" spans="1:13" ht="15" customHeight="1">
      <c r="A1047" s="25">
        <v>1533803</v>
      </c>
      <c r="B1047" s="26" t="s">
        <v>5423</v>
      </c>
      <c r="C1047" s="26" t="s">
        <v>8180</v>
      </c>
      <c r="D1047" s="26" t="s">
        <v>8181</v>
      </c>
      <c r="E1047" s="26" t="s">
        <v>5683</v>
      </c>
      <c r="F1047" s="27">
        <v>5393491</v>
      </c>
      <c r="G1047" s="27">
        <v>0</v>
      </c>
      <c r="H1047" s="27">
        <v>1</v>
      </c>
      <c r="I1047" s="27">
        <v>1</v>
      </c>
      <c r="J1047" s="30">
        <f t="shared" si="48"/>
        <v>0</v>
      </c>
      <c r="K1047" s="30">
        <f t="shared" si="49"/>
        <v>1</v>
      </c>
      <c r="L1047" s="26">
        <f t="shared" si="50"/>
        <v>0</v>
      </c>
      <c r="M1047" s="26"/>
    </row>
    <row r="1048" spans="1:13" ht="15" customHeight="1">
      <c r="A1048" s="25">
        <v>1533922</v>
      </c>
      <c r="B1048" s="26" t="s">
        <v>5427</v>
      </c>
      <c r="C1048" s="26" t="s">
        <v>8182</v>
      </c>
      <c r="D1048" s="26" t="s">
        <v>8183</v>
      </c>
      <c r="E1048" s="26" t="s">
        <v>5430</v>
      </c>
      <c r="F1048" s="27">
        <v>5443035</v>
      </c>
      <c r="G1048" s="27">
        <v>0</v>
      </c>
      <c r="H1048" s="27">
        <v>0</v>
      </c>
      <c r="I1048" s="27">
        <v>0</v>
      </c>
      <c r="J1048" s="30">
        <f t="shared" si="48"/>
        <v>0</v>
      </c>
      <c r="K1048" s="30">
        <f t="shared" si="49"/>
        <v>0</v>
      </c>
      <c r="L1048" s="26">
        <f t="shared" si="50"/>
        <v>0</v>
      </c>
      <c r="M1048" s="26">
        <v>0</v>
      </c>
    </row>
    <row r="1049" spans="1:13" ht="15" customHeight="1">
      <c r="A1049" s="25">
        <v>1533942</v>
      </c>
      <c r="B1049" s="26" t="s">
        <v>5423</v>
      </c>
      <c r="C1049" s="26" t="s">
        <v>8184</v>
      </c>
      <c r="D1049" s="26" t="s">
        <v>8185</v>
      </c>
      <c r="E1049" s="26" t="s">
        <v>5968</v>
      </c>
      <c r="F1049" s="27">
        <v>5435834</v>
      </c>
      <c r="G1049" s="27">
        <v>0</v>
      </c>
      <c r="H1049" s="27">
        <v>0</v>
      </c>
      <c r="I1049" s="27">
        <v>0</v>
      </c>
      <c r="J1049" s="30">
        <f t="shared" si="48"/>
        <v>0</v>
      </c>
      <c r="K1049" s="30">
        <f t="shared" si="49"/>
        <v>0</v>
      </c>
      <c r="L1049" s="26">
        <f t="shared" si="50"/>
        <v>0</v>
      </c>
      <c r="M1049" s="26">
        <v>0</v>
      </c>
    </row>
    <row r="1050" spans="1:13" ht="15" customHeight="1">
      <c r="A1050" s="25">
        <v>1534067</v>
      </c>
      <c r="B1050" s="26" t="s">
        <v>5423</v>
      </c>
      <c r="C1050" s="26" t="s">
        <v>8186</v>
      </c>
      <c r="D1050" s="26" t="s">
        <v>8187</v>
      </c>
      <c r="E1050" s="26" t="s">
        <v>5514</v>
      </c>
      <c r="F1050" s="27">
        <v>5438113</v>
      </c>
      <c r="G1050" s="27">
        <v>1</v>
      </c>
      <c r="H1050" s="27">
        <v>1</v>
      </c>
      <c r="I1050" s="27">
        <v>1</v>
      </c>
      <c r="J1050" s="30">
        <f t="shared" si="48"/>
        <v>1</v>
      </c>
      <c r="K1050" s="30">
        <f t="shared" si="49"/>
        <v>1</v>
      </c>
      <c r="L1050" s="26">
        <f t="shared" si="50"/>
        <v>1</v>
      </c>
      <c r="M1050" s="26" t="s">
        <v>8188</v>
      </c>
    </row>
    <row r="1051" spans="1:13" ht="15" customHeight="1">
      <c r="A1051" s="25">
        <v>1534247</v>
      </c>
      <c r="B1051" s="26" t="s">
        <v>5423</v>
      </c>
      <c r="C1051" s="26" t="s">
        <v>8189</v>
      </c>
      <c r="D1051" s="26" t="s">
        <v>8190</v>
      </c>
      <c r="E1051" s="26" t="s">
        <v>5517</v>
      </c>
      <c r="F1051" s="27">
        <v>5377171</v>
      </c>
      <c r="G1051" s="27">
        <v>1</v>
      </c>
      <c r="H1051" s="27">
        <v>1</v>
      </c>
      <c r="I1051" s="27">
        <v>1</v>
      </c>
      <c r="J1051" s="30">
        <f t="shared" si="48"/>
        <v>1</v>
      </c>
      <c r="K1051" s="30">
        <f t="shared" si="49"/>
        <v>1</v>
      </c>
      <c r="L1051" s="26">
        <f t="shared" si="50"/>
        <v>1</v>
      </c>
      <c r="M1051" s="26"/>
    </row>
    <row r="1052" spans="1:13" ht="15" customHeight="1">
      <c r="A1052" s="25">
        <v>1534324</v>
      </c>
      <c r="B1052" s="26" t="s">
        <v>5423</v>
      </c>
      <c r="C1052" s="26" t="s">
        <v>8191</v>
      </c>
      <c r="D1052" s="26" t="s">
        <v>8192</v>
      </c>
      <c r="E1052" s="26" t="s">
        <v>5683</v>
      </c>
      <c r="F1052" s="27">
        <v>5441159</v>
      </c>
      <c r="G1052" s="27">
        <v>1</v>
      </c>
      <c r="H1052" s="27">
        <v>1</v>
      </c>
      <c r="I1052" s="27">
        <v>1</v>
      </c>
      <c r="J1052" s="30">
        <f t="shared" si="48"/>
        <v>1</v>
      </c>
      <c r="K1052" s="30">
        <f t="shared" si="49"/>
        <v>1</v>
      </c>
      <c r="L1052" s="26">
        <f t="shared" si="50"/>
        <v>1</v>
      </c>
      <c r="M1052" s="26"/>
    </row>
    <row r="1053" spans="1:13" ht="15" customHeight="1">
      <c r="A1053" s="25">
        <v>1534634</v>
      </c>
      <c r="B1053" s="26" t="s">
        <v>5423</v>
      </c>
      <c r="C1053" s="26" t="s">
        <v>8193</v>
      </c>
      <c r="D1053" s="26" t="s">
        <v>8194</v>
      </c>
      <c r="E1053" s="26" t="s">
        <v>5586</v>
      </c>
      <c r="F1053" s="27">
        <v>5424767</v>
      </c>
      <c r="G1053" s="27">
        <v>1</v>
      </c>
      <c r="H1053" s="27">
        <v>0</v>
      </c>
      <c r="I1053" s="27">
        <v>1</v>
      </c>
      <c r="J1053" s="30">
        <f t="shared" si="48"/>
        <v>1</v>
      </c>
      <c r="K1053" s="30">
        <f t="shared" si="49"/>
        <v>0</v>
      </c>
      <c r="L1053" s="26">
        <f t="shared" si="50"/>
        <v>0</v>
      </c>
      <c r="M1053" s="26"/>
    </row>
    <row r="1054" spans="1:13" ht="15" customHeight="1">
      <c r="A1054" s="25">
        <v>1534822</v>
      </c>
      <c r="B1054" s="26" t="s">
        <v>5427</v>
      </c>
      <c r="C1054" s="26" t="s">
        <v>8195</v>
      </c>
      <c r="D1054" s="26" t="s">
        <v>8196</v>
      </c>
      <c r="E1054" s="26" t="s">
        <v>5575</v>
      </c>
      <c r="F1054" s="27">
        <v>5442261</v>
      </c>
      <c r="G1054" s="27">
        <v>0</v>
      </c>
      <c r="H1054" s="27">
        <v>0</v>
      </c>
      <c r="I1054" s="27">
        <v>0</v>
      </c>
      <c r="J1054" s="30">
        <f t="shared" si="48"/>
        <v>0</v>
      </c>
      <c r="K1054" s="30">
        <f t="shared" si="49"/>
        <v>0</v>
      </c>
      <c r="L1054" s="26">
        <f t="shared" si="50"/>
        <v>0</v>
      </c>
      <c r="M1054" s="26">
        <v>0</v>
      </c>
    </row>
    <row r="1055" spans="1:13" ht="15" customHeight="1">
      <c r="A1055" s="25">
        <v>1535054</v>
      </c>
      <c r="B1055" s="26" t="s">
        <v>5423</v>
      </c>
      <c r="C1055" s="26" t="s">
        <v>8197</v>
      </c>
      <c r="D1055" s="26" t="s">
        <v>8198</v>
      </c>
      <c r="E1055" s="26" t="s">
        <v>5504</v>
      </c>
      <c r="F1055" s="27">
        <v>5442760</v>
      </c>
      <c r="G1055" s="27">
        <v>1</v>
      </c>
      <c r="H1055" s="27">
        <v>0</v>
      </c>
      <c r="I1055" s="27">
        <v>1</v>
      </c>
      <c r="J1055" s="30">
        <f t="shared" si="48"/>
        <v>1</v>
      </c>
      <c r="K1055" s="30">
        <f t="shared" si="49"/>
        <v>0</v>
      </c>
      <c r="L1055" s="26">
        <f t="shared" si="50"/>
        <v>0</v>
      </c>
      <c r="M1055" s="26"/>
    </row>
    <row r="1056" spans="1:13" ht="15" customHeight="1">
      <c r="A1056" s="25">
        <v>1535140</v>
      </c>
      <c r="B1056" s="26" t="s">
        <v>5423</v>
      </c>
      <c r="C1056" s="26" t="s">
        <v>8199</v>
      </c>
      <c r="D1056" s="26" t="s">
        <v>8200</v>
      </c>
      <c r="E1056" s="26" t="s">
        <v>5517</v>
      </c>
      <c r="F1056" s="27">
        <v>5431353</v>
      </c>
      <c r="G1056" s="27">
        <v>0</v>
      </c>
      <c r="H1056" s="27">
        <v>0</v>
      </c>
      <c r="I1056" s="27">
        <v>0</v>
      </c>
      <c r="J1056" s="30">
        <f t="shared" si="48"/>
        <v>0</v>
      </c>
      <c r="K1056" s="30">
        <f t="shared" si="49"/>
        <v>0</v>
      </c>
      <c r="L1056" s="26">
        <f t="shared" si="50"/>
        <v>0</v>
      </c>
      <c r="M1056" s="26">
        <v>0</v>
      </c>
    </row>
    <row r="1057" spans="1:13" ht="15" customHeight="1">
      <c r="A1057" s="25">
        <v>1535174</v>
      </c>
      <c r="B1057" s="26" t="s">
        <v>5427</v>
      </c>
      <c r="C1057" s="26" t="s">
        <v>8201</v>
      </c>
      <c r="D1057" s="26" t="s">
        <v>8202</v>
      </c>
      <c r="E1057" s="26" t="s">
        <v>5439</v>
      </c>
      <c r="F1057" s="27"/>
      <c r="G1057" s="27">
        <v>0</v>
      </c>
      <c r="H1057" s="27">
        <v>0</v>
      </c>
      <c r="I1057" s="27">
        <v>0</v>
      </c>
      <c r="J1057" s="30">
        <f t="shared" si="48"/>
        <v>0</v>
      </c>
      <c r="K1057" s="30">
        <f t="shared" si="49"/>
        <v>0</v>
      </c>
      <c r="L1057" s="26">
        <f t="shared" si="50"/>
        <v>0</v>
      </c>
      <c r="M1057" s="26">
        <v>0</v>
      </c>
    </row>
    <row r="1058" spans="1:13" ht="15" customHeight="1">
      <c r="A1058" s="25">
        <v>1535199</v>
      </c>
      <c r="B1058" s="26" t="s">
        <v>5423</v>
      </c>
      <c r="C1058" s="26" t="s">
        <v>8203</v>
      </c>
      <c r="D1058" s="26" t="s">
        <v>8204</v>
      </c>
      <c r="E1058" s="26" t="s">
        <v>5455</v>
      </c>
      <c r="F1058" s="27">
        <v>5442867</v>
      </c>
      <c r="G1058" s="27">
        <v>1</v>
      </c>
      <c r="H1058" s="27">
        <v>1</v>
      </c>
      <c r="I1058" s="27">
        <v>1</v>
      </c>
      <c r="J1058" s="30">
        <f t="shared" si="48"/>
        <v>1</v>
      </c>
      <c r="K1058" s="30">
        <f t="shared" si="49"/>
        <v>1</v>
      </c>
      <c r="L1058" s="26">
        <f t="shared" si="50"/>
        <v>1</v>
      </c>
      <c r="M1058" s="26" t="s">
        <v>7910</v>
      </c>
    </row>
    <row r="1059" spans="1:13" ht="15" customHeight="1">
      <c r="A1059" s="25">
        <v>1535210</v>
      </c>
      <c r="B1059" s="26" t="s">
        <v>5427</v>
      </c>
      <c r="C1059" s="26" t="s">
        <v>8205</v>
      </c>
      <c r="D1059" s="26" t="s">
        <v>8206</v>
      </c>
      <c r="E1059" s="26" t="s">
        <v>5463</v>
      </c>
      <c r="F1059" s="27">
        <v>4472269</v>
      </c>
      <c r="G1059" s="27">
        <v>1</v>
      </c>
      <c r="H1059" s="27">
        <v>1</v>
      </c>
      <c r="I1059" s="27">
        <v>1</v>
      </c>
      <c r="J1059" s="30">
        <f t="shared" si="48"/>
        <v>1</v>
      </c>
      <c r="K1059" s="30">
        <f t="shared" si="49"/>
        <v>1</v>
      </c>
      <c r="L1059" s="26">
        <f t="shared" si="50"/>
        <v>1</v>
      </c>
      <c r="M1059" s="26"/>
    </row>
    <row r="1060" spans="1:13" ht="15" customHeight="1">
      <c r="A1060" s="25">
        <v>1535218</v>
      </c>
      <c r="B1060" s="26" t="s">
        <v>5423</v>
      </c>
      <c r="C1060" s="26" t="s">
        <v>8207</v>
      </c>
      <c r="D1060" s="26" t="s">
        <v>8208</v>
      </c>
      <c r="E1060" s="26" t="s">
        <v>5707</v>
      </c>
      <c r="F1060" s="27">
        <v>5431246</v>
      </c>
      <c r="G1060" s="27">
        <v>1</v>
      </c>
      <c r="H1060" s="27">
        <v>1</v>
      </c>
      <c r="I1060" s="27">
        <v>1</v>
      </c>
      <c r="J1060" s="30">
        <f t="shared" si="48"/>
        <v>1</v>
      </c>
      <c r="K1060" s="30">
        <f t="shared" si="49"/>
        <v>1</v>
      </c>
      <c r="L1060" s="26">
        <f t="shared" si="50"/>
        <v>1</v>
      </c>
      <c r="M1060" s="26" t="s">
        <v>8209</v>
      </c>
    </row>
    <row r="1061" spans="1:13" ht="15" customHeight="1">
      <c r="A1061" s="25">
        <v>1535235</v>
      </c>
      <c r="B1061" s="26" t="s">
        <v>5423</v>
      </c>
      <c r="C1061" s="26" t="s">
        <v>8210</v>
      </c>
      <c r="D1061" s="26" t="s">
        <v>8211</v>
      </c>
      <c r="E1061" s="26" t="s">
        <v>5430</v>
      </c>
      <c r="F1061" s="27">
        <v>5443668</v>
      </c>
      <c r="G1061" s="27">
        <v>0</v>
      </c>
      <c r="H1061" s="27">
        <v>0</v>
      </c>
      <c r="I1061" s="27">
        <v>0</v>
      </c>
      <c r="J1061" s="30">
        <f t="shared" si="48"/>
        <v>0</v>
      </c>
      <c r="K1061" s="30">
        <f t="shared" si="49"/>
        <v>0</v>
      </c>
      <c r="L1061" s="26">
        <f t="shared" si="50"/>
        <v>0</v>
      </c>
      <c r="M1061" s="26">
        <v>0</v>
      </c>
    </row>
    <row r="1062" spans="1:13" ht="15" customHeight="1">
      <c r="A1062" s="25">
        <v>1535238</v>
      </c>
      <c r="B1062" s="26" t="s">
        <v>5427</v>
      </c>
      <c r="C1062" s="26" t="s">
        <v>8212</v>
      </c>
      <c r="D1062" s="26" t="s">
        <v>8213</v>
      </c>
      <c r="E1062" s="26" t="s">
        <v>5610</v>
      </c>
      <c r="F1062" s="27">
        <v>5442802</v>
      </c>
      <c r="G1062" s="27">
        <v>1</v>
      </c>
      <c r="H1062" s="27">
        <v>1</v>
      </c>
      <c r="I1062" s="27">
        <v>1</v>
      </c>
      <c r="J1062" s="30">
        <f t="shared" si="48"/>
        <v>1</v>
      </c>
      <c r="K1062" s="30">
        <f t="shared" si="49"/>
        <v>1</v>
      </c>
      <c r="L1062" s="26">
        <f t="shared" si="50"/>
        <v>1</v>
      </c>
      <c r="M1062" s="26"/>
    </row>
    <row r="1063" spans="1:13" ht="15" customHeight="1">
      <c r="A1063" s="25">
        <v>1535678</v>
      </c>
      <c r="B1063" s="26" t="s">
        <v>5423</v>
      </c>
      <c r="C1063" s="26" t="s">
        <v>8214</v>
      </c>
      <c r="D1063" s="26" t="s">
        <v>8215</v>
      </c>
      <c r="E1063" s="26" t="s">
        <v>5475</v>
      </c>
      <c r="F1063" s="27"/>
      <c r="G1063" s="27">
        <v>0</v>
      </c>
      <c r="H1063" s="27">
        <v>0</v>
      </c>
      <c r="I1063" s="27">
        <v>0</v>
      </c>
      <c r="J1063" s="30">
        <f t="shared" si="48"/>
        <v>0</v>
      </c>
      <c r="K1063" s="30">
        <f t="shared" si="49"/>
        <v>0</v>
      </c>
      <c r="L1063" s="26">
        <f t="shared" si="50"/>
        <v>0</v>
      </c>
      <c r="M1063" s="26" t="s">
        <v>8216</v>
      </c>
    </row>
    <row r="1064" spans="1:13" ht="15" customHeight="1">
      <c r="A1064" s="25">
        <v>1535920</v>
      </c>
      <c r="B1064" s="26" t="s">
        <v>5427</v>
      </c>
      <c r="C1064" s="26" t="s">
        <v>8217</v>
      </c>
      <c r="D1064" s="26" t="s">
        <v>8218</v>
      </c>
      <c r="E1064" s="26" t="s">
        <v>5468</v>
      </c>
      <c r="F1064" s="27">
        <v>5446497</v>
      </c>
      <c r="G1064" s="27">
        <v>1</v>
      </c>
      <c r="H1064" s="27">
        <v>1</v>
      </c>
      <c r="I1064" s="27">
        <v>1</v>
      </c>
      <c r="J1064" s="30">
        <f t="shared" si="48"/>
        <v>1</v>
      </c>
      <c r="K1064" s="30">
        <f t="shared" si="49"/>
        <v>1</v>
      </c>
      <c r="L1064" s="26">
        <f t="shared" si="50"/>
        <v>1</v>
      </c>
      <c r="M1064" s="26"/>
    </row>
    <row r="1065" spans="1:13" ht="15" customHeight="1">
      <c r="A1065" s="25" t="s">
        <v>8219</v>
      </c>
      <c r="B1065" s="26" t="s">
        <v>5423</v>
      </c>
      <c r="C1065" s="26" t="s">
        <v>8220</v>
      </c>
      <c r="D1065" s="26" t="s">
        <v>8221</v>
      </c>
      <c r="E1065" s="26" t="s">
        <v>5504</v>
      </c>
      <c r="F1065" s="27">
        <v>4468461</v>
      </c>
      <c r="G1065" s="27">
        <v>1</v>
      </c>
      <c r="H1065" s="27">
        <v>1</v>
      </c>
      <c r="I1065" s="27">
        <v>1</v>
      </c>
      <c r="J1065" s="30">
        <f t="shared" si="48"/>
        <v>1</v>
      </c>
      <c r="K1065" s="30">
        <f t="shared" si="49"/>
        <v>1</v>
      </c>
      <c r="L1065" s="26">
        <f t="shared" si="50"/>
        <v>1</v>
      </c>
      <c r="M1065" s="26"/>
    </row>
    <row r="1066" spans="1:13" ht="15" customHeight="1">
      <c r="A1066" s="25">
        <v>1536450</v>
      </c>
      <c r="B1066" s="26" t="s">
        <v>5423</v>
      </c>
      <c r="C1066" s="26" t="s">
        <v>8222</v>
      </c>
      <c r="D1066" s="26" t="s">
        <v>8223</v>
      </c>
      <c r="E1066" s="26" t="s">
        <v>5458</v>
      </c>
      <c r="F1066" s="27">
        <v>5447764</v>
      </c>
      <c r="G1066" s="27">
        <v>1</v>
      </c>
      <c r="H1066" s="27">
        <v>0</v>
      </c>
      <c r="I1066" s="27">
        <v>1</v>
      </c>
      <c r="J1066" s="30">
        <f t="shared" si="48"/>
        <v>1</v>
      </c>
      <c r="K1066" s="30">
        <f t="shared" si="49"/>
        <v>0</v>
      </c>
      <c r="L1066" s="26">
        <f t="shared" si="50"/>
        <v>0</v>
      </c>
      <c r="M1066" s="26" t="s">
        <v>8045</v>
      </c>
    </row>
    <row r="1067" spans="1:13" ht="15" customHeight="1">
      <c r="A1067" s="25">
        <v>1536690</v>
      </c>
      <c r="B1067" s="26" t="s">
        <v>5423</v>
      </c>
      <c r="C1067" s="26" t="s">
        <v>8224</v>
      </c>
      <c r="D1067" s="26" t="s">
        <v>8225</v>
      </c>
      <c r="E1067" s="26" t="s">
        <v>5463</v>
      </c>
      <c r="F1067" s="27">
        <v>4987672</v>
      </c>
      <c r="G1067" s="27">
        <v>1</v>
      </c>
      <c r="H1067" s="27">
        <v>1</v>
      </c>
      <c r="I1067" s="27">
        <v>1</v>
      </c>
      <c r="J1067" s="30">
        <f t="shared" si="48"/>
        <v>1</v>
      </c>
      <c r="K1067" s="30">
        <f t="shared" si="49"/>
        <v>1</v>
      </c>
      <c r="L1067" s="26">
        <f t="shared" si="50"/>
        <v>1</v>
      </c>
      <c r="M1067" s="26"/>
    </row>
    <row r="1068" spans="1:13" ht="15" customHeight="1">
      <c r="A1068" s="25">
        <v>1536754</v>
      </c>
      <c r="B1068" s="26" t="s">
        <v>5423</v>
      </c>
      <c r="C1068" s="26" t="s">
        <v>8226</v>
      </c>
      <c r="D1068" s="26" t="s">
        <v>8227</v>
      </c>
      <c r="E1068" s="26" t="s">
        <v>5447</v>
      </c>
      <c r="F1068" s="27">
        <v>5449397</v>
      </c>
      <c r="G1068" s="27">
        <v>1</v>
      </c>
      <c r="H1068" s="27">
        <v>0</v>
      </c>
      <c r="I1068" s="27">
        <v>1</v>
      </c>
      <c r="J1068" s="30">
        <f t="shared" si="48"/>
        <v>1</v>
      </c>
      <c r="K1068" s="30">
        <f t="shared" si="49"/>
        <v>0</v>
      </c>
      <c r="L1068" s="26">
        <f t="shared" si="50"/>
        <v>0</v>
      </c>
      <c r="M1068" s="26"/>
    </row>
    <row r="1069" spans="1:13" ht="15" customHeight="1">
      <c r="A1069" s="25">
        <v>1536762</v>
      </c>
      <c r="B1069" s="26" t="s">
        <v>5423</v>
      </c>
      <c r="C1069" s="26" t="s">
        <v>8228</v>
      </c>
      <c r="D1069" s="26" t="s">
        <v>8229</v>
      </c>
      <c r="E1069" s="26" t="s">
        <v>5532</v>
      </c>
      <c r="F1069" s="27">
        <v>5422224</v>
      </c>
      <c r="G1069" s="27">
        <v>1</v>
      </c>
      <c r="H1069" s="27">
        <v>1</v>
      </c>
      <c r="I1069" s="27">
        <v>1</v>
      </c>
      <c r="J1069" s="30">
        <f t="shared" si="48"/>
        <v>1</v>
      </c>
      <c r="K1069" s="30">
        <f t="shared" si="49"/>
        <v>1</v>
      </c>
      <c r="L1069" s="26">
        <f t="shared" si="50"/>
        <v>1</v>
      </c>
      <c r="M1069" s="26" t="s">
        <v>8209</v>
      </c>
    </row>
    <row r="1070" spans="1:13" ht="15" customHeight="1">
      <c r="A1070" s="25">
        <v>1536869</v>
      </c>
      <c r="B1070" s="26" t="s">
        <v>5427</v>
      </c>
      <c r="C1070" s="26" t="s">
        <v>8230</v>
      </c>
      <c r="D1070" s="26" t="s">
        <v>8231</v>
      </c>
      <c r="E1070" s="26" t="s">
        <v>5488</v>
      </c>
      <c r="F1070" s="27">
        <v>5450750</v>
      </c>
      <c r="G1070" s="27">
        <v>0</v>
      </c>
      <c r="H1070" s="27">
        <v>0</v>
      </c>
      <c r="I1070" s="27">
        <v>0</v>
      </c>
      <c r="J1070" s="30">
        <f t="shared" si="48"/>
        <v>0</v>
      </c>
      <c r="K1070" s="30">
        <f t="shared" si="49"/>
        <v>0</v>
      </c>
      <c r="L1070" s="26">
        <f t="shared" si="50"/>
        <v>0</v>
      </c>
      <c r="M1070" s="26">
        <v>0</v>
      </c>
    </row>
    <row r="1071" spans="1:13" ht="15" customHeight="1">
      <c r="A1071" s="25">
        <v>1536895</v>
      </c>
      <c r="B1071" s="26" t="s">
        <v>5427</v>
      </c>
      <c r="C1071" s="26" t="s">
        <v>8232</v>
      </c>
      <c r="D1071" s="26" t="s">
        <v>8233</v>
      </c>
      <c r="E1071" s="26" t="s">
        <v>5452</v>
      </c>
      <c r="F1071" s="27">
        <v>4801555</v>
      </c>
      <c r="G1071" s="27">
        <v>0</v>
      </c>
      <c r="H1071" s="27">
        <v>0</v>
      </c>
      <c r="I1071" s="27">
        <v>0</v>
      </c>
      <c r="J1071" s="30">
        <f t="shared" si="48"/>
        <v>0</v>
      </c>
      <c r="K1071" s="30">
        <f t="shared" si="49"/>
        <v>0</v>
      </c>
      <c r="L1071" s="26">
        <f t="shared" si="50"/>
        <v>0</v>
      </c>
      <c r="M1071" s="26" t="s">
        <v>5557</v>
      </c>
    </row>
    <row r="1072" spans="1:13" ht="15" customHeight="1">
      <c r="A1072" s="25">
        <v>1536945</v>
      </c>
      <c r="B1072" s="26" t="s">
        <v>5423</v>
      </c>
      <c r="C1072" s="26" t="s">
        <v>8234</v>
      </c>
      <c r="D1072" s="26" t="s">
        <v>8235</v>
      </c>
      <c r="E1072" s="26" t="s">
        <v>5442</v>
      </c>
      <c r="F1072" s="27">
        <v>5262573</v>
      </c>
      <c r="G1072" s="27">
        <v>0</v>
      </c>
      <c r="H1072" s="27">
        <v>0</v>
      </c>
      <c r="I1072" s="27">
        <v>0</v>
      </c>
      <c r="J1072" s="30">
        <f t="shared" si="48"/>
        <v>0</v>
      </c>
      <c r="K1072" s="30">
        <f t="shared" si="49"/>
        <v>0</v>
      </c>
      <c r="L1072" s="26">
        <f t="shared" si="50"/>
        <v>0</v>
      </c>
      <c r="M1072" s="26" t="s">
        <v>5557</v>
      </c>
    </row>
    <row r="1073" spans="1:13" ht="15" customHeight="1">
      <c r="A1073" s="25">
        <v>1537351</v>
      </c>
      <c r="B1073" s="26" t="s">
        <v>5423</v>
      </c>
      <c r="C1073" s="26" t="s">
        <v>8236</v>
      </c>
      <c r="D1073" s="26" t="s">
        <v>8237</v>
      </c>
      <c r="E1073" s="26" t="s">
        <v>5458</v>
      </c>
      <c r="F1073" s="27">
        <v>5435924</v>
      </c>
      <c r="G1073" s="27">
        <v>1</v>
      </c>
      <c r="H1073" s="27">
        <v>0</v>
      </c>
      <c r="I1073" s="27">
        <v>1</v>
      </c>
      <c r="J1073" s="30">
        <f t="shared" si="48"/>
        <v>1</v>
      </c>
      <c r="K1073" s="30">
        <f t="shared" si="49"/>
        <v>0</v>
      </c>
      <c r="L1073" s="26">
        <f t="shared" si="50"/>
        <v>0</v>
      </c>
      <c r="M1073" s="26"/>
    </row>
    <row r="1074" spans="1:13" ht="15" customHeight="1">
      <c r="A1074" s="25">
        <v>1537713</v>
      </c>
      <c r="B1074" s="26" t="s">
        <v>5427</v>
      </c>
      <c r="C1074" s="26" t="s">
        <v>8238</v>
      </c>
      <c r="D1074" s="26" t="s">
        <v>8239</v>
      </c>
      <c r="E1074" s="26" t="s">
        <v>5507</v>
      </c>
      <c r="F1074" s="27">
        <v>5452086</v>
      </c>
      <c r="G1074" s="27">
        <v>0</v>
      </c>
      <c r="H1074" s="27">
        <v>0</v>
      </c>
      <c r="I1074" s="27">
        <v>0</v>
      </c>
      <c r="J1074" s="30">
        <f t="shared" si="48"/>
        <v>0</v>
      </c>
      <c r="K1074" s="30">
        <f t="shared" si="49"/>
        <v>0</v>
      </c>
      <c r="L1074" s="26">
        <f t="shared" si="50"/>
        <v>0</v>
      </c>
      <c r="M1074" s="26">
        <v>0</v>
      </c>
    </row>
    <row r="1075" spans="1:13" ht="15" customHeight="1">
      <c r="A1075" s="25">
        <v>1537743</v>
      </c>
      <c r="B1075" s="26" t="s">
        <v>5423</v>
      </c>
      <c r="C1075" s="26" t="s">
        <v>8240</v>
      </c>
      <c r="D1075" s="26" t="s">
        <v>8241</v>
      </c>
      <c r="E1075" s="26" t="s">
        <v>5514</v>
      </c>
      <c r="F1075" s="27">
        <v>5408708</v>
      </c>
      <c r="G1075" s="27">
        <v>1</v>
      </c>
      <c r="H1075" s="27">
        <v>0</v>
      </c>
      <c r="I1075" s="27">
        <v>1</v>
      </c>
      <c r="J1075" s="30">
        <f t="shared" si="48"/>
        <v>1</v>
      </c>
      <c r="K1075" s="30">
        <f t="shared" si="49"/>
        <v>0</v>
      </c>
      <c r="L1075" s="26">
        <f t="shared" si="50"/>
        <v>0</v>
      </c>
      <c r="M1075" s="26"/>
    </row>
    <row r="1076" spans="1:13" ht="15" customHeight="1">
      <c r="A1076" s="25">
        <v>1537768</v>
      </c>
      <c r="B1076" s="26" t="s">
        <v>5423</v>
      </c>
      <c r="C1076" s="26" t="s">
        <v>8242</v>
      </c>
      <c r="D1076" s="26" t="s">
        <v>8243</v>
      </c>
      <c r="E1076" s="26" t="s">
        <v>5455</v>
      </c>
      <c r="F1076" s="27">
        <v>5453363</v>
      </c>
      <c r="G1076" s="27">
        <v>1</v>
      </c>
      <c r="H1076" s="27">
        <v>0</v>
      </c>
      <c r="I1076" s="27">
        <v>1</v>
      </c>
      <c r="J1076" s="30">
        <f t="shared" si="48"/>
        <v>1</v>
      </c>
      <c r="K1076" s="30">
        <f t="shared" si="49"/>
        <v>0</v>
      </c>
      <c r="L1076" s="26">
        <f t="shared" si="50"/>
        <v>0</v>
      </c>
      <c r="M1076" s="26"/>
    </row>
    <row r="1077" spans="1:13" ht="15" customHeight="1">
      <c r="A1077" s="25">
        <v>1537818</v>
      </c>
      <c r="B1077" s="26" t="s">
        <v>5423</v>
      </c>
      <c r="C1077" s="26" t="s">
        <v>8244</v>
      </c>
      <c r="D1077" s="26" t="s">
        <v>8245</v>
      </c>
      <c r="E1077" s="26" t="s">
        <v>5491</v>
      </c>
      <c r="F1077" s="27">
        <v>5452606</v>
      </c>
      <c r="G1077" s="27">
        <v>0</v>
      </c>
      <c r="H1077" s="27">
        <v>1</v>
      </c>
      <c r="I1077" s="27">
        <v>1</v>
      </c>
      <c r="J1077" s="30">
        <f t="shared" si="48"/>
        <v>0</v>
      </c>
      <c r="K1077" s="30">
        <f t="shared" si="49"/>
        <v>1</v>
      </c>
      <c r="L1077" s="26">
        <f t="shared" si="50"/>
        <v>0</v>
      </c>
      <c r="M1077" s="26"/>
    </row>
    <row r="1078" spans="1:13" ht="15" customHeight="1">
      <c r="A1078" s="25">
        <v>1538070</v>
      </c>
      <c r="B1078" s="26" t="s">
        <v>5423</v>
      </c>
      <c r="C1078" s="26" t="s">
        <v>8246</v>
      </c>
      <c r="D1078" s="26" t="s">
        <v>8247</v>
      </c>
      <c r="E1078" s="26" t="s">
        <v>5436</v>
      </c>
      <c r="F1078" s="27">
        <v>5451490</v>
      </c>
      <c r="G1078" s="27">
        <v>0</v>
      </c>
      <c r="H1078" s="27">
        <v>0</v>
      </c>
      <c r="I1078" s="27">
        <v>0</v>
      </c>
      <c r="J1078" s="30">
        <f t="shared" si="48"/>
        <v>0</v>
      </c>
      <c r="K1078" s="30">
        <f t="shared" si="49"/>
        <v>0</v>
      </c>
      <c r="L1078" s="26">
        <f t="shared" si="50"/>
        <v>0</v>
      </c>
      <c r="M1078" s="26">
        <v>0</v>
      </c>
    </row>
    <row r="1079" spans="1:13" ht="15" customHeight="1">
      <c r="A1079" s="25">
        <v>1538076</v>
      </c>
      <c r="B1079" s="26" t="s">
        <v>5427</v>
      </c>
      <c r="C1079" s="26" t="s">
        <v>8248</v>
      </c>
      <c r="D1079" s="26" t="s">
        <v>8249</v>
      </c>
      <c r="E1079" s="26" t="s">
        <v>5455</v>
      </c>
      <c r="F1079" s="27">
        <v>5454715</v>
      </c>
      <c r="G1079" s="27">
        <v>1</v>
      </c>
      <c r="H1079" s="27">
        <v>0</v>
      </c>
      <c r="I1079" s="27">
        <v>1</v>
      </c>
      <c r="J1079" s="30">
        <f t="shared" si="48"/>
        <v>1</v>
      </c>
      <c r="K1079" s="30">
        <f t="shared" si="49"/>
        <v>0</v>
      </c>
      <c r="L1079" s="26">
        <f t="shared" si="50"/>
        <v>0</v>
      </c>
      <c r="M1079" s="26"/>
    </row>
    <row r="1080" spans="1:13" ht="15" customHeight="1">
      <c r="A1080" s="25">
        <v>1538330</v>
      </c>
      <c r="B1080" s="26" t="s">
        <v>5423</v>
      </c>
      <c r="C1080" s="26" t="s">
        <v>8250</v>
      </c>
      <c r="D1080" s="26" t="s">
        <v>8251</v>
      </c>
      <c r="E1080" s="26" t="s">
        <v>5439</v>
      </c>
      <c r="F1080" s="27">
        <v>5445545</v>
      </c>
      <c r="G1080" s="27">
        <v>1</v>
      </c>
      <c r="H1080" s="27">
        <v>1</v>
      </c>
      <c r="I1080" s="27">
        <v>1</v>
      </c>
      <c r="J1080" s="30">
        <f t="shared" si="48"/>
        <v>1</v>
      </c>
      <c r="K1080" s="30">
        <f t="shared" si="49"/>
        <v>1</v>
      </c>
      <c r="L1080" s="26">
        <f t="shared" si="50"/>
        <v>1</v>
      </c>
      <c r="M1080" s="26" t="s">
        <v>7910</v>
      </c>
    </row>
    <row r="1081" spans="1:13" ht="15" customHeight="1">
      <c r="A1081" s="25">
        <v>1538436</v>
      </c>
      <c r="B1081" s="26" t="s">
        <v>5427</v>
      </c>
      <c r="C1081" s="26" t="s">
        <v>8252</v>
      </c>
      <c r="D1081" s="26" t="s">
        <v>8253</v>
      </c>
      <c r="E1081" s="26" t="s">
        <v>5491</v>
      </c>
      <c r="F1081" s="27">
        <v>5455113</v>
      </c>
      <c r="G1081" s="27">
        <v>0</v>
      </c>
      <c r="H1081" s="27">
        <v>0</v>
      </c>
      <c r="I1081" s="27">
        <v>0</v>
      </c>
      <c r="J1081" s="30">
        <f t="shared" si="48"/>
        <v>0</v>
      </c>
      <c r="K1081" s="30">
        <f t="shared" si="49"/>
        <v>0</v>
      </c>
      <c r="L1081" s="26">
        <f t="shared" si="50"/>
        <v>0</v>
      </c>
      <c r="M1081" s="26">
        <v>0</v>
      </c>
    </row>
    <row r="1082" spans="1:13" ht="15" customHeight="1">
      <c r="A1082" s="25">
        <v>1538971</v>
      </c>
      <c r="B1082" s="26" t="s">
        <v>5427</v>
      </c>
      <c r="C1082" s="26" t="s">
        <v>8254</v>
      </c>
      <c r="D1082" s="26" t="s">
        <v>8255</v>
      </c>
      <c r="E1082" s="26" t="s">
        <v>6075</v>
      </c>
      <c r="F1082" s="27">
        <v>5457853</v>
      </c>
      <c r="G1082" s="27">
        <v>0</v>
      </c>
      <c r="H1082" s="27">
        <v>0</v>
      </c>
      <c r="I1082" s="27">
        <v>0</v>
      </c>
      <c r="J1082" s="30">
        <f t="shared" si="48"/>
        <v>0</v>
      </c>
      <c r="K1082" s="30">
        <f t="shared" si="49"/>
        <v>0</v>
      </c>
      <c r="L1082" s="26">
        <f t="shared" si="50"/>
        <v>0</v>
      </c>
      <c r="M1082" s="26">
        <v>0</v>
      </c>
    </row>
    <row r="1083" spans="1:13" ht="15" customHeight="1">
      <c r="A1083" s="25">
        <v>1539023</v>
      </c>
      <c r="B1083" s="26" t="s">
        <v>5423</v>
      </c>
      <c r="C1083" s="26" t="s">
        <v>8256</v>
      </c>
      <c r="D1083" s="26" t="s">
        <v>8257</v>
      </c>
      <c r="E1083" s="26" t="s">
        <v>5442</v>
      </c>
      <c r="F1083" s="27">
        <v>5457287</v>
      </c>
      <c r="G1083" s="27">
        <v>0</v>
      </c>
      <c r="H1083" s="27">
        <v>0</v>
      </c>
      <c r="I1083" s="27">
        <v>0</v>
      </c>
      <c r="J1083" s="30">
        <f t="shared" si="48"/>
        <v>0</v>
      </c>
      <c r="K1083" s="30">
        <f t="shared" si="49"/>
        <v>0</v>
      </c>
      <c r="L1083" s="26">
        <f t="shared" si="50"/>
        <v>0</v>
      </c>
      <c r="M1083" s="26">
        <v>0</v>
      </c>
    </row>
    <row r="1084" spans="1:13" ht="15" customHeight="1">
      <c r="A1084" s="25">
        <v>1539110</v>
      </c>
      <c r="B1084" s="26" t="s">
        <v>5427</v>
      </c>
      <c r="C1084" s="26" t="s">
        <v>8258</v>
      </c>
      <c r="D1084" s="26" t="s">
        <v>8259</v>
      </c>
      <c r="E1084" s="26" t="s">
        <v>5603</v>
      </c>
      <c r="F1084" s="27">
        <v>5437280</v>
      </c>
      <c r="G1084" s="27">
        <v>1</v>
      </c>
      <c r="H1084" s="27">
        <v>0</v>
      </c>
      <c r="I1084" s="27">
        <v>1</v>
      </c>
      <c r="J1084" s="30">
        <f t="shared" si="48"/>
        <v>1</v>
      </c>
      <c r="K1084" s="30">
        <f t="shared" si="49"/>
        <v>0</v>
      </c>
      <c r="L1084" s="26">
        <f t="shared" si="50"/>
        <v>0</v>
      </c>
      <c r="M1084" s="26"/>
    </row>
    <row r="1085" spans="1:13" ht="15" customHeight="1">
      <c r="A1085" s="25">
        <v>1539171</v>
      </c>
      <c r="B1085" s="26" t="s">
        <v>5423</v>
      </c>
      <c r="C1085" s="26" t="s">
        <v>8260</v>
      </c>
      <c r="D1085" s="26" t="s">
        <v>8261</v>
      </c>
      <c r="E1085" s="26" t="s">
        <v>5603</v>
      </c>
      <c r="F1085" s="27">
        <v>5458652</v>
      </c>
      <c r="G1085" s="27">
        <v>0</v>
      </c>
      <c r="H1085" s="27">
        <v>0</v>
      </c>
      <c r="I1085" s="27">
        <v>0</v>
      </c>
      <c r="J1085" s="30">
        <f t="shared" si="48"/>
        <v>0</v>
      </c>
      <c r="K1085" s="30">
        <f t="shared" si="49"/>
        <v>0</v>
      </c>
      <c r="L1085" s="26">
        <f t="shared" si="50"/>
        <v>0</v>
      </c>
      <c r="M1085" s="26">
        <v>0</v>
      </c>
    </row>
    <row r="1086" spans="1:13" ht="15" customHeight="1">
      <c r="A1086" s="25">
        <v>1539179</v>
      </c>
      <c r="B1086" s="26" t="s">
        <v>5423</v>
      </c>
      <c r="C1086" s="26" t="s">
        <v>8262</v>
      </c>
      <c r="D1086" s="26" t="s">
        <v>8263</v>
      </c>
      <c r="E1086" s="26" t="s">
        <v>5491</v>
      </c>
      <c r="F1086" s="27">
        <v>5455901</v>
      </c>
      <c r="G1086" s="27">
        <v>1</v>
      </c>
      <c r="H1086" s="27">
        <v>0</v>
      </c>
      <c r="I1086" s="27">
        <v>1</v>
      </c>
      <c r="J1086" s="30">
        <f t="shared" si="48"/>
        <v>1</v>
      </c>
      <c r="K1086" s="30">
        <f t="shared" si="49"/>
        <v>0</v>
      </c>
      <c r="L1086" s="26">
        <f t="shared" si="50"/>
        <v>0</v>
      </c>
      <c r="M1086" s="26"/>
    </row>
    <row r="1087" spans="1:13" ht="15" customHeight="1">
      <c r="A1087" s="25">
        <v>1539335</v>
      </c>
      <c r="B1087" s="26" t="s">
        <v>5423</v>
      </c>
      <c r="C1087" s="26" t="s">
        <v>8264</v>
      </c>
      <c r="D1087" s="26" t="s">
        <v>8265</v>
      </c>
      <c r="E1087" s="26" t="s">
        <v>5540</v>
      </c>
      <c r="F1087" s="27">
        <v>5458319</v>
      </c>
      <c r="G1087" s="27">
        <v>0</v>
      </c>
      <c r="H1087" s="27">
        <v>0</v>
      </c>
      <c r="I1087" s="27">
        <v>0</v>
      </c>
      <c r="J1087" s="30">
        <f t="shared" si="48"/>
        <v>0</v>
      </c>
      <c r="K1087" s="30">
        <f t="shared" si="49"/>
        <v>0</v>
      </c>
      <c r="L1087" s="26">
        <f t="shared" si="50"/>
        <v>0</v>
      </c>
      <c r="M1087" s="26">
        <v>0</v>
      </c>
    </row>
    <row r="1088" spans="1:13" ht="15" customHeight="1">
      <c r="A1088" s="25">
        <v>1539372</v>
      </c>
      <c r="B1088" s="26" t="s">
        <v>5423</v>
      </c>
      <c r="C1088" s="26" t="s">
        <v>8266</v>
      </c>
      <c r="D1088" s="26" t="s">
        <v>8267</v>
      </c>
      <c r="E1088" s="26" t="s">
        <v>5458</v>
      </c>
      <c r="F1088" s="27">
        <v>5460868</v>
      </c>
      <c r="G1088" s="27">
        <v>1</v>
      </c>
      <c r="H1088" s="27">
        <v>1</v>
      </c>
      <c r="I1088" s="27">
        <v>1</v>
      </c>
      <c r="J1088" s="30">
        <f t="shared" si="48"/>
        <v>1</v>
      </c>
      <c r="K1088" s="30">
        <f t="shared" si="49"/>
        <v>1</v>
      </c>
      <c r="L1088" s="26">
        <f t="shared" si="50"/>
        <v>1</v>
      </c>
      <c r="M1088" s="26"/>
    </row>
    <row r="1089" spans="1:13" ht="15" customHeight="1">
      <c r="A1089" s="25">
        <v>1539382</v>
      </c>
      <c r="B1089" s="26" t="s">
        <v>5423</v>
      </c>
      <c r="C1089" s="26" t="s">
        <v>8268</v>
      </c>
      <c r="D1089" s="26" t="s">
        <v>8269</v>
      </c>
      <c r="E1089" s="26" t="s">
        <v>5480</v>
      </c>
      <c r="F1089" s="27">
        <v>4847301</v>
      </c>
      <c r="G1089" s="27">
        <v>1</v>
      </c>
      <c r="H1089" s="27">
        <v>1</v>
      </c>
      <c r="I1089" s="27">
        <v>1</v>
      </c>
      <c r="J1089" s="30">
        <f t="shared" si="48"/>
        <v>1</v>
      </c>
      <c r="K1089" s="30">
        <f t="shared" si="49"/>
        <v>1</v>
      </c>
      <c r="L1089" s="26">
        <f t="shared" si="50"/>
        <v>1</v>
      </c>
      <c r="M1089" s="26"/>
    </row>
    <row r="1090" spans="1:13" ht="15" customHeight="1">
      <c r="A1090" s="25">
        <v>1539576</v>
      </c>
      <c r="B1090" s="26" t="s">
        <v>5423</v>
      </c>
      <c r="C1090" s="26" t="s">
        <v>8270</v>
      </c>
      <c r="D1090" s="26" t="s">
        <v>8271</v>
      </c>
      <c r="E1090" s="26" t="s">
        <v>5488</v>
      </c>
      <c r="F1090" s="27">
        <v>2220640</v>
      </c>
      <c r="G1090" s="27">
        <v>1</v>
      </c>
      <c r="H1090" s="27">
        <v>0</v>
      </c>
      <c r="I1090" s="27">
        <v>1</v>
      </c>
      <c r="J1090" s="30">
        <f t="shared" ref="J1090:J1153" si="51">IF(G1090&gt;0,1,0)</f>
        <v>1</v>
      </c>
      <c r="K1090" s="30">
        <f t="shared" ref="K1090:K1153" si="52">IF(H1090&gt;0,1,0)</f>
        <v>0</v>
      </c>
      <c r="L1090" s="26">
        <f t="shared" ref="L1090:L1153" si="53">IF(G1090&gt;0,IF(H1090&gt;0,1,0),0)</f>
        <v>0</v>
      </c>
      <c r="M1090" s="26"/>
    </row>
    <row r="1091" spans="1:13" ht="15" customHeight="1">
      <c r="A1091" s="25">
        <v>1539580</v>
      </c>
      <c r="B1091" s="26" t="s">
        <v>5423</v>
      </c>
      <c r="C1091" s="26" t="s">
        <v>8272</v>
      </c>
      <c r="D1091" s="26" t="s">
        <v>8273</v>
      </c>
      <c r="E1091" s="26" t="s">
        <v>5436</v>
      </c>
      <c r="F1091" s="27">
        <v>5464653</v>
      </c>
      <c r="G1091" s="27">
        <v>0</v>
      </c>
      <c r="H1091" s="27">
        <v>0</v>
      </c>
      <c r="I1091" s="27">
        <v>0</v>
      </c>
      <c r="J1091" s="30">
        <f t="shared" si="51"/>
        <v>0</v>
      </c>
      <c r="K1091" s="30">
        <f t="shared" si="52"/>
        <v>0</v>
      </c>
      <c r="L1091" s="26">
        <f t="shared" si="53"/>
        <v>0</v>
      </c>
      <c r="M1091" s="26">
        <v>0</v>
      </c>
    </row>
    <row r="1092" spans="1:13" ht="15" customHeight="1">
      <c r="A1092" s="25">
        <v>1539591</v>
      </c>
      <c r="B1092" s="26" t="s">
        <v>5423</v>
      </c>
      <c r="C1092" s="26" t="s">
        <v>8274</v>
      </c>
      <c r="D1092" s="26" t="s">
        <v>8275</v>
      </c>
      <c r="E1092" s="26" t="s">
        <v>5455</v>
      </c>
      <c r="F1092" s="27">
        <v>3565811</v>
      </c>
      <c r="G1092" s="27">
        <v>1</v>
      </c>
      <c r="H1092" s="27">
        <v>1</v>
      </c>
      <c r="I1092" s="27">
        <v>1</v>
      </c>
      <c r="J1092" s="30">
        <f t="shared" si="51"/>
        <v>1</v>
      </c>
      <c r="K1092" s="30">
        <f t="shared" si="52"/>
        <v>1</v>
      </c>
      <c r="L1092" s="26">
        <f t="shared" si="53"/>
        <v>1</v>
      </c>
      <c r="M1092" s="26"/>
    </row>
    <row r="1093" spans="1:13" ht="15" customHeight="1">
      <c r="A1093" s="25">
        <v>1539594</v>
      </c>
      <c r="B1093" s="26" t="s">
        <v>5423</v>
      </c>
      <c r="C1093" s="26" t="s">
        <v>8276</v>
      </c>
      <c r="D1093" s="26" t="s">
        <v>8277</v>
      </c>
      <c r="E1093" s="26" t="s">
        <v>5540</v>
      </c>
      <c r="F1093" s="27">
        <v>5459988</v>
      </c>
      <c r="G1093" s="27">
        <v>1</v>
      </c>
      <c r="H1093" s="27">
        <v>0</v>
      </c>
      <c r="I1093" s="27">
        <v>1</v>
      </c>
      <c r="J1093" s="30">
        <f t="shared" si="51"/>
        <v>1</v>
      </c>
      <c r="K1093" s="30">
        <f t="shared" si="52"/>
        <v>0</v>
      </c>
      <c r="L1093" s="26">
        <f t="shared" si="53"/>
        <v>0</v>
      </c>
      <c r="M1093" s="26"/>
    </row>
    <row r="1094" spans="1:13" ht="15" customHeight="1">
      <c r="A1094" s="25">
        <v>1540084</v>
      </c>
      <c r="B1094" s="26" t="s">
        <v>5423</v>
      </c>
      <c r="C1094" s="26" t="s">
        <v>8278</v>
      </c>
      <c r="D1094" s="26" t="s">
        <v>8279</v>
      </c>
      <c r="E1094" s="26" t="s">
        <v>5504</v>
      </c>
      <c r="F1094" s="27">
        <v>1103087</v>
      </c>
      <c r="G1094" s="27">
        <v>0</v>
      </c>
      <c r="H1094" s="27">
        <v>0</v>
      </c>
      <c r="I1094" s="27">
        <v>0</v>
      </c>
      <c r="J1094" s="30">
        <f t="shared" si="51"/>
        <v>0</v>
      </c>
      <c r="K1094" s="30">
        <f t="shared" si="52"/>
        <v>0</v>
      </c>
      <c r="L1094" s="26">
        <f t="shared" si="53"/>
        <v>0</v>
      </c>
      <c r="M1094" s="26">
        <v>0</v>
      </c>
    </row>
    <row r="1095" spans="1:13" ht="15" customHeight="1">
      <c r="A1095" s="25">
        <v>1540315</v>
      </c>
      <c r="B1095" s="26" t="s">
        <v>5427</v>
      </c>
      <c r="C1095" s="26" t="s">
        <v>8280</v>
      </c>
      <c r="D1095" s="26" t="s">
        <v>8281</v>
      </c>
      <c r="E1095" s="26" t="s">
        <v>5458</v>
      </c>
      <c r="F1095" s="27">
        <v>5459323</v>
      </c>
      <c r="G1095" s="27">
        <v>0</v>
      </c>
      <c r="H1095" s="27">
        <v>0</v>
      </c>
      <c r="I1095" s="27">
        <v>0</v>
      </c>
      <c r="J1095" s="30">
        <f t="shared" si="51"/>
        <v>0</v>
      </c>
      <c r="K1095" s="30">
        <f t="shared" si="52"/>
        <v>0</v>
      </c>
      <c r="L1095" s="26">
        <f t="shared" si="53"/>
        <v>0</v>
      </c>
      <c r="M1095" s="26">
        <v>0</v>
      </c>
    </row>
    <row r="1096" spans="1:13" ht="15" customHeight="1">
      <c r="A1096" s="25">
        <v>1540657</v>
      </c>
      <c r="B1096" s="26" t="s">
        <v>5423</v>
      </c>
      <c r="C1096" s="26" t="s">
        <v>8282</v>
      </c>
      <c r="D1096" s="26" t="s">
        <v>8283</v>
      </c>
      <c r="E1096" s="26" t="s">
        <v>5455</v>
      </c>
      <c r="F1096" s="27">
        <v>5463217</v>
      </c>
      <c r="G1096" s="27">
        <v>0</v>
      </c>
      <c r="H1096" s="27">
        <v>0</v>
      </c>
      <c r="I1096" s="27">
        <v>0</v>
      </c>
      <c r="J1096" s="30">
        <f t="shared" si="51"/>
        <v>0</v>
      </c>
      <c r="K1096" s="30">
        <f t="shared" si="52"/>
        <v>0</v>
      </c>
      <c r="L1096" s="26">
        <f t="shared" si="53"/>
        <v>0</v>
      </c>
      <c r="M1096" s="26">
        <v>0</v>
      </c>
    </row>
    <row r="1097" spans="1:13" ht="15" customHeight="1">
      <c r="A1097" s="25">
        <v>1540671</v>
      </c>
      <c r="B1097" s="26" t="s">
        <v>5423</v>
      </c>
      <c r="C1097" s="26" t="s">
        <v>8284</v>
      </c>
      <c r="D1097" s="26" t="s">
        <v>8285</v>
      </c>
      <c r="E1097" s="26" t="s">
        <v>5455</v>
      </c>
      <c r="F1097" s="27">
        <v>5462927</v>
      </c>
      <c r="G1097" s="27">
        <v>0</v>
      </c>
      <c r="H1097" s="27">
        <v>0</v>
      </c>
      <c r="I1097" s="27">
        <v>0</v>
      </c>
      <c r="J1097" s="30">
        <f t="shared" si="51"/>
        <v>0</v>
      </c>
      <c r="K1097" s="30">
        <f t="shared" si="52"/>
        <v>0</v>
      </c>
      <c r="L1097" s="26">
        <f t="shared" si="53"/>
        <v>0</v>
      </c>
      <c r="M1097" s="26">
        <v>0</v>
      </c>
    </row>
    <row r="1098" spans="1:13" ht="15" customHeight="1">
      <c r="A1098" s="25">
        <v>1540746</v>
      </c>
      <c r="B1098" s="26" t="s">
        <v>5423</v>
      </c>
      <c r="C1098" s="26" t="s">
        <v>8286</v>
      </c>
      <c r="D1098" s="26" t="s">
        <v>8287</v>
      </c>
      <c r="E1098" s="26" t="s">
        <v>5475</v>
      </c>
      <c r="F1098" s="27">
        <v>5462999</v>
      </c>
      <c r="G1098" s="27">
        <v>1</v>
      </c>
      <c r="H1098" s="27">
        <v>0</v>
      </c>
      <c r="I1098" s="27">
        <v>1</v>
      </c>
      <c r="J1098" s="30">
        <f t="shared" si="51"/>
        <v>1</v>
      </c>
      <c r="K1098" s="30">
        <f t="shared" si="52"/>
        <v>0</v>
      </c>
      <c r="L1098" s="26">
        <f t="shared" si="53"/>
        <v>0</v>
      </c>
      <c r="M1098" s="26"/>
    </row>
    <row r="1099" spans="1:13" ht="15" customHeight="1">
      <c r="A1099" s="25">
        <v>1540825</v>
      </c>
      <c r="B1099" s="26" t="s">
        <v>5423</v>
      </c>
      <c r="C1099" s="26" t="s">
        <v>8288</v>
      </c>
      <c r="D1099" s="26" t="s">
        <v>8289</v>
      </c>
      <c r="E1099" s="26" t="s">
        <v>5535</v>
      </c>
      <c r="F1099" s="27">
        <v>5464516</v>
      </c>
      <c r="G1099" s="27">
        <v>0</v>
      </c>
      <c r="H1099" s="27">
        <v>0</v>
      </c>
      <c r="I1099" s="27">
        <v>0</v>
      </c>
      <c r="J1099" s="30">
        <f t="shared" si="51"/>
        <v>0</v>
      </c>
      <c r="K1099" s="30">
        <f t="shared" si="52"/>
        <v>0</v>
      </c>
      <c r="L1099" s="26">
        <f t="shared" si="53"/>
        <v>0</v>
      </c>
      <c r="M1099" s="26">
        <v>0</v>
      </c>
    </row>
    <row r="1100" spans="1:13" ht="15" customHeight="1">
      <c r="A1100" s="25">
        <v>1540905</v>
      </c>
      <c r="B1100" s="26" t="s">
        <v>5427</v>
      </c>
      <c r="C1100" s="26" t="s">
        <v>8290</v>
      </c>
      <c r="D1100" s="26" t="s">
        <v>8291</v>
      </c>
      <c r="E1100" s="26" t="s">
        <v>5610</v>
      </c>
      <c r="F1100" s="27">
        <v>5463893</v>
      </c>
      <c r="G1100" s="27">
        <v>1</v>
      </c>
      <c r="H1100" s="27">
        <v>0</v>
      </c>
      <c r="I1100" s="27">
        <v>1</v>
      </c>
      <c r="J1100" s="30">
        <f t="shared" si="51"/>
        <v>1</v>
      </c>
      <c r="K1100" s="30">
        <f t="shared" si="52"/>
        <v>0</v>
      </c>
      <c r="L1100" s="26">
        <f t="shared" si="53"/>
        <v>0</v>
      </c>
      <c r="M1100" s="26"/>
    </row>
    <row r="1101" spans="1:13" ht="15" customHeight="1">
      <c r="A1101" s="25">
        <v>1540934</v>
      </c>
      <c r="B1101" s="26" t="s">
        <v>5423</v>
      </c>
      <c r="C1101" s="26" t="s">
        <v>8292</v>
      </c>
      <c r="D1101" s="26" t="s">
        <v>8293</v>
      </c>
      <c r="E1101" s="26" t="s">
        <v>5463</v>
      </c>
      <c r="F1101" s="27">
        <v>4700728</v>
      </c>
      <c r="G1101" s="27">
        <v>1</v>
      </c>
      <c r="H1101" s="27">
        <v>0</v>
      </c>
      <c r="I1101" s="27">
        <v>1</v>
      </c>
      <c r="J1101" s="30">
        <f t="shared" si="51"/>
        <v>1</v>
      </c>
      <c r="K1101" s="30">
        <f t="shared" si="52"/>
        <v>0</v>
      </c>
      <c r="L1101" s="26">
        <f t="shared" si="53"/>
        <v>0</v>
      </c>
      <c r="M1101" s="26"/>
    </row>
    <row r="1102" spans="1:13" ht="15" customHeight="1">
      <c r="A1102" s="25">
        <v>1540976</v>
      </c>
      <c r="B1102" s="26" t="s">
        <v>5423</v>
      </c>
      <c r="C1102" s="26" t="s">
        <v>8294</v>
      </c>
      <c r="D1102" s="26" t="s">
        <v>8295</v>
      </c>
      <c r="E1102" s="26" t="s">
        <v>5458</v>
      </c>
      <c r="F1102" s="27">
        <v>5465171</v>
      </c>
      <c r="G1102" s="27">
        <v>1</v>
      </c>
      <c r="H1102" s="27">
        <v>0</v>
      </c>
      <c r="I1102" s="27">
        <v>1</v>
      </c>
      <c r="J1102" s="30">
        <f t="shared" si="51"/>
        <v>1</v>
      </c>
      <c r="K1102" s="30">
        <f t="shared" si="52"/>
        <v>0</v>
      </c>
      <c r="L1102" s="26">
        <f t="shared" si="53"/>
        <v>0</v>
      </c>
      <c r="M1102" s="26"/>
    </row>
    <row r="1103" spans="1:13" ht="15" customHeight="1">
      <c r="A1103" s="25">
        <v>1540986</v>
      </c>
      <c r="B1103" s="26" t="s">
        <v>5423</v>
      </c>
      <c r="C1103" s="26" t="s">
        <v>8296</v>
      </c>
      <c r="D1103" s="26" t="s">
        <v>8297</v>
      </c>
      <c r="E1103" s="26" t="s">
        <v>5430</v>
      </c>
      <c r="F1103" s="27">
        <v>1627900</v>
      </c>
      <c r="G1103" s="27">
        <v>1</v>
      </c>
      <c r="H1103" s="27">
        <v>1</v>
      </c>
      <c r="I1103" s="27">
        <v>1</v>
      </c>
      <c r="J1103" s="30">
        <f t="shared" si="51"/>
        <v>1</v>
      </c>
      <c r="K1103" s="30">
        <f t="shared" si="52"/>
        <v>1</v>
      </c>
      <c r="L1103" s="26">
        <f t="shared" si="53"/>
        <v>1</v>
      </c>
      <c r="M1103" s="26"/>
    </row>
    <row r="1104" spans="1:13" ht="15" customHeight="1">
      <c r="A1104" s="25">
        <v>1541702</v>
      </c>
      <c r="B1104" s="26" t="s">
        <v>5423</v>
      </c>
      <c r="C1104" s="26" t="s">
        <v>8298</v>
      </c>
      <c r="D1104" s="26" t="s">
        <v>8299</v>
      </c>
      <c r="E1104" s="26" t="s">
        <v>5436</v>
      </c>
      <c r="F1104" s="27">
        <v>5396922</v>
      </c>
      <c r="G1104" s="27">
        <v>1</v>
      </c>
      <c r="H1104" s="27">
        <v>0</v>
      </c>
      <c r="I1104" s="27">
        <v>1</v>
      </c>
      <c r="J1104" s="30">
        <f t="shared" si="51"/>
        <v>1</v>
      </c>
      <c r="K1104" s="30">
        <f t="shared" si="52"/>
        <v>0</v>
      </c>
      <c r="L1104" s="26">
        <f t="shared" si="53"/>
        <v>0</v>
      </c>
      <c r="M1104" s="26"/>
    </row>
    <row r="1105" spans="1:13" ht="15" customHeight="1">
      <c r="A1105" s="25">
        <v>1541707</v>
      </c>
      <c r="B1105" s="26" t="s">
        <v>5427</v>
      </c>
      <c r="C1105" s="26" t="s">
        <v>8300</v>
      </c>
      <c r="D1105" s="26" t="s">
        <v>8301</v>
      </c>
      <c r="E1105" s="26" t="s">
        <v>5436</v>
      </c>
      <c r="F1105" s="27">
        <v>5420509</v>
      </c>
      <c r="G1105" s="27">
        <v>1</v>
      </c>
      <c r="H1105" s="27">
        <v>0</v>
      </c>
      <c r="I1105" s="27">
        <v>1</v>
      </c>
      <c r="J1105" s="30">
        <f t="shared" si="51"/>
        <v>1</v>
      </c>
      <c r="K1105" s="30">
        <f t="shared" si="52"/>
        <v>0</v>
      </c>
      <c r="L1105" s="26">
        <f t="shared" si="53"/>
        <v>0</v>
      </c>
      <c r="M1105" s="26"/>
    </row>
    <row r="1106" spans="1:13" ht="15" customHeight="1">
      <c r="A1106" s="25">
        <v>1541985</v>
      </c>
      <c r="B1106" s="26" t="s">
        <v>5423</v>
      </c>
      <c r="C1106" s="26" t="s">
        <v>8302</v>
      </c>
      <c r="D1106" s="26" t="s">
        <v>8303</v>
      </c>
      <c r="E1106" s="26" t="s">
        <v>5463</v>
      </c>
      <c r="F1106" s="27">
        <v>4970895</v>
      </c>
      <c r="G1106" s="27">
        <v>0</v>
      </c>
      <c r="H1106" s="27">
        <v>0</v>
      </c>
      <c r="I1106" s="27">
        <v>0</v>
      </c>
      <c r="J1106" s="30">
        <f t="shared" si="51"/>
        <v>0</v>
      </c>
      <c r="K1106" s="30">
        <f t="shared" si="52"/>
        <v>0</v>
      </c>
      <c r="L1106" s="26">
        <f t="shared" si="53"/>
        <v>0</v>
      </c>
      <c r="M1106" s="26" t="s">
        <v>5557</v>
      </c>
    </row>
    <row r="1107" spans="1:13" ht="15" customHeight="1">
      <c r="A1107" s="25">
        <v>1542038</v>
      </c>
      <c r="B1107" s="26" t="s">
        <v>5423</v>
      </c>
      <c r="C1107" s="26" t="s">
        <v>8304</v>
      </c>
      <c r="D1107" s="26" t="s">
        <v>8305</v>
      </c>
      <c r="E1107" s="26" t="s">
        <v>5517</v>
      </c>
      <c r="F1107" s="27">
        <v>5467755</v>
      </c>
      <c r="G1107" s="27">
        <v>0</v>
      </c>
      <c r="H1107" s="27">
        <v>0</v>
      </c>
      <c r="I1107" s="27">
        <v>0</v>
      </c>
      <c r="J1107" s="30">
        <f t="shared" si="51"/>
        <v>0</v>
      </c>
      <c r="K1107" s="30">
        <f t="shared" si="52"/>
        <v>0</v>
      </c>
      <c r="L1107" s="26">
        <f t="shared" si="53"/>
        <v>0</v>
      </c>
      <c r="M1107" s="26">
        <v>0</v>
      </c>
    </row>
    <row r="1108" spans="1:13" ht="15" customHeight="1">
      <c r="A1108" s="25">
        <v>1542054</v>
      </c>
      <c r="B1108" s="26" t="s">
        <v>5423</v>
      </c>
      <c r="C1108" s="26" t="s">
        <v>8306</v>
      </c>
      <c r="D1108" s="26" t="s">
        <v>8307</v>
      </c>
      <c r="E1108" s="26" t="s">
        <v>5458</v>
      </c>
      <c r="F1108" s="27">
        <v>5438221</v>
      </c>
      <c r="G1108" s="27">
        <v>1</v>
      </c>
      <c r="H1108" s="27">
        <v>1</v>
      </c>
      <c r="I1108" s="27">
        <v>1</v>
      </c>
      <c r="J1108" s="30">
        <f t="shared" si="51"/>
        <v>1</v>
      </c>
      <c r="K1108" s="30">
        <f t="shared" si="52"/>
        <v>1</v>
      </c>
      <c r="L1108" s="26">
        <f t="shared" si="53"/>
        <v>1</v>
      </c>
      <c r="M1108" s="26"/>
    </row>
    <row r="1109" spans="1:13" ht="15" customHeight="1">
      <c r="A1109" s="25" t="s">
        <v>8308</v>
      </c>
      <c r="B1109" s="26" t="s">
        <v>5423</v>
      </c>
      <c r="C1109" s="26" t="s">
        <v>8309</v>
      </c>
      <c r="D1109" s="26" t="s">
        <v>8310</v>
      </c>
      <c r="E1109" s="26" t="s">
        <v>5532</v>
      </c>
      <c r="F1109" s="27">
        <v>5404973</v>
      </c>
      <c r="G1109" s="27">
        <v>1</v>
      </c>
      <c r="H1109" s="27">
        <v>0</v>
      </c>
      <c r="I1109" s="27">
        <v>1</v>
      </c>
      <c r="J1109" s="30">
        <f t="shared" si="51"/>
        <v>1</v>
      </c>
      <c r="K1109" s="30">
        <f t="shared" si="52"/>
        <v>0</v>
      </c>
      <c r="L1109" s="26">
        <f t="shared" si="53"/>
        <v>0</v>
      </c>
      <c r="M1109" s="26"/>
    </row>
    <row r="1110" spans="1:13" ht="15" customHeight="1">
      <c r="A1110" s="25" t="s">
        <v>8311</v>
      </c>
      <c r="B1110" s="26" t="s">
        <v>5427</v>
      </c>
      <c r="C1110" s="26" t="s">
        <v>8312</v>
      </c>
      <c r="D1110" s="26" t="s">
        <v>8313</v>
      </c>
      <c r="E1110" s="26" t="s">
        <v>5603</v>
      </c>
      <c r="F1110" s="27">
        <v>5406476</v>
      </c>
      <c r="G1110" s="27">
        <v>1</v>
      </c>
      <c r="H1110" s="27">
        <v>1</v>
      </c>
      <c r="I1110" s="27">
        <v>1</v>
      </c>
      <c r="J1110" s="30">
        <f t="shared" si="51"/>
        <v>1</v>
      </c>
      <c r="K1110" s="30">
        <f t="shared" si="52"/>
        <v>1</v>
      </c>
      <c r="L1110" s="26">
        <f t="shared" si="53"/>
        <v>1</v>
      </c>
      <c r="M1110" s="26"/>
    </row>
    <row r="1111" spans="1:13" ht="15" customHeight="1">
      <c r="A1111" s="25">
        <v>1542282</v>
      </c>
      <c r="B1111" s="26" t="s">
        <v>5423</v>
      </c>
      <c r="C1111" s="26" t="s">
        <v>8314</v>
      </c>
      <c r="D1111" s="26" t="s">
        <v>8315</v>
      </c>
      <c r="E1111" s="26" t="s">
        <v>5480</v>
      </c>
      <c r="F1111" s="27">
        <v>5300056</v>
      </c>
      <c r="G1111" s="27">
        <v>1</v>
      </c>
      <c r="H1111" s="27">
        <v>0</v>
      </c>
      <c r="I1111" s="27">
        <v>1</v>
      </c>
      <c r="J1111" s="30">
        <f t="shared" si="51"/>
        <v>1</v>
      </c>
      <c r="K1111" s="30">
        <f t="shared" si="52"/>
        <v>0</v>
      </c>
      <c r="L1111" s="26">
        <f t="shared" si="53"/>
        <v>0</v>
      </c>
      <c r="M1111" s="26"/>
    </row>
    <row r="1112" spans="1:13" ht="15" customHeight="1">
      <c r="A1112" s="25">
        <v>1542296</v>
      </c>
      <c r="B1112" s="26" t="s">
        <v>5423</v>
      </c>
      <c r="C1112" s="26" t="s">
        <v>8316</v>
      </c>
      <c r="D1112" s="26" t="s">
        <v>8317</v>
      </c>
      <c r="E1112" s="26" t="s">
        <v>5475</v>
      </c>
      <c r="F1112" s="27">
        <v>5441014</v>
      </c>
      <c r="G1112" s="27">
        <v>1</v>
      </c>
      <c r="H1112" s="27">
        <v>0</v>
      </c>
      <c r="I1112" s="27">
        <v>1</v>
      </c>
      <c r="J1112" s="30">
        <f t="shared" si="51"/>
        <v>1</v>
      </c>
      <c r="K1112" s="30">
        <f t="shared" si="52"/>
        <v>0</v>
      </c>
      <c r="L1112" s="26">
        <f t="shared" si="53"/>
        <v>0</v>
      </c>
      <c r="M1112" s="26"/>
    </row>
    <row r="1113" spans="1:13" ht="15" customHeight="1">
      <c r="A1113" s="25">
        <v>1542302</v>
      </c>
      <c r="B1113" s="26" t="s">
        <v>5423</v>
      </c>
      <c r="C1113" s="26" t="s">
        <v>8318</v>
      </c>
      <c r="D1113" s="26" t="s">
        <v>8319</v>
      </c>
      <c r="E1113" s="26" t="s">
        <v>5514</v>
      </c>
      <c r="F1113" s="27">
        <v>5431830</v>
      </c>
      <c r="G1113" s="27">
        <v>1</v>
      </c>
      <c r="H1113" s="27">
        <v>1</v>
      </c>
      <c r="I1113" s="27">
        <v>1</v>
      </c>
      <c r="J1113" s="30">
        <f t="shared" si="51"/>
        <v>1</v>
      </c>
      <c r="K1113" s="30">
        <f t="shared" si="52"/>
        <v>1</v>
      </c>
      <c r="L1113" s="26">
        <f t="shared" si="53"/>
        <v>1</v>
      </c>
      <c r="M1113" s="26"/>
    </row>
    <row r="1114" spans="1:13" ht="15" customHeight="1">
      <c r="A1114" s="25">
        <v>1542305</v>
      </c>
      <c r="B1114" s="26" t="s">
        <v>5427</v>
      </c>
      <c r="C1114" s="26" t="s">
        <v>8320</v>
      </c>
      <c r="D1114" s="26" t="s">
        <v>8321</v>
      </c>
      <c r="E1114" s="26" t="s">
        <v>5436</v>
      </c>
      <c r="F1114" s="27">
        <v>5475217</v>
      </c>
      <c r="G1114" s="27">
        <v>0</v>
      </c>
      <c r="H1114" s="27">
        <v>0</v>
      </c>
      <c r="I1114" s="27">
        <v>0</v>
      </c>
      <c r="J1114" s="30">
        <f t="shared" si="51"/>
        <v>0</v>
      </c>
      <c r="K1114" s="30">
        <f t="shared" si="52"/>
        <v>0</v>
      </c>
      <c r="L1114" s="26">
        <f t="shared" si="53"/>
        <v>0</v>
      </c>
      <c r="M1114" s="26">
        <v>0</v>
      </c>
    </row>
    <row r="1115" spans="1:13" ht="15" customHeight="1">
      <c r="A1115" s="25">
        <v>1542322</v>
      </c>
      <c r="B1115" s="26" t="s">
        <v>5423</v>
      </c>
      <c r="C1115" s="26" t="s">
        <v>8322</v>
      </c>
      <c r="D1115" s="26" t="s">
        <v>8323</v>
      </c>
      <c r="E1115" s="26" t="s">
        <v>5442</v>
      </c>
      <c r="F1115" s="27">
        <v>5432498</v>
      </c>
      <c r="G1115" s="27">
        <v>1</v>
      </c>
      <c r="H1115" s="27">
        <v>0</v>
      </c>
      <c r="I1115" s="27">
        <v>1</v>
      </c>
      <c r="J1115" s="30">
        <f t="shared" si="51"/>
        <v>1</v>
      </c>
      <c r="K1115" s="30">
        <f t="shared" si="52"/>
        <v>0</v>
      </c>
      <c r="L1115" s="26">
        <f t="shared" si="53"/>
        <v>0</v>
      </c>
      <c r="M1115" s="26"/>
    </row>
    <row r="1116" spans="1:13" ht="15" customHeight="1">
      <c r="A1116" s="25">
        <v>1542530</v>
      </c>
      <c r="B1116" s="26" t="s">
        <v>5423</v>
      </c>
      <c r="C1116" s="26" t="s">
        <v>8324</v>
      </c>
      <c r="D1116" s="26" t="s">
        <v>8325</v>
      </c>
      <c r="E1116" s="26" t="s">
        <v>5436</v>
      </c>
      <c r="F1116" s="27">
        <v>4988237</v>
      </c>
      <c r="G1116" s="27">
        <v>0</v>
      </c>
      <c r="H1116" s="27">
        <v>0</v>
      </c>
      <c r="I1116" s="27">
        <v>0</v>
      </c>
      <c r="J1116" s="30">
        <f t="shared" si="51"/>
        <v>0</v>
      </c>
      <c r="K1116" s="30">
        <f t="shared" si="52"/>
        <v>0</v>
      </c>
      <c r="L1116" s="26">
        <f t="shared" si="53"/>
        <v>0</v>
      </c>
      <c r="M1116" s="26" t="s">
        <v>5557</v>
      </c>
    </row>
    <row r="1117" spans="1:13" ht="15" customHeight="1">
      <c r="A1117" s="25">
        <v>1542657</v>
      </c>
      <c r="B1117" s="26" t="s">
        <v>5423</v>
      </c>
      <c r="C1117" s="26" t="s">
        <v>8326</v>
      </c>
      <c r="D1117" s="26" t="s">
        <v>8327</v>
      </c>
      <c r="E1117" s="26" t="s">
        <v>5475</v>
      </c>
      <c r="F1117" s="27">
        <v>5470955</v>
      </c>
      <c r="G1117" s="27">
        <v>0</v>
      </c>
      <c r="H1117" s="27">
        <v>0</v>
      </c>
      <c r="I1117" s="27">
        <v>0</v>
      </c>
      <c r="J1117" s="30">
        <f t="shared" si="51"/>
        <v>0</v>
      </c>
      <c r="K1117" s="30">
        <f t="shared" si="52"/>
        <v>0</v>
      </c>
      <c r="L1117" s="26">
        <f t="shared" si="53"/>
        <v>0</v>
      </c>
      <c r="M1117" s="26">
        <v>0</v>
      </c>
    </row>
    <row r="1118" spans="1:13" ht="15" customHeight="1">
      <c r="A1118" s="25">
        <v>1543101</v>
      </c>
      <c r="B1118" s="26" t="s">
        <v>5427</v>
      </c>
      <c r="C1118" s="26" t="s">
        <v>8328</v>
      </c>
      <c r="D1118" s="26" t="s">
        <v>8329</v>
      </c>
      <c r="E1118" s="26" t="s">
        <v>5455</v>
      </c>
      <c r="F1118" s="27">
        <v>5472697</v>
      </c>
      <c r="G1118" s="27">
        <v>0</v>
      </c>
      <c r="H1118" s="27">
        <v>0</v>
      </c>
      <c r="I1118" s="27">
        <v>0</v>
      </c>
      <c r="J1118" s="30">
        <f t="shared" si="51"/>
        <v>0</v>
      </c>
      <c r="K1118" s="30">
        <f t="shared" si="52"/>
        <v>0</v>
      </c>
      <c r="L1118" s="26">
        <f t="shared" si="53"/>
        <v>0</v>
      </c>
      <c r="M1118" s="26">
        <v>0</v>
      </c>
    </row>
    <row r="1119" spans="1:13" ht="15" customHeight="1">
      <c r="A1119" s="25">
        <v>1543141</v>
      </c>
      <c r="B1119" s="26" t="s">
        <v>5423</v>
      </c>
      <c r="C1119" s="26" t="s">
        <v>8330</v>
      </c>
      <c r="D1119" s="26" t="s">
        <v>8331</v>
      </c>
      <c r="E1119" s="26" t="s">
        <v>5452</v>
      </c>
      <c r="F1119" s="27">
        <v>5298718</v>
      </c>
      <c r="G1119" s="27">
        <v>1</v>
      </c>
      <c r="H1119" s="27">
        <v>1</v>
      </c>
      <c r="I1119" s="27">
        <v>1</v>
      </c>
      <c r="J1119" s="30">
        <f t="shared" si="51"/>
        <v>1</v>
      </c>
      <c r="K1119" s="30">
        <f t="shared" si="52"/>
        <v>1</v>
      </c>
      <c r="L1119" s="26">
        <f t="shared" si="53"/>
        <v>1</v>
      </c>
      <c r="M1119" s="26"/>
    </row>
    <row r="1120" spans="1:13" ht="15" customHeight="1">
      <c r="A1120" s="25">
        <v>1543231</v>
      </c>
      <c r="B1120" s="26" t="s">
        <v>5427</v>
      </c>
      <c r="C1120" s="26" t="s">
        <v>8332</v>
      </c>
      <c r="D1120" s="26" t="s">
        <v>8333</v>
      </c>
      <c r="E1120" s="26" t="s">
        <v>5532</v>
      </c>
      <c r="F1120" s="27">
        <v>5428908</v>
      </c>
      <c r="G1120" s="27">
        <v>1</v>
      </c>
      <c r="H1120" s="27">
        <v>1</v>
      </c>
      <c r="I1120" s="27">
        <v>1</v>
      </c>
      <c r="J1120" s="30">
        <f t="shared" si="51"/>
        <v>1</v>
      </c>
      <c r="K1120" s="30">
        <f t="shared" si="52"/>
        <v>1</v>
      </c>
      <c r="L1120" s="26">
        <f t="shared" si="53"/>
        <v>1</v>
      </c>
      <c r="M1120" s="26"/>
    </row>
    <row r="1121" spans="1:13" ht="15" customHeight="1">
      <c r="A1121" s="25">
        <v>1543377</v>
      </c>
      <c r="B1121" s="26" t="s">
        <v>5423</v>
      </c>
      <c r="C1121" s="26" t="s">
        <v>8334</v>
      </c>
      <c r="D1121" s="26" t="s">
        <v>8335</v>
      </c>
      <c r="E1121" s="26" t="s">
        <v>5529</v>
      </c>
      <c r="F1121" s="27">
        <v>4824714</v>
      </c>
      <c r="G1121" s="27">
        <v>1</v>
      </c>
      <c r="H1121" s="27">
        <v>1</v>
      </c>
      <c r="I1121" s="27">
        <v>1</v>
      </c>
      <c r="J1121" s="30">
        <f t="shared" si="51"/>
        <v>1</v>
      </c>
      <c r="K1121" s="30">
        <f t="shared" si="52"/>
        <v>1</v>
      </c>
      <c r="L1121" s="26">
        <f t="shared" si="53"/>
        <v>1</v>
      </c>
      <c r="M1121" s="26"/>
    </row>
    <row r="1122" spans="1:13" ht="15" customHeight="1">
      <c r="A1122" s="25">
        <v>1543556</v>
      </c>
      <c r="B1122" s="26" t="s">
        <v>5423</v>
      </c>
      <c r="C1122" s="26" t="s">
        <v>8336</v>
      </c>
      <c r="D1122" s="26" t="s">
        <v>8337</v>
      </c>
      <c r="E1122" s="26" t="s">
        <v>5488</v>
      </c>
      <c r="F1122" s="27">
        <v>5342376</v>
      </c>
      <c r="G1122" s="27">
        <v>1</v>
      </c>
      <c r="H1122" s="27">
        <v>1</v>
      </c>
      <c r="I1122" s="27">
        <v>1</v>
      </c>
      <c r="J1122" s="30">
        <f t="shared" si="51"/>
        <v>1</v>
      </c>
      <c r="K1122" s="30">
        <f t="shared" si="52"/>
        <v>1</v>
      </c>
      <c r="L1122" s="26">
        <f t="shared" si="53"/>
        <v>1</v>
      </c>
      <c r="M1122" s="26" t="s">
        <v>8209</v>
      </c>
    </row>
    <row r="1123" spans="1:13" ht="15" customHeight="1">
      <c r="A1123" s="25">
        <v>1543583</v>
      </c>
      <c r="B1123" s="26" t="s">
        <v>5427</v>
      </c>
      <c r="C1123" s="26" t="s">
        <v>8338</v>
      </c>
      <c r="D1123" s="26" t="s">
        <v>8339</v>
      </c>
      <c r="E1123" s="26" t="s">
        <v>5707</v>
      </c>
      <c r="F1123" s="27">
        <v>5474503</v>
      </c>
      <c r="G1123" s="27">
        <v>0</v>
      </c>
      <c r="H1123" s="27">
        <v>0</v>
      </c>
      <c r="I1123" s="27">
        <v>0</v>
      </c>
      <c r="J1123" s="30">
        <f t="shared" si="51"/>
        <v>0</v>
      </c>
      <c r="K1123" s="30">
        <f t="shared" si="52"/>
        <v>0</v>
      </c>
      <c r="L1123" s="26">
        <f t="shared" si="53"/>
        <v>0</v>
      </c>
      <c r="M1123" s="26">
        <v>0</v>
      </c>
    </row>
    <row r="1124" spans="1:13" ht="15" customHeight="1">
      <c r="A1124" s="25">
        <v>1543841</v>
      </c>
      <c r="B1124" s="26" t="s">
        <v>5423</v>
      </c>
      <c r="C1124" s="26" t="s">
        <v>8340</v>
      </c>
      <c r="D1124" s="26" t="s">
        <v>8341</v>
      </c>
      <c r="E1124" s="26" t="s">
        <v>5468</v>
      </c>
      <c r="F1124" s="27"/>
      <c r="G1124" s="27">
        <v>0</v>
      </c>
      <c r="H1124" s="27">
        <v>0</v>
      </c>
      <c r="I1124" s="27">
        <v>0</v>
      </c>
      <c r="J1124" s="30">
        <f t="shared" si="51"/>
        <v>0</v>
      </c>
      <c r="K1124" s="30">
        <f t="shared" si="52"/>
        <v>0</v>
      </c>
      <c r="L1124" s="26">
        <f t="shared" si="53"/>
        <v>0</v>
      </c>
      <c r="M1124" s="26" t="s">
        <v>5557</v>
      </c>
    </row>
    <row r="1125" spans="1:13" ht="15" customHeight="1">
      <c r="A1125" s="25">
        <v>1543897</v>
      </c>
      <c r="B1125" s="26" t="s">
        <v>5427</v>
      </c>
      <c r="C1125" s="26" t="s">
        <v>8342</v>
      </c>
      <c r="D1125" s="26" t="s">
        <v>8343</v>
      </c>
      <c r="E1125" s="26" t="s">
        <v>5707</v>
      </c>
      <c r="F1125" s="27">
        <v>5475928</v>
      </c>
      <c r="G1125" s="27">
        <v>1</v>
      </c>
      <c r="H1125" s="27">
        <v>0</v>
      </c>
      <c r="I1125" s="27">
        <v>1</v>
      </c>
      <c r="J1125" s="30">
        <f t="shared" si="51"/>
        <v>1</v>
      </c>
      <c r="K1125" s="30">
        <f t="shared" si="52"/>
        <v>0</v>
      </c>
      <c r="L1125" s="26">
        <f t="shared" si="53"/>
        <v>0</v>
      </c>
      <c r="M1125" s="26"/>
    </row>
    <row r="1126" spans="1:13" ht="15" customHeight="1">
      <c r="A1126" s="25">
        <v>1544299</v>
      </c>
      <c r="B1126" s="26" t="s">
        <v>5423</v>
      </c>
      <c r="C1126" s="26" t="s">
        <v>8344</v>
      </c>
      <c r="D1126" s="26" t="s">
        <v>8345</v>
      </c>
      <c r="E1126" s="26" t="s">
        <v>6075</v>
      </c>
      <c r="F1126" s="27"/>
      <c r="G1126" s="27">
        <v>0</v>
      </c>
      <c r="H1126" s="27">
        <v>0</v>
      </c>
      <c r="I1126" s="27">
        <v>0</v>
      </c>
      <c r="J1126" s="30">
        <f t="shared" si="51"/>
        <v>0</v>
      </c>
      <c r="K1126" s="30">
        <f t="shared" si="52"/>
        <v>0</v>
      </c>
      <c r="L1126" s="26">
        <f t="shared" si="53"/>
        <v>0</v>
      </c>
      <c r="M1126" s="26" t="s">
        <v>5557</v>
      </c>
    </row>
    <row r="1127" spans="1:13" ht="15" customHeight="1">
      <c r="A1127" s="25">
        <v>1544427</v>
      </c>
      <c r="B1127" s="26" t="s">
        <v>5423</v>
      </c>
      <c r="C1127" s="26" t="s">
        <v>8346</v>
      </c>
      <c r="D1127" s="26" t="s">
        <v>8347</v>
      </c>
      <c r="E1127" s="26" t="s">
        <v>5683</v>
      </c>
      <c r="F1127" s="27">
        <v>5477938</v>
      </c>
      <c r="G1127" s="27">
        <v>1</v>
      </c>
      <c r="H1127" s="27">
        <v>0</v>
      </c>
      <c r="I1127" s="27">
        <v>1</v>
      </c>
      <c r="J1127" s="30">
        <f t="shared" si="51"/>
        <v>1</v>
      </c>
      <c r="K1127" s="30">
        <f t="shared" si="52"/>
        <v>0</v>
      </c>
      <c r="L1127" s="26">
        <f t="shared" si="53"/>
        <v>0</v>
      </c>
      <c r="M1127" s="26"/>
    </row>
    <row r="1128" spans="1:13" ht="15" customHeight="1">
      <c r="A1128" s="25">
        <v>1544484</v>
      </c>
      <c r="B1128" s="26" t="s">
        <v>5423</v>
      </c>
      <c r="C1128" s="26" t="s">
        <v>8348</v>
      </c>
      <c r="D1128" s="26" t="s">
        <v>8349</v>
      </c>
      <c r="E1128" s="26" t="s">
        <v>5458</v>
      </c>
      <c r="F1128" s="27">
        <v>5478100</v>
      </c>
      <c r="G1128" s="27">
        <v>1</v>
      </c>
      <c r="H1128" s="27">
        <v>1</v>
      </c>
      <c r="I1128" s="27">
        <v>1</v>
      </c>
      <c r="J1128" s="30">
        <f t="shared" si="51"/>
        <v>1</v>
      </c>
      <c r="K1128" s="30">
        <f t="shared" si="52"/>
        <v>1</v>
      </c>
      <c r="L1128" s="26">
        <f t="shared" si="53"/>
        <v>1</v>
      </c>
      <c r="M1128" s="26"/>
    </row>
    <row r="1129" spans="1:13" ht="15" customHeight="1">
      <c r="A1129" s="25">
        <v>1544724</v>
      </c>
      <c r="B1129" s="26" t="s">
        <v>5427</v>
      </c>
      <c r="C1129" s="26" t="s">
        <v>8350</v>
      </c>
      <c r="D1129" s="26" t="s">
        <v>8351</v>
      </c>
      <c r="E1129" s="26" t="s">
        <v>5439</v>
      </c>
      <c r="F1129" s="27">
        <v>5441621</v>
      </c>
      <c r="G1129" s="27">
        <v>1</v>
      </c>
      <c r="H1129" s="27">
        <v>1</v>
      </c>
      <c r="I1129" s="27">
        <v>1</v>
      </c>
      <c r="J1129" s="30">
        <f t="shared" si="51"/>
        <v>1</v>
      </c>
      <c r="K1129" s="30">
        <f t="shared" si="52"/>
        <v>1</v>
      </c>
      <c r="L1129" s="26">
        <f t="shared" si="53"/>
        <v>1</v>
      </c>
      <c r="M1129" s="26"/>
    </row>
    <row r="1130" spans="1:13" ht="15" customHeight="1">
      <c r="A1130" s="25">
        <v>1544729</v>
      </c>
      <c r="B1130" s="26" t="s">
        <v>5427</v>
      </c>
      <c r="C1130" s="26" t="s">
        <v>8352</v>
      </c>
      <c r="D1130" s="26" t="s">
        <v>8353</v>
      </c>
      <c r="E1130" s="26" t="s">
        <v>5433</v>
      </c>
      <c r="F1130" s="27">
        <v>5405967</v>
      </c>
      <c r="G1130" s="27">
        <v>1</v>
      </c>
      <c r="H1130" s="27">
        <v>1</v>
      </c>
      <c r="I1130" s="27">
        <v>1</v>
      </c>
      <c r="J1130" s="30">
        <f t="shared" si="51"/>
        <v>1</v>
      </c>
      <c r="K1130" s="30">
        <f t="shared" si="52"/>
        <v>1</v>
      </c>
      <c r="L1130" s="26">
        <f t="shared" si="53"/>
        <v>1</v>
      </c>
      <c r="M1130" s="26"/>
    </row>
    <row r="1131" spans="1:13" ht="15" customHeight="1">
      <c r="A1131" s="25">
        <v>1544896</v>
      </c>
      <c r="B1131" s="26" t="s">
        <v>5423</v>
      </c>
      <c r="C1131" s="26" t="s">
        <v>8354</v>
      </c>
      <c r="D1131" s="26" t="s">
        <v>8355</v>
      </c>
      <c r="E1131" s="26" t="s">
        <v>5455</v>
      </c>
      <c r="F1131" s="27">
        <v>3876368</v>
      </c>
      <c r="G1131" s="27">
        <v>1</v>
      </c>
      <c r="H1131" s="27">
        <v>0</v>
      </c>
      <c r="I1131" s="27">
        <v>1</v>
      </c>
      <c r="J1131" s="30">
        <f t="shared" si="51"/>
        <v>1</v>
      </c>
      <c r="K1131" s="30">
        <f t="shared" si="52"/>
        <v>0</v>
      </c>
      <c r="L1131" s="26">
        <f t="shared" si="53"/>
        <v>0</v>
      </c>
      <c r="M1131" s="26"/>
    </row>
    <row r="1132" spans="1:13" ht="15" customHeight="1">
      <c r="A1132" s="25">
        <v>1545281</v>
      </c>
      <c r="B1132" s="26" t="s">
        <v>5427</v>
      </c>
      <c r="C1132" s="26" t="s">
        <v>8356</v>
      </c>
      <c r="D1132" s="26" t="s">
        <v>8357</v>
      </c>
      <c r="E1132" s="26" t="s">
        <v>5436</v>
      </c>
      <c r="F1132" s="27">
        <v>5479191</v>
      </c>
      <c r="G1132" s="27">
        <v>0</v>
      </c>
      <c r="H1132" s="27">
        <v>0</v>
      </c>
      <c r="I1132" s="27">
        <v>0</v>
      </c>
      <c r="J1132" s="30">
        <f t="shared" si="51"/>
        <v>0</v>
      </c>
      <c r="K1132" s="30">
        <f t="shared" si="52"/>
        <v>0</v>
      </c>
      <c r="L1132" s="26">
        <f t="shared" si="53"/>
        <v>0</v>
      </c>
      <c r="M1132" s="26">
        <v>0</v>
      </c>
    </row>
    <row r="1133" spans="1:13" ht="15" customHeight="1">
      <c r="A1133" s="25">
        <v>1546426</v>
      </c>
      <c r="B1133" s="26" t="s">
        <v>5423</v>
      </c>
      <c r="C1133" s="26" t="s">
        <v>8358</v>
      </c>
      <c r="D1133" s="26" t="s">
        <v>8359</v>
      </c>
      <c r="E1133" s="26" t="s">
        <v>5514</v>
      </c>
      <c r="F1133" s="27">
        <v>5401728</v>
      </c>
      <c r="G1133" s="27">
        <v>1</v>
      </c>
      <c r="H1133" s="27">
        <v>0</v>
      </c>
      <c r="I1133" s="27">
        <v>1</v>
      </c>
      <c r="J1133" s="30">
        <f t="shared" si="51"/>
        <v>1</v>
      </c>
      <c r="K1133" s="30">
        <f t="shared" si="52"/>
        <v>0</v>
      </c>
      <c r="L1133" s="26">
        <f t="shared" si="53"/>
        <v>0</v>
      </c>
      <c r="M1133" s="26"/>
    </row>
    <row r="1134" spans="1:13" ht="15" customHeight="1">
      <c r="A1134" s="25">
        <v>1546565</v>
      </c>
      <c r="B1134" s="26" t="s">
        <v>5423</v>
      </c>
      <c r="C1134" s="26" t="s">
        <v>8360</v>
      </c>
      <c r="D1134" s="26" t="s">
        <v>8361</v>
      </c>
      <c r="E1134" s="26" t="s">
        <v>5442</v>
      </c>
      <c r="F1134" s="27">
        <v>5430460</v>
      </c>
      <c r="G1134" s="27">
        <v>1</v>
      </c>
      <c r="H1134" s="27">
        <v>0</v>
      </c>
      <c r="I1134" s="27">
        <v>1</v>
      </c>
      <c r="J1134" s="30">
        <f t="shared" si="51"/>
        <v>1</v>
      </c>
      <c r="K1134" s="30">
        <f t="shared" si="52"/>
        <v>0</v>
      </c>
      <c r="L1134" s="26">
        <f t="shared" si="53"/>
        <v>0</v>
      </c>
      <c r="M1134" s="26"/>
    </row>
    <row r="1135" spans="1:13" ht="15" customHeight="1">
      <c r="A1135" s="25">
        <v>1546820</v>
      </c>
      <c r="B1135" s="26" t="s">
        <v>5423</v>
      </c>
      <c r="C1135" s="26" t="s">
        <v>8362</v>
      </c>
      <c r="D1135" s="26" t="s">
        <v>8363</v>
      </c>
      <c r="E1135" s="26" t="s">
        <v>5968</v>
      </c>
      <c r="F1135" s="27">
        <v>5302283</v>
      </c>
      <c r="G1135" s="27">
        <v>1</v>
      </c>
      <c r="H1135" s="27">
        <v>0</v>
      </c>
      <c r="I1135" s="27">
        <v>1</v>
      </c>
      <c r="J1135" s="30">
        <f t="shared" si="51"/>
        <v>1</v>
      </c>
      <c r="K1135" s="30">
        <f t="shared" si="52"/>
        <v>0</v>
      </c>
      <c r="L1135" s="26">
        <f t="shared" si="53"/>
        <v>0</v>
      </c>
      <c r="M1135" s="26"/>
    </row>
    <row r="1136" spans="1:13" ht="15" customHeight="1">
      <c r="A1136" s="25">
        <v>1546863</v>
      </c>
      <c r="B1136" s="26" t="s">
        <v>5423</v>
      </c>
      <c r="C1136" s="26" t="s">
        <v>8364</v>
      </c>
      <c r="D1136" s="26" t="s">
        <v>8365</v>
      </c>
      <c r="E1136" s="26" t="s">
        <v>5485</v>
      </c>
      <c r="F1136" s="27">
        <v>1620412</v>
      </c>
      <c r="G1136" s="27">
        <v>1</v>
      </c>
      <c r="H1136" s="27">
        <v>0</v>
      </c>
      <c r="I1136" s="27">
        <v>1</v>
      </c>
      <c r="J1136" s="30">
        <f t="shared" si="51"/>
        <v>1</v>
      </c>
      <c r="K1136" s="30">
        <f t="shared" si="52"/>
        <v>0</v>
      </c>
      <c r="L1136" s="26">
        <f t="shared" si="53"/>
        <v>0</v>
      </c>
      <c r="M1136" s="26"/>
    </row>
    <row r="1137" spans="1:13" ht="15" customHeight="1">
      <c r="A1137" s="25">
        <v>1547147</v>
      </c>
      <c r="B1137" s="26" t="s">
        <v>5423</v>
      </c>
      <c r="C1137" s="26" t="s">
        <v>8366</v>
      </c>
      <c r="D1137" s="26" t="s">
        <v>8367</v>
      </c>
      <c r="E1137" s="26" t="s">
        <v>5436</v>
      </c>
      <c r="F1137" s="27">
        <v>5488274</v>
      </c>
      <c r="G1137" s="27">
        <v>0</v>
      </c>
      <c r="H1137" s="27">
        <v>0</v>
      </c>
      <c r="I1137" s="27">
        <v>0</v>
      </c>
      <c r="J1137" s="30">
        <f t="shared" si="51"/>
        <v>0</v>
      </c>
      <c r="K1137" s="30">
        <f t="shared" si="52"/>
        <v>0</v>
      </c>
      <c r="L1137" s="26">
        <f t="shared" si="53"/>
        <v>0</v>
      </c>
      <c r="M1137" s="26" t="s">
        <v>5557</v>
      </c>
    </row>
    <row r="1138" spans="1:13" ht="15" customHeight="1">
      <c r="A1138" s="25">
        <v>1547150</v>
      </c>
      <c r="B1138" s="26" t="s">
        <v>5423</v>
      </c>
      <c r="C1138" s="26" t="s">
        <v>8368</v>
      </c>
      <c r="D1138" s="26" t="s">
        <v>8369</v>
      </c>
      <c r="E1138" s="26" t="s">
        <v>5430</v>
      </c>
      <c r="F1138" s="27">
        <v>1971358</v>
      </c>
      <c r="G1138" s="27">
        <v>1</v>
      </c>
      <c r="H1138" s="27">
        <v>1</v>
      </c>
      <c r="I1138" s="27">
        <v>1</v>
      </c>
      <c r="J1138" s="30">
        <f t="shared" si="51"/>
        <v>1</v>
      </c>
      <c r="K1138" s="30">
        <f t="shared" si="52"/>
        <v>1</v>
      </c>
      <c r="L1138" s="26">
        <f t="shared" si="53"/>
        <v>1</v>
      </c>
      <c r="M1138" s="26"/>
    </row>
    <row r="1139" spans="1:13" ht="15" customHeight="1">
      <c r="A1139" s="25">
        <v>1547157</v>
      </c>
      <c r="B1139" s="26" t="s">
        <v>5427</v>
      </c>
      <c r="C1139" s="26" t="s">
        <v>8370</v>
      </c>
      <c r="D1139" s="26" t="s">
        <v>8371</v>
      </c>
      <c r="E1139" s="26" t="s">
        <v>5545</v>
      </c>
      <c r="F1139" s="27">
        <v>5471271</v>
      </c>
      <c r="G1139" s="27">
        <v>1</v>
      </c>
      <c r="H1139" s="27">
        <v>1</v>
      </c>
      <c r="I1139" s="27">
        <v>1</v>
      </c>
      <c r="J1139" s="30">
        <f t="shared" si="51"/>
        <v>1</v>
      </c>
      <c r="K1139" s="30">
        <f t="shared" si="52"/>
        <v>1</v>
      </c>
      <c r="L1139" s="26">
        <f t="shared" si="53"/>
        <v>1</v>
      </c>
      <c r="M1139" s="26"/>
    </row>
    <row r="1140" spans="1:13" ht="15" customHeight="1">
      <c r="A1140" s="25">
        <v>1547366</v>
      </c>
      <c r="B1140" s="26" t="s">
        <v>5423</v>
      </c>
      <c r="C1140" s="26" t="s">
        <v>8372</v>
      </c>
      <c r="D1140" s="26" t="s">
        <v>8373</v>
      </c>
      <c r="E1140" s="26" t="s">
        <v>5535</v>
      </c>
      <c r="F1140" s="27">
        <v>5412546</v>
      </c>
      <c r="G1140" s="27">
        <v>1</v>
      </c>
      <c r="H1140" s="27">
        <v>0</v>
      </c>
      <c r="I1140" s="27">
        <v>1</v>
      </c>
      <c r="J1140" s="30">
        <f t="shared" si="51"/>
        <v>1</v>
      </c>
      <c r="K1140" s="30">
        <f t="shared" si="52"/>
        <v>0</v>
      </c>
      <c r="L1140" s="26">
        <f t="shared" si="53"/>
        <v>0</v>
      </c>
      <c r="M1140" s="26"/>
    </row>
    <row r="1141" spans="1:13" ht="15" customHeight="1">
      <c r="A1141" s="25">
        <v>1547376</v>
      </c>
      <c r="B1141" s="26" t="s">
        <v>5427</v>
      </c>
      <c r="C1141" s="26" t="s">
        <v>8374</v>
      </c>
      <c r="D1141" s="26" t="s">
        <v>8375</v>
      </c>
      <c r="E1141" s="26" t="s">
        <v>5442</v>
      </c>
      <c r="F1141" s="27">
        <v>4676306</v>
      </c>
      <c r="G1141" s="27">
        <v>1</v>
      </c>
      <c r="H1141" s="27">
        <v>0</v>
      </c>
      <c r="I1141" s="27">
        <v>1</v>
      </c>
      <c r="J1141" s="30">
        <f t="shared" si="51"/>
        <v>1</v>
      </c>
      <c r="K1141" s="30">
        <f t="shared" si="52"/>
        <v>0</v>
      </c>
      <c r="L1141" s="26">
        <f t="shared" si="53"/>
        <v>0</v>
      </c>
      <c r="M1141" s="26"/>
    </row>
    <row r="1142" spans="1:13" ht="15" customHeight="1">
      <c r="A1142" s="25">
        <v>1547384</v>
      </c>
      <c r="B1142" s="26" t="s">
        <v>5423</v>
      </c>
      <c r="C1142" s="26" t="s">
        <v>8376</v>
      </c>
      <c r="D1142" s="26" t="s">
        <v>8377</v>
      </c>
      <c r="E1142" s="26" t="s">
        <v>5447</v>
      </c>
      <c r="F1142" s="27">
        <v>5436017</v>
      </c>
      <c r="G1142" s="27">
        <v>1</v>
      </c>
      <c r="H1142" s="27">
        <v>0</v>
      </c>
      <c r="I1142" s="27">
        <v>1</v>
      </c>
      <c r="J1142" s="30">
        <f t="shared" si="51"/>
        <v>1</v>
      </c>
      <c r="K1142" s="30">
        <f t="shared" si="52"/>
        <v>0</v>
      </c>
      <c r="L1142" s="26">
        <f t="shared" si="53"/>
        <v>0</v>
      </c>
      <c r="M1142" s="26"/>
    </row>
    <row r="1143" spans="1:13" ht="15" customHeight="1">
      <c r="A1143" s="25">
        <v>1547387</v>
      </c>
      <c r="B1143" s="26" t="s">
        <v>5423</v>
      </c>
      <c r="C1143" s="26" t="s">
        <v>8378</v>
      </c>
      <c r="D1143" s="26" t="s">
        <v>8379</v>
      </c>
      <c r="E1143" s="26" t="s">
        <v>5442</v>
      </c>
      <c r="F1143" s="27">
        <v>5485500</v>
      </c>
      <c r="G1143" s="27">
        <v>1</v>
      </c>
      <c r="H1143" s="27">
        <v>0</v>
      </c>
      <c r="I1143" s="27">
        <v>1</v>
      </c>
      <c r="J1143" s="30">
        <f t="shared" si="51"/>
        <v>1</v>
      </c>
      <c r="K1143" s="30">
        <f t="shared" si="52"/>
        <v>0</v>
      </c>
      <c r="L1143" s="26">
        <f t="shared" si="53"/>
        <v>0</v>
      </c>
      <c r="M1143" s="26"/>
    </row>
    <row r="1144" spans="1:13" ht="15" customHeight="1">
      <c r="A1144" s="25">
        <v>1547398</v>
      </c>
      <c r="B1144" s="26" t="s">
        <v>5423</v>
      </c>
      <c r="C1144" s="26" t="s">
        <v>8380</v>
      </c>
      <c r="D1144" s="26" t="s">
        <v>8381</v>
      </c>
      <c r="E1144" s="26" t="s">
        <v>5517</v>
      </c>
      <c r="F1144" s="27">
        <v>5421558</v>
      </c>
      <c r="G1144" s="27">
        <v>1</v>
      </c>
      <c r="H1144" s="27">
        <v>0</v>
      </c>
      <c r="I1144" s="27">
        <v>1</v>
      </c>
      <c r="J1144" s="30">
        <f t="shared" si="51"/>
        <v>1</v>
      </c>
      <c r="K1144" s="30">
        <f t="shared" si="52"/>
        <v>0</v>
      </c>
      <c r="L1144" s="26">
        <f t="shared" si="53"/>
        <v>0</v>
      </c>
      <c r="M1144" s="26"/>
    </row>
    <row r="1145" spans="1:13" ht="15" customHeight="1">
      <c r="A1145" s="25">
        <v>1547412</v>
      </c>
      <c r="B1145" s="26" t="s">
        <v>5423</v>
      </c>
      <c r="C1145" s="26" t="s">
        <v>8382</v>
      </c>
      <c r="D1145" s="26" t="s">
        <v>8383</v>
      </c>
      <c r="E1145" s="26" t="s">
        <v>5463</v>
      </c>
      <c r="F1145" s="27">
        <v>5463767</v>
      </c>
      <c r="G1145" s="27">
        <v>1</v>
      </c>
      <c r="H1145" s="27">
        <v>0</v>
      </c>
      <c r="I1145" s="27">
        <v>1</v>
      </c>
      <c r="J1145" s="30">
        <f t="shared" si="51"/>
        <v>1</v>
      </c>
      <c r="K1145" s="30">
        <f t="shared" si="52"/>
        <v>0</v>
      </c>
      <c r="L1145" s="26">
        <f t="shared" si="53"/>
        <v>0</v>
      </c>
      <c r="M1145" s="26"/>
    </row>
    <row r="1146" spans="1:13" ht="15" customHeight="1">
      <c r="A1146" s="25">
        <v>1547428</v>
      </c>
      <c r="B1146" s="26" t="s">
        <v>5423</v>
      </c>
      <c r="C1146" s="26" t="s">
        <v>8384</v>
      </c>
      <c r="D1146" s="26" t="s">
        <v>8385</v>
      </c>
      <c r="E1146" s="26" t="s">
        <v>5455</v>
      </c>
      <c r="F1146" s="27">
        <v>5485380</v>
      </c>
      <c r="G1146" s="27">
        <v>1</v>
      </c>
      <c r="H1146" s="27">
        <v>0</v>
      </c>
      <c r="I1146" s="27">
        <v>1</v>
      </c>
      <c r="J1146" s="30">
        <f t="shared" si="51"/>
        <v>1</v>
      </c>
      <c r="K1146" s="30">
        <f t="shared" si="52"/>
        <v>0</v>
      </c>
      <c r="L1146" s="26">
        <f t="shared" si="53"/>
        <v>0</v>
      </c>
      <c r="M1146" s="26"/>
    </row>
    <row r="1147" spans="1:13" ht="15" customHeight="1">
      <c r="A1147" s="25">
        <v>1548088</v>
      </c>
      <c r="B1147" s="26" t="s">
        <v>5423</v>
      </c>
      <c r="C1147" s="26" t="s">
        <v>8386</v>
      </c>
      <c r="D1147" s="26" t="s">
        <v>8387</v>
      </c>
      <c r="E1147" s="26" t="s">
        <v>5545</v>
      </c>
      <c r="F1147" s="27">
        <v>5489938</v>
      </c>
      <c r="G1147" s="27">
        <v>1</v>
      </c>
      <c r="H1147" s="27">
        <v>0</v>
      </c>
      <c r="I1147" s="27">
        <v>1</v>
      </c>
      <c r="J1147" s="30">
        <f t="shared" si="51"/>
        <v>1</v>
      </c>
      <c r="K1147" s="30">
        <f t="shared" si="52"/>
        <v>0</v>
      </c>
      <c r="L1147" s="26">
        <f t="shared" si="53"/>
        <v>0</v>
      </c>
      <c r="M1147" s="26"/>
    </row>
    <row r="1148" spans="1:13" ht="15" customHeight="1">
      <c r="A1148" s="25">
        <v>1548124</v>
      </c>
      <c r="B1148" s="26" t="s">
        <v>5423</v>
      </c>
      <c r="C1148" s="26" t="s">
        <v>8388</v>
      </c>
      <c r="D1148" s="26" t="s">
        <v>8389</v>
      </c>
      <c r="E1148" s="26" t="s">
        <v>5517</v>
      </c>
      <c r="F1148" s="27">
        <v>5467755</v>
      </c>
      <c r="G1148" s="27">
        <v>1</v>
      </c>
      <c r="H1148" s="27">
        <v>0</v>
      </c>
      <c r="I1148" s="27">
        <v>1</v>
      </c>
      <c r="J1148" s="30">
        <f t="shared" si="51"/>
        <v>1</v>
      </c>
      <c r="K1148" s="30">
        <f t="shared" si="52"/>
        <v>0</v>
      </c>
      <c r="L1148" s="26">
        <f t="shared" si="53"/>
        <v>0</v>
      </c>
      <c r="M1148" s="26"/>
    </row>
    <row r="1149" spans="1:13" ht="15" customHeight="1">
      <c r="A1149" s="25">
        <v>1548151</v>
      </c>
      <c r="B1149" s="26" t="s">
        <v>5427</v>
      </c>
      <c r="C1149" s="26" t="s">
        <v>8390</v>
      </c>
      <c r="D1149" s="26" t="s">
        <v>8391</v>
      </c>
      <c r="E1149" s="26" t="s">
        <v>8392</v>
      </c>
      <c r="F1149" s="27"/>
      <c r="G1149" s="27">
        <v>0</v>
      </c>
      <c r="H1149" s="27">
        <v>0</v>
      </c>
      <c r="I1149" s="27">
        <v>0</v>
      </c>
      <c r="J1149" s="30">
        <f t="shared" si="51"/>
        <v>0</v>
      </c>
      <c r="K1149" s="30">
        <f t="shared" si="52"/>
        <v>0</v>
      </c>
      <c r="L1149" s="26">
        <f t="shared" si="53"/>
        <v>0</v>
      </c>
      <c r="M1149" s="26" t="s">
        <v>5557</v>
      </c>
    </row>
    <row r="1150" spans="1:13" ht="15" customHeight="1">
      <c r="A1150" s="25">
        <v>1548561</v>
      </c>
      <c r="B1150" s="26" t="s">
        <v>5423</v>
      </c>
      <c r="C1150" s="26" t="s">
        <v>8393</v>
      </c>
      <c r="D1150" s="26" t="s">
        <v>8394</v>
      </c>
      <c r="E1150" s="26" t="s">
        <v>5468</v>
      </c>
      <c r="F1150" s="27">
        <v>5489963</v>
      </c>
      <c r="G1150" s="27">
        <v>0</v>
      </c>
      <c r="H1150" s="27">
        <v>1</v>
      </c>
      <c r="I1150" s="27">
        <v>1</v>
      </c>
      <c r="J1150" s="30">
        <f t="shared" si="51"/>
        <v>0</v>
      </c>
      <c r="K1150" s="30">
        <f t="shared" si="52"/>
        <v>1</v>
      </c>
      <c r="L1150" s="26">
        <f t="shared" si="53"/>
        <v>0</v>
      </c>
      <c r="M1150" s="26"/>
    </row>
    <row r="1151" spans="1:13" ht="15" customHeight="1">
      <c r="A1151" s="25">
        <v>1548565</v>
      </c>
      <c r="B1151" s="26" t="s">
        <v>5423</v>
      </c>
      <c r="C1151" s="26" t="s">
        <v>8395</v>
      </c>
      <c r="D1151" s="26" t="s">
        <v>8396</v>
      </c>
      <c r="E1151" s="26" t="s">
        <v>5436</v>
      </c>
      <c r="F1151" s="27">
        <v>5471351</v>
      </c>
      <c r="G1151" s="27">
        <v>1</v>
      </c>
      <c r="H1151" s="27">
        <v>0</v>
      </c>
      <c r="I1151" s="27">
        <v>1</v>
      </c>
      <c r="J1151" s="30">
        <f t="shared" si="51"/>
        <v>1</v>
      </c>
      <c r="K1151" s="30">
        <f t="shared" si="52"/>
        <v>0</v>
      </c>
      <c r="L1151" s="26">
        <f t="shared" si="53"/>
        <v>0</v>
      </c>
      <c r="M1151" s="26"/>
    </row>
    <row r="1152" spans="1:13" ht="15" customHeight="1">
      <c r="A1152" s="25">
        <v>1548744</v>
      </c>
      <c r="B1152" s="26" t="s">
        <v>5423</v>
      </c>
      <c r="C1152" s="26" t="s">
        <v>8397</v>
      </c>
      <c r="D1152" s="26" t="s">
        <v>8398</v>
      </c>
      <c r="E1152" s="26" t="s">
        <v>5475</v>
      </c>
      <c r="F1152" s="27"/>
      <c r="G1152" s="27">
        <v>0</v>
      </c>
      <c r="H1152" s="27">
        <v>0</v>
      </c>
      <c r="I1152" s="27">
        <v>0</v>
      </c>
      <c r="J1152" s="30">
        <f t="shared" si="51"/>
        <v>0</v>
      </c>
      <c r="K1152" s="30">
        <f t="shared" si="52"/>
        <v>0</v>
      </c>
      <c r="L1152" s="26">
        <f t="shared" si="53"/>
        <v>0</v>
      </c>
      <c r="M1152" s="26" t="s">
        <v>5557</v>
      </c>
    </row>
    <row r="1153" spans="1:13" ht="15" customHeight="1">
      <c r="A1153" s="25">
        <v>1548930</v>
      </c>
      <c r="B1153" s="26" t="s">
        <v>5423</v>
      </c>
      <c r="C1153" s="26" t="s">
        <v>8399</v>
      </c>
      <c r="D1153" s="26" t="s">
        <v>8400</v>
      </c>
      <c r="E1153" s="26" t="s">
        <v>5458</v>
      </c>
      <c r="F1153" s="27">
        <v>5492280</v>
      </c>
      <c r="G1153" s="27">
        <v>1</v>
      </c>
      <c r="H1153" s="27">
        <v>0</v>
      </c>
      <c r="I1153" s="27">
        <v>1</v>
      </c>
      <c r="J1153" s="30">
        <f t="shared" si="51"/>
        <v>1</v>
      </c>
      <c r="K1153" s="30">
        <f t="shared" si="52"/>
        <v>0</v>
      </c>
      <c r="L1153" s="26">
        <f t="shared" si="53"/>
        <v>0</v>
      </c>
      <c r="M1153" s="26"/>
    </row>
    <row r="1154" spans="1:13" ht="15" customHeight="1">
      <c r="A1154" s="25">
        <v>1549222</v>
      </c>
      <c r="B1154" s="26" t="s">
        <v>5427</v>
      </c>
      <c r="C1154" s="26" t="s">
        <v>8401</v>
      </c>
      <c r="D1154" s="26" t="s">
        <v>8402</v>
      </c>
      <c r="E1154" s="26" t="s">
        <v>8392</v>
      </c>
      <c r="F1154" s="27">
        <v>5463055</v>
      </c>
      <c r="G1154" s="27">
        <v>1</v>
      </c>
      <c r="H1154" s="27">
        <v>0</v>
      </c>
      <c r="I1154" s="27">
        <v>1</v>
      </c>
      <c r="J1154" s="30">
        <f t="shared" ref="J1154:J1217" si="54">IF(G1154&gt;0,1,0)</f>
        <v>1</v>
      </c>
      <c r="K1154" s="30">
        <f t="shared" ref="K1154:K1217" si="55">IF(H1154&gt;0,1,0)</f>
        <v>0</v>
      </c>
      <c r="L1154" s="26">
        <f t="shared" ref="L1154:L1217" si="56">IF(G1154&gt;0,IF(H1154&gt;0,1,0),0)</f>
        <v>0</v>
      </c>
      <c r="M1154" s="26"/>
    </row>
    <row r="1155" spans="1:13" ht="15" customHeight="1">
      <c r="A1155" s="25">
        <v>1549254</v>
      </c>
      <c r="B1155" s="26" t="s">
        <v>5423</v>
      </c>
      <c r="C1155" s="26" t="s">
        <v>8403</v>
      </c>
      <c r="D1155" s="26" t="s">
        <v>8404</v>
      </c>
      <c r="E1155" s="26" t="s">
        <v>5468</v>
      </c>
      <c r="F1155" s="27">
        <v>5492194</v>
      </c>
      <c r="G1155" s="27">
        <v>1</v>
      </c>
      <c r="H1155" s="27">
        <v>1</v>
      </c>
      <c r="I1155" s="27">
        <v>1</v>
      </c>
      <c r="J1155" s="30">
        <f t="shared" si="54"/>
        <v>1</v>
      </c>
      <c r="K1155" s="30">
        <f t="shared" si="55"/>
        <v>1</v>
      </c>
      <c r="L1155" s="26">
        <f t="shared" si="56"/>
        <v>1</v>
      </c>
      <c r="M1155" s="26"/>
    </row>
    <row r="1156" spans="1:13" ht="15" customHeight="1">
      <c r="A1156" s="25">
        <v>1549443</v>
      </c>
      <c r="B1156" s="26" t="s">
        <v>5427</v>
      </c>
      <c r="C1156" s="26" t="s">
        <v>8405</v>
      </c>
      <c r="D1156" s="26" t="s">
        <v>8406</v>
      </c>
      <c r="E1156" s="26" t="s">
        <v>5455</v>
      </c>
      <c r="F1156" s="27">
        <v>5492772</v>
      </c>
      <c r="G1156" s="27">
        <v>0</v>
      </c>
      <c r="H1156" s="27">
        <v>0</v>
      </c>
      <c r="I1156" s="27">
        <v>0</v>
      </c>
      <c r="J1156" s="30">
        <f t="shared" si="54"/>
        <v>0</v>
      </c>
      <c r="K1156" s="30">
        <f t="shared" si="55"/>
        <v>0</v>
      </c>
      <c r="L1156" s="26">
        <f t="shared" si="56"/>
        <v>0</v>
      </c>
      <c r="M1156" s="26">
        <v>0</v>
      </c>
    </row>
    <row r="1157" spans="1:13" ht="15" customHeight="1">
      <c r="A1157" s="25">
        <v>1549571</v>
      </c>
      <c r="B1157" s="26" t="s">
        <v>5423</v>
      </c>
      <c r="C1157" s="26" t="s">
        <v>8407</v>
      </c>
      <c r="D1157" s="26" t="s">
        <v>8408</v>
      </c>
      <c r="E1157" s="26" t="s">
        <v>5455</v>
      </c>
      <c r="F1157" s="27">
        <v>5296011</v>
      </c>
      <c r="G1157" s="27">
        <v>1</v>
      </c>
      <c r="H1157" s="27">
        <v>1</v>
      </c>
      <c r="I1157" s="27">
        <v>1</v>
      </c>
      <c r="J1157" s="30">
        <f t="shared" si="54"/>
        <v>1</v>
      </c>
      <c r="K1157" s="30">
        <f t="shared" si="55"/>
        <v>1</v>
      </c>
      <c r="L1157" s="26">
        <f t="shared" si="56"/>
        <v>1</v>
      </c>
      <c r="M1157" s="26" t="s">
        <v>7910</v>
      </c>
    </row>
    <row r="1158" spans="1:13" ht="15" customHeight="1">
      <c r="A1158" s="25">
        <v>1549614</v>
      </c>
      <c r="B1158" s="26" t="s">
        <v>5423</v>
      </c>
      <c r="C1158" s="26" t="s">
        <v>8409</v>
      </c>
      <c r="D1158" s="26" t="s">
        <v>8410</v>
      </c>
      <c r="E1158" s="26" t="s">
        <v>5488</v>
      </c>
      <c r="F1158" s="27">
        <v>5265115</v>
      </c>
      <c r="G1158" s="27">
        <v>1</v>
      </c>
      <c r="H1158" s="27">
        <v>1</v>
      </c>
      <c r="I1158" s="27">
        <v>1</v>
      </c>
      <c r="J1158" s="30">
        <f t="shared" si="54"/>
        <v>1</v>
      </c>
      <c r="K1158" s="30">
        <f t="shared" si="55"/>
        <v>1</v>
      </c>
      <c r="L1158" s="26">
        <f t="shared" si="56"/>
        <v>1</v>
      </c>
      <c r="M1158" s="26" t="s">
        <v>7910</v>
      </c>
    </row>
    <row r="1159" spans="1:13" ht="15" customHeight="1">
      <c r="A1159" s="25">
        <v>1549675</v>
      </c>
      <c r="B1159" s="26" t="s">
        <v>5427</v>
      </c>
      <c r="C1159" s="26" t="s">
        <v>8411</v>
      </c>
      <c r="D1159" s="26" t="s">
        <v>8412</v>
      </c>
      <c r="E1159" s="26" t="s">
        <v>5532</v>
      </c>
      <c r="F1159" s="27">
        <v>5495589</v>
      </c>
      <c r="G1159" s="27">
        <v>0</v>
      </c>
      <c r="H1159" s="27">
        <v>0</v>
      </c>
      <c r="I1159" s="27">
        <v>0</v>
      </c>
      <c r="J1159" s="30">
        <f t="shared" si="54"/>
        <v>0</v>
      </c>
      <c r="K1159" s="30">
        <f t="shared" si="55"/>
        <v>0</v>
      </c>
      <c r="L1159" s="26">
        <f t="shared" si="56"/>
        <v>0</v>
      </c>
      <c r="M1159" s="26">
        <v>0</v>
      </c>
    </row>
    <row r="1160" spans="1:13" ht="15" customHeight="1">
      <c r="A1160" s="25">
        <v>1550212</v>
      </c>
      <c r="B1160" s="26" t="s">
        <v>5423</v>
      </c>
      <c r="C1160" s="26" t="s">
        <v>8413</v>
      </c>
      <c r="D1160" s="26" t="s">
        <v>8414</v>
      </c>
      <c r="E1160" s="26" t="s">
        <v>5433</v>
      </c>
      <c r="F1160" s="27"/>
      <c r="G1160" s="27">
        <v>0</v>
      </c>
      <c r="H1160" s="27">
        <v>0</v>
      </c>
      <c r="I1160" s="27">
        <v>0</v>
      </c>
      <c r="J1160" s="30">
        <f t="shared" si="54"/>
        <v>0</v>
      </c>
      <c r="K1160" s="30">
        <f t="shared" si="55"/>
        <v>0</v>
      </c>
      <c r="L1160" s="26">
        <f t="shared" si="56"/>
        <v>0</v>
      </c>
      <c r="M1160" s="26">
        <v>0</v>
      </c>
    </row>
    <row r="1161" spans="1:13" ht="15" customHeight="1">
      <c r="A1161" s="25">
        <v>1550475</v>
      </c>
      <c r="B1161" s="26" t="s">
        <v>5423</v>
      </c>
      <c r="C1161" s="26" t="s">
        <v>8415</v>
      </c>
      <c r="D1161" s="26" t="s">
        <v>8416</v>
      </c>
      <c r="E1161" s="26" t="s">
        <v>5488</v>
      </c>
      <c r="F1161" s="27">
        <v>5394076</v>
      </c>
      <c r="G1161" s="27">
        <v>1</v>
      </c>
      <c r="H1161" s="27">
        <v>0</v>
      </c>
      <c r="I1161" s="27">
        <v>1</v>
      </c>
      <c r="J1161" s="30">
        <f t="shared" si="54"/>
        <v>1</v>
      </c>
      <c r="K1161" s="30">
        <f t="shared" si="55"/>
        <v>0</v>
      </c>
      <c r="L1161" s="26">
        <f t="shared" si="56"/>
        <v>0</v>
      </c>
      <c r="M1161" s="26"/>
    </row>
    <row r="1162" spans="1:13" ht="15" customHeight="1">
      <c r="A1162" s="25">
        <v>1550800</v>
      </c>
      <c r="B1162" s="26" t="s">
        <v>5423</v>
      </c>
      <c r="C1162" s="26" t="s">
        <v>8417</v>
      </c>
      <c r="D1162" s="26" t="s">
        <v>8418</v>
      </c>
      <c r="E1162" s="26" t="s">
        <v>5532</v>
      </c>
      <c r="F1162" s="27">
        <v>5498791</v>
      </c>
      <c r="G1162" s="27">
        <v>0</v>
      </c>
      <c r="H1162" s="27">
        <v>0</v>
      </c>
      <c r="I1162" s="27">
        <v>0</v>
      </c>
      <c r="J1162" s="30">
        <f t="shared" si="54"/>
        <v>0</v>
      </c>
      <c r="K1162" s="30">
        <f t="shared" si="55"/>
        <v>0</v>
      </c>
      <c r="L1162" s="26">
        <f t="shared" si="56"/>
        <v>0</v>
      </c>
      <c r="M1162" s="26">
        <v>0</v>
      </c>
    </row>
    <row r="1163" spans="1:13" ht="15" customHeight="1">
      <c r="A1163" s="25">
        <v>1550953</v>
      </c>
      <c r="B1163" s="26" t="s">
        <v>5423</v>
      </c>
      <c r="C1163" s="26" t="s">
        <v>8419</v>
      </c>
      <c r="D1163" s="26" t="s">
        <v>8420</v>
      </c>
      <c r="E1163" s="26" t="s">
        <v>5535</v>
      </c>
      <c r="F1163" s="27">
        <v>5464516</v>
      </c>
      <c r="G1163" s="27">
        <v>1</v>
      </c>
      <c r="H1163" s="27">
        <v>0</v>
      </c>
      <c r="I1163" s="27">
        <v>1</v>
      </c>
      <c r="J1163" s="30">
        <f t="shared" si="54"/>
        <v>1</v>
      </c>
      <c r="K1163" s="30">
        <f t="shared" si="55"/>
        <v>0</v>
      </c>
      <c r="L1163" s="26">
        <f t="shared" si="56"/>
        <v>0</v>
      </c>
      <c r="M1163" s="26"/>
    </row>
    <row r="1164" spans="1:13" ht="15" customHeight="1">
      <c r="A1164" s="25">
        <v>1550992</v>
      </c>
      <c r="B1164" s="26" t="s">
        <v>5423</v>
      </c>
      <c r="C1164" s="26" t="s">
        <v>8421</v>
      </c>
      <c r="D1164" s="26" t="s">
        <v>8422</v>
      </c>
      <c r="E1164" s="26" t="s">
        <v>5514</v>
      </c>
      <c r="F1164" s="27">
        <v>5503975</v>
      </c>
      <c r="G1164" s="27">
        <v>0</v>
      </c>
      <c r="H1164" s="27">
        <v>0</v>
      </c>
      <c r="I1164" s="27">
        <v>0</v>
      </c>
      <c r="J1164" s="30">
        <f t="shared" si="54"/>
        <v>0</v>
      </c>
      <c r="K1164" s="30">
        <f t="shared" si="55"/>
        <v>0</v>
      </c>
      <c r="L1164" s="26">
        <f t="shared" si="56"/>
        <v>0</v>
      </c>
      <c r="M1164" s="26">
        <v>0</v>
      </c>
    </row>
    <row r="1165" spans="1:13" ht="15" customHeight="1">
      <c r="A1165" s="25">
        <v>1551002</v>
      </c>
      <c r="B1165" s="26" t="s">
        <v>5427</v>
      </c>
      <c r="C1165" s="26" t="s">
        <v>8423</v>
      </c>
      <c r="D1165" s="26" t="s">
        <v>8424</v>
      </c>
      <c r="E1165" s="26" t="s">
        <v>5707</v>
      </c>
      <c r="F1165" s="27">
        <v>5474503</v>
      </c>
      <c r="G1165" s="27">
        <v>1</v>
      </c>
      <c r="H1165" s="27">
        <v>1</v>
      </c>
      <c r="I1165" s="27">
        <v>1</v>
      </c>
      <c r="J1165" s="30">
        <f t="shared" si="54"/>
        <v>1</v>
      </c>
      <c r="K1165" s="30">
        <f t="shared" si="55"/>
        <v>1</v>
      </c>
      <c r="L1165" s="26">
        <f t="shared" si="56"/>
        <v>1</v>
      </c>
      <c r="M1165" s="26" t="s">
        <v>8169</v>
      </c>
    </row>
    <row r="1166" spans="1:13" ht="15" customHeight="1">
      <c r="A1166" s="25">
        <v>1551028</v>
      </c>
      <c r="B1166" s="26" t="s">
        <v>5423</v>
      </c>
      <c r="C1166" s="26" t="s">
        <v>8425</v>
      </c>
      <c r="D1166" s="26" t="s">
        <v>8426</v>
      </c>
      <c r="E1166" s="26" t="s">
        <v>5436</v>
      </c>
      <c r="F1166" s="27">
        <v>5499579</v>
      </c>
      <c r="G1166" s="27">
        <v>1</v>
      </c>
      <c r="H1166" s="27">
        <v>0</v>
      </c>
      <c r="I1166" s="27">
        <v>1</v>
      </c>
      <c r="J1166" s="30">
        <f t="shared" si="54"/>
        <v>1</v>
      </c>
      <c r="K1166" s="30">
        <f t="shared" si="55"/>
        <v>0</v>
      </c>
      <c r="L1166" s="26">
        <f t="shared" si="56"/>
        <v>0</v>
      </c>
      <c r="M1166" s="26"/>
    </row>
    <row r="1167" spans="1:13" ht="15" customHeight="1">
      <c r="A1167" s="25">
        <v>1551031</v>
      </c>
      <c r="B1167" s="26" t="s">
        <v>5423</v>
      </c>
      <c r="C1167" s="26" t="s">
        <v>8427</v>
      </c>
      <c r="D1167" s="26" t="s">
        <v>8428</v>
      </c>
      <c r="E1167" s="26" t="s">
        <v>5535</v>
      </c>
      <c r="F1167" s="27">
        <v>5500185</v>
      </c>
      <c r="G1167" s="27">
        <v>0</v>
      </c>
      <c r="H1167" s="27">
        <v>0</v>
      </c>
      <c r="I1167" s="27">
        <v>0</v>
      </c>
      <c r="J1167" s="30">
        <f t="shared" si="54"/>
        <v>0</v>
      </c>
      <c r="K1167" s="30">
        <f t="shared" si="55"/>
        <v>0</v>
      </c>
      <c r="L1167" s="26">
        <f t="shared" si="56"/>
        <v>0</v>
      </c>
      <c r="M1167" s="26">
        <v>0</v>
      </c>
    </row>
    <row r="1168" spans="1:13" ht="15" customHeight="1">
      <c r="A1168" s="25">
        <v>1551808</v>
      </c>
      <c r="B1168" s="26" t="s">
        <v>5423</v>
      </c>
      <c r="C1168" s="26" t="s">
        <v>8429</v>
      </c>
      <c r="D1168" s="26" t="s">
        <v>8430</v>
      </c>
      <c r="E1168" s="26" t="s">
        <v>5447</v>
      </c>
      <c r="F1168" s="27">
        <v>5468004</v>
      </c>
      <c r="G1168" s="27">
        <v>1</v>
      </c>
      <c r="H1168" s="27">
        <v>0</v>
      </c>
      <c r="I1168" s="27">
        <v>1</v>
      </c>
      <c r="J1168" s="30">
        <f t="shared" si="54"/>
        <v>1</v>
      </c>
      <c r="K1168" s="30">
        <f t="shared" si="55"/>
        <v>0</v>
      </c>
      <c r="L1168" s="26">
        <f t="shared" si="56"/>
        <v>0</v>
      </c>
      <c r="M1168" s="26"/>
    </row>
    <row r="1169" spans="1:13" ht="15" customHeight="1">
      <c r="A1169" s="25">
        <v>1551997</v>
      </c>
      <c r="B1169" s="26" t="s">
        <v>5423</v>
      </c>
      <c r="C1169" s="26" t="s">
        <v>8431</v>
      </c>
      <c r="D1169" s="26" t="s">
        <v>8432</v>
      </c>
      <c r="E1169" s="26" t="s">
        <v>5522</v>
      </c>
      <c r="F1169" s="27">
        <v>5505232</v>
      </c>
      <c r="G1169" s="27">
        <v>1</v>
      </c>
      <c r="H1169" s="27">
        <v>1</v>
      </c>
      <c r="I1169" s="27">
        <v>1</v>
      </c>
      <c r="J1169" s="30">
        <f t="shared" si="54"/>
        <v>1</v>
      </c>
      <c r="K1169" s="30">
        <f t="shared" si="55"/>
        <v>1</v>
      </c>
      <c r="L1169" s="26">
        <f t="shared" si="56"/>
        <v>1</v>
      </c>
      <c r="M1169" s="26"/>
    </row>
    <row r="1170" spans="1:13" ht="15" customHeight="1">
      <c r="A1170" s="25">
        <v>1552056</v>
      </c>
      <c r="B1170" s="26" t="s">
        <v>5427</v>
      </c>
      <c r="C1170" s="26" t="s">
        <v>8433</v>
      </c>
      <c r="D1170" s="26" t="s">
        <v>8434</v>
      </c>
      <c r="E1170" s="26" t="s">
        <v>5458</v>
      </c>
      <c r="F1170" s="27">
        <v>2747750</v>
      </c>
      <c r="G1170" s="27">
        <v>1</v>
      </c>
      <c r="H1170" s="27">
        <v>1</v>
      </c>
      <c r="I1170" s="27">
        <v>1</v>
      </c>
      <c r="J1170" s="30">
        <f t="shared" si="54"/>
        <v>1</v>
      </c>
      <c r="K1170" s="30">
        <f t="shared" si="55"/>
        <v>1</v>
      </c>
      <c r="L1170" s="26">
        <f t="shared" si="56"/>
        <v>1</v>
      </c>
      <c r="M1170" s="26"/>
    </row>
    <row r="1171" spans="1:13" ht="15" customHeight="1">
      <c r="A1171" s="25">
        <v>1552164</v>
      </c>
      <c r="B1171" s="26" t="s">
        <v>5423</v>
      </c>
      <c r="C1171" s="26" t="s">
        <v>8435</v>
      </c>
      <c r="D1171" s="26" t="s">
        <v>8436</v>
      </c>
      <c r="E1171" s="26" t="s">
        <v>5468</v>
      </c>
      <c r="F1171" s="27">
        <v>5502558</v>
      </c>
      <c r="G1171" s="27">
        <v>0</v>
      </c>
      <c r="H1171" s="27">
        <v>0</v>
      </c>
      <c r="I1171" s="27">
        <v>0</v>
      </c>
      <c r="J1171" s="30">
        <f t="shared" si="54"/>
        <v>0</v>
      </c>
      <c r="K1171" s="30">
        <f t="shared" si="55"/>
        <v>0</v>
      </c>
      <c r="L1171" s="26">
        <f t="shared" si="56"/>
        <v>0</v>
      </c>
      <c r="M1171" s="26">
        <v>0</v>
      </c>
    </row>
    <row r="1172" spans="1:13" ht="15" customHeight="1">
      <c r="A1172" s="25">
        <v>1552222</v>
      </c>
      <c r="B1172" s="26" t="s">
        <v>5423</v>
      </c>
      <c r="C1172" s="26" t="s">
        <v>8437</v>
      </c>
      <c r="D1172" s="26" t="s">
        <v>8438</v>
      </c>
      <c r="E1172" s="26" t="s">
        <v>5485</v>
      </c>
      <c r="F1172" s="27">
        <v>5504965</v>
      </c>
      <c r="G1172" s="27">
        <v>1</v>
      </c>
      <c r="H1172" s="27">
        <v>1</v>
      </c>
      <c r="I1172" s="27">
        <v>1</v>
      </c>
      <c r="J1172" s="30">
        <f t="shared" si="54"/>
        <v>1</v>
      </c>
      <c r="K1172" s="30">
        <f t="shared" si="55"/>
        <v>1</v>
      </c>
      <c r="L1172" s="26">
        <f t="shared" si="56"/>
        <v>1</v>
      </c>
      <c r="M1172" s="26"/>
    </row>
    <row r="1173" spans="1:13" ht="15" customHeight="1">
      <c r="A1173" s="25">
        <v>1552252</v>
      </c>
      <c r="B1173" s="26" t="s">
        <v>5423</v>
      </c>
      <c r="C1173" s="26" t="s">
        <v>8439</v>
      </c>
      <c r="D1173" s="26" t="s">
        <v>8440</v>
      </c>
      <c r="E1173" s="26" t="s">
        <v>5504</v>
      </c>
      <c r="F1173" s="27">
        <v>5482622</v>
      </c>
      <c r="G1173" s="27">
        <v>1</v>
      </c>
      <c r="H1173" s="27">
        <v>0</v>
      </c>
      <c r="I1173" s="27">
        <v>1</v>
      </c>
      <c r="J1173" s="30">
        <f t="shared" si="54"/>
        <v>1</v>
      </c>
      <c r="K1173" s="30">
        <f t="shared" si="55"/>
        <v>0</v>
      </c>
      <c r="L1173" s="26">
        <f t="shared" si="56"/>
        <v>0</v>
      </c>
      <c r="M1173" s="26"/>
    </row>
    <row r="1174" spans="1:13" ht="15" customHeight="1">
      <c r="A1174" s="25">
        <v>1552907</v>
      </c>
      <c r="B1174" s="26" t="s">
        <v>5423</v>
      </c>
      <c r="C1174" s="26" t="s">
        <v>8441</v>
      </c>
      <c r="D1174" s="26" t="s">
        <v>8442</v>
      </c>
      <c r="E1174" s="26" t="s">
        <v>5504</v>
      </c>
      <c r="F1174" s="27">
        <v>5505630</v>
      </c>
      <c r="G1174" s="27">
        <v>0</v>
      </c>
      <c r="H1174" s="27">
        <v>1</v>
      </c>
      <c r="I1174" s="27">
        <v>1</v>
      </c>
      <c r="J1174" s="30">
        <f t="shared" si="54"/>
        <v>0</v>
      </c>
      <c r="K1174" s="30">
        <f t="shared" si="55"/>
        <v>1</v>
      </c>
      <c r="L1174" s="26">
        <f t="shared" si="56"/>
        <v>0</v>
      </c>
      <c r="M1174" s="26"/>
    </row>
    <row r="1175" spans="1:13" ht="15" customHeight="1">
      <c r="A1175" s="25">
        <v>1553064</v>
      </c>
      <c r="B1175" s="26" t="s">
        <v>5423</v>
      </c>
      <c r="C1175" s="26" t="s">
        <v>8443</v>
      </c>
      <c r="D1175" s="26" t="s">
        <v>8444</v>
      </c>
      <c r="E1175" s="26" t="s">
        <v>5442</v>
      </c>
      <c r="F1175" s="27">
        <v>5166740</v>
      </c>
      <c r="G1175" s="27">
        <v>1</v>
      </c>
      <c r="H1175" s="27">
        <v>1</v>
      </c>
      <c r="I1175" s="27">
        <v>1</v>
      </c>
      <c r="J1175" s="30">
        <f t="shared" si="54"/>
        <v>1</v>
      </c>
      <c r="K1175" s="30">
        <f t="shared" si="55"/>
        <v>1</v>
      </c>
      <c r="L1175" s="26">
        <f t="shared" si="56"/>
        <v>1</v>
      </c>
      <c r="M1175" s="26"/>
    </row>
    <row r="1176" spans="1:13" ht="15" customHeight="1">
      <c r="A1176" s="25">
        <v>1553070</v>
      </c>
      <c r="B1176" s="26" t="s">
        <v>5427</v>
      </c>
      <c r="C1176" s="26" t="s">
        <v>8445</v>
      </c>
      <c r="D1176" s="26" t="s">
        <v>8446</v>
      </c>
      <c r="E1176" s="26" t="s">
        <v>5439</v>
      </c>
      <c r="F1176" s="27">
        <v>5508616</v>
      </c>
      <c r="G1176" s="27">
        <v>0</v>
      </c>
      <c r="H1176" s="27">
        <v>1</v>
      </c>
      <c r="I1176" s="27">
        <v>1</v>
      </c>
      <c r="J1176" s="30">
        <f t="shared" si="54"/>
        <v>0</v>
      </c>
      <c r="K1176" s="30">
        <f t="shared" si="55"/>
        <v>1</v>
      </c>
      <c r="L1176" s="26">
        <f t="shared" si="56"/>
        <v>0</v>
      </c>
      <c r="M1176" s="26"/>
    </row>
    <row r="1177" spans="1:13" ht="15" customHeight="1">
      <c r="A1177" s="25">
        <v>1553296</v>
      </c>
      <c r="B1177" s="26" t="s">
        <v>5427</v>
      </c>
      <c r="C1177" s="26" t="s">
        <v>8447</v>
      </c>
      <c r="D1177" s="26" t="s">
        <v>8448</v>
      </c>
      <c r="E1177" s="26" t="s">
        <v>5507</v>
      </c>
      <c r="F1177" s="27">
        <v>5507691</v>
      </c>
      <c r="G1177" s="27">
        <v>1</v>
      </c>
      <c r="H1177" s="27">
        <v>0</v>
      </c>
      <c r="I1177" s="27">
        <v>1</v>
      </c>
      <c r="J1177" s="30">
        <f t="shared" si="54"/>
        <v>1</v>
      </c>
      <c r="K1177" s="30">
        <f t="shared" si="55"/>
        <v>0</v>
      </c>
      <c r="L1177" s="26">
        <f t="shared" si="56"/>
        <v>0</v>
      </c>
      <c r="M1177" s="26" t="s">
        <v>8209</v>
      </c>
    </row>
    <row r="1178" spans="1:13" ht="15" customHeight="1">
      <c r="A1178" s="25">
        <v>1553311</v>
      </c>
      <c r="B1178" s="26" t="s">
        <v>5427</v>
      </c>
      <c r="C1178" s="26" t="s">
        <v>8449</v>
      </c>
      <c r="D1178" s="26" t="s">
        <v>8450</v>
      </c>
      <c r="E1178" s="26" t="s">
        <v>5550</v>
      </c>
      <c r="F1178" s="27">
        <v>5506973</v>
      </c>
      <c r="G1178" s="27">
        <v>0</v>
      </c>
      <c r="H1178" s="27">
        <v>0</v>
      </c>
      <c r="I1178" s="27">
        <v>0</v>
      </c>
      <c r="J1178" s="30">
        <f t="shared" si="54"/>
        <v>0</v>
      </c>
      <c r="K1178" s="30">
        <f t="shared" si="55"/>
        <v>0</v>
      </c>
      <c r="L1178" s="26">
        <f t="shared" si="56"/>
        <v>0</v>
      </c>
      <c r="M1178" s="26">
        <v>0</v>
      </c>
    </row>
    <row r="1179" spans="1:13" ht="15" customHeight="1">
      <c r="A1179" s="25">
        <v>1553336</v>
      </c>
      <c r="B1179" s="26" t="s">
        <v>5427</v>
      </c>
      <c r="C1179" s="26" t="s">
        <v>8451</v>
      </c>
      <c r="D1179" s="26" t="s">
        <v>8452</v>
      </c>
      <c r="E1179" s="26" t="s">
        <v>5514</v>
      </c>
      <c r="F1179" s="27">
        <v>5502152</v>
      </c>
      <c r="G1179" s="27">
        <v>1</v>
      </c>
      <c r="H1179" s="27">
        <v>1</v>
      </c>
      <c r="I1179" s="27">
        <v>1</v>
      </c>
      <c r="J1179" s="30">
        <f t="shared" si="54"/>
        <v>1</v>
      </c>
      <c r="K1179" s="30">
        <f t="shared" si="55"/>
        <v>1</v>
      </c>
      <c r="L1179" s="26">
        <f t="shared" si="56"/>
        <v>1</v>
      </c>
      <c r="M1179" s="26"/>
    </row>
    <row r="1180" spans="1:13" ht="15" customHeight="1">
      <c r="A1180" s="25">
        <v>1553346</v>
      </c>
      <c r="B1180" s="26" t="s">
        <v>5423</v>
      </c>
      <c r="C1180" s="26" t="s">
        <v>8453</v>
      </c>
      <c r="D1180" s="26" t="s">
        <v>8454</v>
      </c>
      <c r="E1180" s="26" t="s">
        <v>5501</v>
      </c>
      <c r="F1180" s="27"/>
      <c r="G1180" s="27">
        <v>0</v>
      </c>
      <c r="H1180" s="27">
        <v>0</v>
      </c>
      <c r="I1180" s="27">
        <v>0</v>
      </c>
      <c r="J1180" s="30">
        <f t="shared" si="54"/>
        <v>0</v>
      </c>
      <c r="K1180" s="30">
        <f t="shared" si="55"/>
        <v>0</v>
      </c>
      <c r="L1180" s="26">
        <f t="shared" si="56"/>
        <v>0</v>
      </c>
      <c r="M1180" s="26" t="s">
        <v>5557</v>
      </c>
    </row>
    <row r="1181" spans="1:13" ht="15" customHeight="1">
      <c r="A1181" s="25">
        <v>1553351</v>
      </c>
      <c r="B1181" s="26" t="s">
        <v>5427</v>
      </c>
      <c r="C1181" s="26" t="s">
        <v>8455</v>
      </c>
      <c r="D1181" s="26" t="s">
        <v>8456</v>
      </c>
      <c r="E1181" s="26" t="s">
        <v>5718</v>
      </c>
      <c r="F1181" s="27">
        <v>5506229</v>
      </c>
      <c r="G1181" s="27">
        <v>0</v>
      </c>
      <c r="H1181" s="27">
        <v>0</v>
      </c>
      <c r="I1181" s="27">
        <v>0</v>
      </c>
      <c r="J1181" s="30">
        <f t="shared" si="54"/>
        <v>0</v>
      </c>
      <c r="K1181" s="30">
        <f t="shared" si="55"/>
        <v>0</v>
      </c>
      <c r="L1181" s="26">
        <f t="shared" si="56"/>
        <v>0</v>
      </c>
      <c r="M1181" s="26">
        <v>0</v>
      </c>
    </row>
    <row r="1182" spans="1:13" ht="15" customHeight="1">
      <c r="A1182" s="25">
        <v>1553380</v>
      </c>
      <c r="B1182" s="26" t="s">
        <v>5423</v>
      </c>
      <c r="C1182" s="26" t="s">
        <v>8457</v>
      </c>
      <c r="D1182" s="26" t="s">
        <v>8458</v>
      </c>
      <c r="E1182" s="26" t="s">
        <v>5480</v>
      </c>
      <c r="F1182" s="27">
        <v>5476061</v>
      </c>
      <c r="G1182" s="27">
        <v>1</v>
      </c>
      <c r="H1182" s="27">
        <v>0</v>
      </c>
      <c r="I1182" s="27">
        <v>1</v>
      </c>
      <c r="J1182" s="30">
        <f t="shared" si="54"/>
        <v>1</v>
      </c>
      <c r="K1182" s="30">
        <f t="shared" si="55"/>
        <v>0</v>
      </c>
      <c r="L1182" s="26">
        <f t="shared" si="56"/>
        <v>0</v>
      </c>
      <c r="M1182" s="26"/>
    </row>
    <row r="1183" spans="1:13" ht="15" customHeight="1">
      <c r="A1183" s="25">
        <v>1553760</v>
      </c>
      <c r="B1183" s="26" t="s">
        <v>5423</v>
      </c>
      <c r="C1183" s="26" t="s">
        <v>8459</v>
      </c>
      <c r="D1183" s="26" t="s">
        <v>8460</v>
      </c>
      <c r="E1183" s="26" t="s">
        <v>5458</v>
      </c>
      <c r="F1183" s="27">
        <v>5495162</v>
      </c>
      <c r="G1183" s="27">
        <v>1</v>
      </c>
      <c r="H1183" s="27">
        <v>1</v>
      </c>
      <c r="I1183" s="27">
        <v>1</v>
      </c>
      <c r="J1183" s="30">
        <f t="shared" si="54"/>
        <v>1</v>
      </c>
      <c r="K1183" s="30">
        <f t="shared" si="55"/>
        <v>1</v>
      </c>
      <c r="L1183" s="26">
        <f t="shared" si="56"/>
        <v>1</v>
      </c>
      <c r="M1183" s="26" t="s">
        <v>8461</v>
      </c>
    </row>
    <row r="1184" spans="1:13" ht="15" customHeight="1">
      <c r="A1184" s="25">
        <v>1554027</v>
      </c>
      <c r="B1184" s="26" t="s">
        <v>5423</v>
      </c>
      <c r="C1184" s="26" t="s">
        <v>8462</v>
      </c>
      <c r="D1184" s="26" t="s">
        <v>8463</v>
      </c>
      <c r="E1184" s="26" t="s">
        <v>5491</v>
      </c>
      <c r="F1184" s="27"/>
      <c r="G1184" s="27">
        <v>0</v>
      </c>
      <c r="H1184" s="27">
        <v>0</v>
      </c>
      <c r="I1184" s="27">
        <v>0</v>
      </c>
      <c r="J1184" s="30">
        <f t="shared" si="54"/>
        <v>0</v>
      </c>
      <c r="K1184" s="30">
        <f t="shared" si="55"/>
        <v>0</v>
      </c>
      <c r="L1184" s="26">
        <f t="shared" si="56"/>
        <v>0</v>
      </c>
      <c r="M1184" s="26">
        <v>0</v>
      </c>
    </row>
    <row r="1185" spans="1:13" ht="15" customHeight="1">
      <c r="A1185" s="25">
        <v>1554096</v>
      </c>
      <c r="B1185" s="26" t="s">
        <v>5423</v>
      </c>
      <c r="C1185" s="26" t="s">
        <v>8464</v>
      </c>
      <c r="D1185" s="26" t="s">
        <v>8465</v>
      </c>
      <c r="E1185" s="26" t="s">
        <v>5540</v>
      </c>
      <c r="F1185" s="27">
        <v>2367041</v>
      </c>
      <c r="G1185" s="27">
        <v>1</v>
      </c>
      <c r="H1185" s="27">
        <v>1</v>
      </c>
      <c r="I1185" s="27">
        <v>1</v>
      </c>
      <c r="J1185" s="30">
        <f t="shared" si="54"/>
        <v>1</v>
      </c>
      <c r="K1185" s="30">
        <f t="shared" si="55"/>
        <v>1</v>
      </c>
      <c r="L1185" s="26">
        <f t="shared" si="56"/>
        <v>1</v>
      </c>
      <c r="M1185" s="26"/>
    </row>
    <row r="1186" spans="1:13" ht="15" customHeight="1">
      <c r="A1186" s="25">
        <v>1554184</v>
      </c>
      <c r="B1186" s="26" t="s">
        <v>5423</v>
      </c>
      <c r="C1186" s="26" t="s">
        <v>8466</v>
      </c>
      <c r="D1186" s="26" t="s">
        <v>8467</v>
      </c>
      <c r="E1186" s="26" t="s">
        <v>5442</v>
      </c>
      <c r="F1186" s="27">
        <v>5197511</v>
      </c>
      <c r="G1186" s="27">
        <v>1</v>
      </c>
      <c r="H1186" s="27">
        <v>0</v>
      </c>
      <c r="I1186" s="27">
        <v>1</v>
      </c>
      <c r="J1186" s="30">
        <f t="shared" si="54"/>
        <v>1</v>
      </c>
      <c r="K1186" s="30">
        <f t="shared" si="55"/>
        <v>0</v>
      </c>
      <c r="L1186" s="26">
        <f t="shared" si="56"/>
        <v>0</v>
      </c>
      <c r="M1186" s="26"/>
    </row>
    <row r="1187" spans="1:13" ht="15" customHeight="1">
      <c r="A1187" s="25">
        <v>1554234</v>
      </c>
      <c r="B1187" s="26" t="s">
        <v>5423</v>
      </c>
      <c r="C1187" s="26" t="s">
        <v>8468</v>
      </c>
      <c r="D1187" s="26" t="s">
        <v>8469</v>
      </c>
      <c r="E1187" s="26" t="s">
        <v>5522</v>
      </c>
      <c r="F1187" s="27">
        <v>5423979</v>
      </c>
      <c r="G1187" s="27">
        <v>1</v>
      </c>
      <c r="H1187" s="27">
        <v>0</v>
      </c>
      <c r="I1187" s="27">
        <v>1</v>
      </c>
      <c r="J1187" s="30">
        <f t="shared" si="54"/>
        <v>1</v>
      </c>
      <c r="K1187" s="30">
        <f t="shared" si="55"/>
        <v>0</v>
      </c>
      <c r="L1187" s="26">
        <f t="shared" si="56"/>
        <v>0</v>
      </c>
      <c r="M1187" s="26"/>
    </row>
    <row r="1188" spans="1:13" ht="15" customHeight="1">
      <c r="A1188" s="25">
        <v>1554454</v>
      </c>
      <c r="B1188" s="26" t="s">
        <v>5427</v>
      </c>
      <c r="C1188" s="26" t="s">
        <v>8470</v>
      </c>
      <c r="D1188" s="26" t="s">
        <v>8471</v>
      </c>
      <c r="E1188" s="26" t="s">
        <v>5458</v>
      </c>
      <c r="F1188" s="27">
        <v>5127591</v>
      </c>
      <c r="G1188" s="27">
        <v>0</v>
      </c>
      <c r="H1188" s="27">
        <v>0</v>
      </c>
      <c r="I1188" s="27">
        <v>0</v>
      </c>
      <c r="J1188" s="30">
        <f t="shared" si="54"/>
        <v>0</v>
      </c>
      <c r="K1188" s="30">
        <f t="shared" si="55"/>
        <v>0</v>
      </c>
      <c r="L1188" s="26">
        <f t="shared" si="56"/>
        <v>0</v>
      </c>
      <c r="M1188" s="26" t="s">
        <v>5557</v>
      </c>
    </row>
    <row r="1189" spans="1:13" ht="15" customHeight="1">
      <c r="A1189" s="25">
        <v>1554507</v>
      </c>
      <c r="B1189" s="26" t="s">
        <v>5423</v>
      </c>
      <c r="C1189" s="26" t="s">
        <v>8472</v>
      </c>
      <c r="D1189" s="26" t="s">
        <v>8473</v>
      </c>
      <c r="E1189" s="26" t="s">
        <v>5458</v>
      </c>
      <c r="F1189" s="27">
        <v>4950245</v>
      </c>
      <c r="G1189" s="27">
        <v>0</v>
      </c>
      <c r="H1189" s="27">
        <v>0</v>
      </c>
      <c r="I1189" s="27">
        <v>0</v>
      </c>
      <c r="J1189" s="30">
        <f t="shared" si="54"/>
        <v>0</v>
      </c>
      <c r="K1189" s="30">
        <f t="shared" si="55"/>
        <v>0</v>
      </c>
      <c r="L1189" s="26">
        <f t="shared" si="56"/>
        <v>0</v>
      </c>
      <c r="M1189" s="26" t="s">
        <v>5557</v>
      </c>
    </row>
    <row r="1190" spans="1:13" ht="15" customHeight="1">
      <c r="A1190" s="25">
        <v>1554513</v>
      </c>
      <c r="B1190" s="26" t="s">
        <v>5423</v>
      </c>
      <c r="C1190" s="26" t="s">
        <v>8474</v>
      </c>
      <c r="D1190" s="26" t="s">
        <v>8475</v>
      </c>
      <c r="E1190" s="26" t="s">
        <v>5603</v>
      </c>
      <c r="F1190" s="27">
        <v>5512287</v>
      </c>
      <c r="G1190" s="27">
        <v>1</v>
      </c>
      <c r="H1190" s="27">
        <v>1</v>
      </c>
      <c r="I1190" s="27">
        <v>1</v>
      </c>
      <c r="J1190" s="30">
        <f t="shared" si="54"/>
        <v>1</v>
      </c>
      <c r="K1190" s="30">
        <f t="shared" si="55"/>
        <v>1</v>
      </c>
      <c r="L1190" s="26">
        <f t="shared" si="56"/>
        <v>1</v>
      </c>
      <c r="M1190" s="26"/>
    </row>
    <row r="1191" spans="1:13" ht="15" customHeight="1">
      <c r="A1191" s="25">
        <v>1554540</v>
      </c>
      <c r="B1191" s="26" t="s">
        <v>5423</v>
      </c>
      <c r="C1191" s="26" t="s">
        <v>8476</v>
      </c>
      <c r="D1191" s="26" t="s">
        <v>8477</v>
      </c>
      <c r="E1191" s="26" t="s">
        <v>5535</v>
      </c>
      <c r="F1191" s="27">
        <v>5512278</v>
      </c>
      <c r="G1191" s="27">
        <v>1</v>
      </c>
      <c r="H1191" s="27">
        <v>1</v>
      </c>
      <c r="I1191" s="27">
        <v>1</v>
      </c>
      <c r="J1191" s="30">
        <f t="shared" si="54"/>
        <v>1</v>
      </c>
      <c r="K1191" s="30">
        <f t="shared" si="55"/>
        <v>1</v>
      </c>
      <c r="L1191" s="26">
        <f t="shared" si="56"/>
        <v>1</v>
      </c>
      <c r="M1191" s="26"/>
    </row>
    <row r="1192" spans="1:13" ht="15" customHeight="1">
      <c r="A1192" s="25">
        <v>1554918</v>
      </c>
      <c r="B1192" s="26" t="s">
        <v>5423</v>
      </c>
      <c r="C1192" s="26" t="s">
        <v>8478</v>
      </c>
      <c r="D1192" s="26" t="s">
        <v>8479</v>
      </c>
      <c r="E1192" s="26" t="s">
        <v>5475</v>
      </c>
      <c r="F1192" s="27">
        <v>5463725</v>
      </c>
      <c r="G1192" s="27">
        <v>1</v>
      </c>
      <c r="H1192" s="27">
        <v>0</v>
      </c>
      <c r="I1192" s="27">
        <v>1</v>
      </c>
      <c r="J1192" s="30">
        <f t="shared" si="54"/>
        <v>1</v>
      </c>
      <c r="K1192" s="30">
        <f t="shared" si="55"/>
        <v>0</v>
      </c>
      <c r="L1192" s="26">
        <f t="shared" si="56"/>
        <v>0</v>
      </c>
      <c r="M1192" s="26"/>
    </row>
    <row r="1193" spans="1:13" ht="15" customHeight="1">
      <c r="A1193" s="25" t="s">
        <v>8480</v>
      </c>
      <c r="B1193" s="26" t="s">
        <v>5427</v>
      </c>
      <c r="C1193" s="26" t="s">
        <v>8481</v>
      </c>
      <c r="D1193" s="26" t="s">
        <v>8482</v>
      </c>
      <c r="E1193" s="26" t="s">
        <v>5540</v>
      </c>
      <c r="F1193" s="27">
        <v>5157816</v>
      </c>
      <c r="G1193" s="27">
        <v>2</v>
      </c>
      <c r="H1193" s="27">
        <v>2</v>
      </c>
      <c r="I1193" s="27">
        <v>1</v>
      </c>
      <c r="J1193" s="30">
        <f t="shared" si="54"/>
        <v>1</v>
      </c>
      <c r="K1193" s="30">
        <f t="shared" si="55"/>
        <v>1</v>
      </c>
      <c r="L1193" s="26">
        <f t="shared" si="56"/>
        <v>1</v>
      </c>
      <c r="M1193" s="26" t="s">
        <v>6941</v>
      </c>
    </row>
    <row r="1194" spans="1:13" ht="15" customHeight="1">
      <c r="A1194" s="25">
        <v>1555705</v>
      </c>
      <c r="B1194" s="26" t="s">
        <v>5423</v>
      </c>
      <c r="C1194" s="26" t="s">
        <v>8483</v>
      </c>
      <c r="D1194" s="26" t="s">
        <v>8484</v>
      </c>
      <c r="E1194" s="26" t="s">
        <v>5433</v>
      </c>
      <c r="F1194" s="27">
        <v>5514444</v>
      </c>
      <c r="G1194" s="27">
        <v>0</v>
      </c>
      <c r="H1194" s="27">
        <v>0</v>
      </c>
      <c r="I1194" s="27">
        <v>0</v>
      </c>
      <c r="J1194" s="30">
        <f t="shared" si="54"/>
        <v>0</v>
      </c>
      <c r="K1194" s="30">
        <f t="shared" si="55"/>
        <v>0</v>
      </c>
      <c r="L1194" s="26">
        <f t="shared" si="56"/>
        <v>0</v>
      </c>
      <c r="M1194" s="26">
        <v>0</v>
      </c>
    </row>
    <row r="1195" spans="1:13" ht="15" customHeight="1">
      <c r="A1195" s="25">
        <v>1555770</v>
      </c>
      <c r="B1195" s="26" t="s">
        <v>5423</v>
      </c>
      <c r="C1195" s="26" t="s">
        <v>8485</v>
      </c>
      <c r="D1195" s="26" t="s">
        <v>8486</v>
      </c>
      <c r="E1195" s="26" t="s">
        <v>5463</v>
      </c>
      <c r="F1195" s="27"/>
      <c r="G1195" s="27">
        <v>0</v>
      </c>
      <c r="H1195" s="27">
        <v>0</v>
      </c>
      <c r="I1195" s="27">
        <v>0</v>
      </c>
      <c r="J1195" s="30">
        <f t="shared" si="54"/>
        <v>0</v>
      </c>
      <c r="K1195" s="30">
        <f t="shared" si="55"/>
        <v>0</v>
      </c>
      <c r="L1195" s="26">
        <f t="shared" si="56"/>
        <v>0</v>
      </c>
      <c r="M1195" s="26" t="s">
        <v>7846</v>
      </c>
    </row>
    <row r="1196" spans="1:13" ht="15" customHeight="1">
      <c r="A1196" s="25">
        <v>1555799</v>
      </c>
      <c r="B1196" s="26" t="s">
        <v>5423</v>
      </c>
      <c r="C1196" s="26" t="s">
        <v>8487</v>
      </c>
      <c r="D1196" s="26" t="s">
        <v>8488</v>
      </c>
      <c r="E1196" s="26" t="s">
        <v>5488</v>
      </c>
      <c r="F1196" s="27">
        <v>5515644</v>
      </c>
      <c r="G1196" s="27">
        <v>1</v>
      </c>
      <c r="H1196" s="27">
        <v>0</v>
      </c>
      <c r="I1196" s="27">
        <v>1</v>
      </c>
      <c r="J1196" s="30">
        <f t="shared" si="54"/>
        <v>1</v>
      </c>
      <c r="K1196" s="30">
        <f t="shared" si="55"/>
        <v>0</v>
      </c>
      <c r="L1196" s="26">
        <f t="shared" si="56"/>
        <v>0</v>
      </c>
      <c r="M1196" s="26"/>
    </row>
    <row r="1197" spans="1:13" ht="15" customHeight="1">
      <c r="A1197" s="25">
        <v>1555804</v>
      </c>
      <c r="B1197" s="26" t="s">
        <v>5423</v>
      </c>
      <c r="C1197" s="26" t="s">
        <v>8489</v>
      </c>
      <c r="D1197" s="26" t="s">
        <v>8490</v>
      </c>
      <c r="E1197" s="26" t="s">
        <v>5468</v>
      </c>
      <c r="F1197" s="27">
        <v>5515514</v>
      </c>
      <c r="G1197" s="27">
        <v>0</v>
      </c>
      <c r="H1197" s="27">
        <v>0</v>
      </c>
      <c r="I1197" s="27">
        <v>0</v>
      </c>
      <c r="J1197" s="30">
        <f t="shared" si="54"/>
        <v>0</v>
      </c>
      <c r="K1197" s="30">
        <f t="shared" si="55"/>
        <v>0</v>
      </c>
      <c r="L1197" s="26">
        <f t="shared" si="56"/>
        <v>0</v>
      </c>
      <c r="M1197" s="26">
        <v>0</v>
      </c>
    </row>
    <row r="1198" spans="1:13" ht="15" customHeight="1">
      <c r="A1198" s="25">
        <v>1555808</v>
      </c>
      <c r="B1198" s="26" t="s">
        <v>5423</v>
      </c>
      <c r="C1198" s="26" t="s">
        <v>8491</v>
      </c>
      <c r="D1198" s="26" t="s">
        <v>8492</v>
      </c>
      <c r="E1198" s="26" t="s">
        <v>5491</v>
      </c>
      <c r="F1198" s="27">
        <v>5515692</v>
      </c>
      <c r="G1198" s="27">
        <v>0</v>
      </c>
      <c r="H1198" s="27">
        <v>0</v>
      </c>
      <c r="I1198" s="27">
        <v>0</v>
      </c>
      <c r="J1198" s="30">
        <f t="shared" si="54"/>
        <v>0</v>
      </c>
      <c r="K1198" s="30">
        <f t="shared" si="55"/>
        <v>0</v>
      </c>
      <c r="L1198" s="26">
        <f t="shared" si="56"/>
        <v>0</v>
      </c>
      <c r="M1198" s="26">
        <v>0</v>
      </c>
    </row>
    <row r="1199" spans="1:13" ht="15" customHeight="1">
      <c r="A1199" s="25">
        <v>1556450</v>
      </c>
      <c r="B1199" s="26" t="s">
        <v>5427</v>
      </c>
      <c r="C1199" s="26" t="s">
        <v>8493</v>
      </c>
      <c r="D1199" s="26" t="s">
        <v>8494</v>
      </c>
      <c r="E1199" s="26" t="s">
        <v>5532</v>
      </c>
      <c r="F1199" s="27">
        <v>5511191</v>
      </c>
      <c r="G1199" s="27">
        <v>1</v>
      </c>
      <c r="H1199" s="27">
        <v>0</v>
      </c>
      <c r="I1199" s="27">
        <v>1</v>
      </c>
      <c r="J1199" s="30">
        <f t="shared" si="54"/>
        <v>1</v>
      </c>
      <c r="K1199" s="30">
        <f t="shared" si="55"/>
        <v>0</v>
      </c>
      <c r="L1199" s="26">
        <f t="shared" si="56"/>
        <v>0</v>
      </c>
      <c r="M1199" s="26"/>
    </row>
    <row r="1200" spans="1:13" ht="15" customHeight="1">
      <c r="A1200" s="25">
        <v>1556528</v>
      </c>
      <c r="B1200" s="26" t="s">
        <v>5423</v>
      </c>
      <c r="C1200" s="26" t="s">
        <v>8495</v>
      </c>
      <c r="D1200" s="26" t="s">
        <v>8496</v>
      </c>
      <c r="E1200" s="26" t="s">
        <v>5540</v>
      </c>
      <c r="F1200" s="27">
        <v>5505828</v>
      </c>
      <c r="G1200" s="27">
        <v>1</v>
      </c>
      <c r="H1200" s="27">
        <v>0</v>
      </c>
      <c r="I1200" s="27">
        <v>1</v>
      </c>
      <c r="J1200" s="30">
        <f t="shared" si="54"/>
        <v>1</v>
      </c>
      <c r="K1200" s="30">
        <f t="shared" si="55"/>
        <v>0</v>
      </c>
      <c r="L1200" s="26">
        <f t="shared" si="56"/>
        <v>0</v>
      </c>
      <c r="M1200" s="26"/>
    </row>
    <row r="1201" spans="1:13" ht="15" customHeight="1">
      <c r="A1201" s="25">
        <v>1556731</v>
      </c>
      <c r="B1201" s="26" t="s">
        <v>5423</v>
      </c>
      <c r="C1201" s="26" t="s">
        <v>8497</v>
      </c>
      <c r="D1201" s="26" t="s">
        <v>8498</v>
      </c>
      <c r="E1201" s="26" t="s">
        <v>5426</v>
      </c>
      <c r="F1201" s="27">
        <v>5518462</v>
      </c>
      <c r="G1201" s="27">
        <v>1</v>
      </c>
      <c r="H1201" s="27">
        <v>1</v>
      </c>
      <c r="I1201" s="27">
        <v>1</v>
      </c>
      <c r="J1201" s="30">
        <f t="shared" si="54"/>
        <v>1</v>
      </c>
      <c r="K1201" s="30">
        <f t="shared" si="55"/>
        <v>1</v>
      </c>
      <c r="L1201" s="26">
        <f t="shared" si="56"/>
        <v>1</v>
      </c>
      <c r="M1201" s="26"/>
    </row>
    <row r="1202" spans="1:13" ht="15" customHeight="1">
      <c r="A1202" s="25">
        <v>1556755</v>
      </c>
      <c r="B1202" s="26" t="s">
        <v>5423</v>
      </c>
      <c r="C1202" s="26" t="s">
        <v>8499</v>
      </c>
      <c r="D1202" s="26" t="s">
        <v>8500</v>
      </c>
      <c r="E1202" s="26" t="s">
        <v>5488</v>
      </c>
      <c r="F1202" s="27">
        <v>5518656</v>
      </c>
      <c r="G1202" s="27">
        <v>0</v>
      </c>
      <c r="H1202" s="27">
        <v>1</v>
      </c>
      <c r="I1202" s="27">
        <v>1</v>
      </c>
      <c r="J1202" s="30">
        <f t="shared" si="54"/>
        <v>0</v>
      </c>
      <c r="K1202" s="30">
        <f t="shared" si="55"/>
        <v>1</v>
      </c>
      <c r="L1202" s="26">
        <f t="shared" si="56"/>
        <v>0</v>
      </c>
      <c r="M1202" s="26"/>
    </row>
    <row r="1203" spans="1:13" ht="15" customHeight="1">
      <c r="A1203" s="25">
        <v>1556768</v>
      </c>
      <c r="B1203" s="26" t="s">
        <v>5423</v>
      </c>
      <c r="C1203" s="26" t="s">
        <v>8501</v>
      </c>
      <c r="D1203" s="26" t="s">
        <v>8502</v>
      </c>
      <c r="E1203" s="26" t="s">
        <v>5535</v>
      </c>
      <c r="F1203" s="27"/>
      <c r="G1203" s="27">
        <v>0</v>
      </c>
      <c r="H1203" s="27">
        <v>0</v>
      </c>
      <c r="I1203" s="27">
        <v>0</v>
      </c>
      <c r="J1203" s="30">
        <f t="shared" si="54"/>
        <v>0</v>
      </c>
      <c r="K1203" s="30">
        <f t="shared" si="55"/>
        <v>0</v>
      </c>
      <c r="L1203" s="26">
        <f t="shared" si="56"/>
        <v>0</v>
      </c>
      <c r="M1203" s="26">
        <v>0</v>
      </c>
    </row>
    <row r="1204" spans="1:13" ht="15" customHeight="1">
      <c r="A1204" s="25">
        <v>1556772</v>
      </c>
      <c r="B1204" s="26" t="s">
        <v>5423</v>
      </c>
      <c r="C1204" s="26" t="s">
        <v>8503</v>
      </c>
      <c r="D1204" s="26" t="s">
        <v>8504</v>
      </c>
      <c r="E1204" s="26" t="s">
        <v>5891</v>
      </c>
      <c r="F1204" s="27">
        <v>5450761</v>
      </c>
      <c r="G1204" s="27">
        <v>1</v>
      </c>
      <c r="H1204" s="27">
        <v>1</v>
      </c>
      <c r="I1204" s="27">
        <v>1</v>
      </c>
      <c r="J1204" s="30">
        <f t="shared" si="54"/>
        <v>1</v>
      </c>
      <c r="K1204" s="30">
        <f t="shared" si="55"/>
        <v>1</v>
      </c>
      <c r="L1204" s="26">
        <f t="shared" si="56"/>
        <v>1</v>
      </c>
      <c r="M1204" s="26"/>
    </row>
    <row r="1205" spans="1:13" ht="15" customHeight="1">
      <c r="A1205" s="25">
        <v>1556776</v>
      </c>
      <c r="B1205" s="26" t="s">
        <v>5427</v>
      </c>
      <c r="C1205" s="26" t="s">
        <v>8505</v>
      </c>
      <c r="D1205" s="26" t="s">
        <v>8506</v>
      </c>
      <c r="E1205" s="26" t="s">
        <v>5540</v>
      </c>
      <c r="F1205" s="27">
        <v>5519182</v>
      </c>
      <c r="G1205" s="27">
        <v>1</v>
      </c>
      <c r="H1205" s="27">
        <v>0</v>
      </c>
      <c r="I1205" s="27">
        <v>1</v>
      </c>
      <c r="J1205" s="30">
        <f t="shared" si="54"/>
        <v>1</v>
      </c>
      <c r="K1205" s="30">
        <f t="shared" si="55"/>
        <v>0</v>
      </c>
      <c r="L1205" s="26">
        <f t="shared" si="56"/>
        <v>0</v>
      </c>
      <c r="M1205" s="26"/>
    </row>
    <row r="1206" spans="1:13" ht="15" customHeight="1">
      <c r="A1206" s="25">
        <v>1556841</v>
      </c>
      <c r="B1206" s="26" t="s">
        <v>5423</v>
      </c>
      <c r="C1206" s="26" t="s">
        <v>8507</v>
      </c>
      <c r="D1206" s="26" t="s">
        <v>8508</v>
      </c>
      <c r="E1206" s="26" t="s">
        <v>5491</v>
      </c>
      <c r="F1206" s="27">
        <v>5185815</v>
      </c>
      <c r="G1206" s="27">
        <v>1</v>
      </c>
      <c r="H1206" s="27">
        <v>1</v>
      </c>
      <c r="I1206" s="27">
        <v>1</v>
      </c>
      <c r="J1206" s="30">
        <f t="shared" si="54"/>
        <v>1</v>
      </c>
      <c r="K1206" s="30">
        <f t="shared" si="55"/>
        <v>1</v>
      </c>
      <c r="L1206" s="26">
        <f t="shared" si="56"/>
        <v>1</v>
      </c>
      <c r="M1206" s="26"/>
    </row>
    <row r="1207" spans="1:13" ht="15" customHeight="1">
      <c r="A1207" s="25">
        <v>1556994</v>
      </c>
      <c r="B1207" s="26" t="s">
        <v>5423</v>
      </c>
      <c r="C1207" s="26" t="s">
        <v>8509</v>
      </c>
      <c r="D1207" s="26" t="s">
        <v>8510</v>
      </c>
      <c r="E1207" s="26" t="s">
        <v>5485</v>
      </c>
      <c r="F1207" s="27">
        <v>5517437</v>
      </c>
      <c r="G1207" s="27">
        <v>0</v>
      </c>
      <c r="H1207" s="27">
        <v>0</v>
      </c>
      <c r="I1207" s="27">
        <v>0</v>
      </c>
      <c r="J1207" s="30">
        <f t="shared" si="54"/>
        <v>0</v>
      </c>
      <c r="K1207" s="30">
        <f t="shared" si="55"/>
        <v>0</v>
      </c>
      <c r="L1207" s="26">
        <f t="shared" si="56"/>
        <v>0</v>
      </c>
      <c r="M1207" s="26">
        <v>0</v>
      </c>
    </row>
    <row r="1208" spans="1:13" ht="15" customHeight="1">
      <c r="A1208" s="25">
        <v>1556999</v>
      </c>
      <c r="B1208" s="26" t="s">
        <v>5423</v>
      </c>
      <c r="C1208" s="26" t="s">
        <v>8511</v>
      </c>
      <c r="D1208" s="26" t="s">
        <v>8512</v>
      </c>
      <c r="E1208" s="26" t="s">
        <v>5603</v>
      </c>
      <c r="F1208" s="27">
        <v>4762308</v>
      </c>
      <c r="G1208" s="27">
        <v>1</v>
      </c>
      <c r="H1208" s="27">
        <v>0</v>
      </c>
      <c r="I1208" s="27">
        <v>1</v>
      </c>
      <c r="J1208" s="30">
        <f t="shared" si="54"/>
        <v>1</v>
      </c>
      <c r="K1208" s="30">
        <f t="shared" si="55"/>
        <v>0</v>
      </c>
      <c r="L1208" s="26">
        <f t="shared" si="56"/>
        <v>0</v>
      </c>
      <c r="M1208" s="26"/>
    </row>
    <row r="1209" spans="1:13" ht="15" customHeight="1">
      <c r="A1209" s="25">
        <v>1557009</v>
      </c>
      <c r="B1209" s="26" t="s">
        <v>5423</v>
      </c>
      <c r="C1209" s="26" t="s">
        <v>8513</v>
      </c>
      <c r="D1209" s="26" t="s">
        <v>8514</v>
      </c>
      <c r="E1209" s="26" t="s">
        <v>5532</v>
      </c>
      <c r="F1209" s="27">
        <v>5519267</v>
      </c>
      <c r="G1209" s="27">
        <v>1</v>
      </c>
      <c r="H1209" s="27">
        <v>0</v>
      </c>
      <c r="I1209" s="27">
        <v>1</v>
      </c>
      <c r="J1209" s="30">
        <f t="shared" si="54"/>
        <v>1</v>
      </c>
      <c r="K1209" s="30">
        <f t="shared" si="55"/>
        <v>0</v>
      </c>
      <c r="L1209" s="26">
        <f t="shared" si="56"/>
        <v>0</v>
      </c>
      <c r="M1209" s="26"/>
    </row>
    <row r="1210" spans="1:13" ht="15" customHeight="1">
      <c r="A1210" s="25">
        <v>1557301</v>
      </c>
      <c r="B1210" s="26" t="s">
        <v>5427</v>
      </c>
      <c r="C1210" s="26" t="s">
        <v>8515</v>
      </c>
      <c r="D1210" s="26" t="s">
        <v>8516</v>
      </c>
      <c r="E1210" s="26" t="s">
        <v>5891</v>
      </c>
      <c r="F1210" s="27">
        <v>5519920</v>
      </c>
      <c r="G1210" s="27">
        <v>0</v>
      </c>
      <c r="H1210" s="27">
        <v>0</v>
      </c>
      <c r="I1210" s="27">
        <v>0</v>
      </c>
      <c r="J1210" s="30">
        <f t="shared" si="54"/>
        <v>0</v>
      </c>
      <c r="K1210" s="30">
        <f t="shared" si="55"/>
        <v>0</v>
      </c>
      <c r="L1210" s="26">
        <f t="shared" si="56"/>
        <v>0</v>
      </c>
      <c r="M1210" s="26">
        <v>0</v>
      </c>
    </row>
    <row r="1211" spans="1:13" ht="15" customHeight="1">
      <c r="A1211" s="25">
        <v>1558067</v>
      </c>
      <c r="B1211" s="26" t="s">
        <v>5427</v>
      </c>
      <c r="C1211" s="26" t="s">
        <v>8517</v>
      </c>
      <c r="D1211" s="26" t="s">
        <v>8518</v>
      </c>
      <c r="E1211" s="26" t="s">
        <v>5491</v>
      </c>
      <c r="F1211" s="27">
        <v>5523492</v>
      </c>
      <c r="G1211" s="27">
        <v>0</v>
      </c>
      <c r="H1211" s="27">
        <v>0</v>
      </c>
      <c r="I1211" s="27">
        <v>0</v>
      </c>
      <c r="J1211" s="30">
        <f t="shared" si="54"/>
        <v>0</v>
      </c>
      <c r="K1211" s="30">
        <f t="shared" si="55"/>
        <v>0</v>
      </c>
      <c r="L1211" s="26">
        <f t="shared" si="56"/>
        <v>0</v>
      </c>
      <c r="M1211" s="26">
        <v>0</v>
      </c>
    </row>
    <row r="1212" spans="1:13" ht="15" customHeight="1">
      <c r="A1212" s="25">
        <v>1558101</v>
      </c>
      <c r="B1212" s="26" t="s">
        <v>5423</v>
      </c>
      <c r="C1212" s="26" t="s">
        <v>8519</v>
      </c>
      <c r="D1212" s="26" t="s">
        <v>8520</v>
      </c>
      <c r="E1212" s="26" t="s">
        <v>5442</v>
      </c>
      <c r="F1212" s="27">
        <v>5514317</v>
      </c>
      <c r="G1212" s="27">
        <v>1</v>
      </c>
      <c r="H1212" s="27">
        <v>0</v>
      </c>
      <c r="I1212" s="27">
        <v>1</v>
      </c>
      <c r="J1212" s="30">
        <f t="shared" si="54"/>
        <v>1</v>
      </c>
      <c r="K1212" s="30">
        <f t="shared" si="55"/>
        <v>0</v>
      </c>
      <c r="L1212" s="26">
        <f t="shared" si="56"/>
        <v>0</v>
      </c>
      <c r="M1212" s="26"/>
    </row>
    <row r="1213" spans="1:13" ht="15" customHeight="1">
      <c r="A1213" s="25">
        <v>1558521</v>
      </c>
      <c r="B1213" s="26" t="s">
        <v>5427</v>
      </c>
      <c r="C1213" s="26" t="s">
        <v>8521</v>
      </c>
      <c r="D1213" s="26" t="s">
        <v>8522</v>
      </c>
      <c r="E1213" s="26" t="s">
        <v>5718</v>
      </c>
      <c r="F1213" s="27">
        <v>5523448</v>
      </c>
      <c r="G1213" s="27">
        <v>0</v>
      </c>
      <c r="H1213" s="27">
        <v>0</v>
      </c>
      <c r="I1213" s="27">
        <v>0</v>
      </c>
      <c r="J1213" s="30">
        <f t="shared" si="54"/>
        <v>0</v>
      </c>
      <c r="K1213" s="30">
        <f t="shared" si="55"/>
        <v>0</v>
      </c>
      <c r="L1213" s="26">
        <f t="shared" si="56"/>
        <v>0</v>
      </c>
      <c r="M1213" s="26">
        <v>0</v>
      </c>
    </row>
    <row r="1214" spans="1:13" ht="15" customHeight="1">
      <c r="A1214" s="25">
        <v>1558559</v>
      </c>
      <c r="B1214" s="26" t="s">
        <v>5423</v>
      </c>
      <c r="C1214" s="26" t="s">
        <v>8523</v>
      </c>
      <c r="D1214" s="26" t="s">
        <v>8524</v>
      </c>
      <c r="E1214" s="26" t="s">
        <v>5458</v>
      </c>
      <c r="F1214" s="27">
        <v>5525057</v>
      </c>
      <c r="G1214" s="27">
        <v>0</v>
      </c>
      <c r="H1214" s="27">
        <v>0</v>
      </c>
      <c r="I1214" s="27">
        <v>0</v>
      </c>
      <c r="J1214" s="30">
        <f t="shared" si="54"/>
        <v>0</v>
      </c>
      <c r="K1214" s="30">
        <f t="shared" si="55"/>
        <v>0</v>
      </c>
      <c r="L1214" s="26">
        <f t="shared" si="56"/>
        <v>0</v>
      </c>
      <c r="M1214" s="26">
        <v>0</v>
      </c>
    </row>
    <row r="1215" spans="1:13" ht="15" customHeight="1">
      <c r="A1215" s="25">
        <v>1558751</v>
      </c>
      <c r="B1215" s="26" t="s">
        <v>5423</v>
      </c>
      <c r="C1215" s="26" t="s">
        <v>8525</v>
      </c>
      <c r="D1215" s="26" t="s">
        <v>8526</v>
      </c>
      <c r="E1215" s="26" t="s">
        <v>5517</v>
      </c>
      <c r="F1215" s="27">
        <v>5427128</v>
      </c>
      <c r="G1215" s="27">
        <v>1</v>
      </c>
      <c r="H1215" s="27">
        <v>0</v>
      </c>
      <c r="I1215" s="27">
        <v>1</v>
      </c>
      <c r="J1215" s="30">
        <f t="shared" si="54"/>
        <v>1</v>
      </c>
      <c r="K1215" s="30">
        <f t="shared" si="55"/>
        <v>0</v>
      </c>
      <c r="L1215" s="26">
        <f t="shared" si="56"/>
        <v>0</v>
      </c>
      <c r="M1215" s="26"/>
    </row>
    <row r="1216" spans="1:13" ht="15" customHeight="1">
      <c r="A1216" s="25">
        <v>1558822</v>
      </c>
      <c r="B1216" s="26" t="s">
        <v>5423</v>
      </c>
      <c r="C1216" s="26" t="s">
        <v>8527</v>
      </c>
      <c r="D1216" s="26" t="s">
        <v>8528</v>
      </c>
      <c r="E1216" s="26" t="s">
        <v>5603</v>
      </c>
      <c r="F1216" s="27">
        <v>5518732</v>
      </c>
      <c r="G1216" s="27">
        <v>1</v>
      </c>
      <c r="H1216" s="27">
        <v>0</v>
      </c>
      <c r="I1216" s="27">
        <v>1</v>
      </c>
      <c r="J1216" s="30">
        <f t="shared" si="54"/>
        <v>1</v>
      </c>
      <c r="K1216" s="30">
        <f t="shared" si="55"/>
        <v>0</v>
      </c>
      <c r="L1216" s="26">
        <f t="shared" si="56"/>
        <v>0</v>
      </c>
      <c r="M1216" s="26"/>
    </row>
    <row r="1217" spans="1:13" ht="15" customHeight="1">
      <c r="A1217" s="25">
        <v>1558863</v>
      </c>
      <c r="B1217" s="26" t="s">
        <v>5427</v>
      </c>
      <c r="C1217" s="26" t="s">
        <v>8529</v>
      </c>
      <c r="D1217" s="26" t="s">
        <v>8530</v>
      </c>
      <c r="E1217" s="26" t="s">
        <v>5452</v>
      </c>
      <c r="F1217" s="27">
        <v>5335970</v>
      </c>
      <c r="G1217" s="27">
        <v>0</v>
      </c>
      <c r="H1217" s="27">
        <v>1</v>
      </c>
      <c r="I1217" s="27">
        <v>1</v>
      </c>
      <c r="J1217" s="30">
        <f t="shared" si="54"/>
        <v>0</v>
      </c>
      <c r="K1217" s="30">
        <f t="shared" si="55"/>
        <v>1</v>
      </c>
      <c r="L1217" s="26">
        <f t="shared" si="56"/>
        <v>0</v>
      </c>
      <c r="M1217" s="26"/>
    </row>
    <row r="1218" spans="1:13" ht="15" customHeight="1">
      <c r="A1218" s="25">
        <v>1559051</v>
      </c>
      <c r="B1218" s="26" t="s">
        <v>5423</v>
      </c>
      <c r="C1218" s="26" t="s">
        <v>8531</v>
      </c>
      <c r="D1218" s="26" t="s">
        <v>8532</v>
      </c>
      <c r="E1218" s="26" t="s">
        <v>5540</v>
      </c>
      <c r="F1218" s="27">
        <v>5524909</v>
      </c>
      <c r="G1218" s="27">
        <v>0</v>
      </c>
      <c r="H1218" s="27">
        <v>0</v>
      </c>
      <c r="I1218" s="27">
        <v>0</v>
      </c>
      <c r="J1218" s="30">
        <f t="shared" ref="J1218:J1281" si="57">IF(G1218&gt;0,1,0)</f>
        <v>0</v>
      </c>
      <c r="K1218" s="30">
        <f t="shared" ref="K1218:K1281" si="58">IF(H1218&gt;0,1,0)</f>
        <v>0</v>
      </c>
      <c r="L1218" s="26">
        <f t="shared" ref="L1218:L1281" si="59">IF(G1218&gt;0,IF(H1218&gt;0,1,0),0)</f>
        <v>0</v>
      </c>
      <c r="M1218" s="26">
        <v>0</v>
      </c>
    </row>
    <row r="1219" spans="1:13" ht="15" customHeight="1">
      <c r="A1219" s="25">
        <v>1559127</v>
      </c>
      <c r="B1219" s="26" t="s">
        <v>5423</v>
      </c>
      <c r="C1219" s="26" t="s">
        <v>8533</v>
      </c>
      <c r="D1219" s="26" t="s">
        <v>8534</v>
      </c>
      <c r="E1219" s="26" t="s">
        <v>5447</v>
      </c>
      <c r="F1219" s="27">
        <v>4948006</v>
      </c>
      <c r="G1219" s="27">
        <v>0</v>
      </c>
      <c r="H1219" s="27">
        <v>0</v>
      </c>
      <c r="I1219" s="27">
        <v>0</v>
      </c>
      <c r="J1219" s="30">
        <f t="shared" si="57"/>
        <v>0</v>
      </c>
      <c r="K1219" s="30">
        <f t="shared" si="58"/>
        <v>0</v>
      </c>
      <c r="L1219" s="26">
        <f t="shared" si="59"/>
        <v>0</v>
      </c>
      <c r="M1219" s="26" t="s">
        <v>5557</v>
      </c>
    </row>
    <row r="1220" spans="1:13" ht="15" customHeight="1">
      <c r="A1220" s="25">
        <v>1559146</v>
      </c>
      <c r="B1220" s="26" t="s">
        <v>5427</v>
      </c>
      <c r="C1220" s="26" t="s">
        <v>8535</v>
      </c>
      <c r="D1220" s="26" t="s">
        <v>8536</v>
      </c>
      <c r="E1220" s="26" t="s">
        <v>5458</v>
      </c>
      <c r="F1220" s="27">
        <v>5506977</v>
      </c>
      <c r="G1220" s="27">
        <v>1</v>
      </c>
      <c r="H1220" s="27">
        <v>1</v>
      </c>
      <c r="I1220" s="27">
        <v>1</v>
      </c>
      <c r="J1220" s="30">
        <f t="shared" si="57"/>
        <v>1</v>
      </c>
      <c r="K1220" s="30">
        <f t="shared" si="58"/>
        <v>1</v>
      </c>
      <c r="L1220" s="26">
        <f t="shared" si="59"/>
        <v>1</v>
      </c>
      <c r="M1220" s="26" t="s">
        <v>7910</v>
      </c>
    </row>
    <row r="1221" spans="1:13" ht="15" customHeight="1">
      <c r="A1221" s="25">
        <v>1559173</v>
      </c>
      <c r="B1221" s="26" t="s">
        <v>5423</v>
      </c>
      <c r="C1221" s="26" t="s">
        <v>8537</v>
      </c>
      <c r="D1221" s="26" t="s">
        <v>8538</v>
      </c>
      <c r="E1221" s="26" t="s">
        <v>5488</v>
      </c>
      <c r="F1221" s="27">
        <v>5518322</v>
      </c>
      <c r="G1221" s="27">
        <v>0</v>
      </c>
      <c r="H1221" s="27">
        <v>1</v>
      </c>
      <c r="I1221" s="27">
        <v>1</v>
      </c>
      <c r="J1221" s="30">
        <f t="shared" si="57"/>
        <v>0</v>
      </c>
      <c r="K1221" s="30">
        <f t="shared" si="58"/>
        <v>1</v>
      </c>
      <c r="L1221" s="26">
        <f t="shared" si="59"/>
        <v>0</v>
      </c>
      <c r="M1221" s="26"/>
    </row>
    <row r="1222" spans="1:13" ht="15" customHeight="1">
      <c r="A1222" s="25">
        <v>1559196</v>
      </c>
      <c r="B1222" s="26" t="s">
        <v>5423</v>
      </c>
      <c r="C1222" s="26" t="s">
        <v>8539</v>
      </c>
      <c r="D1222" s="26" t="s">
        <v>8540</v>
      </c>
      <c r="E1222" s="26" t="s">
        <v>5430</v>
      </c>
      <c r="F1222" s="27">
        <v>5527744</v>
      </c>
      <c r="G1222" s="27">
        <v>0</v>
      </c>
      <c r="H1222" s="27">
        <v>0</v>
      </c>
      <c r="I1222" s="27">
        <v>0</v>
      </c>
      <c r="J1222" s="30">
        <f t="shared" si="57"/>
        <v>0</v>
      </c>
      <c r="K1222" s="30">
        <f t="shared" si="58"/>
        <v>0</v>
      </c>
      <c r="L1222" s="26">
        <f t="shared" si="59"/>
        <v>0</v>
      </c>
      <c r="M1222" s="26">
        <v>0</v>
      </c>
    </row>
    <row r="1223" spans="1:13" ht="15" customHeight="1">
      <c r="A1223" s="25">
        <v>1559271</v>
      </c>
      <c r="B1223" s="26" t="s">
        <v>5423</v>
      </c>
      <c r="C1223" s="26" t="s">
        <v>8541</v>
      </c>
      <c r="D1223" s="26" t="s">
        <v>8542</v>
      </c>
      <c r="E1223" s="26" t="s">
        <v>5763</v>
      </c>
      <c r="F1223" s="27">
        <v>5326687</v>
      </c>
      <c r="G1223" s="27">
        <v>1</v>
      </c>
      <c r="H1223" s="27">
        <v>1</v>
      </c>
      <c r="I1223" s="27">
        <v>1</v>
      </c>
      <c r="J1223" s="30">
        <f t="shared" si="57"/>
        <v>1</v>
      </c>
      <c r="K1223" s="30">
        <f t="shared" si="58"/>
        <v>1</v>
      </c>
      <c r="L1223" s="26">
        <f t="shared" si="59"/>
        <v>1</v>
      </c>
      <c r="M1223" s="26"/>
    </row>
    <row r="1224" spans="1:13" ht="15" customHeight="1">
      <c r="A1224" s="25">
        <v>1559276</v>
      </c>
      <c r="B1224" s="26" t="s">
        <v>5423</v>
      </c>
      <c r="C1224" s="26" t="s">
        <v>8543</v>
      </c>
      <c r="D1224" s="26" t="s">
        <v>8544</v>
      </c>
      <c r="E1224" s="26" t="s">
        <v>5683</v>
      </c>
      <c r="F1224" s="27">
        <v>5528729</v>
      </c>
      <c r="G1224" s="27">
        <v>1</v>
      </c>
      <c r="H1224" s="27">
        <v>1</v>
      </c>
      <c r="I1224" s="27">
        <v>1</v>
      </c>
      <c r="J1224" s="30">
        <f t="shared" si="57"/>
        <v>1</v>
      </c>
      <c r="K1224" s="30">
        <f t="shared" si="58"/>
        <v>1</v>
      </c>
      <c r="L1224" s="26">
        <f t="shared" si="59"/>
        <v>1</v>
      </c>
      <c r="M1224" s="26"/>
    </row>
    <row r="1225" spans="1:13" ht="15" customHeight="1">
      <c r="A1225" s="25">
        <v>1559306</v>
      </c>
      <c r="B1225" s="26" t="s">
        <v>5423</v>
      </c>
      <c r="C1225" s="26" t="s">
        <v>8545</v>
      </c>
      <c r="D1225" s="26" t="s">
        <v>8546</v>
      </c>
      <c r="E1225" s="26" t="s">
        <v>5763</v>
      </c>
      <c r="F1225" s="27">
        <v>5526231</v>
      </c>
      <c r="G1225" s="27">
        <v>0</v>
      </c>
      <c r="H1225" s="27">
        <v>0</v>
      </c>
      <c r="I1225" s="27">
        <v>0</v>
      </c>
      <c r="J1225" s="30">
        <f t="shared" si="57"/>
        <v>0</v>
      </c>
      <c r="K1225" s="30">
        <f t="shared" si="58"/>
        <v>0</v>
      </c>
      <c r="L1225" s="26">
        <f t="shared" si="59"/>
        <v>0</v>
      </c>
      <c r="M1225" s="26">
        <v>0</v>
      </c>
    </row>
    <row r="1226" spans="1:13" ht="15" customHeight="1">
      <c r="A1226" s="25">
        <v>1559349</v>
      </c>
      <c r="B1226" s="26" t="s">
        <v>5423</v>
      </c>
      <c r="C1226" s="26" t="s">
        <v>8547</v>
      </c>
      <c r="D1226" s="26" t="s">
        <v>8548</v>
      </c>
      <c r="E1226" s="26" t="s">
        <v>5683</v>
      </c>
      <c r="F1226" s="27">
        <v>3895249</v>
      </c>
      <c r="G1226" s="27">
        <v>0</v>
      </c>
      <c r="H1226" s="27">
        <v>0</v>
      </c>
      <c r="I1226" s="27">
        <v>0</v>
      </c>
      <c r="J1226" s="30">
        <f t="shared" si="57"/>
        <v>0</v>
      </c>
      <c r="K1226" s="30">
        <f t="shared" si="58"/>
        <v>0</v>
      </c>
      <c r="L1226" s="26">
        <f t="shared" si="59"/>
        <v>0</v>
      </c>
      <c r="M1226" s="26" t="s">
        <v>5567</v>
      </c>
    </row>
    <row r="1227" spans="1:13" ht="15" customHeight="1">
      <c r="A1227" s="25">
        <v>1559764</v>
      </c>
      <c r="B1227" s="26" t="s">
        <v>5423</v>
      </c>
      <c r="C1227" s="26" t="s">
        <v>8549</v>
      </c>
      <c r="D1227" s="26" t="s">
        <v>8550</v>
      </c>
      <c r="E1227" s="26" t="s">
        <v>5545</v>
      </c>
      <c r="F1227" s="27">
        <v>4992325</v>
      </c>
      <c r="G1227" s="27">
        <v>1</v>
      </c>
      <c r="H1227" s="27">
        <v>0</v>
      </c>
      <c r="I1227" s="27">
        <v>1</v>
      </c>
      <c r="J1227" s="30">
        <f t="shared" si="57"/>
        <v>1</v>
      </c>
      <c r="K1227" s="30">
        <f t="shared" si="58"/>
        <v>0</v>
      </c>
      <c r="L1227" s="26">
        <f t="shared" si="59"/>
        <v>0</v>
      </c>
      <c r="M1227" s="26"/>
    </row>
    <row r="1228" spans="1:13" ht="15" customHeight="1">
      <c r="A1228" s="25">
        <v>1560138</v>
      </c>
      <c r="B1228" s="26" t="s">
        <v>5423</v>
      </c>
      <c r="C1228" s="26" t="s">
        <v>8551</v>
      </c>
      <c r="D1228" s="26" t="s">
        <v>8552</v>
      </c>
      <c r="E1228" s="26" t="s">
        <v>5522</v>
      </c>
      <c r="F1228" s="27">
        <v>5410342</v>
      </c>
      <c r="G1228" s="27">
        <v>1</v>
      </c>
      <c r="H1228" s="27">
        <v>1</v>
      </c>
      <c r="I1228" s="27">
        <v>1</v>
      </c>
      <c r="J1228" s="30">
        <f t="shared" si="57"/>
        <v>1</v>
      </c>
      <c r="K1228" s="30">
        <f t="shared" si="58"/>
        <v>1</v>
      </c>
      <c r="L1228" s="26">
        <f t="shared" si="59"/>
        <v>1</v>
      </c>
      <c r="M1228" s="26"/>
    </row>
    <row r="1229" spans="1:13" ht="15" customHeight="1">
      <c r="A1229" s="25">
        <v>1560195</v>
      </c>
      <c r="B1229" s="26" t="s">
        <v>5423</v>
      </c>
      <c r="C1229" s="26" t="s">
        <v>8553</v>
      </c>
      <c r="D1229" s="26" t="s">
        <v>8554</v>
      </c>
      <c r="E1229" s="26" t="s">
        <v>5603</v>
      </c>
      <c r="F1229" s="27">
        <v>5530459</v>
      </c>
      <c r="G1229" s="27">
        <v>1</v>
      </c>
      <c r="H1229" s="27">
        <v>0</v>
      </c>
      <c r="I1229" s="27">
        <v>1</v>
      </c>
      <c r="J1229" s="30">
        <f t="shared" si="57"/>
        <v>1</v>
      </c>
      <c r="K1229" s="30">
        <f t="shared" si="58"/>
        <v>0</v>
      </c>
      <c r="L1229" s="26">
        <f t="shared" si="59"/>
        <v>0</v>
      </c>
      <c r="M1229" s="26"/>
    </row>
    <row r="1230" spans="1:13" ht="15" customHeight="1">
      <c r="A1230" s="25">
        <v>1560556</v>
      </c>
      <c r="B1230" s="26" t="s">
        <v>5423</v>
      </c>
      <c r="C1230" s="26" t="s">
        <v>8555</v>
      </c>
      <c r="D1230" s="26" t="s">
        <v>8556</v>
      </c>
      <c r="E1230" s="26" t="s">
        <v>5439</v>
      </c>
      <c r="F1230" s="27">
        <v>5532231</v>
      </c>
      <c r="G1230" s="27">
        <v>1</v>
      </c>
      <c r="H1230" s="27">
        <v>1</v>
      </c>
      <c r="I1230" s="27">
        <v>1</v>
      </c>
      <c r="J1230" s="30">
        <f t="shared" si="57"/>
        <v>1</v>
      </c>
      <c r="K1230" s="30">
        <f t="shared" si="58"/>
        <v>1</v>
      </c>
      <c r="L1230" s="26">
        <f t="shared" si="59"/>
        <v>1</v>
      </c>
      <c r="M1230" s="26"/>
    </row>
    <row r="1231" spans="1:13" ht="15" customHeight="1">
      <c r="A1231" s="25">
        <v>1560717</v>
      </c>
      <c r="B1231" s="26" t="s">
        <v>5423</v>
      </c>
      <c r="C1231" s="26" t="s">
        <v>8557</v>
      </c>
      <c r="D1231" s="26" t="s">
        <v>8558</v>
      </c>
      <c r="E1231" s="26" t="s">
        <v>5491</v>
      </c>
      <c r="F1231" s="27">
        <v>5512300</v>
      </c>
      <c r="G1231" s="27">
        <v>0</v>
      </c>
      <c r="H1231" s="27">
        <v>1</v>
      </c>
      <c r="I1231" s="27">
        <v>1</v>
      </c>
      <c r="J1231" s="30">
        <f t="shared" si="57"/>
        <v>0</v>
      </c>
      <c r="K1231" s="30">
        <f t="shared" si="58"/>
        <v>1</v>
      </c>
      <c r="L1231" s="26">
        <f t="shared" si="59"/>
        <v>0</v>
      </c>
      <c r="M1231" s="26"/>
    </row>
    <row r="1232" spans="1:13" ht="15" customHeight="1">
      <c r="A1232" s="25">
        <v>1561200</v>
      </c>
      <c r="B1232" s="26" t="s">
        <v>5423</v>
      </c>
      <c r="C1232" s="26" t="s">
        <v>8559</v>
      </c>
      <c r="D1232" s="26" t="s">
        <v>8560</v>
      </c>
      <c r="E1232" s="26" t="s">
        <v>5504</v>
      </c>
      <c r="F1232" s="27">
        <v>5236657</v>
      </c>
      <c r="G1232" s="27">
        <v>0</v>
      </c>
      <c r="H1232" s="27">
        <v>0</v>
      </c>
      <c r="I1232" s="27">
        <v>0</v>
      </c>
      <c r="J1232" s="30">
        <f t="shared" si="57"/>
        <v>0</v>
      </c>
      <c r="K1232" s="30">
        <f t="shared" si="58"/>
        <v>0</v>
      </c>
      <c r="L1232" s="26">
        <f t="shared" si="59"/>
        <v>0</v>
      </c>
      <c r="M1232" s="26">
        <v>0</v>
      </c>
    </row>
    <row r="1233" spans="1:13" ht="15" customHeight="1">
      <c r="A1233" s="25">
        <v>1561381</v>
      </c>
      <c r="B1233" s="26" t="s">
        <v>5423</v>
      </c>
      <c r="C1233" s="26" t="s">
        <v>8561</v>
      </c>
      <c r="D1233" s="26" t="s">
        <v>8562</v>
      </c>
      <c r="E1233" s="26" t="s">
        <v>5447</v>
      </c>
      <c r="F1233" s="27">
        <v>5531359</v>
      </c>
      <c r="G1233" s="27">
        <v>1</v>
      </c>
      <c r="H1233" s="27">
        <v>0</v>
      </c>
      <c r="I1233" s="27">
        <v>1</v>
      </c>
      <c r="J1233" s="30">
        <f t="shared" si="57"/>
        <v>1</v>
      </c>
      <c r="K1233" s="30">
        <f t="shared" si="58"/>
        <v>0</v>
      </c>
      <c r="L1233" s="26">
        <f t="shared" si="59"/>
        <v>0</v>
      </c>
      <c r="M1233" s="26"/>
    </row>
    <row r="1234" spans="1:13" ht="15" customHeight="1">
      <c r="A1234" s="25">
        <v>1561398</v>
      </c>
      <c r="B1234" s="26" t="s">
        <v>5423</v>
      </c>
      <c r="C1234" s="26" t="s">
        <v>8563</v>
      </c>
      <c r="D1234" s="26" t="s">
        <v>8564</v>
      </c>
      <c r="E1234" s="26" t="s">
        <v>5447</v>
      </c>
      <c r="F1234" s="27">
        <v>5533540</v>
      </c>
      <c r="G1234" s="27">
        <v>0</v>
      </c>
      <c r="H1234" s="27">
        <v>1</v>
      </c>
      <c r="I1234" s="27">
        <v>1</v>
      </c>
      <c r="J1234" s="30">
        <f t="shared" si="57"/>
        <v>0</v>
      </c>
      <c r="K1234" s="30">
        <f t="shared" si="58"/>
        <v>1</v>
      </c>
      <c r="L1234" s="26">
        <f t="shared" si="59"/>
        <v>0</v>
      </c>
      <c r="M1234" s="26" t="s">
        <v>8169</v>
      </c>
    </row>
    <row r="1235" spans="1:13" ht="15" customHeight="1">
      <c r="A1235" s="25">
        <v>1561561</v>
      </c>
      <c r="B1235" s="26" t="s">
        <v>5423</v>
      </c>
      <c r="C1235" s="26" t="s">
        <v>8565</v>
      </c>
      <c r="D1235" s="26" t="s">
        <v>8566</v>
      </c>
      <c r="E1235" s="26" t="s">
        <v>5468</v>
      </c>
      <c r="F1235" s="27">
        <v>5524821</v>
      </c>
      <c r="G1235" s="27">
        <v>1</v>
      </c>
      <c r="H1235" s="27">
        <v>0</v>
      </c>
      <c r="I1235" s="27">
        <v>1</v>
      </c>
      <c r="J1235" s="30">
        <f t="shared" si="57"/>
        <v>1</v>
      </c>
      <c r="K1235" s="30">
        <f t="shared" si="58"/>
        <v>0</v>
      </c>
      <c r="L1235" s="26">
        <f t="shared" si="59"/>
        <v>0</v>
      </c>
      <c r="M1235" s="26"/>
    </row>
    <row r="1236" spans="1:13" ht="15" customHeight="1">
      <c r="A1236" s="25">
        <v>1561585</v>
      </c>
      <c r="B1236" s="26" t="s">
        <v>5423</v>
      </c>
      <c r="C1236" s="26" t="s">
        <v>8567</v>
      </c>
      <c r="D1236" s="26" t="s">
        <v>8568</v>
      </c>
      <c r="E1236" s="26" t="s">
        <v>5532</v>
      </c>
      <c r="F1236" s="27">
        <v>5536475</v>
      </c>
      <c r="G1236" s="27">
        <v>1</v>
      </c>
      <c r="H1236" s="27">
        <v>1</v>
      </c>
      <c r="I1236" s="27">
        <v>1</v>
      </c>
      <c r="J1236" s="30">
        <f t="shared" si="57"/>
        <v>1</v>
      </c>
      <c r="K1236" s="30">
        <f t="shared" si="58"/>
        <v>1</v>
      </c>
      <c r="L1236" s="26">
        <f t="shared" si="59"/>
        <v>1</v>
      </c>
      <c r="M1236" s="26"/>
    </row>
    <row r="1237" spans="1:13" ht="15" customHeight="1">
      <c r="A1237" s="25">
        <v>1561637</v>
      </c>
      <c r="B1237" s="26" t="s">
        <v>5427</v>
      </c>
      <c r="C1237" s="26" t="s">
        <v>8569</v>
      </c>
      <c r="D1237" s="26" t="s">
        <v>8570</v>
      </c>
      <c r="E1237" s="26" t="s">
        <v>5683</v>
      </c>
      <c r="F1237" s="27">
        <v>4849072</v>
      </c>
      <c r="G1237" s="27">
        <v>1</v>
      </c>
      <c r="H1237" s="27">
        <v>1</v>
      </c>
      <c r="I1237" s="27">
        <v>1</v>
      </c>
      <c r="J1237" s="30">
        <f t="shared" si="57"/>
        <v>1</v>
      </c>
      <c r="K1237" s="30">
        <f t="shared" si="58"/>
        <v>1</v>
      </c>
      <c r="L1237" s="26">
        <f t="shared" si="59"/>
        <v>1</v>
      </c>
      <c r="M1237" s="26" t="s">
        <v>7910</v>
      </c>
    </row>
    <row r="1238" spans="1:13" ht="15" customHeight="1">
      <c r="A1238" s="25">
        <v>1562257</v>
      </c>
      <c r="B1238" s="26" t="s">
        <v>5423</v>
      </c>
      <c r="C1238" s="26" t="s">
        <v>8571</v>
      </c>
      <c r="D1238" s="26" t="s">
        <v>8572</v>
      </c>
      <c r="E1238" s="26" t="s">
        <v>5439</v>
      </c>
      <c r="F1238" s="27">
        <v>4860741</v>
      </c>
      <c r="G1238" s="27">
        <v>0</v>
      </c>
      <c r="H1238" s="27">
        <v>1</v>
      </c>
      <c r="I1238" s="27">
        <v>1</v>
      </c>
      <c r="J1238" s="30">
        <f t="shared" si="57"/>
        <v>0</v>
      </c>
      <c r="K1238" s="30">
        <f t="shared" si="58"/>
        <v>1</v>
      </c>
      <c r="L1238" s="26">
        <f t="shared" si="59"/>
        <v>0</v>
      </c>
      <c r="M1238" s="26"/>
    </row>
    <row r="1239" spans="1:13" ht="15" customHeight="1">
      <c r="A1239" s="25">
        <v>1562534</v>
      </c>
      <c r="B1239" s="26" t="s">
        <v>5427</v>
      </c>
      <c r="C1239" s="26" t="s">
        <v>8573</v>
      </c>
      <c r="D1239" s="26" t="s">
        <v>8574</v>
      </c>
      <c r="E1239" s="26" t="s">
        <v>5480</v>
      </c>
      <c r="F1239" s="27">
        <v>5529968</v>
      </c>
      <c r="G1239" s="27">
        <v>1</v>
      </c>
      <c r="H1239" s="27">
        <v>1</v>
      </c>
      <c r="I1239" s="27">
        <v>1</v>
      </c>
      <c r="J1239" s="30">
        <f t="shared" si="57"/>
        <v>1</v>
      </c>
      <c r="K1239" s="30">
        <f t="shared" si="58"/>
        <v>1</v>
      </c>
      <c r="L1239" s="26">
        <f t="shared" si="59"/>
        <v>1</v>
      </c>
      <c r="M1239" s="26"/>
    </row>
    <row r="1240" spans="1:13" ht="15" customHeight="1">
      <c r="A1240" s="25">
        <v>1562575</v>
      </c>
      <c r="B1240" s="26" t="s">
        <v>5423</v>
      </c>
      <c r="C1240" s="26" t="s">
        <v>8575</v>
      </c>
      <c r="D1240" s="26" t="s">
        <v>8576</v>
      </c>
      <c r="E1240" s="26" t="s">
        <v>5522</v>
      </c>
      <c r="F1240" s="27">
        <v>5538714</v>
      </c>
      <c r="G1240" s="27">
        <v>0</v>
      </c>
      <c r="H1240" s="27">
        <v>0</v>
      </c>
      <c r="I1240" s="27">
        <v>0</v>
      </c>
      <c r="J1240" s="30">
        <f t="shared" si="57"/>
        <v>0</v>
      </c>
      <c r="K1240" s="30">
        <f t="shared" si="58"/>
        <v>0</v>
      </c>
      <c r="L1240" s="26">
        <f t="shared" si="59"/>
        <v>0</v>
      </c>
      <c r="M1240" s="26">
        <v>0</v>
      </c>
    </row>
    <row r="1241" spans="1:13" ht="15" customHeight="1">
      <c r="A1241" s="25">
        <v>1562603</v>
      </c>
      <c r="B1241" s="26" t="s">
        <v>5427</v>
      </c>
      <c r="C1241" s="26" t="s">
        <v>8577</v>
      </c>
      <c r="D1241" s="26" t="s">
        <v>8578</v>
      </c>
      <c r="E1241" s="26" t="s">
        <v>5430</v>
      </c>
      <c r="F1241" s="27">
        <v>5539476</v>
      </c>
      <c r="G1241" s="27">
        <v>0</v>
      </c>
      <c r="H1241" s="27">
        <v>0</v>
      </c>
      <c r="I1241" s="27">
        <v>0</v>
      </c>
      <c r="J1241" s="30">
        <f t="shared" si="57"/>
        <v>0</v>
      </c>
      <c r="K1241" s="30">
        <f t="shared" si="58"/>
        <v>0</v>
      </c>
      <c r="L1241" s="26">
        <f t="shared" si="59"/>
        <v>0</v>
      </c>
      <c r="M1241" s="26">
        <v>0</v>
      </c>
    </row>
    <row r="1242" spans="1:13" ht="15" customHeight="1">
      <c r="A1242" s="25">
        <v>1562897</v>
      </c>
      <c r="B1242" s="26" t="s">
        <v>5427</v>
      </c>
      <c r="C1242" s="26" t="s">
        <v>8579</v>
      </c>
      <c r="D1242" s="26" t="s">
        <v>8580</v>
      </c>
      <c r="E1242" s="26" t="s">
        <v>5891</v>
      </c>
      <c r="F1242" s="27">
        <v>5539276</v>
      </c>
      <c r="G1242" s="27">
        <v>0</v>
      </c>
      <c r="H1242" s="27">
        <v>0</v>
      </c>
      <c r="I1242" s="27">
        <v>0</v>
      </c>
      <c r="J1242" s="30">
        <f t="shared" si="57"/>
        <v>0</v>
      </c>
      <c r="K1242" s="30">
        <f t="shared" si="58"/>
        <v>0</v>
      </c>
      <c r="L1242" s="26">
        <f t="shared" si="59"/>
        <v>0</v>
      </c>
      <c r="M1242" s="26">
        <v>0</v>
      </c>
    </row>
    <row r="1243" spans="1:13" ht="15" customHeight="1">
      <c r="A1243" s="25">
        <v>1562958</v>
      </c>
      <c r="B1243" s="26" t="s">
        <v>5423</v>
      </c>
      <c r="C1243" s="26" t="s">
        <v>8581</v>
      </c>
      <c r="D1243" s="26" t="s">
        <v>8582</v>
      </c>
      <c r="E1243" s="26" t="s">
        <v>5545</v>
      </c>
      <c r="F1243" s="27">
        <v>1519331</v>
      </c>
      <c r="G1243" s="27">
        <v>0</v>
      </c>
      <c r="H1243" s="27">
        <v>0</v>
      </c>
      <c r="I1243" s="27">
        <v>0</v>
      </c>
      <c r="J1243" s="30">
        <f t="shared" si="57"/>
        <v>0</v>
      </c>
      <c r="K1243" s="30">
        <f t="shared" si="58"/>
        <v>0</v>
      </c>
      <c r="L1243" s="26">
        <f t="shared" si="59"/>
        <v>0</v>
      </c>
      <c r="M1243" s="26">
        <v>0</v>
      </c>
    </row>
    <row r="1244" spans="1:13" ht="15" customHeight="1">
      <c r="A1244" s="25">
        <v>1563016</v>
      </c>
      <c r="B1244" s="26" t="s">
        <v>5427</v>
      </c>
      <c r="C1244" s="26" t="s">
        <v>8583</v>
      </c>
      <c r="D1244" s="26" t="s">
        <v>8584</v>
      </c>
      <c r="E1244" s="26" t="s">
        <v>5968</v>
      </c>
      <c r="F1244" s="27">
        <v>5505086</v>
      </c>
      <c r="G1244" s="27">
        <v>1</v>
      </c>
      <c r="H1244" s="27">
        <v>1</v>
      </c>
      <c r="I1244" s="27">
        <v>1</v>
      </c>
      <c r="J1244" s="30">
        <f t="shared" si="57"/>
        <v>1</v>
      </c>
      <c r="K1244" s="30">
        <f t="shared" si="58"/>
        <v>1</v>
      </c>
      <c r="L1244" s="26">
        <f t="shared" si="59"/>
        <v>1</v>
      </c>
      <c r="M1244" s="26"/>
    </row>
    <row r="1245" spans="1:13" ht="15" customHeight="1">
      <c r="A1245" s="25">
        <v>1563812</v>
      </c>
      <c r="B1245" s="26" t="s">
        <v>5427</v>
      </c>
      <c r="C1245" s="26" t="s">
        <v>8585</v>
      </c>
      <c r="D1245" s="26" t="s">
        <v>8586</v>
      </c>
      <c r="E1245" s="26" t="s">
        <v>5507</v>
      </c>
      <c r="F1245" s="27">
        <v>5543407</v>
      </c>
      <c r="G1245" s="27">
        <v>0</v>
      </c>
      <c r="H1245" s="27">
        <v>0</v>
      </c>
      <c r="I1245" s="27">
        <v>0</v>
      </c>
      <c r="J1245" s="30">
        <f t="shared" si="57"/>
        <v>0</v>
      </c>
      <c r="K1245" s="30">
        <f t="shared" si="58"/>
        <v>0</v>
      </c>
      <c r="L1245" s="26">
        <f t="shared" si="59"/>
        <v>0</v>
      </c>
      <c r="M1245" s="26">
        <v>0</v>
      </c>
    </row>
    <row r="1246" spans="1:13" ht="15" customHeight="1">
      <c r="A1246" s="25">
        <v>1563825</v>
      </c>
      <c r="B1246" s="26" t="s">
        <v>5427</v>
      </c>
      <c r="C1246" s="26" t="s">
        <v>8587</v>
      </c>
      <c r="D1246" s="26" t="s">
        <v>8588</v>
      </c>
      <c r="E1246" s="26" t="s">
        <v>5430</v>
      </c>
      <c r="F1246" s="27">
        <v>5534854</v>
      </c>
      <c r="G1246" s="27">
        <v>1</v>
      </c>
      <c r="H1246" s="27">
        <v>0</v>
      </c>
      <c r="I1246" s="27">
        <v>1</v>
      </c>
      <c r="J1246" s="30">
        <f t="shared" si="57"/>
        <v>1</v>
      </c>
      <c r="K1246" s="30">
        <f t="shared" si="58"/>
        <v>0</v>
      </c>
      <c r="L1246" s="26">
        <f t="shared" si="59"/>
        <v>0</v>
      </c>
      <c r="M1246" s="26"/>
    </row>
    <row r="1247" spans="1:13" ht="15" customHeight="1">
      <c r="A1247" s="25">
        <v>1564079</v>
      </c>
      <c r="B1247" s="26" t="s">
        <v>5423</v>
      </c>
      <c r="C1247" s="26" t="s">
        <v>8589</v>
      </c>
      <c r="D1247" s="26" t="s">
        <v>8590</v>
      </c>
      <c r="E1247" s="26" t="s">
        <v>5475</v>
      </c>
      <c r="F1247" s="27">
        <v>5386713</v>
      </c>
      <c r="G1247" s="27">
        <v>1</v>
      </c>
      <c r="H1247" s="27">
        <v>1</v>
      </c>
      <c r="I1247" s="27">
        <v>1</v>
      </c>
      <c r="J1247" s="30">
        <f t="shared" si="57"/>
        <v>1</v>
      </c>
      <c r="K1247" s="30">
        <f t="shared" si="58"/>
        <v>1</v>
      </c>
      <c r="L1247" s="26">
        <f t="shared" si="59"/>
        <v>1</v>
      </c>
      <c r="M1247" s="26"/>
    </row>
    <row r="1248" spans="1:13" ht="15" customHeight="1">
      <c r="A1248" s="25">
        <v>1564087</v>
      </c>
      <c r="B1248" s="26" t="s">
        <v>5423</v>
      </c>
      <c r="C1248" s="26" t="s">
        <v>8591</v>
      </c>
      <c r="D1248" s="26" t="s">
        <v>8592</v>
      </c>
      <c r="E1248" s="26" t="s">
        <v>5683</v>
      </c>
      <c r="F1248" s="27">
        <v>4956796</v>
      </c>
      <c r="G1248" s="27">
        <v>1</v>
      </c>
      <c r="H1248" s="27">
        <v>1</v>
      </c>
      <c r="I1248" s="27">
        <v>1</v>
      </c>
      <c r="J1248" s="30">
        <f t="shared" si="57"/>
        <v>1</v>
      </c>
      <c r="K1248" s="30">
        <f t="shared" si="58"/>
        <v>1</v>
      </c>
      <c r="L1248" s="26">
        <f t="shared" si="59"/>
        <v>1</v>
      </c>
      <c r="M1248" s="26"/>
    </row>
    <row r="1249" spans="1:13" ht="15" customHeight="1">
      <c r="A1249" s="25">
        <v>1564092</v>
      </c>
      <c r="B1249" s="26" t="s">
        <v>5423</v>
      </c>
      <c r="C1249" s="26" t="s">
        <v>8593</v>
      </c>
      <c r="D1249" s="26" t="s">
        <v>8594</v>
      </c>
      <c r="E1249" s="26" t="s">
        <v>5447</v>
      </c>
      <c r="F1249" s="27">
        <v>5544738</v>
      </c>
      <c r="G1249" s="27">
        <v>0</v>
      </c>
      <c r="H1249" s="27">
        <v>0</v>
      </c>
      <c r="I1249" s="27">
        <v>0</v>
      </c>
      <c r="J1249" s="30">
        <f t="shared" si="57"/>
        <v>0</v>
      </c>
      <c r="K1249" s="30">
        <f t="shared" si="58"/>
        <v>0</v>
      </c>
      <c r="L1249" s="26">
        <f t="shared" si="59"/>
        <v>0</v>
      </c>
      <c r="M1249" s="26" t="s">
        <v>5567</v>
      </c>
    </row>
    <row r="1250" spans="1:13" ht="15" customHeight="1">
      <c r="A1250" s="25">
        <v>1564184</v>
      </c>
      <c r="B1250" s="26" t="s">
        <v>5427</v>
      </c>
      <c r="C1250" s="26" t="s">
        <v>8595</v>
      </c>
      <c r="D1250" s="26" t="s">
        <v>8596</v>
      </c>
      <c r="E1250" s="26" t="s">
        <v>5763</v>
      </c>
      <c r="F1250" s="27">
        <v>5096347</v>
      </c>
      <c r="G1250" s="27">
        <v>1</v>
      </c>
      <c r="H1250" s="27">
        <v>1</v>
      </c>
      <c r="I1250" s="27">
        <v>1</v>
      </c>
      <c r="J1250" s="30">
        <f t="shared" si="57"/>
        <v>1</v>
      </c>
      <c r="K1250" s="30">
        <f t="shared" si="58"/>
        <v>1</v>
      </c>
      <c r="L1250" s="26">
        <f t="shared" si="59"/>
        <v>1</v>
      </c>
      <c r="M1250" s="26"/>
    </row>
    <row r="1251" spans="1:13" ht="15" customHeight="1">
      <c r="A1251" s="25">
        <v>1564261</v>
      </c>
      <c r="B1251" s="26" t="s">
        <v>5423</v>
      </c>
      <c r="C1251" s="26" t="s">
        <v>8597</v>
      </c>
      <c r="D1251" s="26" t="s">
        <v>8598</v>
      </c>
      <c r="E1251" s="26" t="s">
        <v>5504</v>
      </c>
      <c r="F1251" s="27">
        <v>4907553</v>
      </c>
      <c r="G1251" s="27">
        <v>0</v>
      </c>
      <c r="H1251" s="27">
        <v>0</v>
      </c>
      <c r="I1251" s="27">
        <v>0</v>
      </c>
      <c r="J1251" s="30">
        <f t="shared" si="57"/>
        <v>0</v>
      </c>
      <c r="K1251" s="30">
        <f t="shared" si="58"/>
        <v>0</v>
      </c>
      <c r="L1251" s="26">
        <f t="shared" si="59"/>
        <v>0</v>
      </c>
      <c r="M1251" s="26" t="s">
        <v>5567</v>
      </c>
    </row>
    <row r="1252" spans="1:13" ht="15" customHeight="1">
      <c r="A1252" s="25">
        <v>1564265</v>
      </c>
      <c r="B1252" s="26" t="s">
        <v>5423</v>
      </c>
      <c r="C1252" s="26" t="s">
        <v>8599</v>
      </c>
      <c r="D1252" s="26" t="s">
        <v>8600</v>
      </c>
      <c r="E1252" s="26" t="s">
        <v>5426</v>
      </c>
      <c r="F1252" s="27">
        <v>5529385</v>
      </c>
      <c r="G1252" s="27">
        <v>1</v>
      </c>
      <c r="H1252" s="27">
        <v>1</v>
      </c>
      <c r="I1252" s="27">
        <v>1</v>
      </c>
      <c r="J1252" s="30">
        <f t="shared" si="57"/>
        <v>1</v>
      </c>
      <c r="K1252" s="30">
        <f t="shared" si="58"/>
        <v>1</v>
      </c>
      <c r="L1252" s="26">
        <f t="shared" si="59"/>
        <v>1</v>
      </c>
      <c r="M1252" s="26"/>
    </row>
    <row r="1253" spans="1:13" ht="15" customHeight="1">
      <c r="A1253" s="25">
        <v>1564647</v>
      </c>
      <c r="B1253" s="26" t="s">
        <v>5423</v>
      </c>
      <c r="C1253" s="26" t="s">
        <v>8601</v>
      </c>
      <c r="D1253" s="26" t="s">
        <v>8602</v>
      </c>
      <c r="E1253" s="26" t="s">
        <v>5517</v>
      </c>
      <c r="F1253" s="27">
        <v>5047555</v>
      </c>
      <c r="G1253" s="27">
        <v>1</v>
      </c>
      <c r="H1253" s="27">
        <v>0</v>
      </c>
      <c r="I1253" s="27">
        <v>1</v>
      </c>
      <c r="J1253" s="30">
        <f t="shared" si="57"/>
        <v>1</v>
      </c>
      <c r="K1253" s="30">
        <f t="shared" si="58"/>
        <v>0</v>
      </c>
      <c r="L1253" s="26">
        <f t="shared" si="59"/>
        <v>0</v>
      </c>
      <c r="M1253" s="26"/>
    </row>
    <row r="1254" spans="1:13" ht="15" customHeight="1">
      <c r="A1254" s="25">
        <v>1564649</v>
      </c>
      <c r="B1254" s="26" t="s">
        <v>5423</v>
      </c>
      <c r="C1254" s="26" t="s">
        <v>8603</v>
      </c>
      <c r="D1254" s="26" t="s">
        <v>8604</v>
      </c>
      <c r="E1254" s="26" t="s">
        <v>5480</v>
      </c>
      <c r="F1254" s="27">
        <v>4991291</v>
      </c>
      <c r="G1254" s="27">
        <v>1</v>
      </c>
      <c r="H1254" s="27">
        <v>0</v>
      </c>
      <c r="I1254" s="27">
        <v>1</v>
      </c>
      <c r="J1254" s="30">
        <f t="shared" si="57"/>
        <v>1</v>
      </c>
      <c r="K1254" s="30">
        <f t="shared" si="58"/>
        <v>0</v>
      </c>
      <c r="L1254" s="26">
        <f t="shared" si="59"/>
        <v>0</v>
      </c>
      <c r="M1254" s="26"/>
    </row>
    <row r="1255" spans="1:13" ht="15" customHeight="1">
      <c r="A1255" s="25">
        <v>1564782</v>
      </c>
      <c r="B1255" s="26" t="s">
        <v>5423</v>
      </c>
      <c r="C1255" s="26" t="s">
        <v>8605</v>
      </c>
      <c r="D1255" s="26" t="s">
        <v>8606</v>
      </c>
      <c r="E1255" s="26" t="s">
        <v>5447</v>
      </c>
      <c r="F1255" s="27">
        <v>5545733</v>
      </c>
      <c r="G1255" s="27">
        <v>0</v>
      </c>
      <c r="H1255" s="27">
        <v>0</v>
      </c>
      <c r="I1255" s="27">
        <v>0</v>
      </c>
      <c r="J1255" s="30">
        <f t="shared" si="57"/>
        <v>0</v>
      </c>
      <c r="K1255" s="30">
        <f t="shared" si="58"/>
        <v>0</v>
      </c>
      <c r="L1255" s="26">
        <f t="shared" si="59"/>
        <v>0</v>
      </c>
      <c r="M1255" s="26">
        <v>0</v>
      </c>
    </row>
    <row r="1256" spans="1:13" ht="15" customHeight="1">
      <c r="A1256" s="25">
        <v>1564803</v>
      </c>
      <c r="B1256" s="26" t="s">
        <v>5427</v>
      </c>
      <c r="C1256" s="26" t="s">
        <v>8607</v>
      </c>
      <c r="D1256" s="26" t="s">
        <v>8608</v>
      </c>
      <c r="E1256" s="26" t="s">
        <v>5455</v>
      </c>
      <c r="F1256" s="27">
        <v>5545893</v>
      </c>
      <c r="G1256" s="27">
        <v>0</v>
      </c>
      <c r="H1256" s="27">
        <v>0</v>
      </c>
      <c r="I1256" s="27">
        <v>0</v>
      </c>
      <c r="J1256" s="30">
        <f t="shared" si="57"/>
        <v>0</v>
      </c>
      <c r="K1256" s="30">
        <f t="shared" si="58"/>
        <v>0</v>
      </c>
      <c r="L1256" s="26">
        <f t="shared" si="59"/>
        <v>0</v>
      </c>
      <c r="M1256" s="26">
        <v>0</v>
      </c>
    </row>
    <row r="1257" spans="1:13" ht="15" customHeight="1">
      <c r="A1257" s="25">
        <v>1564810</v>
      </c>
      <c r="B1257" s="26" t="s">
        <v>5423</v>
      </c>
      <c r="C1257" s="26" t="s">
        <v>8609</v>
      </c>
      <c r="D1257" s="26" t="s">
        <v>8610</v>
      </c>
      <c r="E1257" s="26" t="s">
        <v>5430</v>
      </c>
      <c r="F1257" s="27">
        <v>5496355</v>
      </c>
      <c r="G1257" s="27">
        <v>1</v>
      </c>
      <c r="H1257" s="27">
        <v>0</v>
      </c>
      <c r="I1257" s="27">
        <v>1</v>
      </c>
      <c r="J1257" s="30">
        <f t="shared" si="57"/>
        <v>1</v>
      </c>
      <c r="K1257" s="30">
        <f t="shared" si="58"/>
        <v>0</v>
      </c>
      <c r="L1257" s="26">
        <f t="shared" si="59"/>
        <v>0</v>
      </c>
      <c r="M1257" s="26"/>
    </row>
    <row r="1258" spans="1:13" ht="15" customHeight="1">
      <c r="A1258" s="25">
        <v>1565304</v>
      </c>
      <c r="B1258" s="26" t="s">
        <v>5423</v>
      </c>
      <c r="C1258" s="26" t="s">
        <v>8611</v>
      </c>
      <c r="D1258" s="26" t="s">
        <v>8612</v>
      </c>
      <c r="E1258" s="26" t="s">
        <v>5452</v>
      </c>
      <c r="F1258" s="27">
        <v>5548001</v>
      </c>
      <c r="G1258" s="27">
        <v>0</v>
      </c>
      <c r="H1258" s="27">
        <v>0</v>
      </c>
      <c r="I1258" s="27">
        <v>0</v>
      </c>
      <c r="J1258" s="30">
        <f t="shared" si="57"/>
        <v>0</v>
      </c>
      <c r="K1258" s="30">
        <f t="shared" si="58"/>
        <v>0</v>
      </c>
      <c r="L1258" s="26">
        <f t="shared" si="59"/>
        <v>0</v>
      </c>
      <c r="M1258" s="26">
        <v>0</v>
      </c>
    </row>
    <row r="1259" spans="1:13" ht="15" customHeight="1">
      <c r="A1259" s="25">
        <v>1565666</v>
      </c>
      <c r="B1259" s="26" t="s">
        <v>5427</v>
      </c>
      <c r="C1259" s="26" t="s">
        <v>8613</v>
      </c>
      <c r="D1259" s="26" t="s">
        <v>8614</v>
      </c>
      <c r="E1259" s="26" t="s">
        <v>5763</v>
      </c>
      <c r="F1259" s="27">
        <v>5543712</v>
      </c>
      <c r="G1259" s="27">
        <v>1</v>
      </c>
      <c r="H1259" s="27">
        <v>1</v>
      </c>
      <c r="I1259" s="27">
        <v>1</v>
      </c>
      <c r="J1259" s="30">
        <f t="shared" si="57"/>
        <v>1</v>
      </c>
      <c r="K1259" s="30">
        <f t="shared" si="58"/>
        <v>1</v>
      </c>
      <c r="L1259" s="26">
        <f t="shared" si="59"/>
        <v>1</v>
      </c>
      <c r="M1259" s="26"/>
    </row>
    <row r="1260" spans="1:13" ht="15" customHeight="1">
      <c r="A1260" s="25">
        <v>1565669</v>
      </c>
      <c r="B1260" s="26" t="s">
        <v>5423</v>
      </c>
      <c r="C1260" s="26" t="s">
        <v>8615</v>
      </c>
      <c r="D1260" s="26" t="s">
        <v>8616</v>
      </c>
      <c r="E1260" s="26" t="s">
        <v>5560</v>
      </c>
      <c r="F1260" s="27">
        <v>3421229</v>
      </c>
      <c r="G1260" s="27">
        <v>1</v>
      </c>
      <c r="H1260" s="27">
        <v>1</v>
      </c>
      <c r="I1260" s="27">
        <v>1</v>
      </c>
      <c r="J1260" s="30">
        <f t="shared" si="57"/>
        <v>1</v>
      </c>
      <c r="K1260" s="30">
        <f t="shared" si="58"/>
        <v>1</v>
      </c>
      <c r="L1260" s="26">
        <f t="shared" si="59"/>
        <v>1</v>
      </c>
      <c r="M1260" s="26"/>
    </row>
    <row r="1261" spans="1:13" ht="15" customHeight="1">
      <c r="A1261" s="25">
        <v>1565762</v>
      </c>
      <c r="B1261" s="26" t="s">
        <v>5423</v>
      </c>
      <c r="C1261" s="26" t="s">
        <v>8617</v>
      </c>
      <c r="D1261" s="26" t="s">
        <v>8618</v>
      </c>
      <c r="E1261" s="26" t="s">
        <v>5586</v>
      </c>
      <c r="F1261" s="27">
        <v>5477227</v>
      </c>
      <c r="G1261" s="27">
        <v>1</v>
      </c>
      <c r="H1261" s="27">
        <v>1</v>
      </c>
      <c r="I1261" s="27">
        <v>1</v>
      </c>
      <c r="J1261" s="30">
        <f t="shared" si="57"/>
        <v>1</v>
      </c>
      <c r="K1261" s="30">
        <f t="shared" si="58"/>
        <v>1</v>
      </c>
      <c r="L1261" s="26">
        <f t="shared" si="59"/>
        <v>1</v>
      </c>
      <c r="M1261" s="26" t="s">
        <v>8188</v>
      </c>
    </row>
    <row r="1262" spans="1:13" ht="15" customHeight="1">
      <c r="A1262" s="25">
        <v>1566045</v>
      </c>
      <c r="B1262" s="26" t="s">
        <v>5423</v>
      </c>
      <c r="C1262" s="26" t="s">
        <v>8619</v>
      </c>
      <c r="D1262" s="26" t="s">
        <v>8620</v>
      </c>
      <c r="E1262" s="26" t="s">
        <v>5436</v>
      </c>
      <c r="F1262" s="27">
        <v>5550747</v>
      </c>
      <c r="G1262" s="27">
        <v>0</v>
      </c>
      <c r="H1262" s="27">
        <v>1</v>
      </c>
      <c r="I1262" s="27">
        <v>1</v>
      </c>
      <c r="J1262" s="30">
        <f t="shared" si="57"/>
        <v>0</v>
      </c>
      <c r="K1262" s="30">
        <f t="shared" si="58"/>
        <v>1</v>
      </c>
      <c r="L1262" s="26">
        <f t="shared" si="59"/>
        <v>0</v>
      </c>
      <c r="M1262" s="26"/>
    </row>
    <row r="1263" spans="1:13" ht="15" customHeight="1">
      <c r="A1263" s="25">
        <v>1566089</v>
      </c>
      <c r="B1263" s="26" t="s">
        <v>5423</v>
      </c>
      <c r="C1263" s="26" t="s">
        <v>8621</v>
      </c>
      <c r="D1263" s="26" t="s">
        <v>8622</v>
      </c>
      <c r="E1263" s="26" t="s">
        <v>5439</v>
      </c>
      <c r="F1263" s="27">
        <v>5550820</v>
      </c>
      <c r="G1263" s="27">
        <v>0</v>
      </c>
      <c r="H1263" s="27">
        <v>1</v>
      </c>
      <c r="I1263" s="27">
        <v>1</v>
      </c>
      <c r="J1263" s="30">
        <f t="shared" si="57"/>
        <v>0</v>
      </c>
      <c r="K1263" s="30">
        <f t="shared" si="58"/>
        <v>1</v>
      </c>
      <c r="L1263" s="26">
        <f t="shared" si="59"/>
        <v>0</v>
      </c>
      <c r="M1263" s="26"/>
    </row>
    <row r="1264" spans="1:13" ht="15" customHeight="1">
      <c r="A1264" s="25">
        <v>1566295</v>
      </c>
      <c r="B1264" s="26" t="s">
        <v>5423</v>
      </c>
      <c r="C1264" s="26" t="s">
        <v>8623</v>
      </c>
      <c r="D1264" s="26" t="s">
        <v>8624</v>
      </c>
      <c r="E1264" s="26" t="s">
        <v>5522</v>
      </c>
      <c r="F1264" s="27">
        <v>5540856</v>
      </c>
      <c r="G1264" s="27">
        <v>1</v>
      </c>
      <c r="H1264" s="27">
        <v>0</v>
      </c>
      <c r="I1264" s="27">
        <v>1</v>
      </c>
      <c r="J1264" s="30">
        <f t="shared" si="57"/>
        <v>1</v>
      </c>
      <c r="K1264" s="30">
        <f t="shared" si="58"/>
        <v>0</v>
      </c>
      <c r="L1264" s="26">
        <f t="shared" si="59"/>
        <v>0</v>
      </c>
      <c r="M1264" s="26"/>
    </row>
    <row r="1265" spans="1:13" ht="15" customHeight="1">
      <c r="A1265" s="25">
        <v>1566296</v>
      </c>
      <c r="B1265" s="26" t="s">
        <v>5423</v>
      </c>
      <c r="C1265" s="26" t="s">
        <v>8625</v>
      </c>
      <c r="D1265" s="26" t="s">
        <v>8626</v>
      </c>
      <c r="E1265" s="26" t="s">
        <v>5532</v>
      </c>
      <c r="F1265" s="27">
        <v>5551513</v>
      </c>
      <c r="G1265" s="27">
        <v>0</v>
      </c>
      <c r="H1265" s="27">
        <v>0</v>
      </c>
      <c r="I1265" s="27">
        <v>0</v>
      </c>
      <c r="J1265" s="30">
        <f t="shared" si="57"/>
        <v>0</v>
      </c>
      <c r="K1265" s="30">
        <f t="shared" si="58"/>
        <v>0</v>
      </c>
      <c r="L1265" s="26">
        <f t="shared" si="59"/>
        <v>0</v>
      </c>
      <c r="M1265" s="26">
        <v>0</v>
      </c>
    </row>
    <row r="1266" spans="1:13" ht="15" customHeight="1">
      <c r="A1266" s="25">
        <v>1566739</v>
      </c>
      <c r="B1266" s="26" t="s">
        <v>5423</v>
      </c>
      <c r="C1266" s="26" t="s">
        <v>8627</v>
      </c>
      <c r="D1266" s="26" t="s">
        <v>8628</v>
      </c>
      <c r="E1266" s="26" t="s">
        <v>5491</v>
      </c>
      <c r="F1266" s="27">
        <v>5552789</v>
      </c>
      <c r="G1266" s="27">
        <v>1</v>
      </c>
      <c r="H1266" s="27">
        <v>0</v>
      </c>
      <c r="I1266" s="27">
        <v>1</v>
      </c>
      <c r="J1266" s="30">
        <f t="shared" si="57"/>
        <v>1</v>
      </c>
      <c r="K1266" s="30">
        <f t="shared" si="58"/>
        <v>0</v>
      </c>
      <c r="L1266" s="26">
        <f t="shared" si="59"/>
        <v>0</v>
      </c>
      <c r="M1266" s="26"/>
    </row>
    <row r="1267" spans="1:13" ht="15" customHeight="1">
      <c r="A1267" s="25">
        <v>1566787</v>
      </c>
      <c r="B1267" s="26" t="s">
        <v>5427</v>
      </c>
      <c r="C1267" s="26" t="s">
        <v>8629</v>
      </c>
      <c r="D1267" s="26" t="s">
        <v>8630</v>
      </c>
      <c r="E1267" s="26" t="s">
        <v>5430</v>
      </c>
      <c r="F1267" s="27">
        <v>5534854</v>
      </c>
      <c r="G1267" s="27">
        <v>1</v>
      </c>
      <c r="H1267" s="27">
        <v>0</v>
      </c>
      <c r="I1267" s="27">
        <v>1</v>
      </c>
      <c r="J1267" s="30">
        <f t="shared" si="57"/>
        <v>1</v>
      </c>
      <c r="K1267" s="30">
        <f t="shared" si="58"/>
        <v>0</v>
      </c>
      <c r="L1267" s="26">
        <f t="shared" si="59"/>
        <v>0</v>
      </c>
      <c r="M1267" s="26"/>
    </row>
    <row r="1268" spans="1:13" ht="15" customHeight="1">
      <c r="A1268" s="25">
        <v>1567510</v>
      </c>
      <c r="B1268" s="26" t="s">
        <v>5423</v>
      </c>
      <c r="C1268" s="26" t="s">
        <v>8631</v>
      </c>
      <c r="D1268" s="26" t="s">
        <v>8632</v>
      </c>
      <c r="E1268" s="26" t="s">
        <v>5540</v>
      </c>
      <c r="F1268" s="27">
        <v>5555998</v>
      </c>
      <c r="G1268" s="27">
        <v>1</v>
      </c>
      <c r="H1268" s="27">
        <v>0</v>
      </c>
      <c r="I1268" s="27">
        <v>1</v>
      </c>
      <c r="J1268" s="30">
        <f t="shared" si="57"/>
        <v>1</v>
      </c>
      <c r="K1268" s="30">
        <f t="shared" si="58"/>
        <v>0</v>
      </c>
      <c r="L1268" s="26">
        <f t="shared" si="59"/>
        <v>0</v>
      </c>
      <c r="M1268" s="26"/>
    </row>
    <row r="1269" spans="1:13" ht="15" customHeight="1">
      <c r="A1269" s="25">
        <v>1567515</v>
      </c>
      <c r="B1269" s="26" t="s">
        <v>5427</v>
      </c>
      <c r="C1269" s="26" t="s">
        <v>8633</v>
      </c>
      <c r="D1269" s="26" t="s">
        <v>8634</v>
      </c>
      <c r="E1269" s="26" t="s">
        <v>6541</v>
      </c>
      <c r="F1269" s="27">
        <v>5556460</v>
      </c>
      <c r="G1269" s="27">
        <v>0</v>
      </c>
      <c r="H1269" s="27">
        <v>0</v>
      </c>
      <c r="I1269" s="27">
        <v>0</v>
      </c>
      <c r="J1269" s="30">
        <f t="shared" si="57"/>
        <v>0</v>
      </c>
      <c r="K1269" s="30">
        <f t="shared" si="58"/>
        <v>0</v>
      </c>
      <c r="L1269" s="26">
        <f t="shared" si="59"/>
        <v>0</v>
      </c>
      <c r="M1269" s="26">
        <v>0</v>
      </c>
    </row>
    <row r="1270" spans="1:13" ht="15" customHeight="1">
      <c r="A1270" s="25">
        <v>1567555</v>
      </c>
      <c r="B1270" s="26" t="s">
        <v>5423</v>
      </c>
      <c r="C1270" s="26" t="s">
        <v>8635</v>
      </c>
      <c r="D1270" s="26" t="s">
        <v>8636</v>
      </c>
      <c r="E1270" s="26" t="s">
        <v>5968</v>
      </c>
      <c r="F1270" s="27">
        <v>5059525</v>
      </c>
      <c r="G1270" s="27">
        <v>1</v>
      </c>
      <c r="H1270" s="27">
        <v>0</v>
      </c>
      <c r="I1270" s="27">
        <v>1</v>
      </c>
      <c r="J1270" s="30">
        <f t="shared" si="57"/>
        <v>1</v>
      </c>
      <c r="K1270" s="30">
        <f t="shared" si="58"/>
        <v>0</v>
      </c>
      <c r="L1270" s="26">
        <f t="shared" si="59"/>
        <v>0</v>
      </c>
      <c r="M1270" s="26"/>
    </row>
    <row r="1271" spans="1:13" ht="15" customHeight="1">
      <c r="A1271" s="25">
        <v>1567591</v>
      </c>
      <c r="B1271" s="26" t="s">
        <v>5427</v>
      </c>
      <c r="C1271" s="26" t="s">
        <v>8637</v>
      </c>
      <c r="D1271" s="26" t="s">
        <v>8638</v>
      </c>
      <c r="E1271" s="26" t="s">
        <v>5968</v>
      </c>
      <c r="F1271" s="27">
        <v>5323926</v>
      </c>
      <c r="G1271" s="27">
        <v>1</v>
      </c>
      <c r="H1271" s="27">
        <v>1</v>
      </c>
      <c r="I1271" s="27">
        <v>1</v>
      </c>
      <c r="J1271" s="30">
        <f t="shared" si="57"/>
        <v>1</v>
      </c>
      <c r="K1271" s="30">
        <f t="shared" si="58"/>
        <v>1</v>
      </c>
      <c r="L1271" s="26">
        <f t="shared" si="59"/>
        <v>1</v>
      </c>
      <c r="M1271" s="26"/>
    </row>
    <row r="1272" spans="1:13" ht="15" customHeight="1">
      <c r="A1272" s="25">
        <v>1567642</v>
      </c>
      <c r="B1272" s="26" t="s">
        <v>5427</v>
      </c>
      <c r="C1272" s="26" t="s">
        <v>8639</v>
      </c>
      <c r="D1272" s="26" t="s">
        <v>8640</v>
      </c>
      <c r="E1272" s="26" t="s">
        <v>5485</v>
      </c>
      <c r="F1272" s="27">
        <v>4794294</v>
      </c>
      <c r="G1272" s="27">
        <v>1</v>
      </c>
      <c r="H1272" s="27">
        <v>0</v>
      </c>
      <c r="I1272" s="27">
        <v>1</v>
      </c>
      <c r="J1272" s="30">
        <f t="shared" si="57"/>
        <v>1</v>
      </c>
      <c r="K1272" s="30">
        <f t="shared" si="58"/>
        <v>0</v>
      </c>
      <c r="L1272" s="26">
        <f t="shared" si="59"/>
        <v>0</v>
      </c>
      <c r="M1272" s="26"/>
    </row>
    <row r="1273" spans="1:13" ht="15" customHeight="1">
      <c r="A1273" s="25">
        <v>1567645</v>
      </c>
      <c r="B1273" s="26" t="s">
        <v>5427</v>
      </c>
      <c r="C1273" s="26" t="s">
        <v>8641</v>
      </c>
      <c r="D1273" s="26" t="s">
        <v>8642</v>
      </c>
      <c r="E1273" s="26" t="s">
        <v>5507</v>
      </c>
      <c r="F1273" s="27">
        <v>5547927</v>
      </c>
      <c r="G1273" s="27">
        <v>1</v>
      </c>
      <c r="H1273" s="27">
        <v>0</v>
      </c>
      <c r="I1273" s="27">
        <v>1</v>
      </c>
      <c r="J1273" s="30">
        <f t="shared" si="57"/>
        <v>1</v>
      </c>
      <c r="K1273" s="30">
        <f t="shared" si="58"/>
        <v>0</v>
      </c>
      <c r="L1273" s="26">
        <f t="shared" si="59"/>
        <v>0</v>
      </c>
      <c r="M1273" s="26"/>
    </row>
    <row r="1274" spans="1:13" ht="15" customHeight="1">
      <c r="A1274" s="25">
        <v>1567720</v>
      </c>
      <c r="B1274" s="26" t="s">
        <v>5423</v>
      </c>
      <c r="C1274" s="26" t="s">
        <v>8643</v>
      </c>
      <c r="D1274" s="26" t="s">
        <v>8644</v>
      </c>
      <c r="E1274" s="26" t="s">
        <v>5452</v>
      </c>
      <c r="F1274" s="27">
        <v>5555741</v>
      </c>
      <c r="G1274" s="27">
        <v>0</v>
      </c>
      <c r="H1274" s="27">
        <v>0</v>
      </c>
      <c r="I1274" s="27">
        <v>0</v>
      </c>
      <c r="J1274" s="30">
        <f t="shared" si="57"/>
        <v>0</v>
      </c>
      <c r="K1274" s="30">
        <f t="shared" si="58"/>
        <v>0</v>
      </c>
      <c r="L1274" s="26">
        <f t="shared" si="59"/>
        <v>0</v>
      </c>
      <c r="M1274" s="26">
        <v>0</v>
      </c>
    </row>
    <row r="1275" spans="1:13" ht="15" customHeight="1">
      <c r="A1275" s="25">
        <v>1569070</v>
      </c>
      <c r="B1275" s="26" t="s">
        <v>5427</v>
      </c>
      <c r="C1275" s="26" t="s">
        <v>8645</v>
      </c>
      <c r="D1275" s="26" t="s">
        <v>8646</v>
      </c>
      <c r="E1275" s="26" t="s">
        <v>5683</v>
      </c>
      <c r="F1275" s="27">
        <v>5555594</v>
      </c>
      <c r="G1275" s="27">
        <v>1</v>
      </c>
      <c r="H1275" s="27">
        <v>0</v>
      </c>
      <c r="I1275" s="27">
        <v>1</v>
      </c>
      <c r="J1275" s="30">
        <f t="shared" si="57"/>
        <v>1</v>
      </c>
      <c r="K1275" s="30">
        <f t="shared" si="58"/>
        <v>0</v>
      </c>
      <c r="L1275" s="26">
        <f t="shared" si="59"/>
        <v>0</v>
      </c>
      <c r="M1275" s="26"/>
    </row>
    <row r="1276" spans="1:13" ht="15" customHeight="1">
      <c r="A1276" s="25">
        <v>1569307</v>
      </c>
      <c r="B1276" s="26" t="s">
        <v>5423</v>
      </c>
      <c r="C1276" s="26" t="s">
        <v>8647</v>
      </c>
      <c r="D1276" s="26" t="s">
        <v>8648</v>
      </c>
      <c r="E1276" s="26" t="s">
        <v>5603</v>
      </c>
      <c r="F1276" s="27"/>
      <c r="G1276" s="27">
        <v>0</v>
      </c>
      <c r="H1276" s="27">
        <v>0</v>
      </c>
      <c r="I1276" s="27">
        <v>0</v>
      </c>
      <c r="J1276" s="30">
        <f t="shared" si="57"/>
        <v>0</v>
      </c>
      <c r="K1276" s="30">
        <f t="shared" si="58"/>
        <v>0</v>
      </c>
      <c r="L1276" s="26">
        <f t="shared" si="59"/>
        <v>0</v>
      </c>
      <c r="M1276" s="26" t="s">
        <v>8216</v>
      </c>
    </row>
    <row r="1277" spans="1:13" ht="15" customHeight="1">
      <c r="A1277" s="25">
        <v>1569326</v>
      </c>
      <c r="B1277" s="26" t="s">
        <v>5423</v>
      </c>
      <c r="C1277" s="26" t="s">
        <v>8649</v>
      </c>
      <c r="D1277" s="26" t="s">
        <v>8650</v>
      </c>
      <c r="E1277" s="26" t="s">
        <v>5517</v>
      </c>
      <c r="F1277" s="27">
        <v>5561507</v>
      </c>
      <c r="G1277" s="27">
        <v>0</v>
      </c>
      <c r="H1277" s="27">
        <v>0</v>
      </c>
      <c r="I1277" s="27">
        <v>0</v>
      </c>
      <c r="J1277" s="30">
        <f t="shared" si="57"/>
        <v>0</v>
      </c>
      <c r="K1277" s="30">
        <f t="shared" si="58"/>
        <v>0</v>
      </c>
      <c r="L1277" s="26">
        <f t="shared" si="59"/>
        <v>0</v>
      </c>
      <c r="M1277" s="26">
        <v>0</v>
      </c>
    </row>
    <row r="1278" spans="1:13" ht="15" customHeight="1">
      <c r="A1278" s="25">
        <v>1569330</v>
      </c>
      <c r="B1278" s="26" t="s">
        <v>5427</v>
      </c>
      <c r="C1278" s="26" t="s">
        <v>8651</v>
      </c>
      <c r="D1278" s="26" t="s">
        <v>8652</v>
      </c>
      <c r="E1278" s="26" t="s">
        <v>5504</v>
      </c>
      <c r="F1278" s="27">
        <v>5562109</v>
      </c>
      <c r="G1278" s="27">
        <v>0</v>
      </c>
      <c r="H1278" s="27">
        <v>1</v>
      </c>
      <c r="I1278" s="27">
        <v>1</v>
      </c>
      <c r="J1278" s="30">
        <f t="shared" si="57"/>
        <v>0</v>
      </c>
      <c r="K1278" s="30">
        <f t="shared" si="58"/>
        <v>1</v>
      </c>
      <c r="L1278" s="26">
        <f t="shared" si="59"/>
        <v>0</v>
      </c>
      <c r="M1278" s="26"/>
    </row>
    <row r="1279" spans="1:13" ht="15" customHeight="1">
      <c r="A1279" s="25">
        <v>1569358</v>
      </c>
      <c r="B1279" s="26" t="s">
        <v>5423</v>
      </c>
      <c r="C1279" s="26" t="s">
        <v>8653</v>
      </c>
      <c r="D1279" s="26" t="s">
        <v>8654</v>
      </c>
      <c r="E1279" s="26" t="s">
        <v>5430</v>
      </c>
      <c r="F1279" s="27">
        <v>5443668</v>
      </c>
      <c r="G1279" s="27">
        <v>1</v>
      </c>
      <c r="H1279" s="27">
        <v>1</v>
      </c>
      <c r="I1279" s="27">
        <v>1</v>
      </c>
      <c r="J1279" s="30">
        <f t="shared" si="57"/>
        <v>1</v>
      </c>
      <c r="K1279" s="30">
        <f t="shared" si="58"/>
        <v>1</v>
      </c>
      <c r="L1279" s="26">
        <f t="shared" si="59"/>
        <v>1</v>
      </c>
      <c r="M1279" s="26" t="s">
        <v>8209</v>
      </c>
    </row>
    <row r="1280" spans="1:13" ht="15" customHeight="1">
      <c r="A1280" s="25">
        <v>1569614</v>
      </c>
      <c r="B1280" s="26" t="s">
        <v>5427</v>
      </c>
      <c r="C1280" s="26" t="s">
        <v>8655</v>
      </c>
      <c r="D1280" s="26" t="s">
        <v>8656</v>
      </c>
      <c r="E1280" s="26" t="s">
        <v>5560</v>
      </c>
      <c r="F1280" s="27">
        <v>5563920</v>
      </c>
      <c r="G1280" s="27">
        <v>0</v>
      </c>
      <c r="H1280" s="27">
        <v>0</v>
      </c>
      <c r="I1280" s="27">
        <v>0</v>
      </c>
      <c r="J1280" s="30">
        <f t="shared" si="57"/>
        <v>0</v>
      </c>
      <c r="K1280" s="30">
        <f t="shared" si="58"/>
        <v>0</v>
      </c>
      <c r="L1280" s="26">
        <f t="shared" si="59"/>
        <v>0</v>
      </c>
      <c r="M1280" s="26">
        <v>0</v>
      </c>
    </row>
    <row r="1281" spans="1:13" ht="15" customHeight="1">
      <c r="A1281" s="25">
        <v>1569703</v>
      </c>
      <c r="B1281" s="26" t="s">
        <v>5423</v>
      </c>
      <c r="C1281" s="26" t="s">
        <v>8657</v>
      </c>
      <c r="D1281" s="26" t="s">
        <v>8658</v>
      </c>
      <c r="E1281" s="26" t="s">
        <v>5447</v>
      </c>
      <c r="F1281" s="27">
        <v>5564418</v>
      </c>
      <c r="G1281" s="27">
        <v>1</v>
      </c>
      <c r="H1281" s="27">
        <v>1</v>
      </c>
      <c r="I1281" s="27">
        <v>1</v>
      </c>
      <c r="J1281" s="30">
        <f t="shared" si="57"/>
        <v>1</v>
      </c>
      <c r="K1281" s="30">
        <f t="shared" si="58"/>
        <v>1</v>
      </c>
      <c r="L1281" s="26">
        <f t="shared" si="59"/>
        <v>1</v>
      </c>
      <c r="M1281" s="26"/>
    </row>
    <row r="1282" spans="1:13" ht="15" customHeight="1">
      <c r="A1282" s="25">
        <v>1569705</v>
      </c>
      <c r="B1282" s="26" t="s">
        <v>5423</v>
      </c>
      <c r="C1282" s="26" t="s">
        <v>8659</v>
      </c>
      <c r="D1282" s="26" t="s">
        <v>8660</v>
      </c>
      <c r="E1282" s="26" t="s">
        <v>5430</v>
      </c>
      <c r="F1282" s="27">
        <v>5564156</v>
      </c>
      <c r="G1282" s="27">
        <v>1</v>
      </c>
      <c r="H1282" s="27">
        <v>1</v>
      </c>
      <c r="I1282" s="27">
        <v>1</v>
      </c>
      <c r="J1282" s="30">
        <f t="shared" ref="J1282:J1345" si="60">IF(G1282&gt;0,1,0)</f>
        <v>1</v>
      </c>
      <c r="K1282" s="30">
        <f t="shared" ref="K1282:K1345" si="61">IF(H1282&gt;0,1,0)</f>
        <v>1</v>
      </c>
      <c r="L1282" s="26">
        <f t="shared" ref="L1282:L1345" si="62">IF(G1282&gt;0,IF(H1282&gt;0,1,0),0)</f>
        <v>1</v>
      </c>
      <c r="M1282" s="26"/>
    </row>
    <row r="1283" spans="1:13" ht="15" customHeight="1">
      <c r="A1283" s="25">
        <v>1570268</v>
      </c>
      <c r="B1283" s="26" t="s">
        <v>5423</v>
      </c>
      <c r="C1283" s="26" t="s">
        <v>8661</v>
      </c>
      <c r="D1283" s="26" t="s">
        <v>8662</v>
      </c>
      <c r="E1283" s="26" t="s">
        <v>5603</v>
      </c>
      <c r="F1283" s="27">
        <v>5053320</v>
      </c>
      <c r="G1283" s="27">
        <v>1</v>
      </c>
      <c r="H1283" s="27">
        <v>1</v>
      </c>
      <c r="I1283" s="27">
        <v>1</v>
      </c>
      <c r="J1283" s="30">
        <f t="shared" si="60"/>
        <v>1</v>
      </c>
      <c r="K1283" s="30">
        <f t="shared" si="61"/>
        <v>1</v>
      </c>
      <c r="L1283" s="26">
        <f t="shared" si="62"/>
        <v>1</v>
      </c>
      <c r="M1283" s="26"/>
    </row>
    <row r="1284" spans="1:13" ht="15" customHeight="1">
      <c r="A1284" s="25">
        <v>1570404</v>
      </c>
      <c r="B1284" s="26" t="s">
        <v>5423</v>
      </c>
      <c r="C1284" s="26" t="s">
        <v>8663</v>
      </c>
      <c r="D1284" s="26" t="s">
        <v>8664</v>
      </c>
      <c r="E1284" s="26" t="s">
        <v>5433</v>
      </c>
      <c r="F1284" s="27">
        <v>5536822</v>
      </c>
      <c r="G1284" s="27">
        <v>1</v>
      </c>
      <c r="H1284" s="27">
        <v>0</v>
      </c>
      <c r="I1284" s="27">
        <v>1</v>
      </c>
      <c r="J1284" s="30">
        <f t="shared" si="60"/>
        <v>1</v>
      </c>
      <c r="K1284" s="30">
        <f t="shared" si="61"/>
        <v>0</v>
      </c>
      <c r="L1284" s="26">
        <f t="shared" si="62"/>
        <v>0</v>
      </c>
      <c r="M1284" s="26"/>
    </row>
    <row r="1285" spans="1:13" ht="15" customHeight="1">
      <c r="A1285" s="25">
        <v>1571371</v>
      </c>
      <c r="B1285" s="26" t="s">
        <v>5427</v>
      </c>
      <c r="C1285" s="26" t="s">
        <v>8665</v>
      </c>
      <c r="D1285" s="26" t="s">
        <v>8666</v>
      </c>
      <c r="E1285" s="26" t="s">
        <v>5575</v>
      </c>
      <c r="F1285" s="27">
        <v>5545926</v>
      </c>
      <c r="G1285" s="27">
        <v>1</v>
      </c>
      <c r="H1285" s="27">
        <v>0</v>
      </c>
      <c r="I1285" s="27">
        <v>1</v>
      </c>
      <c r="J1285" s="30">
        <f t="shared" si="60"/>
        <v>1</v>
      </c>
      <c r="K1285" s="30">
        <f t="shared" si="61"/>
        <v>0</v>
      </c>
      <c r="L1285" s="26">
        <f t="shared" si="62"/>
        <v>0</v>
      </c>
      <c r="M1285" s="26"/>
    </row>
    <row r="1286" spans="1:13" ht="15" customHeight="1">
      <c r="A1286" s="25">
        <v>1571656</v>
      </c>
      <c r="B1286" s="26" t="s">
        <v>5423</v>
      </c>
      <c r="C1286" s="26" t="s">
        <v>8667</v>
      </c>
      <c r="D1286" s="26" t="s">
        <v>8668</v>
      </c>
      <c r="E1286" s="26" t="s">
        <v>5426</v>
      </c>
      <c r="F1286" s="27">
        <v>5571393</v>
      </c>
      <c r="G1286" s="27">
        <v>1</v>
      </c>
      <c r="H1286" s="27">
        <v>0</v>
      </c>
      <c r="I1286" s="27">
        <v>1</v>
      </c>
      <c r="J1286" s="30">
        <f t="shared" si="60"/>
        <v>1</v>
      </c>
      <c r="K1286" s="30">
        <f t="shared" si="61"/>
        <v>0</v>
      </c>
      <c r="L1286" s="26">
        <f t="shared" si="62"/>
        <v>0</v>
      </c>
      <c r="M1286" s="26"/>
    </row>
    <row r="1287" spans="1:13" ht="15" customHeight="1">
      <c r="A1287" s="25">
        <v>1571746</v>
      </c>
      <c r="B1287" s="26" t="s">
        <v>5423</v>
      </c>
      <c r="C1287" s="26" t="s">
        <v>8669</v>
      </c>
      <c r="D1287" s="26" t="s">
        <v>8670</v>
      </c>
      <c r="E1287" s="26" t="s">
        <v>5522</v>
      </c>
      <c r="F1287" s="27">
        <v>5571293</v>
      </c>
      <c r="G1287" s="27">
        <v>0</v>
      </c>
      <c r="H1287" s="27">
        <v>0</v>
      </c>
      <c r="I1287" s="27">
        <v>0</v>
      </c>
      <c r="J1287" s="30">
        <f t="shared" si="60"/>
        <v>0</v>
      </c>
      <c r="K1287" s="30">
        <f t="shared" si="61"/>
        <v>0</v>
      </c>
      <c r="L1287" s="26">
        <f t="shared" si="62"/>
        <v>0</v>
      </c>
      <c r="M1287" s="26">
        <v>0</v>
      </c>
    </row>
    <row r="1288" spans="1:13" ht="15" customHeight="1">
      <c r="A1288" s="25">
        <v>1572529</v>
      </c>
      <c r="B1288" s="26" t="s">
        <v>5423</v>
      </c>
      <c r="C1288" s="26" t="s">
        <v>8671</v>
      </c>
      <c r="D1288" s="26" t="s">
        <v>8672</v>
      </c>
      <c r="E1288" s="26" t="s">
        <v>5504</v>
      </c>
      <c r="F1288" s="27">
        <v>5236657</v>
      </c>
      <c r="G1288" s="27">
        <v>0</v>
      </c>
      <c r="H1288" s="27">
        <v>0</v>
      </c>
      <c r="I1288" s="27">
        <v>0</v>
      </c>
      <c r="J1288" s="30">
        <f t="shared" si="60"/>
        <v>0</v>
      </c>
      <c r="K1288" s="30">
        <f t="shared" si="61"/>
        <v>0</v>
      </c>
      <c r="L1288" s="26">
        <f t="shared" si="62"/>
        <v>0</v>
      </c>
      <c r="M1288" s="26">
        <v>0</v>
      </c>
    </row>
    <row r="1289" spans="1:13" ht="15" customHeight="1">
      <c r="A1289" s="25">
        <v>1572565</v>
      </c>
      <c r="B1289" s="26" t="s">
        <v>5427</v>
      </c>
      <c r="C1289" s="26" t="s">
        <v>8673</v>
      </c>
      <c r="D1289" s="26" t="s">
        <v>8674</v>
      </c>
      <c r="E1289" s="26" t="s">
        <v>5426</v>
      </c>
      <c r="F1289" s="27">
        <v>4566514</v>
      </c>
      <c r="G1289" s="27">
        <v>1</v>
      </c>
      <c r="H1289" s="27">
        <v>0</v>
      </c>
      <c r="I1289" s="27">
        <v>1</v>
      </c>
      <c r="J1289" s="30">
        <f t="shared" si="60"/>
        <v>1</v>
      </c>
      <c r="K1289" s="30">
        <f t="shared" si="61"/>
        <v>0</v>
      </c>
      <c r="L1289" s="26">
        <f t="shared" si="62"/>
        <v>0</v>
      </c>
      <c r="M1289" s="26"/>
    </row>
    <row r="1290" spans="1:13" ht="15" customHeight="1">
      <c r="A1290" s="25">
        <v>1572644</v>
      </c>
      <c r="B1290" s="26" t="s">
        <v>5423</v>
      </c>
      <c r="C1290" s="26" t="s">
        <v>8675</v>
      </c>
      <c r="D1290" s="26" t="s">
        <v>8676</v>
      </c>
      <c r="E1290" s="26" t="s">
        <v>5560</v>
      </c>
      <c r="F1290" s="27">
        <v>5574496</v>
      </c>
      <c r="G1290" s="27">
        <v>0</v>
      </c>
      <c r="H1290" s="27">
        <v>1</v>
      </c>
      <c r="I1290" s="27">
        <v>1</v>
      </c>
      <c r="J1290" s="30">
        <f t="shared" si="60"/>
        <v>0</v>
      </c>
      <c r="K1290" s="30">
        <f t="shared" si="61"/>
        <v>1</v>
      </c>
      <c r="L1290" s="26">
        <f t="shared" si="62"/>
        <v>0</v>
      </c>
      <c r="M1290" s="26"/>
    </row>
    <row r="1291" spans="1:13" ht="15" customHeight="1">
      <c r="A1291" s="25">
        <v>1572973</v>
      </c>
      <c r="B1291" s="26" t="s">
        <v>5423</v>
      </c>
      <c r="C1291" s="26" t="s">
        <v>8677</v>
      </c>
      <c r="D1291" s="26" t="s">
        <v>8678</v>
      </c>
      <c r="E1291" s="26" t="s">
        <v>5468</v>
      </c>
      <c r="F1291" s="27">
        <v>5534033</v>
      </c>
      <c r="G1291" s="27">
        <v>0</v>
      </c>
      <c r="H1291" s="27">
        <v>0</v>
      </c>
      <c r="I1291" s="27">
        <v>0</v>
      </c>
      <c r="J1291" s="30">
        <f t="shared" si="60"/>
        <v>0</v>
      </c>
      <c r="K1291" s="30">
        <f t="shared" si="61"/>
        <v>0</v>
      </c>
      <c r="L1291" s="26">
        <f t="shared" si="62"/>
        <v>0</v>
      </c>
      <c r="M1291" s="26" t="s">
        <v>5567</v>
      </c>
    </row>
    <row r="1292" spans="1:13" ht="15" customHeight="1">
      <c r="A1292" s="25">
        <v>1573158</v>
      </c>
      <c r="B1292" s="26" t="s">
        <v>5423</v>
      </c>
      <c r="C1292" s="26" t="s">
        <v>8679</v>
      </c>
      <c r="D1292" s="26" t="s">
        <v>8680</v>
      </c>
      <c r="E1292" s="26" t="s">
        <v>5491</v>
      </c>
      <c r="F1292" s="27">
        <v>5575486</v>
      </c>
      <c r="G1292" s="27">
        <v>1</v>
      </c>
      <c r="H1292" s="27">
        <v>1</v>
      </c>
      <c r="I1292" s="27">
        <v>1</v>
      </c>
      <c r="J1292" s="30">
        <f t="shared" si="60"/>
        <v>1</v>
      </c>
      <c r="K1292" s="30">
        <f t="shared" si="61"/>
        <v>1</v>
      </c>
      <c r="L1292" s="26">
        <f t="shared" si="62"/>
        <v>1</v>
      </c>
      <c r="M1292" s="26"/>
    </row>
    <row r="1293" spans="1:13" ht="15" customHeight="1">
      <c r="A1293" s="25">
        <v>1573655</v>
      </c>
      <c r="B1293" s="26" t="s">
        <v>5423</v>
      </c>
      <c r="C1293" s="26" t="s">
        <v>8681</v>
      </c>
      <c r="D1293" s="26" t="s">
        <v>8682</v>
      </c>
      <c r="E1293" s="26" t="s">
        <v>5532</v>
      </c>
      <c r="F1293" s="27">
        <v>5568113</v>
      </c>
      <c r="G1293" s="27">
        <v>1</v>
      </c>
      <c r="H1293" s="27">
        <v>0</v>
      </c>
      <c r="I1293" s="27">
        <v>1</v>
      </c>
      <c r="J1293" s="30">
        <f t="shared" si="60"/>
        <v>1</v>
      </c>
      <c r="K1293" s="30">
        <f t="shared" si="61"/>
        <v>0</v>
      </c>
      <c r="L1293" s="26">
        <f t="shared" si="62"/>
        <v>0</v>
      </c>
      <c r="M1293" s="26"/>
    </row>
    <row r="1294" spans="1:13" ht="15" customHeight="1">
      <c r="A1294" s="25">
        <v>1573658</v>
      </c>
      <c r="B1294" s="26" t="s">
        <v>5423</v>
      </c>
      <c r="C1294" s="26" t="s">
        <v>8683</v>
      </c>
      <c r="D1294" s="26" t="s">
        <v>8684</v>
      </c>
      <c r="E1294" s="26" t="s">
        <v>5475</v>
      </c>
      <c r="F1294" s="27">
        <v>5578288</v>
      </c>
      <c r="G1294" s="27">
        <v>0</v>
      </c>
      <c r="H1294" s="27">
        <v>1</v>
      </c>
      <c r="I1294" s="27">
        <v>1</v>
      </c>
      <c r="J1294" s="30">
        <f t="shared" si="60"/>
        <v>0</v>
      </c>
      <c r="K1294" s="30">
        <f t="shared" si="61"/>
        <v>1</v>
      </c>
      <c r="L1294" s="26">
        <f t="shared" si="62"/>
        <v>0</v>
      </c>
      <c r="M1294" s="26"/>
    </row>
    <row r="1295" spans="1:13" ht="15" customHeight="1">
      <c r="A1295" s="25">
        <v>1574022</v>
      </c>
      <c r="B1295" s="26" t="s">
        <v>5423</v>
      </c>
      <c r="C1295" s="26" t="s">
        <v>8685</v>
      </c>
      <c r="D1295" s="26" t="s">
        <v>8686</v>
      </c>
      <c r="E1295" s="26" t="s">
        <v>5455</v>
      </c>
      <c r="F1295" s="27">
        <v>5549535</v>
      </c>
      <c r="G1295" s="27">
        <v>0</v>
      </c>
      <c r="H1295" s="27">
        <v>1</v>
      </c>
      <c r="I1295" s="27">
        <v>1</v>
      </c>
      <c r="J1295" s="30">
        <f t="shared" si="60"/>
        <v>0</v>
      </c>
      <c r="K1295" s="30">
        <f t="shared" si="61"/>
        <v>1</v>
      </c>
      <c r="L1295" s="26">
        <f t="shared" si="62"/>
        <v>0</v>
      </c>
      <c r="M1295" s="26"/>
    </row>
    <row r="1296" spans="1:13" ht="15" customHeight="1">
      <c r="A1296" s="25">
        <v>1574094</v>
      </c>
      <c r="B1296" s="26" t="s">
        <v>5423</v>
      </c>
      <c r="C1296" s="26" t="s">
        <v>8687</v>
      </c>
      <c r="D1296" s="26" t="s">
        <v>8688</v>
      </c>
      <c r="E1296" s="26" t="s">
        <v>5433</v>
      </c>
      <c r="F1296" s="27"/>
      <c r="G1296" s="27">
        <v>0</v>
      </c>
      <c r="H1296" s="27">
        <v>0</v>
      </c>
      <c r="I1296" s="27">
        <v>0</v>
      </c>
      <c r="J1296" s="30">
        <f t="shared" si="60"/>
        <v>0</v>
      </c>
      <c r="K1296" s="30">
        <f t="shared" si="61"/>
        <v>0</v>
      </c>
      <c r="L1296" s="26">
        <f t="shared" si="62"/>
        <v>0</v>
      </c>
      <c r="M1296" s="26" t="s">
        <v>5557</v>
      </c>
    </row>
    <row r="1297" spans="1:13" ht="15" customHeight="1">
      <c r="A1297" s="25">
        <v>1574455</v>
      </c>
      <c r="B1297" s="26" t="s">
        <v>5427</v>
      </c>
      <c r="C1297" s="26" t="s">
        <v>8689</v>
      </c>
      <c r="D1297" s="26" t="s">
        <v>8690</v>
      </c>
      <c r="E1297" s="26" t="s">
        <v>6541</v>
      </c>
      <c r="F1297" s="27">
        <v>5514947</v>
      </c>
      <c r="G1297" s="27">
        <v>1</v>
      </c>
      <c r="H1297" s="27">
        <v>1</v>
      </c>
      <c r="I1297" s="27">
        <v>1</v>
      </c>
      <c r="J1297" s="30">
        <f t="shared" si="60"/>
        <v>1</v>
      </c>
      <c r="K1297" s="30">
        <f t="shared" si="61"/>
        <v>1</v>
      </c>
      <c r="L1297" s="26">
        <f t="shared" si="62"/>
        <v>1</v>
      </c>
      <c r="M1297" s="26" t="s">
        <v>8188</v>
      </c>
    </row>
    <row r="1298" spans="1:13" ht="15" customHeight="1">
      <c r="A1298" s="25">
        <v>1574863</v>
      </c>
      <c r="B1298" s="26" t="s">
        <v>5423</v>
      </c>
      <c r="C1298" s="26" t="s">
        <v>8691</v>
      </c>
      <c r="D1298" s="26" t="s">
        <v>8692</v>
      </c>
      <c r="E1298" s="26" t="s">
        <v>5763</v>
      </c>
      <c r="F1298" s="27">
        <v>5582423</v>
      </c>
      <c r="G1298" s="27">
        <v>1</v>
      </c>
      <c r="H1298" s="27">
        <v>1</v>
      </c>
      <c r="I1298" s="27">
        <v>1</v>
      </c>
      <c r="J1298" s="30">
        <f t="shared" si="60"/>
        <v>1</v>
      </c>
      <c r="K1298" s="30">
        <f t="shared" si="61"/>
        <v>1</v>
      </c>
      <c r="L1298" s="26">
        <f t="shared" si="62"/>
        <v>1</v>
      </c>
      <c r="M1298" s="26"/>
    </row>
    <row r="1299" spans="1:13" ht="15" customHeight="1">
      <c r="A1299" s="25">
        <v>1575187</v>
      </c>
      <c r="B1299" s="26" t="s">
        <v>5427</v>
      </c>
      <c r="C1299" s="26" t="s">
        <v>8693</v>
      </c>
      <c r="D1299" s="26" t="s">
        <v>8694</v>
      </c>
      <c r="E1299" s="26" t="s">
        <v>5718</v>
      </c>
      <c r="F1299" s="27">
        <v>5057849</v>
      </c>
      <c r="G1299" s="27">
        <v>1</v>
      </c>
      <c r="H1299" s="27">
        <v>0</v>
      </c>
      <c r="I1299" s="27">
        <v>1</v>
      </c>
      <c r="J1299" s="30">
        <f t="shared" si="60"/>
        <v>1</v>
      </c>
      <c r="K1299" s="30">
        <f t="shared" si="61"/>
        <v>0</v>
      </c>
      <c r="L1299" s="26">
        <f t="shared" si="62"/>
        <v>0</v>
      </c>
      <c r="M1299" s="26"/>
    </row>
    <row r="1300" spans="1:13" ht="15" customHeight="1">
      <c r="A1300" s="25">
        <v>1575193</v>
      </c>
      <c r="B1300" s="26" t="s">
        <v>5423</v>
      </c>
      <c r="C1300" s="26" t="s">
        <v>8695</v>
      </c>
      <c r="D1300" s="26" t="s">
        <v>8696</v>
      </c>
      <c r="E1300" s="26" t="s">
        <v>5532</v>
      </c>
      <c r="F1300" s="27">
        <v>5548282</v>
      </c>
      <c r="G1300" s="27">
        <v>0</v>
      </c>
      <c r="H1300" s="27">
        <v>0</v>
      </c>
      <c r="I1300" s="27">
        <v>0</v>
      </c>
      <c r="J1300" s="30">
        <f t="shared" si="60"/>
        <v>0</v>
      </c>
      <c r="K1300" s="30">
        <f t="shared" si="61"/>
        <v>0</v>
      </c>
      <c r="L1300" s="26">
        <f t="shared" si="62"/>
        <v>0</v>
      </c>
      <c r="M1300" s="26" t="s">
        <v>5567</v>
      </c>
    </row>
    <row r="1301" spans="1:13" ht="15" customHeight="1">
      <c r="A1301" s="25">
        <v>1575202</v>
      </c>
      <c r="B1301" s="26" t="s">
        <v>5427</v>
      </c>
      <c r="C1301" s="26" t="s">
        <v>8697</v>
      </c>
      <c r="D1301" s="26" t="s">
        <v>8698</v>
      </c>
      <c r="E1301" s="26" t="s">
        <v>5491</v>
      </c>
      <c r="F1301" s="27">
        <v>5578128</v>
      </c>
      <c r="G1301" s="27">
        <v>1</v>
      </c>
      <c r="H1301" s="27">
        <v>1</v>
      </c>
      <c r="I1301" s="27">
        <v>1</v>
      </c>
      <c r="J1301" s="30">
        <f t="shared" si="60"/>
        <v>1</v>
      </c>
      <c r="K1301" s="30">
        <f t="shared" si="61"/>
        <v>1</v>
      </c>
      <c r="L1301" s="26">
        <f t="shared" si="62"/>
        <v>1</v>
      </c>
      <c r="M1301" s="26"/>
    </row>
    <row r="1302" spans="1:13" ht="15" customHeight="1">
      <c r="A1302" s="25">
        <v>1575226</v>
      </c>
      <c r="B1302" s="26" t="s">
        <v>5423</v>
      </c>
      <c r="C1302" s="26" t="s">
        <v>8699</v>
      </c>
      <c r="D1302" s="26" t="s">
        <v>8700</v>
      </c>
      <c r="E1302" s="26" t="s">
        <v>5532</v>
      </c>
      <c r="F1302" s="27">
        <v>5583737</v>
      </c>
      <c r="G1302" s="27">
        <v>1</v>
      </c>
      <c r="H1302" s="27">
        <v>1</v>
      </c>
      <c r="I1302" s="27">
        <v>1</v>
      </c>
      <c r="J1302" s="30">
        <f t="shared" si="60"/>
        <v>1</v>
      </c>
      <c r="K1302" s="30">
        <f t="shared" si="61"/>
        <v>1</v>
      </c>
      <c r="L1302" s="26">
        <f t="shared" si="62"/>
        <v>1</v>
      </c>
      <c r="M1302" s="26"/>
    </row>
    <row r="1303" spans="1:13" ht="15" customHeight="1">
      <c r="A1303" s="25">
        <v>1575227</v>
      </c>
      <c r="B1303" s="26" t="s">
        <v>5427</v>
      </c>
      <c r="C1303" s="26" t="s">
        <v>8701</v>
      </c>
      <c r="D1303" s="26" t="s">
        <v>8702</v>
      </c>
      <c r="E1303" s="26" t="s">
        <v>5442</v>
      </c>
      <c r="F1303" s="27">
        <v>5583414</v>
      </c>
      <c r="G1303" s="27">
        <v>1</v>
      </c>
      <c r="H1303" s="27">
        <v>1</v>
      </c>
      <c r="I1303" s="27">
        <v>1</v>
      </c>
      <c r="J1303" s="30">
        <f t="shared" si="60"/>
        <v>1</v>
      </c>
      <c r="K1303" s="30">
        <f t="shared" si="61"/>
        <v>1</v>
      </c>
      <c r="L1303" s="26">
        <f t="shared" si="62"/>
        <v>1</v>
      </c>
      <c r="M1303" s="26"/>
    </row>
    <row r="1304" spans="1:13" ht="15" customHeight="1">
      <c r="A1304" s="25">
        <v>1575294</v>
      </c>
      <c r="B1304" s="26" t="s">
        <v>5427</v>
      </c>
      <c r="C1304" s="26" t="s">
        <v>8703</v>
      </c>
      <c r="D1304" s="26" t="s">
        <v>8704</v>
      </c>
      <c r="E1304" s="26" t="s">
        <v>5763</v>
      </c>
      <c r="F1304" s="27">
        <v>5582957</v>
      </c>
      <c r="G1304" s="27">
        <v>1</v>
      </c>
      <c r="H1304" s="27">
        <v>1</v>
      </c>
      <c r="I1304" s="27">
        <v>1</v>
      </c>
      <c r="J1304" s="30">
        <f t="shared" si="60"/>
        <v>1</v>
      </c>
      <c r="K1304" s="30">
        <f t="shared" si="61"/>
        <v>1</v>
      </c>
      <c r="L1304" s="26">
        <f t="shared" si="62"/>
        <v>1</v>
      </c>
      <c r="M1304" s="26"/>
    </row>
    <row r="1305" spans="1:13" ht="15" customHeight="1">
      <c r="A1305" s="25">
        <v>1575369</v>
      </c>
      <c r="B1305" s="26" t="s">
        <v>5423</v>
      </c>
      <c r="C1305" s="26" t="s">
        <v>8705</v>
      </c>
      <c r="D1305" s="26" t="s">
        <v>8706</v>
      </c>
      <c r="E1305" s="26" t="s">
        <v>5491</v>
      </c>
      <c r="F1305" s="27">
        <v>5584222</v>
      </c>
      <c r="G1305" s="27">
        <v>1</v>
      </c>
      <c r="H1305" s="27">
        <v>1</v>
      </c>
      <c r="I1305" s="27">
        <v>1</v>
      </c>
      <c r="J1305" s="30">
        <f t="shared" si="60"/>
        <v>1</v>
      </c>
      <c r="K1305" s="30">
        <f t="shared" si="61"/>
        <v>1</v>
      </c>
      <c r="L1305" s="26">
        <f t="shared" si="62"/>
        <v>1</v>
      </c>
      <c r="M1305" s="26"/>
    </row>
    <row r="1306" spans="1:13" ht="15" customHeight="1">
      <c r="A1306" s="25">
        <v>1575400</v>
      </c>
      <c r="B1306" s="26" t="s">
        <v>5423</v>
      </c>
      <c r="C1306" s="26" t="s">
        <v>8707</v>
      </c>
      <c r="D1306" s="26" t="s">
        <v>8708</v>
      </c>
      <c r="E1306" s="26" t="s">
        <v>5436</v>
      </c>
      <c r="F1306" s="27">
        <v>5583525</v>
      </c>
      <c r="G1306" s="27">
        <v>0</v>
      </c>
      <c r="H1306" s="27">
        <v>0</v>
      </c>
      <c r="I1306" s="27">
        <v>0</v>
      </c>
      <c r="J1306" s="30">
        <f t="shared" si="60"/>
        <v>0</v>
      </c>
      <c r="K1306" s="30">
        <f t="shared" si="61"/>
        <v>0</v>
      </c>
      <c r="L1306" s="26">
        <f t="shared" si="62"/>
        <v>0</v>
      </c>
      <c r="M1306" s="26">
        <v>0</v>
      </c>
    </row>
    <row r="1307" spans="1:13" ht="15" customHeight="1">
      <c r="A1307" s="25">
        <v>1575982</v>
      </c>
      <c r="B1307" s="26" t="s">
        <v>5423</v>
      </c>
      <c r="C1307" s="26" t="s">
        <v>8709</v>
      </c>
      <c r="D1307" s="26" t="s">
        <v>8710</v>
      </c>
      <c r="E1307" s="26" t="s">
        <v>5439</v>
      </c>
      <c r="F1307" s="27"/>
      <c r="G1307" s="27">
        <v>0</v>
      </c>
      <c r="H1307" s="27">
        <v>0</v>
      </c>
      <c r="I1307" s="27">
        <v>0</v>
      </c>
      <c r="J1307" s="30">
        <f t="shared" si="60"/>
        <v>0</v>
      </c>
      <c r="K1307" s="30">
        <f t="shared" si="61"/>
        <v>0</v>
      </c>
      <c r="L1307" s="26">
        <f t="shared" si="62"/>
        <v>0</v>
      </c>
      <c r="M1307" s="26" t="s">
        <v>8711</v>
      </c>
    </row>
    <row r="1308" spans="1:13" ht="15" customHeight="1">
      <c r="A1308" s="25">
        <v>1576247</v>
      </c>
      <c r="B1308" s="26" t="s">
        <v>5423</v>
      </c>
      <c r="C1308" s="26" t="s">
        <v>8712</v>
      </c>
      <c r="D1308" s="26" t="s">
        <v>8713</v>
      </c>
      <c r="E1308" s="26" t="s">
        <v>5433</v>
      </c>
      <c r="F1308" s="27">
        <v>5590472</v>
      </c>
      <c r="G1308" s="27">
        <v>0</v>
      </c>
      <c r="H1308" s="27">
        <v>0</v>
      </c>
      <c r="I1308" s="27">
        <v>0</v>
      </c>
      <c r="J1308" s="30">
        <f t="shared" si="60"/>
        <v>0</v>
      </c>
      <c r="K1308" s="30">
        <f t="shared" si="61"/>
        <v>0</v>
      </c>
      <c r="L1308" s="26">
        <f t="shared" si="62"/>
        <v>0</v>
      </c>
      <c r="M1308" s="26">
        <v>0</v>
      </c>
    </row>
    <row r="1309" spans="1:13" ht="15" customHeight="1">
      <c r="A1309" s="25">
        <v>1576420</v>
      </c>
      <c r="B1309" s="26" t="s">
        <v>5427</v>
      </c>
      <c r="C1309" s="26" t="s">
        <v>8714</v>
      </c>
      <c r="D1309" s="26" t="s">
        <v>8715</v>
      </c>
      <c r="E1309" s="26" t="s">
        <v>5535</v>
      </c>
      <c r="F1309" s="27">
        <v>5586207</v>
      </c>
      <c r="G1309" s="27">
        <v>0</v>
      </c>
      <c r="H1309" s="27">
        <v>0</v>
      </c>
      <c r="I1309" s="27">
        <v>0</v>
      </c>
      <c r="J1309" s="30">
        <f t="shared" si="60"/>
        <v>0</v>
      </c>
      <c r="K1309" s="30">
        <f t="shared" si="61"/>
        <v>0</v>
      </c>
      <c r="L1309" s="26">
        <f t="shared" si="62"/>
        <v>0</v>
      </c>
      <c r="M1309" s="26">
        <v>0</v>
      </c>
    </row>
    <row r="1310" spans="1:13" ht="15" customHeight="1">
      <c r="A1310" s="25">
        <v>1576737</v>
      </c>
      <c r="B1310" s="26" t="s">
        <v>5423</v>
      </c>
      <c r="C1310" s="26" t="s">
        <v>8716</v>
      </c>
      <c r="D1310" s="26" t="s">
        <v>8717</v>
      </c>
      <c r="E1310" s="26" t="s">
        <v>5475</v>
      </c>
      <c r="F1310" s="27">
        <v>5551586</v>
      </c>
      <c r="G1310" s="27">
        <v>1</v>
      </c>
      <c r="H1310" s="27">
        <v>0</v>
      </c>
      <c r="I1310" s="27">
        <v>1</v>
      </c>
      <c r="J1310" s="30">
        <f t="shared" si="60"/>
        <v>1</v>
      </c>
      <c r="K1310" s="30">
        <f t="shared" si="61"/>
        <v>0</v>
      </c>
      <c r="L1310" s="26">
        <f t="shared" si="62"/>
        <v>0</v>
      </c>
      <c r="M1310" s="26"/>
    </row>
    <row r="1311" spans="1:13" ht="15" customHeight="1">
      <c r="A1311" s="25">
        <v>1576812</v>
      </c>
      <c r="B1311" s="26" t="s">
        <v>5423</v>
      </c>
      <c r="C1311" s="26" t="s">
        <v>8718</v>
      </c>
      <c r="D1311" s="26" t="s">
        <v>8719</v>
      </c>
      <c r="E1311" s="26" t="s">
        <v>5436</v>
      </c>
      <c r="F1311" s="27"/>
      <c r="G1311" s="27">
        <v>0</v>
      </c>
      <c r="H1311" s="27">
        <v>0</v>
      </c>
      <c r="I1311" s="27">
        <v>0</v>
      </c>
      <c r="J1311" s="30">
        <f t="shared" si="60"/>
        <v>0</v>
      </c>
      <c r="K1311" s="30">
        <f t="shared" si="61"/>
        <v>0</v>
      </c>
      <c r="L1311" s="26">
        <f t="shared" si="62"/>
        <v>0</v>
      </c>
      <c r="M1311" s="26" t="s">
        <v>5557</v>
      </c>
    </row>
    <row r="1312" spans="1:13" ht="15" customHeight="1">
      <c r="A1312" s="25">
        <v>1576865</v>
      </c>
      <c r="B1312" s="26" t="s">
        <v>5423</v>
      </c>
      <c r="C1312" s="26" t="s">
        <v>8720</v>
      </c>
      <c r="D1312" s="26" t="s">
        <v>8721</v>
      </c>
      <c r="E1312" s="26" t="s">
        <v>5463</v>
      </c>
      <c r="F1312" s="27">
        <v>5349396</v>
      </c>
      <c r="G1312" s="27">
        <v>0</v>
      </c>
      <c r="H1312" s="27">
        <v>0</v>
      </c>
      <c r="I1312" s="27">
        <v>0</v>
      </c>
      <c r="J1312" s="30">
        <f t="shared" si="60"/>
        <v>0</v>
      </c>
      <c r="K1312" s="30">
        <f t="shared" si="61"/>
        <v>0</v>
      </c>
      <c r="L1312" s="26">
        <f t="shared" si="62"/>
        <v>0</v>
      </c>
      <c r="M1312" s="26" t="s">
        <v>8216</v>
      </c>
    </row>
    <row r="1313" spans="1:13" ht="15" customHeight="1">
      <c r="A1313" s="25">
        <v>1577264</v>
      </c>
      <c r="B1313" s="26" t="s">
        <v>5423</v>
      </c>
      <c r="C1313" s="26" t="s">
        <v>8722</v>
      </c>
      <c r="D1313" s="26" t="s">
        <v>8723</v>
      </c>
      <c r="E1313" s="26" t="s">
        <v>5517</v>
      </c>
      <c r="F1313" s="27">
        <v>5589183</v>
      </c>
      <c r="G1313" s="27">
        <v>1</v>
      </c>
      <c r="H1313" s="27">
        <v>1</v>
      </c>
      <c r="I1313" s="27">
        <v>1</v>
      </c>
      <c r="J1313" s="30">
        <f t="shared" si="60"/>
        <v>1</v>
      </c>
      <c r="K1313" s="30">
        <f t="shared" si="61"/>
        <v>1</v>
      </c>
      <c r="L1313" s="26">
        <f t="shared" si="62"/>
        <v>1</v>
      </c>
      <c r="M1313" s="26"/>
    </row>
    <row r="1314" spans="1:13" ht="15" customHeight="1">
      <c r="A1314" s="25">
        <v>1577497</v>
      </c>
      <c r="B1314" s="26" t="s">
        <v>5423</v>
      </c>
      <c r="C1314" s="26" t="s">
        <v>8724</v>
      </c>
      <c r="D1314" s="26" t="s">
        <v>8725</v>
      </c>
      <c r="E1314" s="26" t="s">
        <v>5439</v>
      </c>
      <c r="F1314" s="27">
        <v>5569276</v>
      </c>
      <c r="G1314" s="27">
        <v>1</v>
      </c>
      <c r="H1314" s="27">
        <v>0</v>
      </c>
      <c r="I1314" s="27">
        <v>1</v>
      </c>
      <c r="J1314" s="30">
        <f t="shared" si="60"/>
        <v>1</v>
      </c>
      <c r="K1314" s="30">
        <f t="shared" si="61"/>
        <v>0</v>
      </c>
      <c r="L1314" s="26">
        <f t="shared" si="62"/>
        <v>0</v>
      </c>
      <c r="M1314" s="26"/>
    </row>
    <row r="1315" spans="1:13" ht="15" customHeight="1">
      <c r="A1315" s="25" t="s">
        <v>8726</v>
      </c>
      <c r="B1315" s="26" t="s">
        <v>5423</v>
      </c>
      <c r="C1315" s="26" t="s">
        <v>8727</v>
      </c>
      <c r="D1315" s="26" t="s">
        <v>8728</v>
      </c>
      <c r="E1315" s="26" t="s">
        <v>5447</v>
      </c>
      <c r="F1315" s="27">
        <v>5316298</v>
      </c>
      <c r="G1315" s="27">
        <v>0</v>
      </c>
      <c r="H1315" s="27">
        <v>0</v>
      </c>
      <c r="I1315" s="27">
        <v>0</v>
      </c>
      <c r="J1315" s="30">
        <f t="shared" si="60"/>
        <v>0</v>
      </c>
      <c r="K1315" s="30">
        <f t="shared" si="61"/>
        <v>0</v>
      </c>
      <c r="L1315" s="26">
        <f t="shared" si="62"/>
        <v>0</v>
      </c>
      <c r="M1315" s="26" t="s">
        <v>5567</v>
      </c>
    </row>
    <row r="1316" spans="1:13" ht="15" customHeight="1">
      <c r="A1316" s="25">
        <v>1577746</v>
      </c>
      <c r="B1316" s="26" t="s">
        <v>5423</v>
      </c>
      <c r="C1316" s="26" t="s">
        <v>8729</v>
      </c>
      <c r="D1316" s="26" t="s">
        <v>8730</v>
      </c>
      <c r="E1316" s="26" t="s">
        <v>5475</v>
      </c>
      <c r="F1316" s="27"/>
      <c r="G1316" s="27">
        <v>0</v>
      </c>
      <c r="H1316" s="27">
        <v>0</v>
      </c>
      <c r="I1316" s="27">
        <v>0</v>
      </c>
      <c r="J1316" s="30">
        <f t="shared" si="60"/>
        <v>0</v>
      </c>
      <c r="K1316" s="30">
        <f t="shared" si="61"/>
        <v>0</v>
      </c>
      <c r="L1316" s="26">
        <f t="shared" si="62"/>
        <v>0</v>
      </c>
      <c r="M1316" s="26" t="s">
        <v>5557</v>
      </c>
    </row>
    <row r="1317" spans="1:13" ht="15" customHeight="1">
      <c r="A1317" s="25">
        <v>1577779</v>
      </c>
      <c r="B1317" s="26" t="s">
        <v>5423</v>
      </c>
      <c r="C1317" s="26" t="s">
        <v>8731</v>
      </c>
      <c r="D1317" s="26" t="s">
        <v>8732</v>
      </c>
      <c r="E1317" s="26" t="s">
        <v>5430</v>
      </c>
      <c r="F1317" s="27">
        <v>5590053</v>
      </c>
      <c r="G1317" s="27">
        <v>0</v>
      </c>
      <c r="H1317" s="27">
        <v>0</v>
      </c>
      <c r="I1317" s="27">
        <v>0</v>
      </c>
      <c r="J1317" s="30">
        <f t="shared" si="60"/>
        <v>0</v>
      </c>
      <c r="K1317" s="30">
        <f t="shared" si="61"/>
        <v>0</v>
      </c>
      <c r="L1317" s="26">
        <f t="shared" si="62"/>
        <v>0</v>
      </c>
      <c r="M1317" s="26">
        <v>0</v>
      </c>
    </row>
    <row r="1318" spans="1:13" ht="15" customHeight="1">
      <c r="A1318" s="25">
        <v>1577988</v>
      </c>
      <c r="B1318" s="26" t="s">
        <v>5423</v>
      </c>
      <c r="C1318" s="26" t="s">
        <v>8733</v>
      </c>
      <c r="D1318" s="26" t="s">
        <v>8734</v>
      </c>
      <c r="E1318" s="26" t="s">
        <v>5535</v>
      </c>
      <c r="F1318" s="27">
        <v>5592109</v>
      </c>
      <c r="G1318" s="27">
        <v>1</v>
      </c>
      <c r="H1318" s="27">
        <v>1</v>
      </c>
      <c r="I1318" s="27">
        <v>1</v>
      </c>
      <c r="J1318" s="30">
        <f t="shared" si="60"/>
        <v>1</v>
      </c>
      <c r="K1318" s="30">
        <f t="shared" si="61"/>
        <v>1</v>
      </c>
      <c r="L1318" s="26">
        <f t="shared" si="62"/>
        <v>1</v>
      </c>
      <c r="M1318" s="26"/>
    </row>
    <row r="1319" spans="1:13" ht="15" customHeight="1">
      <c r="A1319" s="25">
        <v>1577995</v>
      </c>
      <c r="B1319" s="26" t="s">
        <v>5423</v>
      </c>
      <c r="C1319" s="26" t="s">
        <v>8735</v>
      </c>
      <c r="D1319" s="26" t="s">
        <v>8736</v>
      </c>
      <c r="E1319" s="26" t="s">
        <v>5426</v>
      </c>
      <c r="F1319" s="27">
        <v>5590668</v>
      </c>
      <c r="G1319" s="27">
        <v>0</v>
      </c>
      <c r="H1319" s="27">
        <v>0</v>
      </c>
      <c r="I1319" s="27">
        <v>0</v>
      </c>
      <c r="J1319" s="30">
        <f t="shared" si="60"/>
        <v>0</v>
      </c>
      <c r="K1319" s="30">
        <f t="shared" si="61"/>
        <v>0</v>
      </c>
      <c r="L1319" s="26">
        <f t="shared" si="62"/>
        <v>0</v>
      </c>
      <c r="M1319" s="26">
        <v>0</v>
      </c>
    </row>
    <row r="1320" spans="1:13" ht="15" customHeight="1">
      <c r="A1320" s="25">
        <v>1578035</v>
      </c>
      <c r="B1320" s="26" t="s">
        <v>5423</v>
      </c>
      <c r="C1320" s="26" t="s">
        <v>8737</v>
      </c>
      <c r="D1320" s="26" t="s">
        <v>8738</v>
      </c>
      <c r="E1320" s="26" t="s">
        <v>5447</v>
      </c>
      <c r="F1320" s="27">
        <v>5596907</v>
      </c>
      <c r="G1320" s="27">
        <v>0</v>
      </c>
      <c r="H1320" s="27">
        <v>0</v>
      </c>
      <c r="I1320" s="27">
        <v>0</v>
      </c>
      <c r="J1320" s="30">
        <f t="shared" si="60"/>
        <v>0</v>
      </c>
      <c r="K1320" s="30">
        <f t="shared" si="61"/>
        <v>0</v>
      </c>
      <c r="L1320" s="26">
        <f t="shared" si="62"/>
        <v>0</v>
      </c>
      <c r="M1320" s="26">
        <v>0</v>
      </c>
    </row>
    <row r="1321" spans="1:13" ht="15" customHeight="1">
      <c r="A1321" s="25">
        <v>1578235</v>
      </c>
      <c r="B1321" s="26" t="s">
        <v>5427</v>
      </c>
      <c r="C1321" s="26" t="s">
        <v>8739</v>
      </c>
      <c r="D1321" s="26" t="s">
        <v>8740</v>
      </c>
      <c r="E1321" s="26" t="s">
        <v>5522</v>
      </c>
      <c r="F1321" s="27">
        <v>5207792</v>
      </c>
      <c r="G1321" s="27">
        <v>1</v>
      </c>
      <c r="H1321" s="27">
        <v>1</v>
      </c>
      <c r="I1321" s="27">
        <v>1</v>
      </c>
      <c r="J1321" s="30">
        <f t="shared" si="60"/>
        <v>1</v>
      </c>
      <c r="K1321" s="30">
        <f t="shared" si="61"/>
        <v>1</v>
      </c>
      <c r="L1321" s="26">
        <f t="shared" si="62"/>
        <v>1</v>
      </c>
      <c r="M1321" s="26"/>
    </row>
    <row r="1322" spans="1:13" ht="15" customHeight="1">
      <c r="A1322" s="25">
        <v>1578672</v>
      </c>
      <c r="B1322" s="26" t="s">
        <v>5423</v>
      </c>
      <c r="C1322" s="26" t="s">
        <v>8741</v>
      </c>
      <c r="D1322" s="26" t="s">
        <v>8742</v>
      </c>
      <c r="E1322" s="26" t="s">
        <v>5468</v>
      </c>
      <c r="F1322" s="27">
        <v>5594378</v>
      </c>
      <c r="G1322" s="27">
        <v>1</v>
      </c>
      <c r="H1322" s="27">
        <v>1</v>
      </c>
      <c r="I1322" s="27">
        <v>1</v>
      </c>
      <c r="J1322" s="30">
        <f t="shared" si="60"/>
        <v>1</v>
      </c>
      <c r="K1322" s="30">
        <f t="shared" si="61"/>
        <v>1</v>
      </c>
      <c r="L1322" s="26">
        <f t="shared" si="62"/>
        <v>1</v>
      </c>
      <c r="M1322" s="26"/>
    </row>
    <row r="1323" spans="1:13" ht="15" customHeight="1">
      <c r="A1323" s="25">
        <v>1579191</v>
      </c>
      <c r="B1323" s="26" t="s">
        <v>5427</v>
      </c>
      <c r="C1323" s="26" t="s">
        <v>8743</v>
      </c>
      <c r="D1323" s="26" t="s">
        <v>8744</v>
      </c>
      <c r="E1323" s="26" t="s">
        <v>5430</v>
      </c>
      <c r="F1323" s="27">
        <v>5595838</v>
      </c>
      <c r="G1323" s="27">
        <v>0</v>
      </c>
      <c r="H1323" s="27">
        <v>0</v>
      </c>
      <c r="I1323" s="27">
        <v>0</v>
      </c>
      <c r="J1323" s="30">
        <f t="shared" si="60"/>
        <v>0</v>
      </c>
      <c r="K1323" s="30">
        <f t="shared" si="61"/>
        <v>0</v>
      </c>
      <c r="L1323" s="26">
        <f t="shared" si="62"/>
        <v>0</v>
      </c>
      <c r="M1323" s="26">
        <v>0</v>
      </c>
    </row>
    <row r="1324" spans="1:13" ht="15" customHeight="1">
      <c r="A1324" s="25">
        <v>1579265</v>
      </c>
      <c r="B1324" s="26" t="s">
        <v>5423</v>
      </c>
      <c r="C1324" s="26" t="s">
        <v>8745</v>
      </c>
      <c r="D1324" s="26" t="s">
        <v>8746</v>
      </c>
      <c r="E1324" s="26" t="s">
        <v>5532</v>
      </c>
      <c r="F1324" s="27">
        <v>5585699</v>
      </c>
      <c r="G1324" s="27">
        <v>1</v>
      </c>
      <c r="H1324" s="27">
        <v>0</v>
      </c>
      <c r="I1324" s="27">
        <v>1</v>
      </c>
      <c r="J1324" s="30">
        <f t="shared" si="60"/>
        <v>1</v>
      </c>
      <c r="K1324" s="30">
        <f t="shared" si="61"/>
        <v>0</v>
      </c>
      <c r="L1324" s="26">
        <f t="shared" si="62"/>
        <v>0</v>
      </c>
      <c r="M1324" s="26"/>
    </row>
    <row r="1325" spans="1:13" ht="15" customHeight="1">
      <c r="A1325" s="25">
        <v>1579318</v>
      </c>
      <c r="B1325" s="26" t="s">
        <v>5423</v>
      </c>
      <c r="C1325" s="26" t="s">
        <v>8747</v>
      </c>
      <c r="D1325" s="26" t="s">
        <v>8748</v>
      </c>
      <c r="E1325" s="26" t="s">
        <v>7130</v>
      </c>
      <c r="F1325" s="27">
        <v>5579043</v>
      </c>
      <c r="G1325" s="27">
        <v>1</v>
      </c>
      <c r="H1325" s="27">
        <v>0</v>
      </c>
      <c r="I1325" s="27">
        <v>1</v>
      </c>
      <c r="J1325" s="30">
        <f t="shared" si="60"/>
        <v>1</v>
      </c>
      <c r="K1325" s="30">
        <f t="shared" si="61"/>
        <v>0</v>
      </c>
      <c r="L1325" s="26">
        <f t="shared" si="62"/>
        <v>0</v>
      </c>
      <c r="M1325" s="26" t="s">
        <v>8045</v>
      </c>
    </row>
    <row r="1326" spans="1:13" ht="15" customHeight="1">
      <c r="A1326" s="25">
        <v>1579645</v>
      </c>
      <c r="B1326" s="26" t="s">
        <v>5423</v>
      </c>
      <c r="C1326" s="26" t="s">
        <v>8749</v>
      </c>
      <c r="D1326" s="26" t="s">
        <v>8750</v>
      </c>
      <c r="E1326" s="26" t="s">
        <v>5455</v>
      </c>
      <c r="F1326" s="27">
        <v>5598760</v>
      </c>
      <c r="G1326" s="27">
        <v>0</v>
      </c>
      <c r="H1326" s="27">
        <v>1</v>
      </c>
      <c r="I1326" s="27">
        <v>1</v>
      </c>
      <c r="J1326" s="30">
        <f t="shared" si="60"/>
        <v>0</v>
      </c>
      <c r="K1326" s="30">
        <f t="shared" si="61"/>
        <v>1</v>
      </c>
      <c r="L1326" s="26">
        <f t="shared" si="62"/>
        <v>0</v>
      </c>
      <c r="M1326" s="26"/>
    </row>
    <row r="1327" spans="1:13" ht="15" customHeight="1">
      <c r="A1327" s="25">
        <v>1580156</v>
      </c>
      <c r="B1327" s="26" t="s">
        <v>5423</v>
      </c>
      <c r="C1327" s="26" t="s">
        <v>8751</v>
      </c>
      <c r="D1327" s="26" t="s">
        <v>8752</v>
      </c>
      <c r="E1327" s="26" t="s">
        <v>5968</v>
      </c>
      <c r="F1327" s="27">
        <v>5558976</v>
      </c>
      <c r="G1327" s="27">
        <v>1</v>
      </c>
      <c r="H1327" s="27">
        <v>0</v>
      </c>
      <c r="I1327" s="27">
        <v>1</v>
      </c>
      <c r="J1327" s="30">
        <f t="shared" si="60"/>
        <v>1</v>
      </c>
      <c r="K1327" s="30">
        <f t="shared" si="61"/>
        <v>0</v>
      </c>
      <c r="L1327" s="26">
        <f t="shared" si="62"/>
        <v>0</v>
      </c>
      <c r="M1327" s="26"/>
    </row>
    <row r="1328" spans="1:13" ht="15" customHeight="1">
      <c r="A1328" s="25">
        <v>1580297</v>
      </c>
      <c r="B1328" s="26" t="s">
        <v>5427</v>
      </c>
      <c r="C1328" s="26" t="s">
        <v>8753</v>
      </c>
      <c r="D1328" s="26" t="s">
        <v>8754</v>
      </c>
      <c r="E1328" s="26" t="s">
        <v>5535</v>
      </c>
      <c r="F1328" s="27">
        <v>5600484</v>
      </c>
      <c r="G1328" s="27">
        <v>1</v>
      </c>
      <c r="H1328" s="27">
        <v>1</v>
      </c>
      <c r="I1328" s="27">
        <v>1</v>
      </c>
      <c r="J1328" s="30">
        <f t="shared" si="60"/>
        <v>1</v>
      </c>
      <c r="K1328" s="30">
        <f t="shared" si="61"/>
        <v>1</v>
      </c>
      <c r="L1328" s="26">
        <f t="shared" si="62"/>
        <v>1</v>
      </c>
      <c r="M1328" s="26"/>
    </row>
    <row r="1329" spans="1:13" ht="15" customHeight="1">
      <c r="A1329" s="25" t="s">
        <v>8755</v>
      </c>
      <c r="B1329" s="26" t="s">
        <v>5423</v>
      </c>
      <c r="C1329" s="26" t="s">
        <v>8756</v>
      </c>
      <c r="D1329" s="26" t="s">
        <v>8757</v>
      </c>
      <c r="E1329" s="26" t="s">
        <v>5540</v>
      </c>
      <c r="F1329" s="27">
        <v>5351695</v>
      </c>
      <c r="G1329" s="27">
        <v>1</v>
      </c>
      <c r="H1329" s="27">
        <v>1</v>
      </c>
      <c r="I1329" s="27">
        <v>1</v>
      </c>
      <c r="J1329" s="30">
        <f t="shared" si="60"/>
        <v>1</v>
      </c>
      <c r="K1329" s="30">
        <f t="shared" si="61"/>
        <v>1</v>
      </c>
      <c r="L1329" s="26">
        <f t="shared" si="62"/>
        <v>1</v>
      </c>
      <c r="M1329" s="26"/>
    </row>
    <row r="1330" spans="1:13" ht="15" customHeight="1">
      <c r="A1330" s="25">
        <v>1580363</v>
      </c>
      <c r="B1330" s="26" t="s">
        <v>5423</v>
      </c>
      <c r="C1330" s="26" t="s">
        <v>8758</v>
      </c>
      <c r="D1330" s="26" t="s">
        <v>8759</v>
      </c>
      <c r="E1330" s="26" t="s">
        <v>5442</v>
      </c>
      <c r="F1330" s="27">
        <v>5601381</v>
      </c>
      <c r="G1330" s="27">
        <v>0</v>
      </c>
      <c r="H1330" s="27">
        <v>1</v>
      </c>
      <c r="I1330" s="27">
        <v>1</v>
      </c>
      <c r="J1330" s="30">
        <f t="shared" si="60"/>
        <v>0</v>
      </c>
      <c r="K1330" s="30">
        <f t="shared" si="61"/>
        <v>1</v>
      </c>
      <c r="L1330" s="26">
        <f t="shared" si="62"/>
        <v>0</v>
      </c>
      <c r="M1330" s="26"/>
    </row>
    <row r="1331" spans="1:13" ht="15" customHeight="1">
      <c r="A1331" s="25">
        <v>1580366</v>
      </c>
      <c r="B1331" s="26" t="s">
        <v>5427</v>
      </c>
      <c r="C1331" s="26" t="s">
        <v>8760</v>
      </c>
      <c r="D1331" s="26" t="s">
        <v>8761</v>
      </c>
      <c r="E1331" s="26" t="s">
        <v>5458</v>
      </c>
      <c r="F1331" s="27">
        <v>4953207</v>
      </c>
      <c r="G1331" s="27">
        <v>1</v>
      </c>
      <c r="H1331" s="27">
        <v>1</v>
      </c>
      <c r="I1331" s="27">
        <v>1</v>
      </c>
      <c r="J1331" s="30">
        <f t="shared" si="60"/>
        <v>1</v>
      </c>
      <c r="K1331" s="30">
        <f t="shared" si="61"/>
        <v>1</v>
      </c>
      <c r="L1331" s="26">
        <f t="shared" si="62"/>
        <v>1</v>
      </c>
      <c r="M1331" s="26"/>
    </row>
    <row r="1332" spans="1:13" ht="15" customHeight="1">
      <c r="A1332" s="25">
        <v>1580615</v>
      </c>
      <c r="B1332" s="26" t="s">
        <v>5423</v>
      </c>
      <c r="C1332" s="26" t="s">
        <v>8762</v>
      </c>
      <c r="D1332" s="26" t="s">
        <v>8763</v>
      </c>
      <c r="E1332" s="26" t="s">
        <v>5504</v>
      </c>
      <c r="F1332" s="27">
        <v>5558592</v>
      </c>
      <c r="G1332" s="27">
        <v>1</v>
      </c>
      <c r="H1332" s="27">
        <v>1</v>
      </c>
      <c r="I1332" s="27">
        <v>1</v>
      </c>
      <c r="J1332" s="30">
        <f t="shared" si="60"/>
        <v>1</v>
      </c>
      <c r="K1332" s="30">
        <f t="shared" si="61"/>
        <v>1</v>
      </c>
      <c r="L1332" s="26">
        <f t="shared" si="62"/>
        <v>1</v>
      </c>
      <c r="M1332" s="26"/>
    </row>
    <row r="1333" spans="1:13" ht="15" customHeight="1">
      <c r="A1333" s="25">
        <v>1581079</v>
      </c>
      <c r="B1333" s="26" t="s">
        <v>5423</v>
      </c>
      <c r="C1333" s="26" t="s">
        <v>8764</v>
      </c>
      <c r="D1333" s="26" t="s">
        <v>8765</v>
      </c>
      <c r="E1333" s="26" t="s">
        <v>5485</v>
      </c>
      <c r="F1333" s="27">
        <v>5551610</v>
      </c>
      <c r="G1333" s="27">
        <v>1</v>
      </c>
      <c r="H1333" s="27">
        <v>1</v>
      </c>
      <c r="I1333" s="27">
        <v>1</v>
      </c>
      <c r="J1333" s="30">
        <f t="shared" si="60"/>
        <v>1</v>
      </c>
      <c r="K1333" s="30">
        <f t="shared" si="61"/>
        <v>1</v>
      </c>
      <c r="L1333" s="26">
        <f t="shared" si="62"/>
        <v>1</v>
      </c>
      <c r="M1333" s="26"/>
    </row>
    <row r="1334" spans="1:13" ht="15" customHeight="1">
      <c r="A1334" s="25">
        <v>1581289</v>
      </c>
      <c r="B1334" s="26" t="s">
        <v>5423</v>
      </c>
      <c r="C1334" s="26" t="s">
        <v>8766</v>
      </c>
      <c r="D1334" s="26" t="s">
        <v>8767</v>
      </c>
      <c r="E1334" s="26" t="s">
        <v>5586</v>
      </c>
      <c r="F1334" s="27">
        <v>5603975</v>
      </c>
      <c r="G1334" s="27">
        <v>0</v>
      </c>
      <c r="H1334" s="27">
        <v>0</v>
      </c>
      <c r="I1334" s="27">
        <v>0</v>
      </c>
      <c r="J1334" s="30">
        <f t="shared" si="60"/>
        <v>0</v>
      </c>
      <c r="K1334" s="30">
        <f t="shared" si="61"/>
        <v>0</v>
      </c>
      <c r="L1334" s="26">
        <f t="shared" si="62"/>
        <v>0</v>
      </c>
      <c r="M1334" s="26">
        <v>0</v>
      </c>
    </row>
    <row r="1335" spans="1:13" ht="15" customHeight="1">
      <c r="A1335" s="25">
        <v>1581700</v>
      </c>
      <c r="B1335" s="26" t="s">
        <v>5423</v>
      </c>
      <c r="C1335" s="26" t="s">
        <v>8768</v>
      </c>
      <c r="D1335" s="26" t="s">
        <v>8769</v>
      </c>
      <c r="E1335" s="26" t="s">
        <v>5447</v>
      </c>
      <c r="F1335" s="27">
        <v>5605884</v>
      </c>
      <c r="G1335" s="27">
        <v>1</v>
      </c>
      <c r="H1335" s="27">
        <v>0</v>
      </c>
      <c r="I1335" s="27">
        <v>1</v>
      </c>
      <c r="J1335" s="30">
        <f t="shared" si="60"/>
        <v>1</v>
      </c>
      <c r="K1335" s="30">
        <f t="shared" si="61"/>
        <v>0</v>
      </c>
      <c r="L1335" s="26">
        <f t="shared" si="62"/>
        <v>0</v>
      </c>
      <c r="M1335" s="26"/>
    </row>
    <row r="1336" spans="1:13" ht="15" customHeight="1">
      <c r="A1336" s="25">
        <v>1581884</v>
      </c>
      <c r="B1336" s="26" t="s">
        <v>5427</v>
      </c>
      <c r="C1336" s="26" t="s">
        <v>8770</v>
      </c>
      <c r="D1336" s="26" t="s">
        <v>8771</v>
      </c>
      <c r="E1336" s="26" t="s">
        <v>5610</v>
      </c>
      <c r="F1336" s="27">
        <v>5606366</v>
      </c>
      <c r="G1336" s="27">
        <v>0</v>
      </c>
      <c r="H1336" s="27">
        <v>0</v>
      </c>
      <c r="I1336" s="27">
        <v>0</v>
      </c>
      <c r="J1336" s="30">
        <f t="shared" si="60"/>
        <v>0</v>
      </c>
      <c r="K1336" s="30">
        <f t="shared" si="61"/>
        <v>0</v>
      </c>
      <c r="L1336" s="26">
        <f t="shared" si="62"/>
        <v>0</v>
      </c>
      <c r="M1336" s="26">
        <v>0</v>
      </c>
    </row>
    <row r="1337" spans="1:13" ht="15" customHeight="1">
      <c r="A1337" s="25">
        <v>1582093</v>
      </c>
      <c r="B1337" s="26" t="s">
        <v>5427</v>
      </c>
      <c r="C1337" s="26" t="s">
        <v>8772</v>
      </c>
      <c r="D1337" s="26" t="s">
        <v>8773</v>
      </c>
      <c r="E1337" s="26" t="s">
        <v>5560</v>
      </c>
      <c r="F1337" s="27">
        <v>5563920</v>
      </c>
      <c r="G1337" s="27">
        <v>0</v>
      </c>
      <c r="H1337" s="27">
        <v>0</v>
      </c>
      <c r="I1337" s="27">
        <v>0</v>
      </c>
      <c r="J1337" s="30">
        <f t="shared" si="60"/>
        <v>0</v>
      </c>
      <c r="K1337" s="30">
        <f t="shared" si="61"/>
        <v>0</v>
      </c>
      <c r="L1337" s="26">
        <f t="shared" si="62"/>
        <v>0</v>
      </c>
      <c r="M1337" s="26">
        <v>0</v>
      </c>
    </row>
    <row r="1338" spans="1:13" ht="15" customHeight="1">
      <c r="A1338" s="25">
        <v>1582266</v>
      </c>
      <c r="B1338" s="26" t="s">
        <v>5423</v>
      </c>
      <c r="C1338" s="26" t="s">
        <v>8774</v>
      </c>
      <c r="D1338" s="26" t="s">
        <v>8775</v>
      </c>
      <c r="E1338" s="26" t="s">
        <v>5480</v>
      </c>
      <c r="F1338" s="27">
        <v>5598397</v>
      </c>
      <c r="G1338" s="27">
        <v>1</v>
      </c>
      <c r="H1338" s="27">
        <v>1</v>
      </c>
      <c r="I1338" s="27">
        <v>1</v>
      </c>
      <c r="J1338" s="30">
        <f t="shared" si="60"/>
        <v>1</v>
      </c>
      <c r="K1338" s="30">
        <f t="shared" si="61"/>
        <v>1</v>
      </c>
      <c r="L1338" s="26">
        <f t="shared" si="62"/>
        <v>1</v>
      </c>
      <c r="M1338" s="26"/>
    </row>
    <row r="1339" spans="1:13" ht="15" customHeight="1">
      <c r="A1339" s="25">
        <v>1582835</v>
      </c>
      <c r="B1339" s="26" t="s">
        <v>5423</v>
      </c>
      <c r="C1339" s="26" t="s">
        <v>8776</v>
      </c>
      <c r="D1339" s="26" t="s">
        <v>8777</v>
      </c>
      <c r="E1339" s="26" t="s">
        <v>5442</v>
      </c>
      <c r="F1339" s="27">
        <v>5609644</v>
      </c>
      <c r="G1339" s="27">
        <v>1</v>
      </c>
      <c r="H1339" s="27">
        <v>1</v>
      </c>
      <c r="I1339" s="27">
        <v>1</v>
      </c>
      <c r="J1339" s="30">
        <f t="shared" si="60"/>
        <v>1</v>
      </c>
      <c r="K1339" s="30">
        <f t="shared" si="61"/>
        <v>1</v>
      </c>
      <c r="L1339" s="26">
        <f t="shared" si="62"/>
        <v>1</v>
      </c>
      <c r="M1339" s="26"/>
    </row>
    <row r="1340" spans="1:13" ht="15" customHeight="1">
      <c r="A1340" s="25">
        <v>1582857</v>
      </c>
      <c r="B1340" s="26" t="s">
        <v>5423</v>
      </c>
      <c r="C1340" s="26" t="s">
        <v>8778</v>
      </c>
      <c r="D1340" s="26" t="s">
        <v>8779</v>
      </c>
      <c r="E1340" s="26" t="s">
        <v>5442</v>
      </c>
      <c r="F1340" s="27">
        <v>5611014</v>
      </c>
      <c r="G1340" s="27">
        <v>1</v>
      </c>
      <c r="H1340" s="27">
        <v>1</v>
      </c>
      <c r="I1340" s="27">
        <v>1</v>
      </c>
      <c r="J1340" s="30">
        <f t="shared" si="60"/>
        <v>1</v>
      </c>
      <c r="K1340" s="30">
        <f t="shared" si="61"/>
        <v>1</v>
      </c>
      <c r="L1340" s="26">
        <f t="shared" si="62"/>
        <v>1</v>
      </c>
      <c r="M1340" s="26"/>
    </row>
    <row r="1341" spans="1:13" ht="15" customHeight="1">
      <c r="A1341" s="25">
        <v>1582969</v>
      </c>
      <c r="B1341" s="26" t="s">
        <v>5423</v>
      </c>
      <c r="C1341" s="26" t="s">
        <v>8780</v>
      </c>
      <c r="D1341" s="26" t="s">
        <v>8781</v>
      </c>
      <c r="E1341" s="26" t="s">
        <v>5488</v>
      </c>
      <c r="F1341" s="27">
        <v>5609934</v>
      </c>
      <c r="G1341" s="27">
        <v>0</v>
      </c>
      <c r="H1341" s="27">
        <v>0</v>
      </c>
      <c r="I1341" s="27">
        <v>0</v>
      </c>
      <c r="J1341" s="30">
        <f t="shared" si="60"/>
        <v>0</v>
      </c>
      <c r="K1341" s="30">
        <f t="shared" si="61"/>
        <v>0</v>
      </c>
      <c r="L1341" s="26">
        <f t="shared" si="62"/>
        <v>0</v>
      </c>
      <c r="M1341" s="26">
        <v>0</v>
      </c>
    </row>
    <row r="1342" spans="1:13" ht="15" customHeight="1">
      <c r="A1342" s="25">
        <v>1583062</v>
      </c>
      <c r="B1342" s="26" t="s">
        <v>5427</v>
      </c>
      <c r="C1342" s="26" t="s">
        <v>8782</v>
      </c>
      <c r="D1342" s="26" t="s">
        <v>8783</v>
      </c>
      <c r="E1342" s="26" t="s">
        <v>5452</v>
      </c>
      <c r="F1342" s="27">
        <v>4691770</v>
      </c>
      <c r="G1342" s="27">
        <v>1</v>
      </c>
      <c r="H1342" s="27">
        <v>1</v>
      </c>
      <c r="I1342" s="27">
        <v>1</v>
      </c>
      <c r="J1342" s="30">
        <f t="shared" si="60"/>
        <v>1</v>
      </c>
      <c r="K1342" s="30">
        <f t="shared" si="61"/>
        <v>1</v>
      </c>
      <c r="L1342" s="26">
        <f t="shared" si="62"/>
        <v>1</v>
      </c>
      <c r="M1342" s="26"/>
    </row>
    <row r="1343" spans="1:13" ht="15" customHeight="1">
      <c r="A1343" s="25">
        <v>1583063</v>
      </c>
      <c r="B1343" s="26" t="s">
        <v>5423</v>
      </c>
      <c r="C1343" s="26" t="s">
        <v>8784</v>
      </c>
      <c r="D1343" s="26" t="s">
        <v>8785</v>
      </c>
      <c r="E1343" s="26" t="s">
        <v>5763</v>
      </c>
      <c r="F1343" s="27">
        <v>5609970</v>
      </c>
      <c r="G1343" s="27">
        <v>1</v>
      </c>
      <c r="H1343" s="27">
        <v>1</v>
      </c>
      <c r="I1343" s="27">
        <v>1</v>
      </c>
      <c r="J1343" s="30">
        <f t="shared" si="60"/>
        <v>1</v>
      </c>
      <c r="K1343" s="30">
        <f t="shared" si="61"/>
        <v>1</v>
      </c>
      <c r="L1343" s="26">
        <f t="shared" si="62"/>
        <v>1</v>
      </c>
      <c r="M1343" s="26"/>
    </row>
    <row r="1344" spans="1:13" ht="15" customHeight="1">
      <c r="A1344" s="25">
        <v>1583087</v>
      </c>
      <c r="B1344" s="26" t="s">
        <v>5423</v>
      </c>
      <c r="C1344" s="26" t="s">
        <v>8786</v>
      </c>
      <c r="D1344" s="26" t="s">
        <v>8787</v>
      </c>
      <c r="E1344" s="26" t="s">
        <v>5504</v>
      </c>
      <c r="F1344" s="27">
        <v>5609731</v>
      </c>
      <c r="G1344" s="27">
        <v>1</v>
      </c>
      <c r="H1344" s="27">
        <v>1</v>
      </c>
      <c r="I1344" s="27">
        <v>1</v>
      </c>
      <c r="J1344" s="30">
        <f t="shared" si="60"/>
        <v>1</v>
      </c>
      <c r="K1344" s="30">
        <f t="shared" si="61"/>
        <v>1</v>
      </c>
      <c r="L1344" s="26">
        <f t="shared" si="62"/>
        <v>1</v>
      </c>
      <c r="M1344" s="26" t="s">
        <v>8169</v>
      </c>
    </row>
    <row r="1345" spans="1:13" ht="15" customHeight="1">
      <c r="A1345" s="25">
        <v>1583507</v>
      </c>
      <c r="B1345" s="26" t="s">
        <v>5423</v>
      </c>
      <c r="C1345" s="26" t="s">
        <v>8788</v>
      </c>
      <c r="D1345" s="26" t="s">
        <v>8789</v>
      </c>
      <c r="E1345" s="26" t="s">
        <v>5603</v>
      </c>
      <c r="F1345" s="27">
        <v>5609472</v>
      </c>
      <c r="G1345" s="27">
        <v>0</v>
      </c>
      <c r="H1345" s="27">
        <v>0</v>
      </c>
      <c r="I1345" s="27">
        <v>0</v>
      </c>
      <c r="J1345" s="30">
        <f t="shared" si="60"/>
        <v>0</v>
      </c>
      <c r="K1345" s="30">
        <f t="shared" si="61"/>
        <v>0</v>
      </c>
      <c r="L1345" s="26">
        <f t="shared" si="62"/>
        <v>0</v>
      </c>
      <c r="M1345" s="26">
        <v>0</v>
      </c>
    </row>
    <row r="1346" spans="1:13" ht="15" customHeight="1">
      <c r="A1346" s="25">
        <v>1583843</v>
      </c>
      <c r="B1346" s="26" t="s">
        <v>5427</v>
      </c>
      <c r="C1346" s="26" t="s">
        <v>8790</v>
      </c>
      <c r="D1346" s="26" t="s">
        <v>8791</v>
      </c>
      <c r="E1346" s="26" t="s">
        <v>5458</v>
      </c>
      <c r="F1346" s="27">
        <v>5613021</v>
      </c>
      <c r="G1346" s="27">
        <v>0</v>
      </c>
      <c r="H1346" s="27">
        <v>0</v>
      </c>
      <c r="I1346" s="27">
        <v>0</v>
      </c>
      <c r="J1346" s="30">
        <f t="shared" ref="J1346:J1409" si="63">IF(G1346&gt;0,1,0)</f>
        <v>0</v>
      </c>
      <c r="K1346" s="30">
        <f t="shared" ref="K1346:K1409" si="64">IF(H1346&gt;0,1,0)</f>
        <v>0</v>
      </c>
      <c r="L1346" s="26">
        <f t="shared" ref="L1346:L1409" si="65">IF(G1346&gt;0,IF(H1346&gt;0,1,0),0)</f>
        <v>0</v>
      </c>
      <c r="M1346" s="26">
        <v>0</v>
      </c>
    </row>
    <row r="1347" spans="1:13" ht="15" customHeight="1">
      <c r="A1347" s="25">
        <v>1583869</v>
      </c>
      <c r="B1347" s="26" t="s">
        <v>5427</v>
      </c>
      <c r="C1347" s="26" t="s">
        <v>8792</v>
      </c>
      <c r="D1347" s="26" t="s">
        <v>8793</v>
      </c>
      <c r="E1347" s="26" t="s">
        <v>5442</v>
      </c>
      <c r="F1347" s="27">
        <v>5608966</v>
      </c>
      <c r="G1347" s="27">
        <v>0</v>
      </c>
      <c r="H1347" s="27">
        <v>1</v>
      </c>
      <c r="I1347" s="27">
        <v>1</v>
      </c>
      <c r="J1347" s="30">
        <f t="shared" si="63"/>
        <v>0</v>
      </c>
      <c r="K1347" s="30">
        <f t="shared" si="64"/>
        <v>1</v>
      </c>
      <c r="L1347" s="26">
        <f t="shared" si="65"/>
        <v>0</v>
      </c>
      <c r="M1347" s="26" t="s">
        <v>8045</v>
      </c>
    </row>
    <row r="1348" spans="1:13" ht="15" customHeight="1">
      <c r="A1348" s="25">
        <v>1584031</v>
      </c>
      <c r="B1348" s="26" t="s">
        <v>5423</v>
      </c>
      <c r="C1348" s="26" t="s">
        <v>8794</v>
      </c>
      <c r="D1348" s="26" t="s">
        <v>8795</v>
      </c>
      <c r="E1348" s="26" t="s">
        <v>7130</v>
      </c>
      <c r="F1348" s="27">
        <v>5613790</v>
      </c>
      <c r="G1348" s="27">
        <v>0</v>
      </c>
      <c r="H1348" s="27">
        <v>0</v>
      </c>
      <c r="I1348" s="27">
        <v>0</v>
      </c>
      <c r="J1348" s="30">
        <f t="shared" si="63"/>
        <v>0</v>
      </c>
      <c r="K1348" s="30">
        <f t="shared" si="64"/>
        <v>0</v>
      </c>
      <c r="L1348" s="26">
        <f t="shared" si="65"/>
        <v>0</v>
      </c>
      <c r="M1348" s="26">
        <v>0</v>
      </c>
    </row>
    <row r="1349" spans="1:13" ht="15" customHeight="1">
      <c r="A1349" s="25">
        <v>1584262</v>
      </c>
      <c r="B1349" s="26" t="s">
        <v>5423</v>
      </c>
      <c r="C1349" s="26" t="s">
        <v>8796</v>
      </c>
      <c r="D1349" s="26" t="s">
        <v>8797</v>
      </c>
      <c r="E1349" s="26" t="s">
        <v>5447</v>
      </c>
      <c r="F1349" s="27">
        <v>5614454</v>
      </c>
      <c r="G1349" s="27">
        <v>1</v>
      </c>
      <c r="H1349" s="27">
        <v>0</v>
      </c>
      <c r="I1349" s="27">
        <v>1</v>
      </c>
      <c r="J1349" s="30">
        <f t="shared" si="63"/>
        <v>1</v>
      </c>
      <c r="K1349" s="30">
        <f t="shared" si="64"/>
        <v>0</v>
      </c>
      <c r="L1349" s="26">
        <f t="shared" si="65"/>
        <v>0</v>
      </c>
      <c r="M1349" s="26"/>
    </row>
    <row r="1350" spans="1:13" ht="15" customHeight="1">
      <c r="A1350" s="25">
        <v>1584281</v>
      </c>
      <c r="B1350" s="26" t="s">
        <v>5423</v>
      </c>
      <c r="C1350" s="26" t="s">
        <v>8798</v>
      </c>
      <c r="D1350" s="26" t="s">
        <v>8799</v>
      </c>
      <c r="E1350" s="26" t="s">
        <v>8800</v>
      </c>
      <c r="F1350" s="27">
        <v>5610948</v>
      </c>
      <c r="G1350" s="27">
        <v>1</v>
      </c>
      <c r="H1350" s="27">
        <v>1</v>
      </c>
      <c r="I1350" s="27">
        <v>1</v>
      </c>
      <c r="J1350" s="30">
        <f t="shared" si="63"/>
        <v>1</v>
      </c>
      <c r="K1350" s="30">
        <f t="shared" si="64"/>
        <v>1</v>
      </c>
      <c r="L1350" s="26">
        <f t="shared" si="65"/>
        <v>1</v>
      </c>
      <c r="M1350" s="26"/>
    </row>
    <row r="1351" spans="1:13" ht="15" customHeight="1">
      <c r="A1351" s="25">
        <v>1584400</v>
      </c>
      <c r="B1351" s="26" t="s">
        <v>5423</v>
      </c>
      <c r="C1351" s="26" t="s">
        <v>8801</v>
      </c>
      <c r="D1351" s="26" t="s">
        <v>8802</v>
      </c>
      <c r="E1351" s="26" t="s">
        <v>5480</v>
      </c>
      <c r="F1351" s="27">
        <v>5615041</v>
      </c>
      <c r="G1351" s="27">
        <v>0</v>
      </c>
      <c r="H1351" s="27">
        <v>0</v>
      </c>
      <c r="I1351" s="27">
        <v>0</v>
      </c>
      <c r="J1351" s="30">
        <f t="shared" si="63"/>
        <v>0</v>
      </c>
      <c r="K1351" s="30">
        <f t="shared" si="64"/>
        <v>0</v>
      </c>
      <c r="L1351" s="26">
        <f t="shared" si="65"/>
        <v>0</v>
      </c>
      <c r="M1351" s="26">
        <v>0</v>
      </c>
    </row>
    <row r="1352" spans="1:13" ht="15" customHeight="1">
      <c r="A1352" s="25">
        <v>1584819</v>
      </c>
      <c r="B1352" s="26" t="s">
        <v>5423</v>
      </c>
      <c r="C1352" s="26" t="s">
        <v>8803</v>
      </c>
      <c r="D1352" s="26" t="s">
        <v>8804</v>
      </c>
      <c r="E1352" s="26" t="s">
        <v>5475</v>
      </c>
      <c r="F1352" s="27">
        <v>5617376</v>
      </c>
      <c r="G1352" s="27">
        <v>1</v>
      </c>
      <c r="H1352" s="27">
        <v>1</v>
      </c>
      <c r="I1352" s="27">
        <v>1</v>
      </c>
      <c r="J1352" s="30">
        <f t="shared" si="63"/>
        <v>1</v>
      </c>
      <c r="K1352" s="30">
        <f t="shared" si="64"/>
        <v>1</v>
      </c>
      <c r="L1352" s="26">
        <f t="shared" si="65"/>
        <v>1</v>
      </c>
      <c r="M1352" s="26"/>
    </row>
    <row r="1353" spans="1:13" ht="15" customHeight="1">
      <c r="A1353" s="25">
        <v>1584950</v>
      </c>
      <c r="B1353" s="26" t="s">
        <v>5423</v>
      </c>
      <c r="C1353" s="26" t="s">
        <v>8805</v>
      </c>
      <c r="D1353" s="26" t="s">
        <v>8806</v>
      </c>
      <c r="E1353" s="26" t="s">
        <v>5463</v>
      </c>
      <c r="F1353" s="27">
        <v>5616036</v>
      </c>
      <c r="G1353" s="27">
        <v>0</v>
      </c>
      <c r="H1353" s="27">
        <v>0</v>
      </c>
      <c r="I1353" s="27">
        <v>0</v>
      </c>
      <c r="J1353" s="30">
        <f t="shared" si="63"/>
        <v>0</v>
      </c>
      <c r="K1353" s="30">
        <f t="shared" si="64"/>
        <v>0</v>
      </c>
      <c r="L1353" s="26">
        <f t="shared" si="65"/>
        <v>0</v>
      </c>
      <c r="M1353" s="26">
        <v>0</v>
      </c>
    </row>
    <row r="1354" spans="1:13" ht="15" customHeight="1">
      <c r="A1354" s="25">
        <v>1585038</v>
      </c>
      <c r="B1354" s="26" t="s">
        <v>5423</v>
      </c>
      <c r="C1354" s="26" t="s">
        <v>8807</v>
      </c>
      <c r="D1354" s="26" t="s">
        <v>8808</v>
      </c>
      <c r="E1354" s="26" t="s">
        <v>5517</v>
      </c>
      <c r="F1354" s="27">
        <v>5616110</v>
      </c>
      <c r="G1354" s="27">
        <v>0</v>
      </c>
      <c r="H1354" s="27">
        <v>0</v>
      </c>
      <c r="I1354" s="27">
        <v>0</v>
      </c>
      <c r="J1354" s="30">
        <f t="shared" si="63"/>
        <v>0</v>
      </c>
      <c r="K1354" s="30">
        <f t="shared" si="64"/>
        <v>0</v>
      </c>
      <c r="L1354" s="26">
        <f t="shared" si="65"/>
        <v>0</v>
      </c>
      <c r="M1354" s="26">
        <v>0</v>
      </c>
    </row>
    <row r="1355" spans="1:13" ht="15" customHeight="1">
      <c r="A1355" s="25">
        <v>1585442</v>
      </c>
      <c r="B1355" s="26" t="s">
        <v>5427</v>
      </c>
      <c r="C1355" s="26" t="s">
        <v>8809</v>
      </c>
      <c r="D1355" s="26" t="s">
        <v>8810</v>
      </c>
      <c r="E1355" s="26" t="s">
        <v>5433</v>
      </c>
      <c r="F1355" s="27">
        <v>5319978</v>
      </c>
      <c r="G1355" s="27">
        <v>0</v>
      </c>
      <c r="H1355" s="27">
        <v>0</v>
      </c>
      <c r="I1355" s="27">
        <v>0</v>
      </c>
      <c r="J1355" s="30">
        <f t="shared" si="63"/>
        <v>0</v>
      </c>
      <c r="K1355" s="30">
        <f t="shared" si="64"/>
        <v>0</v>
      </c>
      <c r="L1355" s="26">
        <f t="shared" si="65"/>
        <v>0</v>
      </c>
      <c r="M1355" s="26" t="s">
        <v>5557</v>
      </c>
    </row>
    <row r="1356" spans="1:13" ht="15" customHeight="1">
      <c r="A1356" s="25">
        <v>1585457</v>
      </c>
      <c r="B1356" s="26" t="s">
        <v>5423</v>
      </c>
      <c r="C1356" s="26" t="s">
        <v>8811</v>
      </c>
      <c r="D1356" s="26" t="s">
        <v>8812</v>
      </c>
      <c r="E1356" s="26" t="s">
        <v>5455</v>
      </c>
      <c r="F1356" s="27">
        <v>5619361</v>
      </c>
      <c r="G1356" s="27">
        <v>1</v>
      </c>
      <c r="H1356" s="27">
        <v>1</v>
      </c>
      <c r="I1356" s="27">
        <v>1</v>
      </c>
      <c r="J1356" s="30">
        <f t="shared" si="63"/>
        <v>1</v>
      </c>
      <c r="K1356" s="30">
        <f t="shared" si="64"/>
        <v>1</v>
      </c>
      <c r="L1356" s="26">
        <f t="shared" si="65"/>
        <v>1</v>
      </c>
      <c r="M1356" s="26"/>
    </row>
    <row r="1357" spans="1:13" ht="15" customHeight="1">
      <c r="A1357" s="25">
        <v>1585482</v>
      </c>
      <c r="B1357" s="26" t="s">
        <v>5423</v>
      </c>
      <c r="C1357" s="26" t="s">
        <v>8813</v>
      </c>
      <c r="D1357" s="26" t="s">
        <v>8814</v>
      </c>
      <c r="E1357" s="26" t="s">
        <v>5535</v>
      </c>
      <c r="F1357" s="27">
        <v>5019371</v>
      </c>
      <c r="G1357" s="27">
        <v>0</v>
      </c>
      <c r="H1357" s="27">
        <v>0</v>
      </c>
      <c r="I1357" s="27">
        <v>0</v>
      </c>
      <c r="J1357" s="30">
        <f t="shared" si="63"/>
        <v>0</v>
      </c>
      <c r="K1357" s="30">
        <f t="shared" si="64"/>
        <v>0</v>
      </c>
      <c r="L1357" s="26">
        <f t="shared" si="65"/>
        <v>0</v>
      </c>
      <c r="M1357" s="26" t="s">
        <v>5557</v>
      </c>
    </row>
    <row r="1358" spans="1:13" ht="15" customHeight="1">
      <c r="A1358" s="25">
        <v>1585569</v>
      </c>
      <c r="B1358" s="26" t="s">
        <v>5423</v>
      </c>
      <c r="C1358" s="26" t="s">
        <v>8815</v>
      </c>
      <c r="D1358" s="26" t="s">
        <v>8816</v>
      </c>
      <c r="E1358" s="26" t="s">
        <v>5475</v>
      </c>
      <c r="F1358" s="27">
        <v>5610866</v>
      </c>
      <c r="G1358" s="27">
        <v>1</v>
      </c>
      <c r="H1358" s="27">
        <v>1</v>
      </c>
      <c r="I1358" s="27">
        <v>1</v>
      </c>
      <c r="J1358" s="30">
        <f t="shared" si="63"/>
        <v>1</v>
      </c>
      <c r="K1358" s="30">
        <f t="shared" si="64"/>
        <v>1</v>
      </c>
      <c r="L1358" s="26">
        <f t="shared" si="65"/>
        <v>1</v>
      </c>
      <c r="M1358" s="26"/>
    </row>
    <row r="1359" spans="1:13" ht="15" customHeight="1">
      <c r="A1359" s="25">
        <v>1586350</v>
      </c>
      <c r="B1359" s="26" t="s">
        <v>5427</v>
      </c>
      <c r="C1359" s="26" t="s">
        <v>8817</v>
      </c>
      <c r="D1359" s="26" t="s">
        <v>8818</v>
      </c>
      <c r="E1359" s="26" t="s">
        <v>5514</v>
      </c>
      <c r="F1359" s="27">
        <v>5214299</v>
      </c>
      <c r="G1359" s="27">
        <v>0</v>
      </c>
      <c r="H1359" s="27">
        <v>0</v>
      </c>
      <c r="I1359" s="27">
        <v>0</v>
      </c>
      <c r="J1359" s="30">
        <f t="shared" si="63"/>
        <v>0</v>
      </c>
      <c r="K1359" s="30">
        <f t="shared" si="64"/>
        <v>0</v>
      </c>
      <c r="L1359" s="26">
        <f t="shared" si="65"/>
        <v>0</v>
      </c>
      <c r="M1359" s="26" t="s">
        <v>6310</v>
      </c>
    </row>
    <row r="1360" spans="1:13" ht="15" customHeight="1">
      <c r="A1360" s="25">
        <v>1586453</v>
      </c>
      <c r="B1360" s="26" t="s">
        <v>5427</v>
      </c>
      <c r="C1360" s="26" t="s">
        <v>8819</v>
      </c>
      <c r="D1360" s="26" t="s">
        <v>8820</v>
      </c>
      <c r="E1360" s="26" t="s">
        <v>5468</v>
      </c>
      <c r="F1360" s="27">
        <v>5581473</v>
      </c>
      <c r="G1360" s="27">
        <v>1</v>
      </c>
      <c r="H1360" s="27">
        <v>0</v>
      </c>
      <c r="I1360" s="27">
        <v>1</v>
      </c>
      <c r="J1360" s="30">
        <f t="shared" si="63"/>
        <v>1</v>
      </c>
      <c r="K1360" s="30">
        <f t="shared" si="64"/>
        <v>0</v>
      </c>
      <c r="L1360" s="26">
        <f t="shared" si="65"/>
        <v>0</v>
      </c>
      <c r="M1360" s="26"/>
    </row>
    <row r="1361" spans="1:13" ht="15" customHeight="1">
      <c r="A1361" s="25">
        <v>1586475</v>
      </c>
      <c r="B1361" s="26" t="s">
        <v>5423</v>
      </c>
      <c r="C1361" s="26" t="s">
        <v>8821</v>
      </c>
      <c r="D1361" s="26" t="s">
        <v>8822</v>
      </c>
      <c r="E1361" s="26" t="s">
        <v>5586</v>
      </c>
      <c r="F1361" s="27">
        <v>5621802</v>
      </c>
      <c r="G1361" s="27">
        <v>0</v>
      </c>
      <c r="H1361" s="27">
        <v>1</v>
      </c>
      <c r="I1361" s="27">
        <v>1</v>
      </c>
      <c r="J1361" s="30">
        <f t="shared" si="63"/>
        <v>0</v>
      </c>
      <c r="K1361" s="30">
        <f t="shared" si="64"/>
        <v>1</v>
      </c>
      <c r="L1361" s="26">
        <f t="shared" si="65"/>
        <v>0</v>
      </c>
      <c r="M1361" s="26"/>
    </row>
    <row r="1362" spans="1:13" ht="15" customHeight="1">
      <c r="A1362" s="25">
        <v>1586506</v>
      </c>
      <c r="B1362" s="26" t="s">
        <v>5423</v>
      </c>
      <c r="C1362" s="26" t="s">
        <v>8823</v>
      </c>
      <c r="D1362" s="26" t="s">
        <v>8824</v>
      </c>
      <c r="E1362" s="26" t="s">
        <v>5532</v>
      </c>
      <c r="F1362" s="27">
        <v>5609627</v>
      </c>
      <c r="G1362" s="27">
        <v>1</v>
      </c>
      <c r="H1362" s="27">
        <v>0</v>
      </c>
      <c r="I1362" s="27">
        <v>1</v>
      </c>
      <c r="J1362" s="30">
        <f t="shared" si="63"/>
        <v>1</v>
      </c>
      <c r="K1362" s="30">
        <f t="shared" si="64"/>
        <v>0</v>
      </c>
      <c r="L1362" s="26">
        <f t="shared" si="65"/>
        <v>0</v>
      </c>
      <c r="M1362" s="26"/>
    </row>
    <row r="1363" spans="1:13" ht="15" customHeight="1">
      <c r="A1363" s="25">
        <v>1586540</v>
      </c>
      <c r="B1363" s="26" t="s">
        <v>5423</v>
      </c>
      <c r="C1363" s="26" t="s">
        <v>8825</v>
      </c>
      <c r="D1363" s="26" t="s">
        <v>8826</v>
      </c>
      <c r="E1363" s="26" t="s">
        <v>5455</v>
      </c>
      <c r="F1363" s="27">
        <v>5621828</v>
      </c>
      <c r="G1363" s="27">
        <v>0</v>
      </c>
      <c r="H1363" s="27">
        <v>1</v>
      </c>
      <c r="I1363" s="27">
        <v>1</v>
      </c>
      <c r="J1363" s="30">
        <f t="shared" si="63"/>
        <v>0</v>
      </c>
      <c r="K1363" s="30">
        <f t="shared" si="64"/>
        <v>1</v>
      </c>
      <c r="L1363" s="26">
        <f t="shared" si="65"/>
        <v>0</v>
      </c>
      <c r="M1363" s="26"/>
    </row>
    <row r="1364" spans="1:13" ht="15" customHeight="1">
      <c r="A1364" s="25">
        <v>1586613</v>
      </c>
      <c r="B1364" s="26" t="s">
        <v>5423</v>
      </c>
      <c r="C1364" s="26" t="s">
        <v>8827</v>
      </c>
      <c r="D1364" s="26" t="s">
        <v>8828</v>
      </c>
      <c r="E1364" s="26" t="s">
        <v>5683</v>
      </c>
      <c r="F1364" s="27">
        <v>5579614</v>
      </c>
      <c r="G1364" s="27">
        <v>1</v>
      </c>
      <c r="H1364" s="27">
        <v>0</v>
      </c>
      <c r="I1364" s="27">
        <v>1</v>
      </c>
      <c r="J1364" s="30">
        <f t="shared" si="63"/>
        <v>1</v>
      </c>
      <c r="K1364" s="30">
        <f t="shared" si="64"/>
        <v>0</v>
      </c>
      <c r="L1364" s="26">
        <f t="shared" si="65"/>
        <v>0</v>
      </c>
      <c r="M1364" s="26"/>
    </row>
    <row r="1365" spans="1:13" ht="15" customHeight="1">
      <c r="A1365" s="25">
        <v>1586910</v>
      </c>
      <c r="B1365" s="26" t="s">
        <v>5427</v>
      </c>
      <c r="C1365" s="26" t="s">
        <v>8829</v>
      </c>
      <c r="D1365" s="26" t="s">
        <v>8830</v>
      </c>
      <c r="E1365" s="26" t="s">
        <v>5463</v>
      </c>
      <c r="F1365" s="27"/>
      <c r="G1365" s="27">
        <v>0</v>
      </c>
      <c r="H1365" s="27">
        <v>0</v>
      </c>
      <c r="I1365" s="27">
        <v>0</v>
      </c>
      <c r="J1365" s="30">
        <f t="shared" si="63"/>
        <v>0</v>
      </c>
      <c r="K1365" s="30">
        <f t="shared" si="64"/>
        <v>0</v>
      </c>
      <c r="L1365" s="26">
        <f t="shared" si="65"/>
        <v>0</v>
      </c>
      <c r="M1365" s="26" t="s">
        <v>8017</v>
      </c>
    </row>
    <row r="1366" spans="1:13" ht="15" customHeight="1">
      <c r="A1366" s="25">
        <v>1586923</v>
      </c>
      <c r="B1366" s="26" t="s">
        <v>5423</v>
      </c>
      <c r="C1366" s="26" t="s">
        <v>8831</v>
      </c>
      <c r="D1366" s="26" t="s">
        <v>8832</v>
      </c>
      <c r="E1366" s="26" t="s">
        <v>5455</v>
      </c>
      <c r="F1366" s="27">
        <v>5624052</v>
      </c>
      <c r="G1366" s="27">
        <v>1</v>
      </c>
      <c r="H1366" s="27">
        <v>0</v>
      </c>
      <c r="I1366" s="27">
        <v>1</v>
      </c>
      <c r="J1366" s="30">
        <f t="shared" si="63"/>
        <v>1</v>
      </c>
      <c r="K1366" s="30">
        <f t="shared" si="64"/>
        <v>0</v>
      </c>
      <c r="L1366" s="26">
        <f t="shared" si="65"/>
        <v>0</v>
      </c>
      <c r="M1366" s="26"/>
    </row>
    <row r="1367" spans="1:13" ht="15" customHeight="1">
      <c r="A1367" s="25">
        <v>1586936</v>
      </c>
      <c r="B1367" s="26" t="s">
        <v>5423</v>
      </c>
      <c r="C1367" s="26" t="s">
        <v>8833</v>
      </c>
      <c r="D1367" s="26" t="s">
        <v>8834</v>
      </c>
      <c r="E1367" s="26" t="s">
        <v>5430</v>
      </c>
      <c r="F1367" s="27">
        <v>5574935</v>
      </c>
      <c r="G1367" s="27">
        <v>1</v>
      </c>
      <c r="H1367" s="27">
        <v>0</v>
      </c>
      <c r="I1367" s="27">
        <v>1</v>
      </c>
      <c r="J1367" s="30">
        <f t="shared" si="63"/>
        <v>1</v>
      </c>
      <c r="K1367" s="30">
        <f t="shared" si="64"/>
        <v>0</v>
      </c>
      <c r="L1367" s="26">
        <f t="shared" si="65"/>
        <v>0</v>
      </c>
      <c r="M1367" s="26"/>
    </row>
    <row r="1368" spans="1:13" ht="15" customHeight="1">
      <c r="A1368" s="25">
        <v>1586964</v>
      </c>
      <c r="B1368" s="26" t="s">
        <v>5423</v>
      </c>
      <c r="C1368" s="26" t="s">
        <v>8835</v>
      </c>
      <c r="D1368" s="26" t="s">
        <v>8836</v>
      </c>
      <c r="E1368" s="26" t="s">
        <v>5439</v>
      </c>
      <c r="F1368" s="27">
        <v>4560743</v>
      </c>
      <c r="G1368" s="27">
        <v>0</v>
      </c>
      <c r="H1368" s="27">
        <v>0</v>
      </c>
      <c r="I1368" s="27">
        <v>0</v>
      </c>
      <c r="J1368" s="30">
        <f t="shared" si="63"/>
        <v>0</v>
      </c>
      <c r="K1368" s="30">
        <f t="shared" si="64"/>
        <v>0</v>
      </c>
      <c r="L1368" s="26">
        <f t="shared" si="65"/>
        <v>0</v>
      </c>
      <c r="M1368" s="26">
        <v>0</v>
      </c>
    </row>
    <row r="1369" spans="1:13" ht="15" customHeight="1">
      <c r="A1369" s="25">
        <v>1587171</v>
      </c>
      <c r="B1369" s="26" t="s">
        <v>5427</v>
      </c>
      <c r="C1369" s="26" t="s">
        <v>8837</v>
      </c>
      <c r="D1369" s="26" t="s">
        <v>8838</v>
      </c>
      <c r="E1369" s="26" t="s">
        <v>5433</v>
      </c>
      <c r="F1369" s="27">
        <v>5625342</v>
      </c>
      <c r="G1369" s="27">
        <v>1</v>
      </c>
      <c r="H1369" s="27">
        <v>1</v>
      </c>
      <c r="I1369" s="27">
        <v>1</v>
      </c>
      <c r="J1369" s="30">
        <f t="shared" si="63"/>
        <v>1</v>
      </c>
      <c r="K1369" s="30">
        <f t="shared" si="64"/>
        <v>1</v>
      </c>
      <c r="L1369" s="26">
        <f t="shared" si="65"/>
        <v>1</v>
      </c>
      <c r="M1369" s="26"/>
    </row>
    <row r="1370" spans="1:13" ht="15" customHeight="1">
      <c r="A1370" s="25">
        <v>1587316</v>
      </c>
      <c r="B1370" s="26" t="s">
        <v>5423</v>
      </c>
      <c r="C1370" s="26" t="s">
        <v>8839</v>
      </c>
      <c r="D1370" s="26" t="s">
        <v>8840</v>
      </c>
      <c r="E1370" s="26" t="s">
        <v>5535</v>
      </c>
      <c r="F1370" s="27">
        <v>5594917</v>
      </c>
      <c r="G1370" s="27">
        <v>1</v>
      </c>
      <c r="H1370" s="27">
        <v>0</v>
      </c>
      <c r="I1370" s="27">
        <v>1</v>
      </c>
      <c r="J1370" s="30">
        <f t="shared" si="63"/>
        <v>1</v>
      </c>
      <c r="K1370" s="30">
        <f t="shared" si="64"/>
        <v>0</v>
      </c>
      <c r="L1370" s="26">
        <f t="shared" si="65"/>
        <v>0</v>
      </c>
      <c r="M1370" s="26"/>
    </row>
    <row r="1371" spans="1:13" ht="15" customHeight="1">
      <c r="A1371" s="25">
        <v>1587655</v>
      </c>
      <c r="B1371" s="26" t="s">
        <v>5427</v>
      </c>
      <c r="C1371" s="26" t="s">
        <v>8841</v>
      </c>
      <c r="D1371" s="26" t="s">
        <v>8842</v>
      </c>
      <c r="E1371" s="26" t="s">
        <v>5586</v>
      </c>
      <c r="F1371" s="27">
        <v>4985306</v>
      </c>
      <c r="G1371" s="27">
        <v>1</v>
      </c>
      <c r="H1371" s="27">
        <v>1</v>
      </c>
      <c r="I1371" s="27">
        <v>1</v>
      </c>
      <c r="J1371" s="30">
        <f t="shared" si="63"/>
        <v>1</v>
      </c>
      <c r="K1371" s="30">
        <f t="shared" si="64"/>
        <v>1</v>
      </c>
      <c r="L1371" s="26">
        <f t="shared" si="65"/>
        <v>1</v>
      </c>
      <c r="M1371" s="26"/>
    </row>
    <row r="1372" spans="1:13" ht="15" customHeight="1">
      <c r="A1372" s="25">
        <v>1587794</v>
      </c>
      <c r="B1372" s="26" t="s">
        <v>5423</v>
      </c>
      <c r="C1372" s="26" t="s">
        <v>8843</v>
      </c>
      <c r="D1372" s="26" t="s">
        <v>8844</v>
      </c>
      <c r="E1372" s="26" t="s">
        <v>5458</v>
      </c>
      <c r="F1372" s="27"/>
      <c r="G1372" s="27">
        <v>0</v>
      </c>
      <c r="H1372" s="27">
        <v>0</v>
      </c>
      <c r="I1372" s="27">
        <v>0</v>
      </c>
      <c r="J1372" s="30">
        <f t="shared" si="63"/>
        <v>0</v>
      </c>
      <c r="K1372" s="30">
        <f t="shared" si="64"/>
        <v>0</v>
      </c>
      <c r="L1372" s="26">
        <f t="shared" si="65"/>
        <v>0</v>
      </c>
      <c r="M1372" s="26" t="s">
        <v>8017</v>
      </c>
    </row>
    <row r="1373" spans="1:13" ht="15" customHeight="1">
      <c r="A1373" s="25">
        <v>1587850</v>
      </c>
      <c r="B1373" s="26" t="s">
        <v>5427</v>
      </c>
      <c r="C1373" s="26" t="s">
        <v>8845</v>
      </c>
      <c r="D1373" s="26" t="s">
        <v>8846</v>
      </c>
      <c r="E1373" s="26" t="s">
        <v>5529</v>
      </c>
      <c r="F1373" s="27">
        <v>5566126</v>
      </c>
      <c r="G1373" s="27">
        <v>1</v>
      </c>
      <c r="H1373" s="27">
        <v>1</v>
      </c>
      <c r="I1373" s="27">
        <v>1</v>
      </c>
      <c r="J1373" s="30">
        <f t="shared" si="63"/>
        <v>1</v>
      </c>
      <c r="K1373" s="30">
        <f t="shared" si="64"/>
        <v>1</v>
      </c>
      <c r="L1373" s="26">
        <f t="shared" si="65"/>
        <v>1</v>
      </c>
      <c r="M1373" s="26"/>
    </row>
    <row r="1374" spans="1:13" ht="15" customHeight="1">
      <c r="A1374" s="25">
        <v>1587893</v>
      </c>
      <c r="B1374" s="26" t="s">
        <v>5423</v>
      </c>
      <c r="C1374" s="26" t="s">
        <v>8847</v>
      </c>
      <c r="D1374" s="26" t="s">
        <v>8848</v>
      </c>
      <c r="E1374" s="26" t="s">
        <v>5468</v>
      </c>
      <c r="F1374" s="27">
        <v>5620745</v>
      </c>
      <c r="G1374" s="27">
        <v>1</v>
      </c>
      <c r="H1374" s="27">
        <v>1</v>
      </c>
      <c r="I1374" s="27">
        <v>1</v>
      </c>
      <c r="J1374" s="30">
        <f t="shared" si="63"/>
        <v>1</v>
      </c>
      <c r="K1374" s="30">
        <f t="shared" si="64"/>
        <v>1</v>
      </c>
      <c r="L1374" s="26">
        <f t="shared" si="65"/>
        <v>1</v>
      </c>
      <c r="M1374" s="26"/>
    </row>
    <row r="1375" spans="1:13" ht="15" customHeight="1">
      <c r="A1375" s="25">
        <v>1587920</v>
      </c>
      <c r="B1375" s="26" t="s">
        <v>5427</v>
      </c>
      <c r="C1375" s="26" t="s">
        <v>8849</v>
      </c>
      <c r="D1375" s="26" t="s">
        <v>8850</v>
      </c>
      <c r="E1375" s="26" t="s">
        <v>5603</v>
      </c>
      <c r="F1375" s="27">
        <v>5627133</v>
      </c>
      <c r="G1375" s="27">
        <v>1</v>
      </c>
      <c r="H1375" s="27">
        <v>1</v>
      </c>
      <c r="I1375" s="27">
        <v>1</v>
      </c>
      <c r="J1375" s="30">
        <f t="shared" si="63"/>
        <v>1</v>
      </c>
      <c r="K1375" s="30">
        <f t="shared" si="64"/>
        <v>1</v>
      </c>
      <c r="L1375" s="26">
        <f t="shared" si="65"/>
        <v>1</v>
      </c>
      <c r="M1375" s="26"/>
    </row>
    <row r="1376" spans="1:13" ht="15" customHeight="1">
      <c r="A1376" s="25">
        <v>1587933</v>
      </c>
      <c r="B1376" s="26" t="s">
        <v>5423</v>
      </c>
      <c r="C1376" s="26" t="s">
        <v>8851</v>
      </c>
      <c r="D1376" s="26" t="s">
        <v>8852</v>
      </c>
      <c r="E1376" s="26" t="s">
        <v>5540</v>
      </c>
      <c r="F1376" s="27">
        <v>5628055</v>
      </c>
      <c r="G1376" s="27">
        <v>0</v>
      </c>
      <c r="H1376" s="27">
        <v>1</v>
      </c>
      <c r="I1376" s="27">
        <v>1</v>
      </c>
      <c r="J1376" s="30">
        <f t="shared" si="63"/>
        <v>0</v>
      </c>
      <c r="K1376" s="30">
        <f t="shared" si="64"/>
        <v>1</v>
      </c>
      <c r="L1376" s="26">
        <f t="shared" si="65"/>
        <v>0</v>
      </c>
      <c r="M1376" s="26"/>
    </row>
    <row r="1377" spans="1:13" ht="15" customHeight="1">
      <c r="A1377" s="25">
        <v>1588013</v>
      </c>
      <c r="B1377" s="26" t="s">
        <v>5423</v>
      </c>
      <c r="C1377" s="26" t="s">
        <v>8853</v>
      </c>
      <c r="D1377" s="26" t="s">
        <v>8854</v>
      </c>
      <c r="E1377" s="26" t="s">
        <v>5433</v>
      </c>
      <c r="F1377" s="27">
        <v>5627827</v>
      </c>
      <c r="G1377" s="27">
        <v>0</v>
      </c>
      <c r="H1377" s="27">
        <v>0</v>
      </c>
      <c r="I1377" s="27">
        <v>0</v>
      </c>
      <c r="J1377" s="30">
        <f t="shared" si="63"/>
        <v>0</v>
      </c>
      <c r="K1377" s="30">
        <f t="shared" si="64"/>
        <v>0</v>
      </c>
      <c r="L1377" s="26">
        <f t="shared" si="65"/>
        <v>0</v>
      </c>
      <c r="M1377" s="26">
        <v>0</v>
      </c>
    </row>
    <row r="1378" spans="1:13" ht="15" customHeight="1">
      <c r="A1378" s="25">
        <v>1588021</v>
      </c>
      <c r="B1378" s="26" t="s">
        <v>5423</v>
      </c>
      <c r="C1378" s="26" t="s">
        <v>8855</v>
      </c>
      <c r="D1378" s="26" t="s">
        <v>8856</v>
      </c>
      <c r="E1378" s="26" t="s">
        <v>5436</v>
      </c>
      <c r="F1378" s="27">
        <v>5588491</v>
      </c>
      <c r="G1378" s="27">
        <v>0</v>
      </c>
      <c r="H1378" s="27">
        <v>0</v>
      </c>
      <c r="I1378" s="27">
        <v>0</v>
      </c>
      <c r="J1378" s="30">
        <f t="shared" si="63"/>
        <v>0</v>
      </c>
      <c r="K1378" s="30">
        <f t="shared" si="64"/>
        <v>0</v>
      </c>
      <c r="L1378" s="26">
        <f t="shared" si="65"/>
        <v>0</v>
      </c>
      <c r="M1378" s="26" t="s">
        <v>5557</v>
      </c>
    </row>
    <row r="1379" spans="1:13" ht="15" customHeight="1">
      <c r="A1379" s="25">
        <v>1588029</v>
      </c>
      <c r="B1379" s="26" t="s">
        <v>5423</v>
      </c>
      <c r="C1379" s="26" t="s">
        <v>8857</v>
      </c>
      <c r="D1379" s="26" t="s">
        <v>8858</v>
      </c>
      <c r="E1379" s="26" t="s">
        <v>5488</v>
      </c>
      <c r="F1379" s="27">
        <v>5622195</v>
      </c>
      <c r="G1379" s="27">
        <v>1</v>
      </c>
      <c r="H1379" s="27">
        <v>0</v>
      </c>
      <c r="I1379" s="27">
        <v>1</v>
      </c>
      <c r="J1379" s="30">
        <f t="shared" si="63"/>
        <v>1</v>
      </c>
      <c r="K1379" s="30">
        <f t="shared" si="64"/>
        <v>0</v>
      </c>
      <c r="L1379" s="26">
        <f t="shared" si="65"/>
        <v>0</v>
      </c>
      <c r="M1379" s="26"/>
    </row>
    <row r="1380" spans="1:13" ht="15" customHeight="1">
      <c r="A1380" s="25">
        <v>1588049</v>
      </c>
      <c r="B1380" s="26" t="s">
        <v>5423</v>
      </c>
      <c r="C1380" s="26" t="s">
        <v>8859</v>
      </c>
      <c r="D1380" s="26" t="s">
        <v>8860</v>
      </c>
      <c r="E1380" s="26" t="s">
        <v>5603</v>
      </c>
      <c r="F1380" s="27">
        <v>5628417</v>
      </c>
      <c r="G1380" s="27">
        <v>1</v>
      </c>
      <c r="H1380" s="27">
        <v>0</v>
      </c>
      <c r="I1380" s="27">
        <v>1</v>
      </c>
      <c r="J1380" s="30">
        <f t="shared" si="63"/>
        <v>1</v>
      </c>
      <c r="K1380" s="30">
        <f t="shared" si="64"/>
        <v>0</v>
      </c>
      <c r="L1380" s="26">
        <f t="shared" si="65"/>
        <v>0</v>
      </c>
      <c r="M1380" s="26"/>
    </row>
    <row r="1381" spans="1:13" ht="15" customHeight="1">
      <c r="A1381" s="25">
        <v>1588569</v>
      </c>
      <c r="B1381" s="26" t="s">
        <v>5423</v>
      </c>
      <c r="C1381" s="26" t="s">
        <v>8861</v>
      </c>
      <c r="D1381" s="26" t="s">
        <v>8862</v>
      </c>
      <c r="E1381" s="26" t="s">
        <v>5683</v>
      </c>
      <c r="F1381" s="27">
        <v>5629173</v>
      </c>
      <c r="G1381" s="27">
        <v>0</v>
      </c>
      <c r="H1381" s="27">
        <v>1</v>
      </c>
      <c r="I1381" s="27">
        <v>1</v>
      </c>
      <c r="J1381" s="30">
        <f t="shared" si="63"/>
        <v>0</v>
      </c>
      <c r="K1381" s="30">
        <f t="shared" si="64"/>
        <v>1</v>
      </c>
      <c r="L1381" s="26">
        <f t="shared" si="65"/>
        <v>0</v>
      </c>
      <c r="M1381" s="26"/>
    </row>
    <row r="1382" spans="1:13" ht="15" customHeight="1">
      <c r="A1382" s="25">
        <v>1588821</v>
      </c>
      <c r="B1382" s="26" t="s">
        <v>5427</v>
      </c>
      <c r="C1382" s="26" t="s">
        <v>8863</v>
      </c>
      <c r="D1382" s="26" t="s">
        <v>8864</v>
      </c>
      <c r="E1382" s="26" t="s">
        <v>5488</v>
      </c>
      <c r="F1382" s="27">
        <v>5627916</v>
      </c>
      <c r="G1382" s="27">
        <v>0</v>
      </c>
      <c r="H1382" s="27">
        <v>0</v>
      </c>
      <c r="I1382" s="27">
        <v>0</v>
      </c>
      <c r="J1382" s="30">
        <f t="shared" si="63"/>
        <v>0</v>
      </c>
      <c r="K1382" s="30">
        <f t="shared" si="64"/>
        <v>0</v>
      </c>
      <c r="L1382" s="26">
        <f t="shared" si="65"/>
        <v>0</v>
      </c>
      <c r="M1382" s="26">
        <v>0</v>
      </c>
    </row>
    <row r="1383" spans="1:13" ht="15" customHeight="1">
      <c r="A1383" s="25">
        <v>1588825</v>
      </c>
      <c r="B1383" s="26" t="s">
        <v>5423</v>
      </c>
      <c r="C1383" s="26" t="s">
        <v>8865</v>
      </c>
      <c r="D1383" s="26" t="s">
        <v>8866</v>
      </c>
      <c r="E1383" s="26" t="s">
        <v>5426</v>
      </c>
      <c r="F1383" s="27">
        <v>5630340</v>
      </c>
      <c r="G1383" s="27">
        <v>1</v>
      </c>
      <c r="H1383" s="27">
        <v>1</v>
      </c>
      <c r="I1383" s="27">
        <v>1</v>
      </c>
      <c r="J1383" s="30">
        <f t="shared" si="63"/>
        <v>1</v>
      </c>
      <c r="K1383" s="30">
        <f t="shared" si="64"/>
        <v>1</v>
      </c>
      <c r="L1383" s="26">
        <f t="shared" si="65"/>
        <v>1</v>
      </c>
      <c r="M1383" s="26"/>
    </row>
    <row r="1384" spans="1:13" ht="15" customHeight="1">
      <c r="A1384" s="25">
        <v>1588898</v>
      </c>
      <c r="B1384" s="26" t="s">
        <v>5423</v>
      </c>
      <c r="C1384" s="26" t="s">
        <v>8867</v>
      </c>
      <c r="D1384" s="26" t="s">
        <v>8868</v>
      </c>
      <c r="E1384" s="26" t="s">
        <v>5504</v>
      </c>
      <c r="F1384" s="27">
        <v>5577275</v>
      </c>
      <c r="G1384" s="27">
        <v>1</v>
      </c>
      <c r="H1384" s="27">
        <v>1</v>
      </c>
      <c r="I1384" s="27">
        <v>1</v>
      </c>
      <c r="J1384" s="30">
        <f t="shared" si="63"/>
        <v>1</v>
      </c>
      <c r="K1384" s="30">
        <f t="shared" si="64"/>
        <v>1</v>
      </c>
      <c r="L1384" s="26">
        <f t="shared" si="65"/>
        <v>1</v>
      </c>
      <c r="M1384" s="26"/>
    </row>
    <row r="1385" spans="1:13" ht="15" customHeight="1">
      <c r="A1385" s="25">
        <v>1589330</v>
      </c>
      <c r="B1385" s="26" t="s">
        <v>5427</v>
      </c>
      <c r="C1385" s="26" t="s">
        <v>8869</v>
      </c>
      <c r="D1385" s="26" t="s">
        <v>8870</v>
      </c>
      <c r="E1385" s="26" t="s">
        <v>5447</v>
      </c>
      <c r="F1385" s="27">
        <v>5116173</v>
      </c>
      <c r="G1385" s="27">
        <v>1</v>
      </c>
      <c r="H1385" s="27">
        <v>1</v>
      </c>
      <c r="I1385" s="27">
        <v>1</v>
      </c>
      <c r="J1385" s="30">
        <f t="shared" si="63"/>
        <v>1</v>
      </c>
      <c r="K1385" s="30">
        <f t="shared" si="64"/>
        <v>1</v>
      </c>
      <c r="L1385" s="26">
        <f t="shared" si="65"/>
        <v>1</v>
      </c>
      <c r="M1385" s="26"/>
    </row>
    <row r="1386" spans="1:13" ht="15" customHeight="1">
      <c r="A1386" s="25">
        <v>1589339</v>
      </c>
      <c r="B1386" s="26" t="s">
        <v>5427</v>
      </c>
      <c r="C1386" s="26" t="s">
        <v>8871</v>
      </c>
      <c r="D1386" s="26" t="s">
        <v>8872</v>
      </c>
      <c r="E1386" s="26" t="s">
        <v>5545</v>
      </c>
      <c r="F1386" s="27">
        <v>5632053</v>
      </c>
      <c r="G1386" s="27">
        <v>1</v>
      </c>
      <c r="H1386" s="27">
        <v>1</v>
      </c>
      <c r="I1386" s="27">
        <v>1</v>
      </c>
      <c r="J1386" s="30">
        <f t="shared" si="63"/>
        <v>1</v>
      </c>
      <c r="K1386" s="30">
        <f t="shared" si="64"/>
        <v>1</v>
      </c>
      <c r="L1386" s="26">
        <f t="shared" si="65"/>
        <v>1</v>
      </c>
      <c r="M1386" s="26"/>
    </row>
    <row r="1387" spans="1:13" ht="15" customHeight="1">
      <c r="A1387" s="25">
        <v>1589355</v>
      </c>
      <c r="B1387" s="26" t="s">
        <v>5423</v>
      </c>
      <c r="C1387" s="26" t="s">
        <v>8873</v>
      </c>
      <c r="D1387" s="26" t="s">
        <v>8874</v>
      </c>
      <c r="E1387" s="26" t="s">
        <v>5707</v>
      </c>
      <c r="F1387" s="27">
        <v>5577973</v>
      </c>
      <c r="G1387" s="27">
        <v>1</v>
      </c>
      <c r="H1387" s="27">
        <v>0</v>
      </c>
      <c r="I1387" s="27">
        <v>1</v>
      </c>
      <c r="J1387" s="30">
        <f t="shared" si="63"/>
        <v>1</v>
      </c>
      <c r="K1387" s="30">
        <f t="shared" si="64"/>
        <v>0</v>
      </c>
      <c r="L1387" s="26">
        <f t="shared" si="65"/>
        <v>0</v>
      </c>
      <c r="M1387" s="26"/>
    </row>
    <row r="1388" spans="1:13" ht="15" customHeight="1">
      <c r="A1388" s="25">
        <v>1589646</v>
      </c>
      <c r="B1388" s="26" t="s">
        <v>5427</v>
      </c>
      <c r="C1388" s="26" t="s">
        <v>8875</v>
      </c>
      <c r="D1388" s="26" t="s">
        <v>8876</v>
      </c>
      <c r="E1388" s="26" t="s">
        <v>5610</v>
      </c>
      <c r="F1388" s="27">
        <v>5632182</v>
      </c>
      <c r="G1388" s="27">
        <v>0</v>
      </c>
      <c r="H1388" s="27">
        <v>1</v>
      </c>
      <c r="I1388" s="27">
        <v>1</v>
      </c>
      <c r="J1388" s="30">
        <f t="shared" si="63"/>
        <v>0</v>
      </c>
      <c r="K1388" s="30">
        <f t="shared" si="64"/>
        <v>1</v>
      </c>
      <c r="L1388" s="26">
        <f t="shared" si="65"/>
        <v>0</v>
      </c>
      <c r="M1388" s="26"/>
    </row>
    <row r="1389" spans="1:13" ht="15" customHeight="1">
      <c r="A1389" s="25">
        <v>1590095</v>
      </c>
      <c r="B1389" s="26" t="s">
        <v>5423</v>
      </c>
      <c r="C1389" s="26" t="s">
        <v>8877</v>
      </c>
      <c r="D1389" s="26" t="s">
        <v>8878</v>
      </c>
      <c r="E1389" s="26" t="s">
        <v>5504</v>
      </c>
      <c r="F1389" s="27">
        <v>5633104</v>
      </c>
      <c r="G1389" s="27">
        <v>1</v>
      </c>
      <c r="H1389" s="27">
        <v>0</v>
      </c>
      <c r="I1389" s="27">
        <v>1</v>
      </c>
      <c r="J1389" s="30">
        <f t="shared" si="63"/>
        <v>1</v>
      </c>
      <c r="K1389" s="30">
        <f t="shared" si="64"/>
        <v>0</v>
      </c>
      <c r="L1389" s="26">
        <f t="shared" si="65"/>
        <v>0</v>
      </c>
      <c r="M1389" s="26"/>
    </row>
    <row r="1390" spans="1:13" ht="15" customHeight="1">
      <c r="A1390" s="25">
        <v>1590100</v>
      </c>
      <c r="B1390" s="26" t="s">
        <v>5427</v>
      </c>
      <c r="C1390" s="26" t="s">
        <v>8879</v>
      </c>
      <c r="D1390" s="26" t="s">
        <v>8880</v>
      </c>
      <c r="E1390" s="26" t="s">
        <v>5439</v>
      </c>
      <c r="F1390" s="27">
        <v>5634647</v>
      </c>
      <c r="G1390" s="27">
        <v>1</v>
      </c>
      <c r="H1390" s="27">
        <v>1</v>
      </c>
      <c r="I1390" s="27">
        <v>1</v>
      </c>
      <c r="J1390" s="30">
        <f t="shared" si="63"/>
        <v>1</v>
      </c>
      <c r="K1390" s="30">
        <f t="shared" si="64"/>
        <v>1</v>
      </c>
      <c r="L1390" s="26">
        <f t="shared" si="65"/>
        <v>1</v>
      </c>
      <c r="M1390" s="26"/>
    </row>
    <row r="1391" spans="1:13" ht="15" customHeight="1">
      <c r="A1391" s="25">
        <v>1590127</v>
      </c>
      <c r="B1391" s="26" t="s">
        <v>5427</v>
      </c>
      <c r="C1391" s="26" t="s">
        <v>8881</v>
      </c>
      <c r="D1391" s="26" t="s">
        <v>8882</v>
      </c>
      <c r="E1391" s="26" t="s">
        <v>5540</v>
      </c>
      <c r="F1391" s="27"/>
      <c r="G1391" s="27">
        <v>0</v>
      </c>
      <c r="H1391" s="27">
        <v>0</v>
      </c>
      <c r="I1391" s="27">
        <v>0</v>
      </c>
      <c r="J1391" s="30">
        <f t="shared" si="63"/>
        <v>0</v>
      </c>
      <c r="K1391" s="30">
        <f t="shared" si="64"/>
        <v>0</v>
      </c>
      <c r="L1391" s="26">
        <f t="shared" si="65"/>
        <v>0</v>
      </c>
      <c r="M1391" s="26" t="s">
        <v>8017</v>
      </c>
    </row>
    <row r="1392" spans="1:13" ht="15" customHeight="1">
      <c r="A1392" s="25">
        <v>1590343</v>
      </c>
      <c r="B1392" s="26" t="s">
        <v>5423</v>
      </c>
      <c r="C1392" s="26" t="s">
        <v>8883</v>
      </c>
      <c r="D1392" s="26" t="s">
        <v>8884</v>
      </c>
      <c r="E1392" s="26" t="s">
        <v>5475</v>
      </c>
      <c r="F1392" s="27">
        <v>5635774</v>
      </c>
      <c r="G1392" s="27">
        <v>1</v>
      </c>
      <c r="H1392" s="27">
        <v>1</v>
      </c>
      <c r="I1392" s="27">
        <v>1</v>
      </c>
      <c r="J1392" s="30">
        <f t="shared" si="63"/>
        <v>1</v>
      </c>
      <c r="K1392" s="30">
        <f t="shared" si="64"/>
        <v>1</v>
      </c>
      <c r="L1392" s="26">
        <f t="shared" si="65"/>
        <v>1</v>
      </c>
      <c r="M1392" s="26"/>
    </row>
    <row r="1393" spans="1:13" ht="15" customHeight="1">
      <c r="A1393" s="25">
        <v>1590346</v>
      </c>
      <c r="B1393" s="26" t="s">
        <v>5423</v>
      </c>
      <c r="C1393" s="26" t="s">
        <v>8885</v>
      </c>
      <c r="D1393" s="26" t="s">
        <v>8886</v>
      </c>
      <c r="E1393" s="26" t="s">
        <v>5540</v>
      </c>
      <c r="F1393" s="27">
        <v>5632648</v>
      </c>
      <c r="G1393" s="27">
        <v>1</v>
      </c>
      <c r="H1393" s="27">
        <v>1</v>
      </c>
      <c r="I1393" s="27">
        <v>1</v>
      </c>
      <c r="J1393" s="30">
        <f t="shared" si="63"/>
        <v>1</v>
      </c>
      <c r="K1393" s="30">
        <f t="shared" si="64"/>
        <v>1</v>
      </c>
      <c r="L1393" s="26">
        <f t="shared" si="65"/>
        <v>1</v>
      </c>
      <c r="M1393" s="26"/>
    </row>
    <row r="1394" spans="1:13" ht="15" customHeight="1">
      <c r="A1394" s="25">
        <v>1590349</v>
      </c>
      <c r="B1394" s="26" t="s">
        <v>5423</v>
      </c>
      <c r="C1394" s="26" t="s">
        <v>8887</v>
      </c>
      <c r="D1394" s="26" t="s">
        <v>8888</v>
      </c>
      <c r="E1394" s="26" t="s">
        <v>5447</v>
      </c>
      <c r="F1394" s="27">
        <v>5635955</v>
      </c>
      <c r="G1394" s="27">
        <v>1</v>
      </c>
      <c r="H1394" s="27">
        <v>1</v>
      </c>
      <c r="I1394" s="27">
        <v>1</v>
      </c>
      <c r="J1394" s="30">
        <f t="shared" si="63"/>
        <v>1</v>
      </c>
      <c r="K1394" s="30">
        <f t="shared" si="64"/>
        <v>1</v>
      </c>
      <c r="L1394" s="26">
        <f t="shared" si="65"/>
        <v>1</v>
      </c>
      <c r="M1394" s="26" t="s">
        <v>8169</v>
      </c>
    </row>
    <row r="1395" spans="1:13" ht="15" customHeight="1">
      <c r="A1395" s="25">
        <v>1590377</v>
      </c>
      <c r="B1395" s="26" t="s">
        <v>5427</v>
      </c>
      <c r="C1395" s="26" t="s">
        <v>8889</v>
      </c>
      <c r="D1395" s="26" t="s">
        <v>8890</v>
      </c>
      <c r="E1395" s="26" t="s">
        <v>5603</v>
      </c>
      <c r="F1395" s="27">
        <v>5175900</v>
      </c>
      <c r="G1395" s="27">
        <v>0</v>
      </c>
      <c r="H1395" s="27">
        <v>0</v>
      </c>
      <c r="I1395" s="27">
        <v>0</v>
      </c>
      <c r="J1395" s="30">
        <f t="shared" si="63"/>
        <v>0</v>
      </c>
      <c r="K1395" s="30">
        <f t="shared" si="64"/>
        <v>0</v>
      </c>
      <c r="L1395" s="26">
        <f t="shared" si="65"/>
        <v>0</v>
      </c>
      <c r="M1395" s="26" t="s">
        <v>5557</v>
      </c>
    </row>
    <row r="1396" spans="1:13" ht="15" customHeight="1">
      <c r="A1396" s="25">
        <v>1590380</v>
      </c>
      <c r="B1396" s="26" t="s">
        <v>5427</v>
      </c>
      <c r="C1396" s="26" t="s">
        <v>8891</v>
      </c>
      <c r="D1396" s="26" t="s">
        <v>8892</v>
      </c>
      <c r="E1396" s="26" t="s">
        <v>5491</v>
      </c>
      <c r="F1396" s="27">
        <v>5619691</v>
      </c>
      <c r="G1396" s="27">
        <v>1</v>
      </c>
      <c r="H1396" s="27">
        <v>1</v>
      </c>
      <c r="I1396" s="27">
        <v>1</v>
      </c>
      <c r="J1396" s="30">
        <f t="shared" si="63"/>
        <v>1</v>
      </c>
      <c r="K1396" s="30">
        <f t="shared" si="64"/>
        <v>1</v>
      </c>
      <c r="L1396" s="26">
        <f t="shared" si="65"/>
        <v>1</v>
      </c>
      <c r="M1396" s="26" t="s">
        <v>7910</v>
      </c>
    </row>
    <row r="1397" spans="1:13" ht="15" customHeight="1">
      <c r="A1397" s="25">
        <v>1590392</v>
      </c>
      <c r="B1397" s="26" t="s">
        <v>5423</v>
      </c>
      <c r="C1397" s="26" t="s">
        <v>8893</v>
      </c>
      <c r="D1397" s="26" t="s">
        <v>8894</v>
      </c>
      <c r="E1397" s="26" t="s">
        <v>5522</v>
      </c>
      <c r="F1397" s="27">
        <v>5575764</v>
      </c>
      <c r="G1397" s="27">
        <v>1</v>
      </c>
      <c r="H1397" s="27">
        <v>1</v>
      </c>
      <c r="I1397" s="27">
        <v>1</v>
      </c>
      <c r="J1397" s="30">
        <f t="shared" si="63"/>
        <v>1</v>
      </c>
      <c r="K1397" s="30">
        <f t="shared" si="64"/>
        <v>1</v>
      </c>
      <c r="L1397" s="26">
        <f t="shared" si="65"/>
        <v>1</v>
      </c>
      <c r="M1397" s="26"/>
    </row>
    <row r="1398" spans="1:13" ht="15" customHeight="1">
      <c r="A1398" s="25">
        <v>1590514</v>
      </c>
      <c r="B1398" s="26" t="s">
        <v>5427</v>
      </c>
      <c r="C1398" s="26" t="s">
        <v>8895</v>
      </c>
      <c r="D1398" s="26" t="s">
        <v>8896</v>
      </c>
      <c r="E1398" s="26" t="s">
        <v>5529</v>
      </c>
      <c r="F1398" s="27">
        <v>5627802</v>
      </c>
      <c r="G1398" s="27">
        <v>1</v>
      </c>
      <c r="H1398" s="27">
        <v>1</v>
      </c>
      <c r="I1398" s="27">
        <v>1</v>
      </c>
      <c r="J1398" s="30">
        <f t="shared" si="63"/>
        <v>1</v>
      </c>
      <c r="K1398" s="30">
        <f t="shared" si="64"/>
        <v>1</v>
      </c>
      <c r="L1398" s="26">
        <f t="shared" si="65"/>
        <v>1</v>
      </c>
      <c r="M1398" s="26"/>
    </row>
    <row r="1399" spans="1:13" ht="15" customHeight="1">
      <c r="A1399" s="25">
        <v>1590557</v>
      </c>
      <c r="B1399" s="26" t="s">
        <v>5423</v>
      </c>
      <c r="C1399" s="26" t="s">
        <v>8897</v>
      </c>
      <c r="D1399" s="26" t="s">
        <v>8898</v>
      </c>
      <c r="E1399" s="26" t="s">
        <v>5504</v>
      </c>
      <c r="F1399" s="27">
        <v>5634397</v>
      </c>
      <c r="G1399" s="27">
        <v>0</v>
      </c>
      <c r="H1399" s="27">
        <v>0</v>
      </c>
      <c r="I1399" s="27">
        <v>0</v>
      </c>
      <c r="J1399" s="30">
        <f t="shared" si="63"/>
        <v>0</v>
      </c>
      <c r="K1399" s="30">
        <f t="shared" si="64"/>
        <v>0</v>
      </c>
      <c r="L1399" s="26">
        <f t="shared" si="65"/>
        <v>0</v>
      </c>
      <c r="M1399" s="26">
        <v>0</v>
      </c>
    </row>
    <row r="1400" spans="1:13" ht="15" customHeight="1">
      <c r="A1400" s="25">
        <v>1590605</v>
      </c>
      <c r="B1400" s="26" t="s">
        <v>5423</v>
      </c>
      <c r="C1400" s="26" t="s">
        <v>8899</v>
      </c>
      <c r="D1400" s="26" t="s">
        <v>8900</v>
      </c>
      <c r="E1400" s="26" t="s">
        <v>5540</v>
      </c>
      <c r="F1400" s="27">
        <v>5628378</v>
      </c>
      <c r="G1400" s="27">
        <v>1</v>
      </c>
      <c r="H1400" s="27">
        <v>1</v>
      </c>
      <c r="I1400" s="27">
        <v>1</v>
      </c>
      <c r="J1400" s="30">
        <f t="shared" si="63"/>
        <v>1</v>
      </c>
      <c r="K1400" s="30">
        <f t="shared" si="64"/>
        <v>1</v>
      </c>
      <c r="L1400" s="26">
        <f t="shared" si="65"/>
        <v>1</v>
      </c>
      <c r="M1400" s="26"/>
    </row>
    <row r="1401" spans="1:13" ht="15" customHeight="1">
      <c r="A1401" s="25">
        <v>1590912</v>
      </c>
      <c r="B1401" s="26" t="s">
        <v>5423</v>
      </c>
      <c r="C1401" s="26" t="s">
        <v>8901</v>
      </c>
      <c r="D1401" s="26" t="s">
        <v>8902</v>
      </c>
      <c r="E1401" s="26" t="s">
        <v>7130</v>
      </c>
      <c r="F1401" s="27">
        <v>5579043</v>
      </c>
      <c r="G1401" s="27">
        <v>0</v>
      </c>
      <c r="H1401" s="27">
        <v>0</v>
      </c>
      <c r="I1401" s="27">
        <v>0</v>
      </c>
      <c r="J1401" s="30">
        <f t="shared" si="63"/>
        <v>0</v>
      </c>
      <c r="K1401" s="30">
        <f t="shared" si="64"/>
        <v>0</v>
      </c>
      <c r="L1401" s="26">
        <f t="shared" si="65"/>
        <v>0</v>
      </c>
      <c r="M1401" s="26">
        <v>0</v>
      </c>
    </row>
    <row r="1402" spans="1:13" ht="15" customHeight="1">
      <c r="A1402" s="25">
        <v>1591322</v>
      </c>
      <c r="B1402" s="26" t="s">
        <v>5423</v>
      </c>
      <c r="C1402" s="26" t="s">
        <v>8903</v>
      </c>
      <c r="D1402" s="26" t="s">
        <v>8904</v>
      </c>
      <c r="E1402" s="26" t="s">
        <v>5586</v>
      </c>
      <c r="F1402" s="27">
        <v>5638718</v>
      </c>
      <c r="G1402" s="27">
        <v>0</v>
      </c>
      <c r="H1402" s="27">
        <v>0</v>
      </c>
      <c r="I1402" s="27">
        <v>0</v>
      </c>
      <c r="J1402" s="30">
        <f t="shared" si="63"/>
        <v>0</v>
      </c>
      <c r="K1402" s="30">
        <f t="shared" si="64"/>
        <v>0</v>
      </c>
      <c r="L1402" s="26">
        <f t="shared" si="65"/>
        <v>0</v>
      </c>
      <c r="M1402" s="26">
        <v>0</v>
      </c>
    </row>
    <row r="1403" spans="1:13" ht="15" customHeight="1">
      <c r="A1403" s="25">
        <v>1591509</v>
      </c>
      <c r="B1403" s="26" t="s">
        <v>5423</v>
      </c>
      <c r="C1403" s="26" t="s">
        <v>8905</v>
      </c>
      <c r="D1403" s="26" t="s">
        <v>8906</v>
      </c>
      <c r="E1403" s="26" t="s">
        <v>5540</v>
      </c>
      <c r="F1403" s="27">
        <v>5604827</v>
      </c>
      <c r="G1403" s="27">
        <v>1</v>
      </c>
      <c r="H1403" s="27">
        <v>1</v>
      </c>
      <c r="I1403" s="27">
        <v>1</v>
      </c>
      <c r="J1403" s="30">
        <f t="shared" si="63"/>
        <v>1</v>
      </c>
      <c r="K1403" s="30">
        <f t="shared" si="64"/>
        <v>1</v>
      </c>
      <c r="L1403" s="26">
        <f t="shared" si="65"/>
        <v>1</v>
      </c>
      <c r="M1403" s="26"/>
    </row>
    <row r="1404" spans="1:13" ht="15" customHeight="1">
      <c r="A1404" s="25">
        <v>1591779</v>
      </c>
      <c r="B1404" s="26" t="s">
        <v>5423</v>
      </c>
      <c r="C1404" s="26" t="s">
        <v>8907</v>
      </c>
      <c r="D1404" s="26" t="s">
        <v>8908</v>
      </c>
      <c r="E1404" s="26" t="s">
        <v>6541</v>
      </c>
      <c r="F1404" s="27">
        <v>5646523</v>
      </c>
      <c r="G1404" s="27">
        <v>0</v>
      </c>
      <c r="H1404" s="27">
        <v>0</v>
      </c>
      <c r="I1404" s="27">
        <v>0</v>
      </c>
      <c r="J1404" s="30">
        <f t="shared" si="63"/>
        <v>0</v>
      </c>
      <c r="K1404" s="30">
        <f t="shared" si="64"/>
        <v>0</v>
      </c>
      <c r="L1404" s="26">
        <f t="shared" si="65"/>
        <v>0</v>
      </c>
      <c r="M1404" s="26">
        <v>0</v>
      </c>
    </row>
    <row r="1405" spans="1:13" ht="15" customHeight="1">
      <c r="A1405" s="25">
        <v>1591948</v>
      </c>
      <c r="B1405" s="26" t="s">
        <v>5427</v>
      </c>
      <c r="C1405" s="26" t="s">
        <v>8909</v>
      </c>
      <c r="D1405" s="26" t="s">
        <v>8910</v>
      </c>
      <c r="E1405" s="26" t="s">
        <v>5550</v>
      </c>
      <c r="F1405" s="27">
        <v>5640361</v>
      </c>
      <c r="G1405" s="27">
        <v>1</v>
      </c>
      <c r="H1405" s="27">
        <v>0</v>
      </c>
      <c r="I1405" s="27">
        <v>1</v>
      </c>
      <c r="J1405" s="30">
        <f t="shared" si="63"/>
        <v>1</v>
      </c>
      <c r="K1405" s="30">
        <f t="shared" si="64"/>
        <v>0</v>
      </c>
      <c r="L1405" s="26">
        <f t="shared" si="65"/>
        <v>0</v>
      </c>
      <c r="M1405" s="26"/>
    </row>
    <row r="1406" spans="1:13" ht="15" customHeight="1">
      <c r="A1406" s="25">
        <v>1592676</v>
      </c>
      <c r="B1406" s="26" t="s">
        <v>5427</v>
      </c>
      <c r="C1406" s="26" t="s">
        <v>8911</v>
      </c>
      <c r="D1406" s="26" t="s">
        <v>8912</v>
      </c>
      <c r="E1406" s="26" t="s">
        <v>5968</v>
      </c>
      <c r="F1406" s="27"/>
      <c r="G1406" s="27">
        <v>0</v>
      </c>
      <c r="H1406" s="27">
        <v>0</v>
      </c>
      <c r="I1406" s="27">
        <v>0</v>
      </c>
      <c r="J1406" s="30">
        <f t="shared" si="63"/>
        <v>0</v>
      </c>
      <c r="K1406" s="30">
        <f t="shared" si="64"/>
        <v>0</v>
      </c>
      <c r="L1406" s="26">
        <f t="shared" si="65"/>
        <v>0</v>
      </c>
      <c r="M1406" s="26" t="s">
        <v>8147</v>
      </c>
    </row>
    <row r="1407" spans="1:13" ht="15" customHeight="1">
      <c r="A1407" s="25">
        <v>1592780</v>
      </c>
      <c r="B1407" s="26" t="s">
        <v>5423</v>
      </c>
      <c r="C1407" s="26" t="s">
        <v>8913</v>
      </c>
      <c r="D1407" s="26" t="s">
        <v>8914</v>
      </c>
      <c r="E1407" s="26" t="s">
        <v>5475</v>
      </c>
      <c r="F1407" s="27">
        <v>2045983</v>
      </c>
      <c r="G1407" s="27">
        <v>1</v>
      </c>
      <c r="H1407" s="27">
        <v>1</v>
      </c>
      <c r="I1407" s="27">
        <v>1</v>
      </c>
      <c r="J1407" s="30">
        <f t="shared" si="63"/>
        <v>1</v>
      </c>
      <c r="K1407" s="30">
        <f t="shared" si="64"/>
        <v>1</v>
      </c>
      <c r="L1407" s="26">
        <f t="shared" si="65"/>
        <v>1</v>
      </c>
      <c r="M1407" s="26"/>
    </row>
    <row r="1408" spans="1:13" ht="15" customHeight="1">
      <c r="A1408" s="25">
        <v>1592859</v>
      </c>
      <c r="B1408" s="26" t="s">
        <v>5423</v>
      </c>
      <c r="C1408" s="26" t="s">
        <v>8915</v>
      </c>
      <c r="D1408" s="26" t="s">
        <v>8916</v>
      </c>
      <c r="E1408" s="26" t="s">
        <v>8917</v>
      </c>
      <c r="F1408" s="27">
        <v>5644507</v>
      </c>
      <c r="G1408" s="27">
        <v>1</v>
      </c>
      <c r="H1408" s="27">
        <v>1</v>
      </c>
      <c r="I1408" s="27">
        <v>1</v>
      </c>
      <c r="J1408" s="30">
        <f t="shared" si="63"/>
        <v>1</v>
      </c>
      <c r="K1408" s="30">
        <f t="shared" si="64"/>
        <v>1</v>
      </c>
      <c r="L1408" s="26">
        <f t="shared" si="65"/>
        <v>1</v>
      </c>
      <c r="M1408" s="26" t="s">
        <v>8918</v>
      </c>
    </row>
    <row r="1409" spans="1:13" ht="15" customHeight="1">
      <c r="A1409" s="25">
        <v>1592931</v>
      </c>
      <c r="B1409" s="26" t="s">
        <v>5423</v>
      </c>
      <c r="C1409" s="26" t="s">
        <v>8919</v>
      </c>
      <c r="D1409" s="26" t="s">
        <v>8920</v>
      </c>
      <c r="E1409" s="26" t="s">
        <v>5488</v>
      </c>
      <c r="F1409" s="27">
        <v>5644980</v>
      </c>
      <c r="G1409" s="27">
        <v>1</v>
      </c>
      <c r="H1409" s="27">
        <v>1</v>
      </c>
      <c r="I1409" s="27">
        <v>1</v>
      </c>
      <c r="J1409" s="30">
        <f t="shared" si="63"/>
        <v>1</v>
      </c>
      <c r="K1409" s="30">
        <f t="shared" si="64"/>
        <v>1</v>
      </c>
      <c r="L1409" s="26">
        <f t="shared" si="65"/>
        <v>1</v>
      </c>
      <c r="M1409" s="26" t="s">
        <v>7910</v>
      </c>
    </row>
    <row r="1410" spans="1:13" ht="15" customHeight="1">
      <c r="A1410" s="25">
        <v>1592976</v>
      </c>
      <c r="B1410" s="26" t="s">
        <v>5423</v>
      </c>
      <c r="C1410" s="26" t="s">
        <v>8921</v>
      </c>
      <c r="D1410" s="26" t="s">
        <v>8922</v>
      </c>
      <c r="E1410" s="26" t="s">
        <v>5455</v>
      </c>
      <c r="F1410" s="27">
        <v>5622062</v>
      </c>
      <c r="G1410" s="27">
        <v>1</v>
      </c>
      <c r="H1410" s="27">
        <v>1</v>
      </c>
      <c r="I1410" s="27">
        <v>1</v>
      </c>
      <c r="J1410" s="30">
        <f t="shared" ref="J1410:J1473" si="66">IF(G1410&gt;0,1,0)</f>
        <v>1</v>
      </c>
      <c r="K1410" s="30">
        <f t="shared" ref="K1410:K1473" si="67">IF(H1410&gt;0,1,0)</f>
        <v>1</v>
      </c>
      <c r="L1410" s="26">
        <f t="shared" ref="L1410:L1473" si="68">IF(G1410&gt;0,IF(H1410&gt;0,1,0),0)</f>
        <v>1</v>
      </c>
      <c r="M1410" s="26"/>
    </row>
    <row r="1411" spans="1:13" ht="15" customHeight="1">
      <c r="A1411" s="25">
        <v>1593103</v>
      </c>
      <c r="B1411" s="26" t="s">
        <v>5423</v>
      </c>
      <c r="C1411" s="26" t="s">
        <v>8923</v>
      </c>
      <c r="D1411" s="26" t="s">
        <v>8924</v>
      </c>
      <c r="E1411" s="26" t="s">
        <v>5504</v>
      </c>
      <c r="F1411" s="27">
        <v>5652342</v>
      </c>
      <c r="G1411" s="27">
        <v>0</v>
      </c>
      <c r="H1411" s="27">
        <v>0</v>
      </c>
      <c r="I1411" s="27">
        <v>0</v>
      </c>
      <c r="J1411" s="30">
        <f t="shared" si="66"/>
        <v>0</v>
      </c>
      <c r="K1411" s="30">
        <f t="shared" si="67"/>
        <v>0</v>
      </c>
      <c r="L1411" s="26">
        <f t="shared" si="68"/>
        <v>0</v>
      </c>
      <c r="M1411" s="26">
        <v>0</v>
      </c>
    </row>
    <row r="1412" spans="1:13" ht="15" customHeight="1">
      <c r="A1412" s="25">
        <v>1593119</v>
      </c>
      <c r="B1412" s="26" t="s">
        <v>5423</v>
      </c>
      <c r="C1412" s="26" t="s">
        <v>8925</v>
      </c>
      <c r="D1412" s="26" t="s">
        <v>8926</v>
      </c>
      <c r="E1412" s="26" t="s">
        <v>5488</v>
      </c>
      <c r="F1412" s="27">
        <v>5567209</v>
      </c>
      <c r="G1412" s="27">
        <v>1</v>
      </c>
      <c r="H1412" s="27">
        <v>1</v>
      </c>
      <c r="I1412" s="27">
        <v>1</v>
      </c>
      <c r="J1412" s="30">
        <f t="shared" si="66"/>
        <v>1</v>
      </c>
      <c r="K1412" s="30">
        <f t="shared" si="67"/>
        <v>1</v>
      </c>
      <c r="L1412" s="26">
        <f t="shared" si="68"/>
        <v>1</v>
      </c>
      <c r="M1412" s="26"/>
    </row>
    <row r="1413" spans="1:13" ht="15" customHeight="1">
      <c r="A1413" s="25">
        <v>1593123</v>
      </c>
      <c r="B1413" s="26" t="s">
        <v>5423</v>
      </c>
      <c r="C1413" s="26" t="s">
        <v>8927</v>
      </c>
      <c r="D1413" s="26" t="s">
        <v>8928</v>
      </c>
      <c r="E1413" s="26" t="s">
        <v>5683</v>
      </c>
      <c r="F1413" s="27">
        <v>5646001</v>
      </c>
      <c r="G1413" s="27">
        <v>0</v>
      </c>
      <c r="H1413" s="27">
        <v>0</v>
      </c>
      <c r="I1413" s="27">
        <v>0</v>
      </c>
      <c r="J1413" s="30">
        <f t="shared" si="66"/>
        <v>0</v>
      </c>
      <c r="K1413" s="30">
        <f t="shared" si="67"/>
        <v>0</v>
      </c>
      <c r="L1413" s="26">
        <f t="shared" si="68"/>
        <v>0</v>
      </c>
      <c r="M1413" s="26">
        <v>0</v>
      </c>
    </row>
    <row r="1414" spans="1:13" ht="15" customHeight="1">
      <c r="A1414" s="25">
        <v>1593136</v>
      </c>
      <c r="B1414" s="26" t="s">
        <v>5423</v>
      </c>
      <c r="C1414" s="26" t="s">
        <v>8929</v>
      </c>
      <c r="D1414" s="26" t="s">
        <v>8930</v>
      </c>
      <c r="E1414" s="26" t="s">
        <v>5463</v>
      </c>
      <c r="F1414" s="27">
        <v>5399884</v>
      </c>
      <c r="G1414" s="27">
        <v>1</v>
      </c>
      <c r="H1414" s="27">
        <v>1</v>
      </c>
      <c r="I1414" s="27">
        <v>1</v>
      </c>
      <c r="J1414" s="30">
        <f t="shared" si="66"/>
        <v>1</v>
      </c>
      <c r="K1414" s="30">
        <f t="shared" si="67"/>
        <v>1</v>
      </c>
      <c r="L1414" s="26">
        <f t="shared" si="68"/>
        <v>1</v>
      </c>
      <c r="M1414" s="26"/>
    </row>
    <row r="1415" spans="1:13" ht="15" customHeight="1">
      <c r="A1415" s="25">
        <v>1593159</v>
      </c>
      <c r="B1415" s="26" t="s">
        <v>5427</v>
      </c>
      <c r="C1415" s="26" t="s">
        <v>8931</v>
      </c>
      <c r="D1415" s="26" t="s">
        <v>8932</v>
      </c>
      <c r="E1415" s="26" t="s">
        <v>5560</v>
      </c>
      <c r="F1415" s="27">
        <v>5645099</v>
      </c>
      <c r="G1415" s="27">
        <v>0</v>
      </c>
      <c r="H1415" s="27">
        <v>0</v>
      </c>
      <c r="I1415" s="27">
        <v>0</v>
      </c>
      <c r="J1415" s="30">
        <f t="shared" si="66"/>
        <v>0</v>
      </c>
      <c r="K1415" s="30">
        <f t="shared" si="67"/>
        <v>0</v>
      </c>
      <c r="L1415" s="26">
        <f t="shared" si="68"/>
        <v>0</v>
      </c>
      <c r="M1415" s="26">
        <v>0</v>
      </c>
    </row>
    <row r="1416" spans="1:13" ht="15" customHeight="1">
      <c r="A1416" s="25">
        <v>1593170</v>
      </c>
      <c r="B1416" s="26" t="s">
        <v>5427</v>
      </c>
      <c r="C1416" s="26" t="s">
        <v>8933</v>
      </c>
      <c r="D1416" s="26" t="s">
        <v>8934</v>
      </c>
      <c r="E1416" s="26" t="s">
        <v>5545</v>
      </c>
      <c r="F1416" s="27">
        <v>5644607</v>
      </c>
      <c r="G1416" s="27">
        <v>0</v>
      </c>
      <c r="H1416" s="27">
        <v>0</v>
      </c>
      <c r="I1416" s="27">
        <v>0</v>
      </c>
      <c r="J1416" s="30">
        <f t="shared" si="66"/>
        <v>0</v>
      </c>
      <c r="K1416" s="30">
        <f t="shared" si="67"/>
        <v>0</v>
      </c>
      <c r="L1416" s="26">
        <f t="shared" si="68"/>
        <v>0</v>
      </c>
      <c r="M1416" s="26">
        <v>0</v>
      </c>
    </row>
    <row r="1417" spans="1:13" ht="15" customHeight="1">
      <c r="A1417" s="25">
        <v>1593657</v>
      </c>
      <c r="B1417" s="26" t="s">
        <v>5423</v>
      </c>
      <c r="C1417" s="26" t="s">
        <v>8935</v>
      </c>
      <c r="D1417" s="26" t="s">
        <v>8936</v>
      </c>
      <c r="E1417" s="26" t="s">
        <v>5475</v>
      </c>
      <c r="F1417" s="27">
        <v>5165871</v>
      </c>
      <c r="G1417" s="27">
        <v>0</v>
      </c>
      <c r="H1417" s="27">
        <v>0</v>
      </c>
      <c r="I1417" s="27">
        <v>0</v>
      </c>
      <c r="J1417" s="30">
        <f t="shared" si="66"/>
        <v>0</v>
      </c>
      <c r="K1417" s="30">
        <f t="shared" si="67"/>
        <v>0</v>
      </c>
      <c r="L1417" s="26">
        <f t="shared" si="68"/>
        <v>0</v>
      </c>
      <c r="M1417" s="26" t="s">
        <v>8937</v>
      </c>
    </row>
    <row r="1418" spans="1:13" ht="15" customHeight="1">
      <c r="A1418" s="25">
        <v>1593914</v>
      </c>
      <c r="B1418" s="26" t="s">
        <v>5423</v>
      </c>
      <c r="C1418" s="26" t="s">
        <v>8938</v>
      </c>
      <c r="D1418" s="26" t="s">
        <v>8939</v>
      </c>
      <c r="E1418" s="26" t="s">
        <v>5517</v>
      </c>
      <c r="F1418" s="27">
        <v>5646696</v>
      </c>
      <c r="G1418" s="27">
        <v>0</v>
      </c>
      <c r="H1418" s="27">
        <v>0</v>
      </c>
      <c r="I1418" s="27">
        <v>0</v>
      </c>
      <c r="J1418" s="30">
        <f t="shared" si="66"/>
        <v>0</v>
      </c>
      <c r="K1418" s="30">
        <f t="shared" si="67"/>
        <v>0</v>
      </c>
      <c r="L1418" s="26">
        <f t="shared" si="68"/>
        <v>0</v>
      </c>
      <c r="M1418" s="26">
        <v>0</v>
      </c>
    </row>
    <row r="1419" spans="1:13" ht="15" customHeight="1">
      <c r="A1419" s="25">
        <v>1594104</v>
      </c>
      <c r="B1419" s="26" t="s">
        <v>5423</v>
      </c>
      <c r="C1419" s="26" t="s">
        <v>8940</v>
      </c>
      <c r="D1419" s="26" t="s">
        <v>8941</v>
      </c>
      <c r="E1419" s="26" t="s">
        <v>5517</v>
      </c>
      <c r="F1419" s="27">
        <v>5638960</v>
      </c>
      <c r="G1419" s="27">
        <v>1</v>
      </c>
      <c r="H1419" s="27">
        <v>0</v>
      </c>
      <c r="I1419" s="27">
        <v>1</v>
      </c>
      <c r="J1419" s="30">
        <f t="shared" si="66"/>
        <v>1</v>
      </c>
      <c r="K1419" s="30">
        <f t="shared" si="67"/>
        <v>0</v>
      </c>
      <c r="L1419" s="26">
        <f t="shared" si="68"/>
        <v>0</v>
      </c>
      <c r="M1419" s="26"/>
    </row>
    <row r="1420" spans="1:13" ht="15" customHeight="1">
      <c r="A1420" s="25">
        <v>1594408</v>
      </c>
      <c r="B1420" s="26" t="s">
        <v>5423</v>
      </c>
      <c r="C1420" s="26" t="s">
        <v>8942</v>
      </c>
      <c r="D1420" s="26" t="s">
        <v>8943</v>
      </c>
      <c r="E1420" s="26" t="s">
        <v>5522</v>
      </c>
      <c r="F1420" s="27">
        <v>5575764</v>
      </c>
      <c r="G1420" s="27">
        <v>1</v>
      </c>
      <c r="H1420" s="27">
        <v>1</v>
      </c>
      <c r="I1420" s="27">
        <v>1</v>
      </c>
      <c r="J1420" s="30">
        <f t="shared" si="66"/>
        <v>1</v>
      </c>
      <c r="K1420" s="30">
        <f t="shared" si="67"/>
        <v>1</v>
      </c>
      <c r="L1420" s="26">
        <f t="shared" si="68"/>
        <v>1</v>
      </c>
      <c r="M1420" s="26"/>
    </row>
    <row r="1421" spans="1:13" ht="15" customHeight="1">
      <c r="A1421" s="25">
        <v>1594416</v>
      </c>
      <c r="B1421" s="26" t="s">
        <v>5423</v>
      </c>
      <c r="C1421" s="26" t="s">
        <v>8944</v>
      </c>
      <c r="D1421" s="26" t="s">
        <v>8945</v>
      </c>
      <c r="E1421" s="26" t="s">
        <v>5442</v>
      </c>
      <c r="F1421" s="27">
        <v>5649691</v>
      </c>
      <c r="G1421" s="27">
        <v>1</v>
      </c>
      <c r="H1421" s="27">
        <v>0</v>
      </c>
      <c r="I1421" s="27">
        <v>1</v>
      </c>
      <c r="J1421" s="30">
        <f t="shared" si="66"/>
        <v>1</v>
      </c>
      <c r="K1421" s="30">
        <f t="shared" si="67"/>
        <v>0</v>
      </c>
      <c r="L1421" s="26">
        <f t="shared" si="68"/>
        <v>0</v>
      </c>
      <c r="M1421" s="26"/>
    </row>
    <row r="1422" spans="1:13" ht="15" customHeight="1">
      <c r="A1422" s="25">
        <v>1594461</v>
      </c>
      <c r="B1422" s="26" t="s">
        <v>5427</v>
      </c>
      <c r="C1422" s="26" t="s">
        <v>8946</v>
      </c>
      <c r="D1422" s="26" t="s">
        <v>8947</v>
      </c>
      <c r="E1422" s="26" t="s">
        <v>5452</v>
      </c>
      <c r="F1422" s="27">
        <v>5649550</v>
      </c>
      <c r="G1422" s="27">
        <v>1</v>
      </c>
      <c r="H1422" s="27">
        <v>0</v>
      </c>
      <c r="I1422" s="27">
        <v>1</v>
      </c>
      <c r="J1422" s="30">
        <f t="shared" si="66"/>
        <v>1</v>
      </c>
      <c r="K1422" s="30">
        <f t="shared" si="67"/>
        <v>0</v>
      </c>
      <c r="L1422" s="26">
        <f t="shared" si="68"/>
        <v>0</v>
      </c>
      <c r="M1422" s="26"/>
    </row>
    <row r="1423" spans="1:13" ht="15" customHeight="1">
      <c r="A1423" s="25">
        <v>1594847</v>
      </c>
      <c r="B1423" s="26" t="s">
        <v>5423</v>
      </c>
      <c r="C1423" s="26" t="s">
        <v>8948</v>
      </c>
      <c r="D1423" s="26" t="s">
        <v>8949</v>
      </c>
      <c r="E1423" s="26" t="s">
        <v>5463</v>
      </c>
      <c r="F1423" s="27">
        <v>5642384</v>
      </c>
      <c r="G1423" s="27">
        <v>1</v>
      </c>
      <c r="H1423" s="27">
        <v>1</v>
      </c>
      <c r="I1423" s="27">
        <v>1</v>
      </c>
      <c r="J1423" s="30">
        <f t="shared" si="66"/>
        <v>1</v>
      </c>
      <c r="K1423" s="30">
        <f t="shared" si="67"/>
        <v>1</v>
      </c>
      <c r="L1423" s="26">
        <f t="shared" si="68"/>
        <v>1</v>
      </c>
      <c r="M1423" s="26"/>
    </row>
    <row r="1424" spans="1:13" ht="15" customHeight="1">
      <c r="A1424" s="25">
        <v>1594893</v>
      </c>
      <c r="B1424" s="26" t="s">
        <v>5423</v>
      </c>
      <c r="C1424" s="26" t="s">
        <v>8950</v>
      </c>
      <c r="D1424" s="26" t="s">
        <v>8951</v>
      </c>
      <c r="E1424" s="26" t="s">
        <v>5447</v>
      </c>
      <c r="F1424" s="27">
        <v>5650932</v>
      </c>
      <c r="G1424" s="27">
        <v>0</v>
      </c>
      <c r="H1424" s="27">
        <v>0</v>
      </c>
      <c r="I1424" s="27">
        <v>0</v>
      </c>
      <c r="J1424" s="30">
        <f t="shared" si="66"/>
        <v>0</v>
      </c>
      <c r="K1424" s="30">
        <f t="shared" si="67"/>
        <v>0</v>
      </c>
      <c r="L1424" s="26">
        <f t="shared" si="68"/>
        <v>0</v>
      </c>
      <c r="M1424" s="26">
        <v>0</v>
      </c>
    </row>
    <row r="1425" spans="1:13" ht="15" customHeight="1">
      <c r="A1425" s="25">
        <v>1595025</v>
      </c>
      <c r="B1425" s="26" t="s">
        <v>5423</v>
      </c>
      <c r="C1425" s="26" t="s">
        <v>8952</v>
      </c>
      <c r="D1425" s="26" t="s">
        <v>8953</v>
      </c>
      <c r="E1425" s="26" t="s">
        <v>5968</v>
      </c>
      <c r="F1425" s="27">
        <v>5533420</v>
      </c>
      <c r="G1425" s="27">
        <v>1</v>
      </c>
      <c r="H1425" s="27">
        <v>0</v>
      </c>
      <c r="I1425" s="27">
        <v>1</v>
      </c>
      <c r="J1425" s="30">
        <f t="shared" si="66"/>
        <v>1</v>
      </c>
      <c r="K1425" s="30">
        <f t="shared" si="67"/>
        <v>0</v>
      </c>
      <c r="L1425" s="26">
        <f t="shared" si="68"/>
        <v>0</v>
      </c>
      <c r="M1425" s="26"/>
    </row>
    <row r="1426" spans="1:13" ht="15" customHeight="1">
      <c r="A1426" s="25">
        <v>1595112</v>
      </c>
      <c r="B1426" s="26" t="s">
        <v>5423</v>
      </c>
      <c r="C1426" s="26" t="s">
        <v>8954</v>
      </c>
      <c r="D1426" s="26" t="s">
        <v>8955</v>
      </c>
      <c r="E1426" s="26" t="s">
        <v>5475</v>
      </c>
      <c r="F1426" s="27">
        <v>5651364</v>
      </c>
      <c r="G1426" s="27">
        <v>0</v>
      </c>
      <c r="H1426" s="27">
        <v>0</v>
      </c>
      <c r="I1426" s="27">
        <v>0</v>
      </c>
      <c r="J1426" s="30">
        <f t="shared" si="66"/>
        <v>0</v>
      </c>
      <c r="K1426" s="30">
        <f t="shared" si="67"/>
        <v>0</v>
      </c>
      <c r="L1426" s="26">
        <f t="shared" si="68"/>
        <v>0</v>
      </c>
      <c r="M1426" s="26">
        <v>0</v>
      </c>
    </row>
    <row r="1427" spans="1:13" ht="15" customHeight="1">
      <c r="A1427" s="25">
        <v>1595437</v>
      </c>
      <c r="B1427" s="26" t="s">
        <v>5423</v>
      </c>
      <c r="C1427" s="26" t="s">
        <v>8956</v>
      </c>
      <c r="D1427" s="26" t="s">
        <v>8957</v>
      </c>
      <c r="E1427" s="26" t="s">
        <v>5488</v>
      </c>
      <c r="F1427" s="27">
        <v>5654033</v>
      </c>
      <c r="G1427" s="27">
        <v>1</v>
      </c>
      <c r="H1427" s="27">
        <v>1</v>
      </c>
      <c r="I1427" s="27">
        <v>1</v>
      </c>
      <c r="J1427" s="30">
        <f t="shared" si="66"/>
        <v>1</v>
      </c>
      <c r="K1427" s="30">
        <f t="shared" si="67"/>
        <v>1</v>
      </c>
      <c r="L1427" s="26">
        <f t="shared" si="68"/>
        <v>1</v>
      </c>
      <c r="M1427" s="26"/>
    </row>
    <row r="1428" spans="1:13" ht="15" customHeight="1">
      <c r="A1428" s="25">
        <v>1595462</v>
      </c>
      <c r="B1428" s="26" t="s">
        <v>5423</v>
      </c>
      <c r="C1428" s="26" t="s">
        <v>8958</v>
      </c>
      <c r="D1428" s="26" t="s">
        <v>8959</v>
      </c>
      <c r="E1428" s="26" t="s">
        <v>5439</v>
      </c>
      <c r="F1428" s="27">
        <v>5653783</v>
      </c>
      <c r="G1428" s="27">
        <v>0</v>
      </c>
      <c r="H1428" s="27">
        <v>0</v>
      </c>
      <c r="I1428" s="27">
        <v>0</v>
      </c>
      <c r="J1428" s="30">
        <f t="shared" si="66"/>
        <v>0</v>
      </c>
      <c r="K1428" s="30">
        <f t="shared" si="67"/>
        <v>0</v>
      </c>
      <c r="L1428" s="26">
        <f t="shared" si="68"/>
        <v>0</v>
      </c>
      <c r="M1428" s="26">
        <v>0</v>
      </c>
    </row>
    <row r="1429" spans="1:13" ht="15" customHeight="1">
      <c r="A1429" s="25">
        <v>1595501</v>
      </c>
      <c r="B1429" s="26" t="s">
        <v>5427</v>
      </c>
      <c r="C1429" s="26" t="s">
        <v>8960</v>
      </c>
      <c r="D1429" s="26" t="s">
        <v>8961</v>
      </c>
      <c r="E1429" s="26" t="s">
        <v>5683</v>
      </c>
      <c r="F1429" s="27">
        <v>4982859</v>
      </c>
      <c r="G1429" s="27">
        <v>0</v>
      </c>
      <c r="H1429" s="27">
        <v>0</v>
      </c>
      <c r="I1429" s="27">
        <v>0</v>
      </c>
      <c r="J1429" s="30">
        <f t="shared" si="66"/>
        <v>0</v>
      </c>
      <c r="K1429" s="30">
        <f t="shared" si="67"/>
        <v>0</v>
      </c>
      <c r="L1429" s="26">
        <f t="shared" si="68"/>
        <v>0</v>
      </c>
      <c r="M1429" s="26" t="s">
        <v>5557</v>
      </c>
    </row>
    <row r="1430" spans="1:13" ht="15" customHeight="1">
      <c r="A1430" s="25">
        <v>1595648</v>
      </c>
      <c r="B1430" s="26" t="s">
        <v>5427</v>
      </c>
      <c r="C1430" s="26" t="s">
        <v>8962</v>
      </c>
      <c r="D1430" s="26" t="s">
        <v>8963</v>
      </c>
      <c r="E1430" s="26" t="s">
        <v>6075</v>
      </c>
      <c r="F1430" s="27">
        <v>5650468</v>
      </c>
      <c r="G1430" s="27">
        <v>1</v>
      </c>
      <c r="H1430" s="27">
        <v>1</v>
      </c>
      <c r="I1430" s="27">
        <v>1</v>
      </c>
      <c r="J1430" s="30">
        <f t="shared" si="66"/>
        <v>1</v>
      </c>
      <c r="K1430" s="30">
        <f t="shared" si="67"/>
        <v>1</v>
      </c>
      <c r="L1430" s="26">
        <f t="shared" si="68"/>
        <v>1</v>
      </c>
      <c r="M1430" s="26"/>
    </row>
    <row r="1431" spans="1:13" ht="15" customHeight="1">
      <c r="A1431" s="25">
        <v>1595678</v>
      </c>
      <c r="B1431" s="26" t="s">
        <v>5423</v>
      </c>
      <c r="C1431" s="26" t="s">
        <v>8964</v>
      </c>
      <c r="D1431" s="26" t="s">
        <v>8965</v>
      </c>
      <c r="E1431" s="26" t="s">
        <v>5475</v>
      </c>
      <c r="F1431" s="27">
        <v>5654051</v>
      </c>
      <c r="G1431" s="27">
        <v>1</v>
      </c>
      <c r="H1431" s="27">
        <v>1</v>
      </c>
      <c r="I1431" s="27">
        <v>1</v>
      </c>
      <c r="J1431" s="30">
        <f t="shared" si="66"/>
        <v>1</v>
      </c>
      <c r="K1431" s="30">
        <f t="shared" si="67"/>
        <v>1</v>
      </c>
      <c r="L1431" s="26">
        <f t="shared" si="68"/>
        <v>1</v>
      </c>
      <c r="M1431" s="26"/>
    </row>
    <row r="1432" spans="1:13" ht="15" customHeight="1">
      <c r="A1432" s="25" t="s">
        <v>8966</v>
      </c>
      <c r="B1432" s="26" t="s">
        <v>5423</v>
      </c>
      <c r="C1432" s="26" t="s">
        <v>8967</v>
      </c>
      <c r="D1432" s="26" t="s">
        <v>8968</v>
      </c>
      <c r="E1432" s="26" t="s">
        <v>5480</v>
      </c>
      <c r="F1432" s="27">
        <v>5116179</v>
      </c>
      <c r="G1432" s="27">
        <v>0</v>
      </c>
      <c r="H1432" s="27">
        <v>0</v>
      </c>
      <c r="I1432" s="27">
        <v>0</v>
      </c>
      <c r="J1432" s="30">
        <f t="shared" si="66"/>
        <v>0</v>
      </c>
      <c r="K1432" s="30">
        <f t="shared" si="67"/>
        <v>0</v>
      </c>
      <c r="L1432" s="26">
        <f t="shared" si="68"/>
        <v>0</v>
      </c>
      <c r="M1432" s="26" t="s">
        <v>8969</v>
      </c>
    </row>
    <row r="1433" spans="1:13" ht="15" customHeight="1">
      <c r="A1433" s="25">
        <v>1595700</v>
      </c>
      <c r="B1433" s="26" t="s">
        <v>5423</v>
      </c>
      <c r="C1433" s="26" t="s">
        <v>8970</v>
      </c>
      <c r="D1433" s="26" t="s">
        <v>8971</v>
      </c>
      <c r="E1433" s="26" t="s">
        <v>5480</v>
      </c>
      <c r="F1433" s="27">
        <v>5292339</v>
      </c>
      <c r="G1433" s="27">
        <v>1</v>
      </c>
      <c r="H1433" s="27">
        <v>1</v>
      </c>
      <c r="I1433" s="27">
        <v>1</v>
      </c>
      <c r="J1433" s="30">
        <f t="shared" si="66"/>
        <v>1</v>
      </c>
      <c r="K1433" s="30">
        <f t="shared" si="67"/>
        <v>1</v>
      </c>
      <c r="L1433" s="26">
        <f t="shared" si="68"/>
        <v>1</v>
      </c>
      <c r="M1433" s="26"/>
    </row>
    <row r="1434" spans="1:13" ht="15" customHeight="1">
      <c r="A1434" s="25">
        <v>1595764</v>
      </c>
      <c r="B1434" s="26" t="s">
        <v>5423</v>
      </c>
      <c r="C1434" s="26" t="s">
        <v>8972</v>
      </c>
      <c r="D1434" s="26" t="s">
        <v>8973</v>
      </c>
      <c r="E1434" s="26" t="s">
        <v>5458</v>
      </c>
      <c r="F1434" s="27">
        <v>4552563</v>
      </c>
      <c r="G1434" s="27">
        <v>0</v>
      </c>
      <c r="H1434" s="27">
        <v>0</v>
      </c>
      <c r="I1434" s="27">
        <v>0</v>
      </c>
      <c r="J1434" s="30">
        <f t="shared" si="66"/>
        <v>0</v>
      </c>
      <c r="K1434" s="30">
        <f t="shared" si="67"/>
        <v>0</v>
      </c>
      <c r="L1434" s="26">
        <f t="shared" si="68"/>
        <v>0</v>
      </c>
      <c r="M1434" s="26" t="s">
        <v>5557</v>
      </c>
    </row>
    <row r="1435" spans="1:13" ht="15" customHeight="1">
      <c r="A1435" s="25">
        <v>1596066</v>
      </c>
      <c r="B1435" s="26" t="s">
        <v>5427</v>
      </c>
      <c r="C1435" s="26" t="s">
        <v>8974</v>
      </c>
      <c r="D1435" s="26" t="s">
        <v>8975</v>
      </c>
      <c r="E1435" s="26" t="s">
        <v>5439</v>
      </c>
      <c r="F1435" s="27">
        <v>5655933</v>
      </c>
      <c r="G1435" s="27">
        <v>0</v>
      </c>
      <c r="H1435" s="27">
        <v>1</v>
      </c>
      <c r="I1435" s="27">
        <v>1</v>
      </c>
      <c r="J1435" s="30">
        <f t="shared" si="66"/>
        <v>0</v>
      </c>
      <c r="K1435" s="30">
        <f t="shared" si="67"/>
        <v>1</v>
      </c>
      <c r="L1435" s="26">
        <f t="shared" si="68"/>
        <v>0</v>
      </c>
      <c r="M1435" s="26"/>
    </row>
    <row r="1436" spans="1:13" ht="15" customHeight="1">
      <c r="A1436" s="25">
        <v>1596106</v>
      </c>
      <c r="B1436" s="26" t="s">
        <v>5427</v>
      </c>
      <c r="C1436" s="26" t="s">
        <v>8976</v>
      </c>
      <c r="D1436" s="26" t="s">
        <v>8977</v>
      </c>
      <c r="E1436" s="26" t="s">
        <v>5491</v>
      </c>
      <c r="F1436" s="27"/>
      <c r="G1436" s="27">
        <v>0</v>
      </c>
      <c r="H1436" s="27">
        <v>0</v>
      </c>
      <c r="I1436" s="27">
        <v>0</v>
      </c>
      <c r="J1436" s="30">
        <f t="shared" si="66"/>
        <v>0</v>
      </c>
      <c r="K1436" s="30">
        <f t="shared" si="67"/>
        <v>0</v>
      </c>
      <c r="L1436" s="26">
        <f t="shared" si="68"/>
        <v>0</v>
      </c>
      <c r="M1436" s="26">
        <v>0</v>
      </c>
    </row>
    <row r="1437" spans="1:13" ht="15" customHeight="1">
      <c r="A1437" s="25">
        <v>1596467</v>
      </c>
      <c r="B1437" s="26" t="s">
        <v>5427</v>
      </c>
      <c r="C1437" s="26" t="s">
        <v>8978</v>
      </c>
      <c r="D1437" s="26" t="s">
        <v>8979</v>
      </c>
      <c r="E1437" s="26" t="s">
        <v>5654</v>
      </c>
      <c r="F1437" s="27">
        <v>5655820</v>
      </c>
      <c r="G1437" s="27">
        <v>0</v>
      </c>
      <c r="H1437" s="27">
        <v>0</v>
      </c>
      <c r="I1437" s="27">
        <v>0</v>
      </c>
      <c r="J1437" s="30">
        <f t="shared" si="66"/>
        <v>0</v>
      </c>
      <c r="K1437" s="30">
        <f t="shared" si="67"/>
        <v>0</v>
      </c>
      <c r="L1437" s="26">
        <f t="shared" si="68"/>
        <v>0</v>
      </c>
      <c r="M1437" s="26">
        <v>0</v>
      </c>
    </row>
    <row r="1438" spans="1:13" ht="15" customHeight="1">
      <c r="A1438" s="25">
        <v>1596954</v>
      </c>
      <c r="B1438" s="26" t="s">
        <v>5427</v>
      </c>
      <c r="C1438" s="26" t="s">
        <v>8980</v>
      </c>
      <c r="D1438" s="26" t="s">
        <v>8981</v>
      </c>
      <c r="E1438" s="26" t="s">
        <v>5439</v>
      </c>
      <c r="F1438" s="27">
        <v>5640887</v>
      </c>
      <c r="G1438" s="27">
        <v>1</v>
      </c>
      <c r="H1438" s="27">
        <v>0</v>
      </c>
      <c r="I1438" s="27">
        <v>1</v>
      </c>
      <c r="J1438" s="30">
        <f t="shared" si="66"/>
        <v>1</v>
      </c>
      <c r="K1438" s="30">
        <f t="shared" si="67"/>
        <v>0</v>
      </c>
      <c r="L1438" s="26">
        <f t="shared" si="68"/>
        <v>0</v>
      </c>
      <c r="M1438" s="26"/>
    </row>
    <row r="1439" spans="1:13" ht="15" customHeight="1">
      <c r="A1439" s="25">
        <v>1597144</v>
      </c>
      <c r="B1439" s="26" t="s">
        <v>5423</v>
      </c>
      <c r="C1439" s="26" t="s">
        <v>8982</v>
      </c>
      <c r="D1439" s="26" t="s">
        <v>8983</v>
      </c>
      <c r="E1439" s="26" t="s">
        <v>5463</v>
      </c>
      <c r="F1439" s="27">
        <v>5607269</v>
      </c>
      <c r="G1439" s="27">
        <v>1</v>
      </c>
      <c r="H1439" s="27">
        <v>0</v>
      </c>
      <c r="I1439" s="27">
        <v>1</v>
      </c>
      <c r="J1439" s="30">
        <f t="shared" si="66"/>
        <v>1</v>
      </c>
      <c r="K1439" s="30">
        <f t="shared" si="67"/>
        <v>0</v>
      </c>
      <c r="L1439" s="26">
        <f t="shared" si="68"/>
        <v>0</v>
      </c>
      <c r="M1439" s="26"/>
    </row>
    <row r="1440" spans="1:13" ht="15" customHeight="1">
      <c r="A1440" s="25">
        <v>1597306</v>
      </c>
      <c r="B1440" s="26" t="s">
        <v>5427</v>
      </c>
      <c r="C1440" s="26" t="s">
        <v>8984</v>
      </c>
      <c r="D1440" s="26" t="s">
        <v>8985</v>
      </c>
      <c r="E1440" s="26" t="s">
        <v>5436</v>
      </c>
      <c r="F1440" s="27">
        <v>5659768</v>
      </c>
      <c r="G1440" s="27">
        <v>1</v>
      </c>
      <c r="H1440" s="27">
        <v>1</v>
      </c>
      <c r="I1440" s="27">
        <v>1</v>
      </c>
      <c r="J1440" s="30">
        <f t="shared" si="66"/>
        <v>1</v>
      </c>
      <c r="K1440" s="30">
        <f t="shared" si="67"/>
        <v>1</v>
      </c>
      <c r="L1440" s="26">
        <f t="shared" si="68"/>
        <v>1</v>
      </c>
      <c r="M1440" s="26"/>
    </row>
    <row r="1441" spans="1:13" ht="15" customHeight="1">
      <c r="A1441" s="25">
        <v>1597343</v>
      </c>
      <c r="B1441" s="26" t="s">
        <v>5427</v>
      </c>
      <c r="C1441" s="26" t="s">
        <v>8986</v>
      </c>
      <c r="D1441" s="26" t="s">
        <v>8987</v>
      </c>
      <c r="E1441" s="26" t="s">
        <v>5488</v>
      </c>
      <c r="F1441" s="27">
        <v>5643296</v>
      </c>
      <c r="G1441" s="27">
        <v>1</v>
      </c>
      <c r="H1441" s="27">
        <v>0</v>
      </c>
      <c r="I1441" s="27">
        <v>1</v>
      </c>
      <c r="J1441" s="30">
        <f t="shared" si="66"/>
        <v>1</v>
      </c>
      <c r="K1441" s="30">
        <f t="shared" si="67"/>
        <v>0</v>
      </c>
      <c r="L1441" s="26">
        <f t="shared" si="68"/>
        <v>0</v>
      </c>
      <c r="M1441" s="26"/>
    </row>
    <row r="1442" spans="1:13" ht="15" customHeight="1">
      <c r="A1442" s="25">
        <v>1597369</v>
      </c>
      <c r="B1442" s="26" t="s">
        <v>5423</v>
      </c>
      <c r="C1442" s="26" t="s">
        <v>8988</v>
      </c>
      <c r="D1442" s="26" t="s">
        <v>8989</v>
      </c>
      <c r="E1442" s="26" t="s">
        <v>5485</v>
      </c>
      <c r="F1442" s="27">
        <v>5643824</v>
      </c>
      <c r="G1442" s="27">
        <v>1</v>
      </c>
      <c r="H1442" s="27">
        <v>0</v>
      </c>
      <c r="I1442" s="27">
        <v>1</v>
      </c>
      <c r="J1442" s="30">
        <f t="shared" si="66"/>
        <v>1</v>
      </c>
      <c r="K1442" s="30">
        <f t="shared" si="67"/>
        <v>0</v>
      </c>
      <c r="L1442" s="26">
        <f t="shared" si="68"/>
        <v>0</v>
      </c>
      <c r="M1442" s="26"/>
    </row>
    <row r="1443" spans="1:13" ht="15" customHeight="1">
      <c r="A1443" s="25">
        <v>1597442</v>
      </c>
      <c r="B1443" s="26" t="s">
        <v>5423</v>
      </c>
      <c r="C1443" s="26" t="s">
        <v>8990</v>
      </c>
      <c r="D1443" s="26" t="s">
        <v>8991</v>
      </c>
      <c r="E1443" s="26" t="s">
        <v>5522</v>
      </c>
      <c r="F1443" s="27">
        <v>5650285</v>
      </c>
      <c r="G1443" s="27">
        <v>0</v>
      </c>
      <c r="H1443" s="27">
        <v>0</v>
      </c>
      <c r="I1443" s="27">
        <v>0</v>
      </c>
      <c r="J1443" s="30">
        <f t="shared" si="66"/>
        <v>0</v>
      </c>
      <c r="K1443" s="30">
        <f t="shared" si="67"/>
        <v>0</v>
      </c>
      <c r="L1443" s="26">
        <f t="shared" si="68"/>
        <v>0</v>
      </c>
      <c r="M1443" s="26">
        <v>0</v>
      </c>
    </row>
    <row r="1444" spans="1:13" ht="15" customHeight="1">
      <c r="A1444" s="25">
        <v>1597504</v>
      </c>
      <c r="B1444" s="26" t="s">
        <v>5427</v>
      </c>
      <c r="C1444" s="26" t="s">
        <v>8992</v>
      </c>
      <c r="D1444" s="26" t="s">
        <v>8993</v>
      </c>
      <c r="E1444" s="26" t="s">
        <v>5463</v>
      </c>
      <c r="F1444" s="27">
        <v>5660863</v>
      </c>
      <c r="G1444" s="27">
        <v>1</v>
      </c>
      <c r="H1444" s="27">
        <v>1</v>
      </c>
      <c r="I1444" s="27">
        <v>1</v>
      </c>
      <c r="J1444" s="30">
        <f t="shared" si="66"/>
        <v>1</v>
      </c>
      <c r="K1444" s="30">
        <f t="shared" si="67"/>
        <v>1</v>
      </c>
      <c r="L1444" s="26">
        <f t="shared" si="68"/>
        <v>1</v>
      </c>
      <c r="M1444" s="26"/>
    </row>
    <row r="1445" spans="1:13" ht="15" customHeight="1">
      <c r="A1445" s="25">
        <v>1597983</v>
      </c>
      <c r="B1445" s="26" t="s">
        <v>5423</v>
      </c>
      <c r="C1445" s="26" t="s">
        <v>8994</v>
      </c>
      <c r="D1445" s="26" t="s">
        <v>8995</v>
      </c>
      <c r="E1445" s="26" t="s">
        <v>5463</v>
      </c>
      <c r="F1445" s="27">
        <v>5633881</v>
      </c>
      <c r="G1445" s="27">
        <v>1</v>
      </c>
      <c r="H1445" s="27">
        <v>1</v>
      </c>
      <c r="I1445" s="27">
        <v>1</v>
      </c>
      <c r="J1445" s="30">
        <f t="shared" si="66"/>
        <v>1</v>
      </c>
      <c r="K1445" s="30">
        <f t="shared" si="67"/>
        <v>1</v>
      </c>
      <c r="L1445" s="26">
        <f t="shared" si="68"/>
        <v>1</v>
      </c>
      <c r="M1445" s="26"/>
    </row>
    <row r="1446" spans="1:13" ht="15" customHeight="1">
      <c r="A1446" s="25">
        <v>1598131</v>
      </c>
      <c r="B1446" s="26" t="s">
        <v>5423</v>
      </c>
      <c r="C1446" s="26" t="s">
        <v>8996</v>
      </c>
      <c r="D1446" s="26" t="s">
        <v>8997</v>
      </c>
      <c r="E1446" s="26" t="s">
        <v>5603</v>
      </c>
      <c r="F1446" s="27">
        <v>5662401</v>
      </c>
      <c r="G1446" s="27">
        <v>1</v>
      </c>
      <c r="H1446" s="27">
        <v>1</v>
      </c>
      <c r="I1446" s="27">
        <v>1</v>
      </c>
      <c r="J1446" s="30">
        <f t="shared" si="66"/>
        <v>1</v>
      </c>
      <c r="K1446" s="30">
        <f t="shared" si="67"/>
        <v>1</v>
      </c>
      <c r="L1446" s="26">
        <f t="shared" si="68"/>
        <v>1</v>
      </c>
      <c r="M1446" s="26"/>
    </row>
    <row r="1447" spans="1:13" ht="15" customHeight="1">
      <c r="A1447" s="25">
        <v>1598155</v>
      </c>
      <c r="B1447" s="26" t="s">
        <v>5427</v>
      </c>
      <c r="C1447" s="26" t="s">
        <v>8998</v>
      </c>
      <c r="D1447" s="26" t="s">
        <v>8999</v>
      </c>
      <c r="E1447" s="26" t="s">
        <v>5683</v>
      </c>
      <c r="F1447" s="27">
        <v>5638326</v>
      </c>
      <c r="G1447" s="27">
        <v>1</v>
      </c>
      <c r="H1447" s="27">
        <v>1</v>
      </c>
      <c r="I1447" s="27">
        <v>1</v>
      </c>
      <c r="J1447" s="30">
        <f t="shared" si="66"/>
        <v>1</v>
      </c>
      <c r="K1447" s="30">
        <f t="shared" si="67"/>
        <v>1</v>
      </c>
      <c r="L1447" s="26">
        <f t="shared" si="68"/>
        <v>1</v>
      </c>
      <c r="M1447" s="26" t="s">
        <v>8169</v>
      </c>
    </row>
    <row r="1448" spans="1:13" ht="15" customHeight="1">
      <c r="A1448" s="25">
        <v>1598167</v>
      </c>
      <c r="B1448" s="26" t="s">
        <v>5423</v>
      </c>
      <c r="C1448" s="26" t="s">
        <v>9000</v>
      </c>
      <c r="D1448" s="26" t="s">
        <v>9001</v>
      </c>
      <c r="E1448" s="26" t="s">
        <v>5683</v>
      </c>
      <c r="F1448" s="27">
        <v>5603660</v>
      </c>
      <c r="G1448" s="27">
        <v>1</v>
      </c>
      <c r="H1448" s="27">
        <v>1</v>
      </c>
      <c r="I1448" s="27">
        <v>1</v>
      </c>
      <c r="J1448" s="30">
        <f t="shared" si="66"/>
        <v>1</v>
      </c>
      <c r="K1448" s="30">
        <f t="shared" si="67"/>
        <v>1</v>
      </c>
      <c r="L1448" s="26">
        <f t="shared" si="68"/>
        <v>1</v>
      </c>
      <c r="M1448" s="26"/>
    </row>
    <row r="1449" spans="1:13" ht="15" customHeight="1">
      <c r="A1449" s="25">
        <v>1598186</v>
      </c>
      <c r="B1449" s="26" t="s">
        <v>5423</v>
      </c>
      <c r="C1449" s="26" t="s">
        <v>9002</v>
      </c>
      <c r="D1449" s="26" t="s">
        <v>9003</v>
      </c>
      <c r="E1449" s="26" t="s">
        <v>5480</v>
      </c>
      <c r="F1449" s="27">
        <v>5662814</v>
      </c>
      <c r="G1449" s="27">
        <v>0</v>
      </c>
      <c r="H1449" s="27">
        <v>0</v>
      </c>
      <c r="I1449" s="27">
        <v>0</v>
      </c>
      <c r="J1449" s="30">
        <f t="shared" si="66"/>
        <v>0</v>
      </c>
      <c r="K1449" s="30">
        <f t="shared" si="67"/>
        <v>0</v>
      </c>
      <c r="L1449" s="26">
        <f t="shared" si="68"/>
        <v>0</v>
      </c>
      <c r="M1449" s="26">
        <v>0</v>
      </c>
    </row>
    <row r="1450" spans="1:13" ht="15" customHeight="1">
      <c r="A1450" s="25">
        <v>1598205</v>
      </c>
      <c r="B1450" s="26" t="s">
        <v>5423</v>
      </c>
      <c r="C1450" s="26" t="s">
        <v>9004</v>
      </c>
      <c r="D1450" s="26" t="s">
        <v>9005</v>
      </c>
      <c r="E1450" s="26" t="s">
        <v>5447</v>
      </c>
      <c r="F1450" s="27">
        <v>5662899</v>
      </c>
      <c r="G1450" s="27">
        <v>0</v>
      </c>
      <c r="H1450" s="27">
        <v>0</v>
      </c>
      <c r="I1450" s="27">
        <v>0</v>
      </c>
      <c r="J1450" s="30">
        <f t="shared" si="66"/>
        <v>0</v>
      </c>
      <c r="K1450" s="30">
        <f t="shared" si="67"/>
        <v>0</v>
      </c>
      <c r="L1450" s="26">
        <f t="shared" si="68"/>
        <v>0</v>
      </c>
      <c r="M1450" s="26" t="s">
        <v>5557</v>
      </c>
    </row>
    <row r="1451" spans="1:13" ht="15" customHeight="1">
      <c r="A1451" s="25">
        <v>1598521</v>
      </c>
      <c r="B1451" s="26" t="s">
        <v>5423</v>
      </c>
      <c r="C1451" s="26" t="s">
        <v>9006</v>
      </c>
      <c r="D1451" s="26" t="s">
        <v>9007</v>
      </c>
      <c r="E1451" s="26" t="s">
        <v>5707</v>
      </c>
      <c r="F1451" s="27">
        <v>5648645</v>
      </c>
      <c r="G1451" s="27">
        <v>0</v>
      </c>
      <c r="H1451" s="27">
        <v>0</v>
      </c>
      <c r="I1451" s="27">
        <v>0</v>
      </c>
      <c r="J1451" s="30">
        <f t="shared" si="66"/>
        <v>0</v>
      </c>
      <c r="K1451" s="30">
        <f t="shared" si="67"/>
        <v>0</v>
      </c>
      <c r="L1451" s="26">
        <f t="shared" si="68"/>
        <v>0</v>
      </c>
      <c r="M1451" s="26">
        <v>0</v>
      </c>
    </row>
    <row r="1452" spans="1:13" ht="15" customHeight="1">
      <c r="A1452" s="25">
        <v>1598635</v>
      </c>
      <c r="B1452" s="26" t="s">
        <v>5427</v>
      </c>
      <c r="C1452" s="26" t="s">
        <v>9008</v>
      </c>
      <c r="D1452" s="26" t="s">
        <v>9009</v>
      </c>
      <c r="E1452" s="26" t="s">
        <v>5458</v>
      </c>
      <c r="F1452" s="27">
        <v>5664684</v>
      </c>
      <c r="G1452" s="27">
        <v>0</v>
      </c>
      <c r="H1452" s="27">
        <v>1</v>
      </c>
      <c r="I1452" s="27">
        <v>1</v>
      </c>
      <c r="J1452" s="30">
        <f t="shared" si="66"/>
        <v>0</v>
      </c>
      <c r="K1452" s="30">
        <f t="shared" si="67"/>
        <v>1</v>
      </c>
      <c r="L1452" s="26">
        <f t="shared" si="68"/>
        <v>0</v>
      </c>
      <c r="M1452" s="26"/>
    </row>
    <row r="1453" spans="1:13" ht="15" customHeight="1">
      <c r="A1453" s="25">
        <v>1598661</v>
      </c>
      <c r="B1453" s="26" t="s">
        <v>5423</v>
      </c>
      <c r="C1453" s="26" t="s">
        <v>9010</v>
      </c>
      <c r="D1453" s="26" t="s">
        <v>9011</v>
      </c>
      <c r="E1453" s="26" t="s">
        <v>5532</v>
      </c>
      <c r="F1453" s="27">
        <v>5664078</v>
      </c>
      <c r="G1453" s="27">
        <v>0</v>
      </c>
      <c r="H1453" s="27">
        <v>0</v>
      </c>
      <c r="I1453" s="27">
        <v>0</v>
      </c>
      <c r="J1453" s="30">
        <f t="shared" si="66"/>
        <v>0</v>
      </c>
      <c r="K1453" s="30">
        <f t="shared" si="67"/>
        <v>0</v>
      </c>
      <c r="L1453" s="26">
        <f t="shared" si="68"/>
        <v>0</v>
      </c>
      <c r="M1453" s="26">
        <v>0</v>
      </c>
    </row>
    <row r="1454" spans="1:13" ht="15" customHeight="1">
      <c r="A1454" s="25">
        <v>1599371</v>
      </c>
      <c r="B1454" s="26" t="s">
        <v>5427</v>
      </c>
      <c r="C1454" s="26" t="s">
        <v>9012</v>
      </c>
      <c r="D1454" s="26" t="s">
        <v>9013</v>
      </c>
      <c r="E1454" s="26" t="s">
        <v>5442</v>
      </c>
      <c r="F1454" s="27">
        <v>2164819</v>
      </c>
      <c r="G1454" s="27">
        <v>0</v>
      </c>
      <c r="H1454" s="27">
        <v>0</v>
      </c>
      <c r="I1454" s="27">
        <v>0</v>
      </c>
      <c r="J1454" s="30">
        <f t="shared" si="66"/>
        <v>0</v>
      </c>
      <c r="K1454" s="30">
        <f t="shared" si="67"/>
        <v>0</v>
      </c>
      <c r="L1454" s="26">
        <f t="shared" si="68"/>
        <v>0</v>
      </c>
      <c r="M1454" s="26">
        <v>0</v>
      </c>
    </row>
    <row r="1455" spans="1:13" ht="15" customHeight="1">
      <c r="A1455" s="25">
        <v>1599386</v>
      </c>
      <c r="B1455" s="26" t="s">
        <v>5423</v>
      </c>
      <c r="C1455" s="26" t="s">
        <v>9014</v>
      </c>
      <c r="D1455" s="26" t="s">
        <v>9015</v>
      </c>
      <c r="E1455" s="26" t="s">
        <v>5535</v>
      </c>
      <c r="F1455" s="27">
        <v>5663873</v>
      </c>
      <c r="G1455" s="27">
        <v>0</v>
      </c>
      <c r="H1455" s="27">
        <v>0</v>
      </c>
      <c r="I1455" s="27">
        <v>0</v>
      </c>
      <c r="J1455" s="30">
        <f t="shared" si="66"/>
        <v>0</v>
      </c>
      <c r="K1455" s="30">
        <f t="shared" si="67"/>
        <v>0</v>
      </c>
      <c r="L1455" s="26">
        <f t="shared" si="68"/>
        <v>0</v>
      </c>
      <c r="M1455" s="26">
        <v>0</v>
      </c>
    </row>
    <row r="1456" spans="1:13" ht="15" customHeight="1">
      <c r="A1456" s="25">
        <v>1599438</v>
      </c>
      <c r="B1456" s="26" t="s">
        <v>5423</v>
      </c>
      <c r="C1456" s="26" t="s">
        <v>9016</v>
      </c>
      <c r="D1456" s="26" t="s">
        <v>9017</v>
      </c>
      <c r="E1456" s="26" t="s">
        <v>5433</v>
      </c>
      <c r="F1456" s="27">
        <v>5665650</v>
      </c>
      <c r="G1456" s="27">
        <v>0</v>
      </c>
      <c r="H1456" s="27">
        <v>1</v>
      </c>
      <c r="I1456" s="27">
        <v>1</v>
      </c>
      <c r="J1456" s="30">
        <f t="shared" si="66"/>
        <v>0</v>
      </c>
      <c r="K1456" s="30">
        <f t="shared" si="67"/>
        <v>1</v>
      </c>
      <c r="L1456" s="26">
        <f t="shared" si="68"/>
        <v>0</v>
      </c>
      <c r="M1456" s="26"/>
    </row>
    <row r="1457" spans="1:13" ht="15" customHeight="1">
      <c r="A1457" s="25">
        <v>1599933</v>
      </c>
      <c r="B1457" s="26" t="s">
        <v>5423</v>
      </c>
      <c r="C1457" s="26" t="s">
        <v>9018</v>
      </c>
      <c r="D1457" s="26" t="s">
        <v>9019</v>
      </c>
      <c r="E1457" s="26" t="s">
        <v>5891</v>
      </c>
      <c r="F1457" s="27"/>
      <c r="G1457" s="27">
        <v>0</v>
      </c>
      <c r="H1457" s="27">
        <v>0</v>
      </c>
      <c r="I1457" s="27">
        <v>0</v>
      </c>
      <c r="J1457" s="30">
        <f t="shared" si="66"/>
        <v>0</v>
      </c>
      <c r="K1457" s="30">
        <f t="shared" si="67"/>
        <v>0</v>
      </c>
      <c r="L1457" s="26">
        <f t="shared" si="68"/>
        <v>0</v>
      </c>
      <c r="M1457" s="26" t="s">
        <v>9020</v>
      </c>
    </row>
    <row r="1458" spans="1:13" ht="15" customHeight="1">
      <c r="A1458" s="25">
        <v>1600201</v>
      </c>
      <c r="B1458" s="26" t="s">
        <v>5427</v>
      </c>
      <c r="C1458" s="26" t="s">
        <v>9021</v>
      </c>
      <c r="D1458" s="26" t="s">
        <v>9022</v>
      </c>
      <c r="E1458" s="26" t="s">
        <v>5426</v>
      </c>
      <c r="F1458" s="27">
        <v>5651543</v>
      </c>
      <c r="G1458" s="27">
        <v>0</v>
      </c>
      <c r="H1458" s="27">
        <v>0</v>
      </c>
      <c r="I1458" s="27">
        <v>0</v>
      </c>
      <c r="J1458" s="30">
        <f t="shared" si="66"/>
        <v>0</v>
      </c>
      <c r="K1458" s="30">
        <f t="shared" si="67"/>
        <v>0</v>
      </c>
      <c r="L1458" s="26">
        <f t="shared" si="68"/>
        <v>0</v>
      </c>
      <c r="M1458" s="26" t="s">
        <v>8711</v>
      </c>
    </row>
    <row r="1459" spans="1:13" ht="15" customHeight="1">
      <c r="A1459" s="25">
        <v>1600218</v>
      </c>
      <c r="B1459" s="26" t="s">
        <v>5427</v>
      </c>
      <c r="C1459" s="26" t="s">
        <v>9023</v>
      </c>
      <c r="D1459" s="26" t="s">
        <v>9024</v>
      </c>
      <c r="E1459" s="26" t="s">
        <v>8800</v>
      </c>
      <c r="F1459" s="27">
        <v>5666223</v>
      </c>
      <c r="G1459" s="27">
        <v>1</v>
      </c>
      <c r="H1459" s="27">
        <v>1</v>
      </c>
      <c r="I1459" s="27">
        <v>1</v>
      </c>
      <c r="J1459" s="30">
        <f t="shared" si="66"/>
        <v>1</v>
      </c>
      <c r="K1459" s="30">
        <f t="shared" si="67"/>
        <v>1</v>
      </c>
      <c r="L1459" s="26">
        <f t="shared" si="68"/>
        <v>1</v>
      </c>
      <c r="M1459" s="26"/>
    </row>
    <row r="1460" spans="1:13" ht="15" customHeight="1">
      <c r="A1460" s="25">
        <v>1600228</v>
      </c>
      <c r="B1460" s="26" t="s">
        <v>5423</v>
      </c>
      <c r="C1460" s="26" t="s">
        <v>9025</v>
      </c>
      <c r="D1460" s="26" t="s">
        <v>9026</v>
      </c>
      <c r="E1460" s="26" t="s">
        <v>5439</v>
      </c>
      <c r="F1460" s="27">
        <v>5669254</v>
      </c>
      <c r="G1460" s="27">
        <v>1</v>
      </c>
      <c r="H1460" s="27">
        <v>1</v>
      </c>
      <c r="I1460" s="27">
        <v>1</v>
      </c>
      <c r="J1460" s="30">
        <f t="shared" si="66"/>
        <v>1</v>
      </c>
      <c r="K1460" s="30">
        <f t="shared" si="67"/>
        <v>1</v>
      </c>
      <c r="L1460" s="26">
        <f t="shared" si="68"/>
        <v>1</v>
      </c>
      <c r="M1460" s="26"/>
    </row>
    <row r="1461" spans="1:13" ht="15" customHeight="1">
      <c r="A1461" s="25">
        <v>1600241</v>
      </c>
      <c r="B1461" s="26" t="s">
        <v>5427</v>
      </c>
      <c r="C1461" s="26" t="s">
        <v>9027</v>
      </c>
      <c r="D1461" s="26" t="s">
        <v>9028</v>
      </c>
      <c r="E1461" s="26" t="s">
        <v>5683</v>
      </c>
      <c r="F1461" s="27">
        <v>5670188</v>
      </c>
      <c r="G1461" s="27">
        <v>0</v>
      </c>
      <c r="H1461" s="27">
        <v>0</v>
      </c>
      <c r="I1461" s="27">
        <v>0</v>
      </c>
      <c r="J1461" s="30">
        <f t="shared" si="66"/>
        <v>0</v>
      </c>
      <c r="K1461" s="30">
        <f t="shared" si="67"/>
        <v>0</v>
      </c>
      <c r="L1461" s="26">
        <f t="shared" si="68"/>
        <v>0</v>
      </c>
      <c r="M1461" s="26" t="s">
        <v>8160</v>
      </c>
    </row>
    <row r="1462" spans="1:13" ht="15" customHeight="1">
      <c r="A1462" s="25">
        <v>1600247</v>
      </c>
      <c r="B1462" s="26" t="s">
        <v>5423</v>
      </c>
      <c r="C1462" s="26" t="s">
        <v>9029</v>
      </c>
      <c r="D1462" s="26" t="s">
        <v>9030</v>
      </c>
      <c r="E1462" s="26" t="s">
        <v>5540</v>
      </c>
      <c r="F1462" s="27">
        <v>5669768</v>
      </c>
      <c r="G1462" s="27">
        <v>1</v>
      </c>
      <c r="H1462" s="27">
        <v>1</v>
      </c>
      <c r="I1462" s="27">
        <v>1</v>
      </c>
      <c r="J1462" s="30">
        <f t="shared" si="66"/>
        <v>1</v>
      </c>
      <c r="K1462" s="30">
        <f t="shared" si="67"/>
        <v>1</v>
      </c>
      <c r="L1462" s="26">
        <f t="shared" si="68"/>
        <v>1</v>
      </c>
      <c r="M1462" s="26"/>
    </row>
    <row r="1463" spans="1:13" ht="15" customHeight="1">
      <c r="A1463" s="25">
        <v>1600407</v>
      </c>
      <c r="B1463" s="26" t="s">
        <v>5423</v>
      </c>
      <c r="C1463" s="26" t="s">
        <v>9031</v>
      </c>
      <c r="D1463" s="26" t="s">
        <v>9032</v>
      </c>
      <c r="E1463" s="26" t="s">
        <v>5683</v>
      </c>
      <c r="F1463" s="27">
        <v>5670817</v>
      </c>
      <c r="G1463" s="27">
        <v>1</v>
      </c>
      <c r="H1463" s="27">
        <v>1</v>
      </c>
      <c r="I1463" s="27">
        <v>1</v>
      </c>
      <c r="J1463" s="30">
        <f t="shared" si="66"/>
        <v>1</v>
      </c>
      <c r="K1463" s="30">
        <f t="shared" si="67"/>
        <v>1</v>
      </c>
      <c r="L1463" s="26">
        <f t="shared" si="68"/>
        <v>1</v>
      </c>
      <c r="M1463" s="26"/>
    </row>
    <row r="1464" spans="1:13" ht="15" customHeight="1">
      <c r="A1464" s="25">
        <v>1600499</v>
      </c>
      <c r="B1464" s="26" t="s">
        <v>5423</v>
      </c>
      <c r="C1464" s="26" t="s">
        <v>9033</v>
      </c>
      <c r="D1464" s="26" t="s">
        <v>9034</v>
      </c>
      <c r="E1464" s="26" t="s">
        <v>5545</v>
      </c>
      <c r="F1464" s="27">
        <v>5676116</v>
      </c>
      <c r="G1464" s="27">
        <v>0</v>
      </c>
      <c r="H1464" s="27">
        <v>0</v>
      </c>
      <c r="I1464" s="27">
        <v>0</v>
      </c>
      <c r="J1464" s="30">
        <f t="shared" si="66"/>
        <v>0</v>
      </c>
      <c r="K1464" s="30">
        <f t="shared" si="67"/>
        <v>0</v>
      </c>
      <c r="L1464" s="26">
        <f t="shared" si="68"/>
        <v>0</v>
      </c>
      <c r="M1464" s="26">
        <v>0</v>
      </c>
    </row>
    <row r="1465" spans="1:13" ht="15" customHeight="1">
      <c r="A1465" s="25">
        <v>1600663</v>
      </c>
      <c r="B1465" s="26" t="s">
        <v>5423</v>
      </c>
      <c r="C1465" s="26" t="s">
        <v>9035</v>
      </c>
      <c r="D1465" s="26" t="s">
        <v>9036</v>
      </c>
      <c r="E1465" s="26" t="s">
        <v>5455</v>
      </c>
      <c r="F1465" s="27">
        <v>5428697</v>
      </c>
      <c r="G1465" s="27">
        <v>0</v>
      </c>
      <c r="H1465" s="27">
        <v>0</v>
      </c>
      <c r="I1465" s="27">
        <v>0</v>
      </c>
      <c r="J1465" s="30">
        <f t="shared" si="66"/>
        <v>0</v>
      </c>
      <c r="K1465" s="30">
        <f t="shared" si="67"/>
        <v>0</v>
      </c>
      <c r="L1465" s="26">
        <f t="shared" si="68"/>
        <v>0</v>
      </c>
      <c r="M1465" s="26">
        <v>0</v>
      </c>
    </row>
    <row r="1466" spans="1:13" ht="15" customHeight="1">
      <c r="A1466" s="25">
        <v>1600701</v>
      </c>
      <c r="B1466" s="26" t="s">
        <v>5427</v>
      </c>
      <c r="C1466" s="26" t="s">
        <v>9037</v>
      </c>
      <c r="D1466" s="26" t="s">
        <v>9038</v>
      </c>
      <c r="E1466" s="26" t="s">
        <v>5522</v>
      </c>
      <c r="F1466" s="27">
        <v>5671934</v>
      </c>
      <c r="G1466" s="27">
        <v>1</v>
      </c>
      <c r="H1466" s="27">
        <v>0</v>
      </c>
      <c r="I1466" s="27">
        <v>1</v>
      </c>
      <c r="J1466" s="30">
        <f t="shared" si="66"/>
        <v>1</v>
      </c>
      <c r="K1466" s="30">
        <f t="shared" si="67"/>
        <v>0</v>
      </c>
      <c r="L1466" s="26">
        <f t="shared" si="68"/>
        <v>0</v>
      </c>
      <c r="M1466" s="26"/>
    </row>
    <row r="1467" spans="1:13" ht="15" customHeight="1">
      <c r="A1467" s="25">
        <v>1600751</v>
      </c>
      <c r="B1467" s="26" t="s">
        <v>5427</v>
      </c>
      <c r="C1467" s="26" t="s">
        <v>9039</v>
      </c>
      <c r="D1467" s="26" t="s">
        <v>9040</v>
      </c>
      <c r="E1467" s="26" t="s">
        <v>6123</v>
      </c>
      <c r="F1467" s="27">
        <v>5671150</v>
      </c>
      <c r="G1467" s="27">
        <v>0</v>
      </c>
      <c r="H1467" s="27">
        <v>0</v>
      </c>
      <c r="I1467" s="27">
        <v>0</v>
      </c>
      <c r="J1467" s="30">
        <f t="shared" si="66"/>
        <v>0</v>
      </c>
      <c r="K1467" s="30">
        <f t="shared" si="67"/>
        <v>0</v>
      </c>
      <c r="L1467" s="26">
        <f t="shared" si="68"/>
        <v>0</v>
      </c>
      <c r="M1467" s="26">
        <v>0</v>
      </c>
    </row>
    <row r="1468" spans="1:13" ht="15" customHeight="1">
      <c r="A1468" s="25">
        <v>1600810</v>
      </c>
      <c r="B1468" s="26" t="s">
        <v>5427</v>
      </c>
      <c r="C1468" s="26" t="s">
        <v>9041</v>
      </c>
      <c r="D1468" s="26" t="s">
        <v>9042</v>
      </c>
      <c r="E1468" s="26" t="s">
        <v>5507</v>
      </c>
      <c r="F1468" s="27">
        <v>5631144</v>
      </c>
      <c r="G1468" s="27">
        <v>1</v>
      </c>
      <c r="H1468" s="27">
        <v>0</v>
      </c>
      <c r="I1468" s="27">
        <v>1</v>
      </c>
      <c r="J1468" s="30">
        <f t="shared" si="66"/>
        <v>1</v>
      </c>
      <c r="K1468" s="30">
        <f t="shared" si="67"/>
        <v>0</v>
      </c>
      <c r="L1468" s="26">
        <f t="shared" si="68"/>
        <v>0</v>
      </c>
      <c r="M1468" s="26"/>
    </row>
    <row r="1469" spans="1:13" ht="15" customHeight="1">
      <c r="A1469" s="25">
        <v>1601228</v>
      </c>
      <c r="B1469" s="26" t="s">
        <v>5423</v>
      </c>
      <c r="C1469" s="26" t="s">
        <v>9043</v>
      </c>
      <c r="D1469" s="26" t="s">
        <v>9044</v>
      </c>
      <c r="E1469" s="26" t="s">
        <v>5452</v>
      </c>
      <c r="F1469" s="27">
        <v>5671520</v>
      </c>
      <c r="G1469" s="27">
        <v>1</v>
      </c>
      <c r="H1469" s="27">
        <v>0</v>
      </c>
      <c r="I1469" s="27">
        <v>1</v>
      </c>
      <c r="J1469" s="30">
        <f t="shared" si="66"/>
        <v>1</v>
      </c>
      <c r="K1469" s="30">
        <f t="shared" si="67"/>
        <v>0</v>
      </c>
      <c r="L1469" s="26">
        <f t="shared" si="68"/>
        <v>0</v>
      </c>
      <c r="M1469" s="26"/>
    </row>
    <row r="1470" spans="1:13" ht="15" customHeight="1">
      <c r="A1470" s="25">
        <v>1601675</v>
      </c>
      <c r="B1470" s="26" t="s">
        <v>5423</v>
      </c>
      <c r="C1470" s="26" t="s">
        <v>9045</v>
      </c>
      <c r="D1470" s="26" t="s">
        <v>9046</v>
      </c>
      <c r="E1470" s="26" t="s">
        <v>5480</v>
      </c>
      <c r="F1470" s="27">
        <v>5674432</v>
      </c>
      <c r="G1470" s="27">
        <v>0</v>
      </c>
      <c r="H1470" s="27">
        <v>0</v>
      </c>
      <c r="I1470" s="27">
        <v>0</v>
      </c>
      <c r="J1470" s="30">
        <f t="shared" si="66"/>
        <v>0</v>
      </c>
      <c r="K1470" s="30">
        <f t="shared" si="67"/>
        <v>0</v>
      </c>
      <c r="L1470" s="26">
        <f t="shared" si="68"/>
        <v>0</v>
      </c>
      <c r="M1470" s="26">
        <v>0</v>
      </c>
    </row>
    <row r="1471" spans="1:13" ht="15" customHeight="1">
      <c r="A1471" s="25">
        <v>1602110</v>
      </c>
      <c r="B1471" s="26" t="s">
        <v>5423</v>
      </c>
      <c r="C1471" s="26" t="s">
        <v>9047</v>
      </c>
      <c r="D1471" s="26" t="s">
        <v>9048</v>
      </c>
      <c r="E1471" s="26" t="s">
        <v>5480</v>
      </c>
      <c r="F1471" s="27">
        <v>5676409</v>
      </c>
      <c r="G1471" s="27">
        <v>0</v>
      </c>
      <c r="H1471" s="27">
        <v>0</v>
      </c>
      <c r="I1471" s="27">
        <v>0</v>
      </c>
      <c r="J1471" s="30">
        <f t="shared" si="66"/>
        <v>0</v>
      </c>
      <c r="K1471" s="30">
        <f t="shared" si="67"/>
        <v>0</v>
      </c>
      <c r="L1471" s="26">
        <f t="shared" si="68"/>
        <v>0</v>
      </c>
      <c r="M1471" s="26">
        <v>0</v>
      </c>
    </row>
    <row r="1472" spans="1:13" ht="15" customHeight="1">
      <c r="A1472" s="25">
        <v>1602328</v>
      </c>
      <c r="B1472" s="26" t="s">
        <v>5423</v>
      </c>
      <c r="C1472" s="26" t="s">
        <v>9049</v>
      </c>
      <c r="D1472" s="26" t="s">
        <v>9050</v>
      </c>
      <c r="E1472" s="26" t="s">
        <v>5535</v>
      </c>
      <c r="F1472" s="27">
        <v>5676523</v>
      </c>
      <c r="G1472" s="27">
        <v>0</v>
      </c>
      <c r="H1472" s="27">
        <v>0</v>
      </c>
      <c r="I1472" s="27">
        <v>0</v>
      </c>
      <c r="J1472" s="30">
        <f t="shared" si="66"/>
        <v>0</v>
      </c>
      <c r="K1472" s="30">
        <f t="shared" si="67"/>
        <v>0</v>
      </c>
      <c r="L1472" s="26">
        <f t="shared" si="68"/>
        <v>0</v>
      </c>
      <c r="M1472" s="26">
        <v>0</v>
      </c>
    </row>
    <row r="1473" spans="1:13" ht="15" customHeight="1">
      <c r="A1473" s="25">
        <v>1602356</v>
      </c>
      <c r="B1473" s="26" t="s">
        <v>5423</v>
      </c>
      <c r="C1473" s="26" t="s">
        <v>9051</v>
      </c>
      <c r="D1473" s="26" t="s">
        <v>9052</v>
      </c>
      <c r="E1473" s="26" t="s">
        <v>5517</v>
      </c>
      <c r="F1473" s="27">
        <v>5676469</v>
      </c>
      <c r="G1473" s="27">
        <v>0</v>
      </c>
      <c r="H1473" s="27">
        <v>0</v>
      </c>
      <c r="I1473" s="27">
        <v>0</v>
      </c>
      <c r="J1473" s="30">
        <f t="shared" si="66"/>
        <v>0</v>
      </c>
      <c r="K1473" s="30">
        <f t="shared" si="67"/>
        <v>0</v>
      </c>
      <c r="L1473" s="26">
        <f t="shared" si="68"/>
        <v>0</v>
      </c>
      <c r="M1473" s="26">
        <v>0</v>
      </c>
    </row>
    <row r="1474" spans="1:13" ht="15" customHeight="1">
      <c r="A1474" s="25">
        <v>1602706</v>
      </c>
      <c r="B1474" s="26" t="s">
        <v>5427</v>
      </c>
      <c r="C1474" s="26" t="s">
        <v>9053</v>
      </c>
      <c r="D1474" s="26" t="s">
        <v>9054</v>
      </c>
      <c r="E1474" s="26" t="s">
        <v>5436</v>
      </c>
      <c r="F1474" s="27">
        <v>2470223</v>
      </c>
      <c r="G1474" s="27">
        <v>0</v>
      </c>
      <c r="H1474" s="27">
        <v>0</v>
      </c>
      <c r="I1474" s="27">
        <v>0</v>
      </c>
      <c r="J1474" s="30">
        <f t="shared" ref="J1474:J1537" si="69">IF(G1474&gt;0,1,0)</f>
        <v>0</v>
      </c>
      <c r="K1474" s="30">
        <f t="shared" ref="K1474:K1537" si="70">IF(H1474&gt;0,1,0)</f>
        <v>0</v>
      </c>
      <c r="L1474" s="26">
        <f t="shared" ref="L1474:L1537" si="71">IF(G1474&gt;0,IF(H1474&gt;0,1,0),0)</f>
        <v>0</v>
      </c>
      <c r="M1474" s="26" t="s">
        <v>5557</v>
      </c>
    </row>
    <row r="1475" spans="1:13" ht="15" customHeight="1">
      <c r="A1475" s="25" t="s">
        <v>9055</v>
      </c>
      <c r="B1475" s="26" t="s">
        <v>5427</v>
      </c>
      <c r="C1475" s="26" t="s">
        <v>9056</v>
      </c>
      <c r="D1475" s="26" t="s">
        <v>9057</v>
      </c>
      <c r="E1475" s="26" t="s">
        <v>5436</v>
      </c>
      <c r="F1475" s="27">
        <v>5678107</v>
      </c>
      <c r="G1475" s="27">
        <v>1</v>
      </c>
      <c r="H1475" s="27">
        <v>1</v>
      </c>
      <c r="I1475" s="27">
        <v>1</v>
      </c>
      <c r="J1475" s="30">
        <f t="shared" si="69"/>
        <v>1</v>
      </c>
      <c r="K1475" s="30">
        <f t="shared" si="70"/>
        <v>1</v>
      </c>
      <c r="L1475" s="26">
        <f t="shared" si="71"/>
        <v>1</v>
      </c>
      <c r="M1475" s="26"/>
    </row>
    <row r="1476" spans="1:13" ht="15" customHeight="1">
      <c r="A1476" s="25">
        <v>1602792</v>
      </c>
      <c r="B1476" s="26" t="s">
        <v>5423</v>
      </c>
      <c r="C1476" s="26" t="s">
        <v>9058</v>
      </c>
      <c r="D1476" s="26" t="s">
        <v>9059</v>
      </c>
      <c r="E1476" s="26" t="s">
        <v>5683</v>
      </c>
      <c r="F1476" s="27">
        <v>5678936</v>
      </c>
      <c r="G1476" s="27">
        <v>0</v>
      </c>
      <c r="H1476" s="27">
        <v>1</v>
      </c>
      <c r="I1476" s="27">
        <v>1</v>
      </c>
      <c r="J1476" s="30">
        <f t="shared" si="69"/>
        <v>0</v>
      </c>
      <c r="K1476" s="30">
        <f t="shared" si="70"/>
        <v>1</v>
      </c>
      <c r="L1476" s="26">
        <f t="shared" si="71"/>
        <v>0</v>
      </c>
      <c r="M1476" s="26"/>
    </row>
    <row r="1477" spans="1:13" ht="15" customHeight="1">
      <c r="A1477" s="25">
        <v>1602869</v>
      </c>
      <c r="B1477" s="26" t="s">
        <v>5423</v>
      </c>
      <c r="C1477" s="26" t="s">
        <v>9060</v>
      </c>
      <c r="D1477" s="26" t="s">
        <v>9061</v>
      </c>
      <c r="E1477" s="26" t="s">
        <v>5532</v>
      </c>
      <c r="F1477" s="27">
        <v>5680071</v>
      </c>
      <c r="G1477" s="27">
        <v>1</v>
      </c>
      <c r="H1477" s="27">
        <v>1</v>
      </c>
      <c r="I1477" s="27">
        <v>1</v>
      </c>
      <c r="J1477" s="30">
        <f t="shared" si="69"/>
        <v>1</v>
      </c>
      <c r="K1477" s="30">
        <f t="shared" si="70"/>
        <v>1</v>
      </c>
      <c r="L1477" s="26">
        <f t="shared" si="71"/>
        <v>1</v>
      </c>
      <c r="M1477" s="26"/>
    </row>
    <row r="1478" spans="1:13" ht="15" customHeight="1">
      <c r="A1478" s="25">
        <v>1602942</v>
      </c>
      <c r="B1478" s="26" t="s">
        <v>5427</v>
      </c>
      <c r="C1478" s="26" t="s">
        <v>9062</v>
      </c>
      <c r="D1478" s="26" t="s">
        <v>9063</v>
      </c>
      <c r="E1478" s="26" t="s">
        <v>5468</v>
      </c>
      <c r="F1478" s="27">
        <v>3043813</v>
      </c>
      <c r="G1478" s="27">
        <v>1</v>
      </c>
      <c r="H1478" s="27">
        <v>1</v>
      </c>
      <c r="I1478" s="27">
        <v>1</v>
      </c>
      <c r="J1478" s="30">
        <f t="shared" si="69"/>
        <v>1</v>
      </c>
      <c r="K1478" s="30">
        <f t="shared" si="70"/>
        <v>1</v>
      </c>
      <c r="L1478" s="26">
        <f t="shared" si="71"/>
        <v>1</v>
      </c>
      <c r="M1478" s="26"/>
    </row>
    <row r="1479" spans="1:13" ht="15" customHeight="1">
      <c r="A1479" s="25">
        <v>1602975</v>
      </c>
      <c r="B1479" s="26" t="s">
        <v>5423</v>
      </c>
      <c r="C1479" s="26" t="s">
        <v>9064</v>
      </c>
      <c r="D1479" s="26" t="s">
        <v>9065</v>
      </c>
      <c r="E1479" s="26" t="s">
        <v>5436</v>
      </c>
      <c r="F1479" s="27">
        <v>5680148</v>
      </c>
      <c r="G1479" s="27">
        <v>1</v>
      </c>
      <c r="H1479" s="27">
        <v>1</v>
      </c>
      <c r="I1479" s="27">
        <v>1</v>
      </c>
      <c r="J1479" s="30">
        <f t="shared" si="69"/>
        <v>1</v>
      </c>
      <c r="K1479" s="30">
        <f t="shared" si="70"/>
        <v>1</v>
      </c>
      <c r="L1479" s="26">
        <f t="shared" si="71"/>
        <v>1</v>
      </c>
      <c r="M1479" s="26"/>
    </row>
    <row r="1480" spans="1:13" ht="15" customHeight="1">
      <c r="A1480" s="25">
        <v>1602977</v>
      </c>
      <c r="B1480" s="26" t="s">
        <v>5427</v>
      </c>
      <c r="C1480" s="26" t="s">
        <v>9066</v>
      </c>
      <c r="D1480" s="26" t="s">
        <v>9067</v>
      </c>
      <c r="E1480" s="26" t="s">
        <v>5522</v>
      </c>
      <c r="F1480" s="27">
        <v>5678655</v>
      </c>
      <c r="G1480" s="27">
        <v>0</v>
      </c>
      <c r="H1480" s="27">
        <v>0</v>
      </c>
      <c r="I1480" s="27">
        <v>0</v>
      </c>
      <c r="J1480" s="30">
        <f t="shared" si="69"/>
        <v>0</v>
      </c>
      <c r="K1480" s="30">
        <f t="shared" si="70"/>
        <v>0</v>
      </c>
      <c r="L1480" s="26">
        <f t="shared" si="71"/>
        <v>0</v>
      </c>
      <c r="M1480" s="26">
        <v>0</v>
      </c>
    </row>
    <row r="1481" spans="1:13" ht="15" customHeight="1">
      <c r="A1481" s="25">
        <v>1603033</v>
      </c>
      <c r="B1481" s="26" t="s">
        <v>5423</v>
      </c>
      <c r="C1481" s="26" t="s">
        <v>9068</v>
      </c>
      <c r="D1481" s="26" t="s">
        <v>9069</v>
      </c>
      <c r="E1481" s="26" t="s">
        <v>5468</v>
      </c>
      <c r="F1481" s="27">
        <v>4975883</v>
      </c>
      <c r="G1481" s="27">
        <v>1</v>
      </c>
      <c r="H1481" s="27">
        <v>0</v>
      </c>
      <c r="I1481" s="27">
        <v>1</v>
      </c>
      <c r="J1481" s="30">
        <f t="shared" si="69"/>
        <v>1</v>
      </c>
      <c r="K1481" s="30">
        <f t="shared" si="70"/>
        <v>0</v>
      </c>
      <c r="L1481" s="26">
        <f t="shared" si="71"/>
        <v>0</v>
      </c>
      <c r="M1481" s="26"/>
    </row>
    <row r="1482" spans="1:13" ht="15" customHeight="1">
      <c r="A1482" s="25">
        <v>1603322</v>
      </c>
      <c r="B1482" s="26" t="s">
        <v>5427</v>
      </c>
      <c r="C1482" s="26" t="s">
        <v>9070</v>
      </c>
      <c r="D1482" s="26" t="s">
        <v>9071</v>
      </c>
      <c r="E1482" s="26" t="s">
        <v>5545</v>
      </c>
      <c r="F1482" s="27">
        <v>5680198</v>
      </c>
      <c r="G1482" s="27">
        <v>0</v>
      </c>
      <c r="H1482" s="27">
        <v>0</v>
      </c>
      <c r="I1482" s="27">
        <v>0</v>
      </c>
      <c r="J1482" s="30">
        <f t="shared" si="69"/>
        <v>0</v>
      </c>
      <c r="K1482" s="30">
        <f t="shared" si="70"/>
        <v>0</v>
      </c>
      <c r="L1482" s="26">
        <f t="shared" si="71"/>
        <v>0</v>
      </c>
      <c r="M1482" s="26">
        <v>0</v>
      </c>
    </row>
    <row r="1483" spans="1:13" ht="15" customHeight="1">
      <c r="A1483" s="25">
        <v>1603329</v>
      </c>
      <c r="B1483" s="26" t="s">
        <v>5427</v>
      </c>
      <c r="C1483" s="26" t="s">
        <v>9072</v>
      </c>
      <c r="D1483" s="26" t="s">
        <v>9073</v>
      </c>
      <c r="E1483" s="26" t="s">
        <v>5426</v>
      </c>
      <c r="F1483" s="27">
        <v>5197681</v>
      </c>
      <c r="G1483" s="27">
        <v>0</v>
      </c>
      <c r="H1483" s="27">
        <v>0</v>
      </c>
      <c r="I1483" s="27">
        <v>0</v>
      </c>
      <c r="J1483" s="30">
        <f t="shared" si="69"/>
        <v>0</v>
      </c>
      <c r="K1483" s="30">
        <f t="shared" si="70"/>
        <v>0</v>
      </c>
      <c r="L1483" s="26">
        <f t="shared" si="71"/>
        <v>0</v>
      </c>
      <c r="M1483" s="26">
        <v>0</v>
      </c>
    </row>
    <row r="1484" spans="1:13" ht="15" customHeight="1">
      <c r="A1484" s="25">
        <v>1603353</v>
      </c>
      <c r="B1484" s="26" t="s">
        <v>5427</v>
      </c>
      <c r="C1484" s="26" t="s">
        <v>9074</v>
      </c>
      <c r="D1484" s="26" t="s">
        <v>9075</v>
      </c>
      <c r="E1484" s="26" t="s">
        <v>5433</v>
      </c>
      <c r="F1484" s="27">
        <v>5635094</v>
      </c>
      <c r="G1484" s="27">
        <v>1</v>
      </c>
      <c r="H1484" s="27">
        <v>1</v>
      </c>
      <c r="I1484" s="27">
        <v>1</v>
      </c>
      <c r="J1484" s="30">
        <f t="shared" si="69"/>
        <v>1</v>
      </c>
      <c r="K1484" s="30">
        <f t="shared" si="70"/>
        <v>1</v>
      </c>
      <c r="L1484" s="26">
        <f t="shared" si="71"/>
        <v>1</v>
      </c>
      <c r="M1484" s="26"/>
    </row>
    <row r="1485" spans="1:13" ht="15" customHeight="1">
      <c r="A1485" s="25">
        <v>1603398</v>
      </c>
      <c r="B1485" s="26" t="s">
        <v>5423</v>
      </c>
      <c r="C1485" s="26" t="s">
        <v>9076</v>
      </c>
      <c r="D1485" s="26" t="s">
        <v>9077</v>
      </c>
      <c r="E1485" s="26" t="s">
        <v>5436</v>
      </c>
      <c r="F1485" s="27">
        <v>5680189</v>
      </c>
      <c r="G1485" s="27">
        <v>1</v>
      </c>
      <c r="H1485" s="27">
        <v>1</v>
      </c>
      <c r="I1485" s="27">
        <v>1</v>
      </c>
      <c r="J1485" s="30">
        <f t="shared" si="69"/>
        <v>1</v>
      </c>
      <c r="K1485" s="30">
        <f t="shared" si="70"/>
        <v>1</v>
      </c>
      <c r="L1485" s="26">
        <f t="shared" si="71"/>
        <v>1</v>
      </c>
      <c r="M1485" s="26"/>
    </row>
    <row r="1486" spans="1:13" ht="15" customHeight="1">
      <c r="A1486" s="25">
        <v>1603452</v>
      </c>
      <c r="B1486" s="26" t="s">
        <v>5423</v>
      </c>
      <c r="C1486" s="26" t="s">
        <v>9078</v>
      </c>
      <c r="D1486" s="26" t="s">
        <v>9079</v>
      </c>
      <c r="E1486" s="26" t="s">
        <v>5763</v>
      </c>
      <c r="F1486" s="27">
        <v>5680291</v>
      </c>
      <c r="G1486" s="27">
        <v>0</v>
      </c>
      <c r="H1486" s="27">
        <v>0</v>
      </c>
      <c r="I1486" s="27">
        <v>0</v>
      </c>
      <c r="J1486" s="30">
        <f t="shared" si="69"/>
        <v>0</v>
      </c>
      <c r="K1486" s="30">
        <f t="shared" si="70"/>
        <v>0</v>
      </c>
      <c r="L1486" s="26">
        <f t="shared" si="71"/>
        <v>0</v>
      </c>
      <c r="M1486" s="26">
        <v>0</v>
      </c>
    </row>
    <row r="1487" spans="1:13" ht="15" customHeight="1">
      <c r="A1487" s="25">
        <v>1604473</v>
      </c>
      <c r="B1487" s="26" t="s">
        <v>5423</v>
      </c>
      <c r="C1487" s="26" t="s">
        <v>9080</v>
      </c>
      <c r="D1487" s="26" t="s">
        <v>9081</v>
      </c>
      <c r="E1487" s="26" t="s">
        <v>5480</v>
      </c>
      <c r="F1487" s="27">
        <v>5690193</v>
      </c>
      <c r="G1487" s="27">
        <v>0</v>
      </c>
      <c r="H1487" s="27">
        <v>0</v>
      </c>
      <c r="I1487" s="27">
        <v>0</v>
      </c>
      <c r="J1487" s="30">
        <f t="shared" si="69"/>
        <v>0</v>
      </c>
      <c r="K1487" s="30">
        <f t="shared" si="70"/>
        <v>0</v>
      </c>
      <c r="L1487" s="26">
        <f t="shared" si="71"/>
        <v>0</v>
      </c>
      <c r="M1487" s="26">
        <v>0</v>
      </c>
    </row>
    <row r="1488" spans="1:13" ht="15" customHeight="1">
      <c r="A1488" s="25">
        <v>1604591</v>
      </c>
      <c r="B1488" s="26" t="s">
        <v>5423</v>
      </c>
      <c r="C1488" s="26" t="s">
        <v>9082</v>
      </c>
      <c r="D1488" s="26" t="s">
        <v>9083</v>
      </c>
      <c r="E1488" s="26" t="s">
        <v>5433</v>
      </c>
      <c r="F1488" s="27">
        <v>5565006</v>
      </c>
      <c r="G1488" s="27">
        <v>1</v>
      </c>
      <c r="H1488" s="27">
        <v>0</v>
      </c>
      <c r="I1488" s="27">
        <v>1</v>
      </c>
      <c r="J1488" s="30">
        <f t="shared" si="69"/>
        <v>1</v>
      </c>
      <c r="K1488" s="30">
        <f t="shared" si="70"/>
        <v>0</v>
      </c>
      <c r="L1488" s="26">
        <f t="shared" si="71"/>
        <v>0</v>
      </c>
      <c r="M1488" s="26"/>
    </row>
    <row r="1489" spans="1:13" ht="15" customHeight="1">
      <c r="A1489" s="25">
        <v>1604663</v>
      </c>
      <c r="B1489" s="26" t="s">
        <v>5423</v>
      </c>
      <c r="C1489" s="26" t="s">
        <v>9084</v>
      </c>
      <c r="D1489" s="26" t="s">
        <v>9085</v>
      </c>
      <c r="E1489" s="26" t="s">
        <v>5447</v>
      </c>
      <c r="F1489" s="27">
        <v>5675541</v>
      </c>
      <c r="G1489" s="27">
        <v>1</v>
      </c>
      <c r="H1489" s="27">
        <v>0</v>
      </c>
      <c r="I1489" s="27">
        <v>1</v>
      </c>
      <c r="J1489" s="30">
        <f t="shared" si="69"/>
        <v>1</v>
      </c>
      <c r="K1489" s="30">
        <f t="shared" si="70"/>
        <v>0</v>
      </c>
      <c r="L1489" s="26">
        <f t="shared" si="71"/>
        <v>0</v>
      </c>
      <c r="M1489" s="26"/>
    </row>
    <row r="1490" spans="1:13" ht="15" customHeight="1">
      <c r="A1490" s="25">
        <v>1604719</v>
      </c>
      <c r="B1490" s="26" t="s">
        <v>5423</v>
      </c>
      <c r="C1490" s="26" t="s">
        <v>9086</v>
      </c>
      <c r="D1490" s="26" t="s">
        <v>9087</v>
      </c>
      <c r="E1490" s="26" t="s">
        <v>5430</v>
      </c>
      <c r="F1490" s="27">
        <v>5303713</v>
      </c>
      <c r="G1490" s="27">
        <v>1</v>
      </c>
      <c r="H1490" s="27">
        <v>0</v>
      </c>
      <c r="I1490" s="27">
        <v>1</v>
      </c>
      <c r="J1490" s="30">
        <f t="shared" si="69"/>
        <v>1</v>
      </c>
      <c r="K1490" s="30">
        <f t="shared" si="70"/>
        <v>0</v>
      </c>
      <c r="L1490" s="26">
        <f t="shared" si="71"/>
        <v>0</v>
      </c>
      <c r="M1490" s="26"/>
    </row>
    <row r="1491" spans="1:13" ht="15" customHeight="1">
      <c r="A1491" s="25">
        <v>1604806</v>
      </c>
      <c r="B1491" s="26" t="s">
        <v>5423</v>
      </c>
      <c r="C1491" s="26" t="s">
        <v>9088</v>
      </c>
      <c r="D1491" s="26" t="s">
        <v>9089</v>
      </c>
      <c r="E1491" s="26" t="s">
        <v>5683</v>
      </c>
      <c r="F1491" s="27">
        <v>5666146</v>
      </c>
      <c r="G1491" s="27">
        <v>1</v>
      </c>
      <c r="H1491" s="27">
        <v>0</v>
      </c>
      <c r="I1491" s="27">
        <v>1</v>
      </c>
      <c r="J1491" s="30">
        <f t="shared" si="69"/>
        <v>1</v>
      </c>
      <c r="K1491" s="30">
        <f t="shared" si="70"/>
        <v>0</v>
      </c>
      <c r="L1491" s="26">
        <f t="shared" si="71"/>
        <v>0</v>
      </c>
      <c r="M1491" s="26"/>
    </row>
    <row r="1492" spans="1:13" ht="15" customHeight="1">
      <c r="A1492" s="25">
        <v>1604872</v>
      </c>
      <c r="B1492" s="26" t="s">
        <v>5423</v>
      </c>
      <c r="C1492" s="26" t="s">
        <v>9090</v>
      </c>
      <c r="D1492" s="26" t="s">
        <v>9091</v>
      </c>
      <c r="E1492" s="26" t="s">
        <v>5455</v>
      </c>
      <c r="F1492" s="27">
        <v>5619706</v>
      </c>
      <c r="G1492" s="27">
        <v>1</v>
      </c>
      <c r="H1492" s="27">
        <v>0</v>
      </c>
      <c r="I1492" s="27">
        <v>1</v>
      </c>
      <c r="J1492" s="30">
        <f t="shared" si="69"/>
        <v>1</v>
      </c>
      <c r="K1492" s="30">
        <f t="shared" si="70"/>
        <v>0</v>
      </c>
      <c r="L1492" s="26">
        <f t="shared" si="71"/>
        <v>0</v>
      </c>
      <c r="M1492" s="26"/>
    </row>
    <row r="1493" spans="1:13" ht="15" customHeight="1">
      <c r="A1493" s="25">
        <v>1605002</v>
      </c>
      <c r="B1493" s="26" t="s">
        <v>5427</v>
      </c>
      <c r="C1493" s="26" t="s">
        <v>9092</v>
      </c>
      <c r="D1493" s="26" t="s">
        <v>9093</v>
      </c>
      <c r="E1493" s="26" t="s">
        <v>5575</v>
      </c>
      <c r="F1493" s="27">
        <v>5670081</v>
      </c>
      <c r="G1493" s="27">
        <v>1</v>
      </c>
      <c r="H1493" s="27">
        <v>1</v>
      </c>
      <c r="I1493" s="27">
        <v>1</v>
      </c>
      <c r="J1493" s="30">
        <f t="shared" si="69"/>
        <v>1</v>
      </c>
      <c r="K1493" s="30">
        <f t="shared" si="70"/>
        <v>1</v>
      </c>
      <c r="L1493" s="26">
        <f t="shared" si="71"/>
        <v>1</v>
      </c>
      <c r="M1493" s="26"/>
    </row>
    <row r="1494" spans="1:13" ht="15" customHeight="1">
      <c r="A1494" s="25">
        <v>1605300</v>
      </c>
      <c r="B1494" s="26" t="s">
        <v>5423</v>
      </c>
      <c r="C1494" s="26" t="s">
        <v>9094</v>
      </c>
      <c r="D1494" s="26" t="s">
        <v>9095</v>
      </c>
      <c r="E1494" s="26" t="s">
        <v>5455</v>
      </c>
      <c r="F1494" s="27">
        <v>5686787</v>
      </c>
      <c r="G1494" s="27">
        <v>1</v>
      </c>
      <c r="H1494" s="27">
        <v>1</v>
      </c>
      <c r="I1494" s="27">
        <v>1</v>
      </c>
      <c r="J1494" s="30">
        <f t="shared" si="69"/>
        <v>1</v>
      </c>
      <c r="K1494" s="30">
        <f t="shared" si="70"/>
        <v>1</v>
      </c>
      <c r="L1494" s="26">
        <f t="shared" si="71"/>
        <v>1</v>
      </c>
      <c r="M1494" s="26"/>
    </row>
    <row r="1495" spans="1:13" ht="15" customHeight="1">
      <c r="A1495" s="25">
        <v>1605414</v>
      </c>
      <c r="B1495" s="26" t="s">
        <v>5423</v>
      </c>
      <c r="C1495" s="26" t="s">
        <v>9096</v>
      </c>
      <c r="D1495" s="26" t="s">
        <v>9097</v>
      </c>
      <c r="E1495" s="26" t="s">
        <v>5436</v>
      </c>
      <c r="F1495" s="27">
        <v>5687059</v>
      </c>
      <c r="G1495" s="27">
        <v>0</v>
      </c>
      <c r="H1495" s="27">
        <v>0</v>
      </c>
      <c r="I1495" s="27">
        <v>0</v>
      </c>
      <c r="J1495" s="30">
        <f t="shared" si="69"/>
        <v>0</v>
      </c>
      <c r="K1495" s="30">
        <f t="shared" si="70"/>
        <v>0</v>
      </c>
      <c r="L1495" s="26">
        <f t="shared" si="71"/>
        <v>0</v>
      </c>
      <c r="M1495" s="26">
        <v>0</v>
      </c>
    </row>
    <row r="1496" spans="1:13" ht="15" customHeight="1">
      <c r="A1496" s="25">
        <v>1605475</v>
      </c>
      <c r="B1496" s="26" t="s">
        <v>5427</v>
      </c>
      <c r="C1496" s="26" t="s">
        <v>9098</v>
      </c>
      <c r="D1496" s="26" t="s">
        <v>9099</v>
      </c>
      <c r="E1496" s="26" t="s">
        <v>5436</v>
      </c>
      <c r="F1496" s="27">
        <v>5687413</v>
      </c>
      <c r="G1496" s="27">
        <v>0</v>
      </c>
      <c r="H1496" s="27">
        <v>0</v>
      </c>
      <c r="I1496" s="27">
        <v>0</v>
      </c>
      <c r="J1496" s="30">
        <f t="shared" si="69"/>
        <v>0</v>
      </c>
      <c r="K1496" s="30">
        <f t="shared" si="70"/>
        <v>0</v>
      </c>
      <c r="L1496" s="26">
        <f t="shared" si="71"/>
        <v>0</v>
      </c>
      <c r="M1496" s="26">
        <v>0</v>
      </c>
    </row>
    <row r="1497" spans="1:13" ht="15" customHeight="1">
      <c r="A1497" s="25">
        <v>1605492</v>
      </c>
      <c r="B1497" s="26" t="s">
        <v>5423</v>
      </c>
      <c r="C1497" s="26" t="s">
        <v>9100</v>
      </c>
      <c r="D1497" s="26" t="s">
        <v>9101</v>
      </c>
      <c r="E1497" s="26" t="s">
        <v>5532</v>
      </c>
      <c r="F1497" s="27">
        <v>5654560</v>
      </c>
      <c r="G1497" s="27">
        <v>1</v>
      </c>
      <c r="H1497" s="27">
        <v>0</v>
      </c>
      <c r="I1497" s="27">
        <v>1</v>
      </c>
      <c r="J1497" s="30">
        <f t="shared" si="69"/>
        <v>1</v>
      </c>
      <c r="K1497" s="30">
        <f t="shared" si="70"/>
        <v>0</v>
      </c>
      <c r="L1497" s="26">
        <f t="shared" si="71"/>
        <v>0</v>
      </c>
      <c r="M1497" s="26"/>
    </row>
    <row r="1498" spans="1:13" ht="15" customHeight="1">
      <c r="A1498" s="25">
        <v>1605499</v>
      </c>
      <c r="B1498" s="26" t="s">
        <v>5423</v>
      </c>
      <c r="C1498" s="26" t="s">
        <v>9102</v>
      </c>
      <c r="D1498" s="26" t="s">
        <v>9103</v>
      </c>
      <c r="E1498" s="26" t="s">
        <v>5458</v>
      </c>
      <c r="F1498" s="27">
        <v>4805368</v>
      </c>
      <c r="G1498" s="27">
        <v>1</v>
      </c>
      <c r="H1498" s="27">
        <v>0</v>
      </c>
      <c r="I1498" s="27">
        <v>1</v>
      </c>
      <c r="J1498" s="30">
        <f t="shared" si="69"/>
        <v>1</v>
      </c>
      <c r="K1498" s="30">
        <f t="shared" si="70"/>
        <v>0</v>
      </c>
      <c r="L1498" s="26">
        <f t="shared" si="71"/>
        <v>0</v>
      </c>
      <c r="M1498" s="26"/>
    </row>
    <row r="1499" spans="1:13" ht="15" customHeight="1">
      <c r="A1499" s="25">
        <v>1605522</v>
      </c>
      <c r="B1499" s="26" t="s">
        <v>5427</v>
      </c>
      <c r="C1499" s="26" t="s">
        <v>9104</v>
      </c>
      <c r="D1499" s="26" t="s">
        <v>9105</v>
      </c>
      <c r="E1499" s="26" t="s">
        <v>5535</v>
      </c>
      <c r="F1499" s="27">
        <v>5141347</v>
      </c>
      <c r="G1499" s="27">
        <v>1</v>
      </c>
      <c r="H1499" s="27">
        <v>1</v>
      </c>
      <c r="I1499" s="27">
        <v>1</v>
      </c>
      <c r="J1499" s="30">
        <f t="shared" si="69"/>
        <v>1</v>
      </c>
      <c r="K1499" s="30">
        <f t="shared" si="70"/>
        <v>1</v>
      </c>
      <c r="L1499" s="26">
        <f t="shared" si="71"/>
        <v>1</v>
      </c>
      <c r="M1499" s="26"/>
    </row>
    <row r="1500" spans="1:13" ht="15" customHeight="1">
      <c r="A1500" s="25">
        <v>1605870</v>
      </c>
      <c r="B1500" s="26" t="s">
        <v>5423</v>
      </c>
      <c r="C1500" s="26" t="s">
        <v>9106</v>
      </c>
      <c r="D1500" s="26" t="s">
        <v>9107</v>
      </c>
      <c r="E1500" s="26" t="s">
        <v>5532</v>
      </c>
      <c r="F1500" s="27">
        <v>5688188</v>
      </c>
      <c r="G1500" s="27">
        <v>0</v>
      </c>
      <c r="H1500" s="27">
        <v>0</v>
      </c>
      <c r="I1500" s="27">
        <v>0</v>
      </c>
      <c r="J1500" s="30">
        <f t="shared" si="69"/>
        <v>0</v>
      </c>
      <c r="K1500" s="30">
        <f t="shared" si="70"/>
        <v>0</v>
      </c>
      <c r="L1500" s="26">
        <f t="shared" si="71"/>
        <v>0</v>
      </c>
      <c r="M1500" s="26">
        <v>0</v>
      </c>
    </row>
    <row r="1501" spans="1:13" ht="15" customHeight="1">
      <c r="A1501" s="25">
        <v>1605921</v>
      </c>
      <c r="B1501" s="26" t="s">
        <v>5427</v>
      </c>
      <c r="C1501" s="26" t="s">
        <v>9108</v>
      </c>
      <c r="D1501" s="26" t="s">
        <v>9109</v>
      </c>
      <c r="E1501" s="26" t="s">
        <v>6075</v>
      </c>
      <c r="F1501" s="27">
        <v>5685314</v>
      </c>
      <c r="G1501" s="27">
        <v>1</v>
      </c>
      <c r="H1501" s="27">
        <v>1</v>
      </c>
      <c r="I1501" s="27">
        <v>1</v>
      </c>
      <c r="J1501" s="30">
        <f t="shared" si="69"/>
        <v>1</v>
      </c>
      <c r="K1501" s="30">
        <f t="shared" si="70"/>
        <v>1</v>
      </c>
      <c r="L1501" s="26">
        <f t="shared" si="71"/>
        <v>1</v>
      </c>
      <c r="M1501" s="26" t="s">
        <v>8169</v>
      </c>
    </row>
    <row r="1502" spans="1:13" ht="15" customHeight="1">
      <c r="A1502" s="25">
        <v>1605929</v>
      </c>
      <c r="B1502" s="26" t="s">
        <v>5427</v>
      </c>
      <c r="C1502" s="26" t="s">
        <v>9110</v>
      </c>
      <c r="D1502" s="26" t="s">
        <v>9111</v>
      </c>
      <c r="E1502" s="26" t="s">
        <v>5433</v>
      </c>
      <c r="F1502" s="27">
        <v>5664354</v>
      </c>
      <c r="G1502" s="27">
        <v>1</v>
      </c>
      <c r="H1502" s="27">
        <v>1</v>
      </c>
      <c r="I1502" s="27">
        <v>1</v>
      </c>
      <c r="J1502" s="30">
        <f t="shared" si="69"/>
        <v>1</v>
      </c>
      <c r="K1502" s="30">
        <f t="shared" si="70"/>
        <v>1</v>
      </c>
      <c r="L1502" s="26">
        <f t="shared" si="71"/>
        <v>1</v>
      </c>
      <c r="M1502" s="26"/>
    </row>
    <row r="1503" spans="1:13" ht="15" customHeight="1">
      <c r="A1503" s="25">
        <v>1606371</v>
      </c>
      <c r="B1503" s="26" t="s">
        <v>5423</v>
      </c>
      <c r="C1503" s="26" t="s">
        <v>9112</v>
      </c>
      <c r="D1503" s="26" t="s">
        <v>9113</v>
      </c>
      <c r="E1503" s="26" t="s">
        <v>5586</v>
      </c>
      <c r="F1503" s="27">
        <v>5689147</v>
      </c>
      <c r="G1503" s="27">
        <v>0</v>
      </c>
      <c r="H1503" s="27">
        <v>0</v>
      </c>
      <c r="I1503" s="27">
        <v>0</v>
      </c>
      <c r="J1503" s="30">
        <f t="shared" si="69"/>
        <v>0</v>
      </c>
      <c r="K1503" s="30">
        <f t="shared" si="70"/>
        <v>0</v>
      </c>
      <c r="L1503" s="26">
        <f t="shared" si="71"/>
        <v>0</v>
      </c>
      <c r="M1503" s="26">
        <v>0</v>
      </c>
    </row>
    <row r="1504" spans="1:13" ht="15" customHeight="1">
      <c r="A1504" s="25">
        <v>1606708</v>
      </c>
      <c r="B1504" s="26" t="s">
        <v>5423</v>
      </c>
      <c r="C1504" s="26" t="s">
        <v>9114</v>
      </c>
      <c r="D1504" s="26" t="s">
        <v>9115</v>
      </c>
      <c r="E1504" s="26" t="s">
        <v>5517</v>
      </c>
      <c r="F1504" s="27">
        <v>5643489</v>
      </c>
      <c r="G1504" s="27">
        <v>1</v>
      </c>
      <c r="H1504" s="27">
        <v>0</v>
      </c>
      <c r="I1504" s="27">
        <v>1</v>
      </c>
      <c r="J1504" s="30">
        <f t="shared" si="69"/>
        <v>1</v>
      </c>
      <c r="K1504" s="30">
        <f t="shared" si="70"/>
        <v>0</v>
      </c>
      <c r="L1504" s="26">
        <f t="shared" si="71"/>
        <v>0</v>
      </c>
      <c r="M1504" s="26"/>
    </row>
    <row r="1505" spans="1:13" ht="15" customHeight="1">
      <c r="A1505" s="25">
        <v>1607033</v>
      </c>
      <c r="B1505" s="26" t="s">
        <v>5423</v>
      </c>
      <c r="C1505" s="26" t="s">
        <v>9116</v>
      </c>
      <c r="D1505" s="26" t="s">
        <v>9117</v>
      </c>
      <c r="E1505" s="26" t="s">
        <v>5535</v>
      </c>
      <c r="F1505" s="27">
        <v>5566127</v>
      </c>
      <c r="G1505" s="27">
        <v>1</v>
      </c>
      <c r="H1505" s="27">
        <v>0</v>
      </c>
      <c r="I1505" s="27">
        <v>1</v>
      </c>
      <c r="J1505" s="30">
        <f t="shared" si="69"/>
        <v>1</v>
      </c>
      <c r="K1505" s="30">
        <f t="shared" si="70"/>
        <v>0</v>
      </c>
      <c r="L1505" s="26">
        <f t="shared" si="71"/>
        <v>0</v>
      </c>
      <c r="M1505" s="26"/>
    </row>
    <row r="1506" spans="1:13" ht="15" customHeight="1">
      <c r="A1506" s="25">
        <v>1607157</v>
      </c>
      <c r="B1506" s="26" t="s">
        <v>5423</v>
      </c>
      <c r="C1506" s="26" t="s">
        <v>9118</v>
      </c>
      <c r="D1506" s="26" t="s">
        <v>9119</v>
      </c>
      <c r="E1506" s="26" t="s">
        <v>5763</v>
      </c>
      <c r="F1506" s="27">
        <v>5679378</v>
      </c>
      <c r="G1506" s="27">
        <v>1</v>
      </c>
      <c r="H1506" s="27">
        <v>0</v>
      </c>
      <c r="I1506" s="27">
        <v>1</v>
      </c>
      <c r="J1506" s="30">
        <f t="shared" si="69"/>
        <v>1</v>
      </c>
      <c r="K1506" s="30">
        <f t="shared" si="70"/>
        <v>0</v>
      </c>
      <c r="L1506" s="26">
        <f t="shared" si="71"/>
        <v>0</v>
      </c>
      <c r="M1506" s="26"/>
    </row>
    <row r="1507" spans="1:13" ht="15" customHeight="1">
      <c r="A1507" s="25">
        <v>1607209</v>
      </c>
      <c r="B1507" s="26" t="s">
        <v>5427</v>
      </c>
      <c r="C1507" s="26" t="s">
        <v>9120</v>
      </c>
      <c r="D1507" s="26" t="s">
        <v>9121</v>
      </c>
      <c r="E1507" s="26" t="s">
        <v>5560</v>
      </c>
      <c r="F1507" s="27">
        <v>5692162</v>
      </c>
      <c r="G1507" s="27">
        <v>0</v>
      </c>
      <c r="H1507" s="27">
        <v>0</v>
      </c>
      <c r="I1507" s="27">
        <v>0</v>
      </c>
      <c r="J1507" s="30">
        <f t="shared" si="69"/>
        <v>0</v>
      </c>
      <c r="K1507" s="30">
        <f t="shared" si="70"/>
        <v>0</v>
      </c>
      <c r="L1507" s="26">
        <f t="shared" si="71"/>
        <v>0</v>
      </c>
      <c r="M1507" s="26">
        <v>0</v>
      </c>
    </row>
    <row r="1508" spans="1:13" ht="15" customHeight="1">
      <c r="A1508" s="25">
        <v>1607430</v>
      </c>
      <c r="B1508" s="26" t="s">
        <v>5427</v>
      </c>
      <c r="C1508" s="26" t="s">
        <v>9122</v>
      </c>
      <c r="D1508" s="26" t="s">
        <v>9123</v>
      </c>
      <c r="E1508" s="26" t="s">
        <v>6075</v>
      </c>
      <c r="F1508" s="27">
        <v>5668399</v>
      </c>
      <c r="G1508" s="27">
        <v>1</v>
      </c>
      <c r="H1508" s="27">
        <v>0</v>
      </c>
      <c r="I1508" s="27">
        <v>1</v>
      </c>
      <c r="J1508" s="30">
        <f t="shared" si="69"/>
        <v>1</v>
      </c>
      <c r="K1508" s="30">
        <f t="shared" si="70"/>
        <v>0</v>
      </c>
      <c r="L1508" s="26">
        <f t="shared" si="71"/>
        <v>0</v>
      </c>
      <c r="M1508" s="26"/>
    </row>
    <row r="1509" spans="1:13" ht="15" customHeight="1">
      <c r="A1509" s="25">
        <v>1607480</v>
      </c>
      <c r="B1509" s="26" t="s">
        <v>5423</v>
      </c>
      <c r="C1509" s="26" t="s">
        <v>9124</v>
      </c>
      <c r="D1509" s="26" t="s">
        <v>9125</v>
      </c>
      <c r="E1509" s="26" t="s">
        <v>5452</v>
      </c>
      <c r="F1509" s="27">
        <v>5421221</v>
      </c>
      <c r="G1509" s="27">
        <v>1</v>
      </c>
      <c r="H1509" s="27">
        <v>1</v>
      </c>
      <c r="I1509" s="27">
        <v>1</v>
      </c>
      <c r="J1509" s="30">
        <f t="shared" si="69"/>
        <v>1</v>
      </c>
      <c r="K1509" s="30">
        <f t="shared" si="70"/>
        <v>1</v>
      </c>
      <c r="L1509" s="26">
        <f t="shared" si="71"/>
        <v>1</v>
      </c>
      <c r="M1509" s="26"/>
    </row>
    <row r="1510" spans="1:13" ht="15" customHeight="1">
      <c r="A1510" s="25">
        <v>1607490</v>
      </c>
      <c r="B1510" s="26" t="s">
        <v>5423</v>
      </c>
      <c r="C1510" s="26" t="s">
        <v>9126</v>
      </c>
      <c r="D1510" s="26" t="s">
        <v>9127</v>
      </c>
      <c r="E1510" s="26" t="s">
        <v>5488</v>
      </c>
      <c r="F1510" s="27">
        <v>5693677</v>
      </c>
      <c r="G1510" s="27">
        <v>0</v>
      </c>
      <c r="H1510" s="27">
        <v>0</v>
      </c>
      <c r="I1510" s="27">
        <v>0</v>
      </c>
      <c r="J1510" s="30">
        <f t="shared" si="69"/>
        <v>0</v>
      </c>
      <c r="K1510" s="30">
        <f t="shared" si="70"/>
        <v>0</v>
      </c>
      <c r="L1510" s="26">
        <f t="shared" si="71"/>
        <v>0</v>
      </c>
      <c r="M1510" s="26">
        <v>0</v>
      </c>
    </row>
    <row r="1511" spans="1:13" ht="15" customHeight="1">
      <c r="A1511" s="25">
        <v>1607505</v>
      </c>
      <c r="B1511" s="26" t="s">
        <v>5423</v>
      </c>
      <c r="C1511" s="26" t="s">
        <v>9128</v>
      </c>
      <c r="D1511" s="26" t="s">
        <v>9129</v>
      </c>
      <c r="E1511" s="26" t="s">
        <v>5430</v>
      </c>
      <c r="F1511" s="27">
        <v>5641912</v>
      </c>
      <c r="G1511" s="27">
        <v>1</v>
      </c>
      <c r="H1511" s="27">
        <v>0</v>
      </c>
      <c r="I1511" s="27">
        <v>1</v>
      </c>
      <c r="J1511" s="30">
        <f t="shared" si="69"/>
        <v>1</v>
      </c>
      <c r="K1511" s="30">
        <f t="shared" si="70"/>
        <v>0</v>
      </c>
      <c r="L1511" s="26">
        <f t="shared" si="71"/>
        <v>0</v>
      </c>
      <c r="M1511" s="26"/>
    </row>
    <row r="1512" spans="1:13" ht="15" customHeight="1">
      <c r="A1512" s="25">
        <v>1607523</v>
      </c>
      <c r="B1512" s="26" t="s">
        <v>5423</v>
      </c>
      <c r="C1512" s="26" t="s">
        <v>9130</v>
      </c>
      <c r="D1512" s="26" t="s">
        <v>9131</v>
      </c>
      <c r="E1512" s="26" t="s">
        <v>5517</v>
      </c>
      <c r="F1512" s="27">
        <v>3930698</v>
      </c>
      <c r="G1512" s="27">
        <v>1</v>
      </c>
      <c r="H1512" s="27">
        <v>0</v>
      </c>
      <c r="I1512" s="27">
        <v>1</v>
      </c>
      <c r="J1512" s="30">
        <f t="shared" si="69"/>
        <v>1</v>
      </c>
      <c r="K1512" s="30">
        <f t="shared" si="70"/>
        <v>0</v>
      </c>
      <c r="L1512" s="26">
        <f t="shared" si="71"/>
        <v>0</v>
      </c>
      <c r="M1512" s="26"/>
    </row>
    <row r="1513" spans="1:13" ht="15" customHeight="1">
      <c r="A1513" s="25">
        <v>1607654</v>
      </c>
      <c r="B1513" s="26" t="s">
        <v>5427</v>
      </c>
      <c r="C1513" s="26" t="s">
        <v>9132</v>
      </c>
      <c r="D1513" s="26" t="s">
        <v>9133</v>
      </c>
      <c r="E1513" s="26" t="s">
        <v>5442</v>
      </c>
      <c r="F1513" s="27">
        <v>5583414</v>
      </c>
      <c r="G1513" s="27">
        <v>1</v>
      </c>
      <c r="H1513" s="27">
        <v>1</v>
      </c>
      <c r="I1513" s="27">
        <v>1</v>
      </c>
      <c r="J1513" s="30">
        <f t="shared" si="69"/>
        <v>1</v>
      </c>
      <c r="K1513" s="30">
        <f t="shared" si="70"/>
        <v>1</v>
      </c>
      <c r="L1513" s="26">
        <f t="shared" si="71"/>
        <v>1</v>
      </c>
      <c r="M1513" s="26"/>
    </row>
    <row r="1514" spans="1:13" ht="15" customHeight="1">
      <c r="A1514" s="25">
        <v>1607688</v>
      </c>
      <c r="B1514" s="26" t="s">
        <v>5423</v>
      </c>
      <c r="C1514" s="26" t="s">
        <v>9134</v>
      </c>
      <c r="D1514" s="26" t="s">
        <v>9135</v>
      </c>
      <c r="E1514" s="26" t="s">
        <v>5485</v>
      </c>
      <c r="F1514" s="27">
        <v>5686481</v>
      </c>
      <c r="G1514" s="27">
        <v>1</v>
      </c>
      <c r="H1514" s="27">
        <v>0</v>
      </c>
      <c r="I1514" s="27">
        <v>1</v>
      </c>
      <c r="J1514" s="30">
        <f t="shared" si="69"/>
        <v>1</v>
      </c>
      <c r="K1514" s="30">
        <f t="shared" si="70"/>
        <v>0</v>
      </c>
      <c r="L1514" s="26">
        <f t="shared" si="71"/>
        <v>0</v>
      </c>
      <c r="M1514" s="26"/>
    </row>
    <row r="1515" spans="1:13" ht="15" customHeight="1">
      <c r="A1515" s="25">
        <v>1607711</v>
      </c>
      <c r="B1515" s="26" t="s">
        <v>5427</v>
      </c>
      <c r="C1515" s="26" t="s">
        <v>9136</v>
      </c>
      <c r="D1515" s="26" t="s">
        <v>9137</v>
      </c>
      <c r="E1515" s="26" t="s">
        <v>5529</v>
      </c>
      <c r="F1515" s="27"/>
      <c r="G1515" s="27">
        <v>0</v>
      </c>
      <c r="H1515" s="27">
        <v>0</v>
      </c>
      <c r="I1515" s="27">
        <v>0</v>
      </c>
      <c r="J1515" s="30">
        <f t="shared" si="69"/>
        <v>0</v>
      </c>
      <c r="K1515" s="30">
        <f t="shared" si="70"/>
        <v>0</v>
      </c>
      <c r="L1515" s="26">
        <f t="shared" si="71"/>
        <v>0</v>
      </c>
      <c r="M1515" s="26" t="s">
        <v>5557</v>
      </c>
    </row>
    <row r="1516" spans="1:13" ht="15" customHeight="1">
      <c r="A1516" s="25">
        <v>1607724</v>
      </c>
      <c r="B1516" s="26" t="s">
        <v>5427</v>
      </c>
      <c r="C1516" s="26" t="s">
        <v>9138</v>
      </c>
      <c r="D1516" s="26" t="s">
        <v>9139</v>
      </c>
      <c r="E1516" s="26" t="s">
        <v>5455</v>
      </c>
      <c r="F1516" s="27">
        <v>5572272</v>
      </c>
      <c r="G1516" s="27">
        <v>1</v>
      </c>
      <c r="H1516" s="27">
        <v>0</v>
      </c>
      <c r="I1516" s="27">
        <v>1</v>
      </c>
      <c r="J1516" s="30">
        <f t="shared" si="69"/>
        <v>1</v>
      </c>
      <c r="K1516" s="30">
        <f t="shared" si="70"/>
        <v>0</v>
      </c>
      <c r="L1516" s="26">
        <f t="shared" si="71"/>
        <v>0</v>
      </c>
      <c r="M1516" s="26"/>
    </row>
    <row r="1517" spans="1:13" ht="15" customHeight="1">
      <c r="A1517" s="25">
        <v>1607891</v>
      </c>
      <c r="B1517" s="26" t="s">
        <v>5423</v>
      </c>
      <c r="C1517" s="26" t="s">
        <v>9140</v>
      </c>
      <c r="D1517" s="26" t="s">
        <v>9141</v>
      </c>
      <c r="E1517" s="26" t="s">
        <v>5517</v>
      </c>
      <c r="F1517" s="27">
        <v>4054258</v>
      </c>
      <c r="G1517" s="27">
        <v>1</v>
      </c>
      <c r="H1517" s="27">
        <v>0</v>
      </c>
      <c r="I1517" s="27">
        <v>1</v>
      </c>
      <c r="J1517" s="30">
        <f t="shared" si="69"/>
        <v>1</v>
      </c>
      <c r="K1517" s="30">
        <f t="shared" si="70"/>
        <v>0</v>
      </c>
      <c r="L1517" s="26">
        <f t="shared" si="71"/>
        <v>0</v>
      </c>
      <c r="M1517" s="26"/>
    </row>
    <row r="1518" spans="1:13" ht="15" customHeight="1">
      <c r="A1518" s="25">
        <v>1607921</v>
      </c>
      <c r="B1518" s="26" t="s">
        <v>5423</v>
      </c>
      <c r="C1518" s="26" t="s">
        <v>9142</v>
      </c>
      <c r="D1518" s="26" t="s">
        <v>9143</v>
      </c>
      <c r="E1518" s="26" t="s">
        <v>5540</v>
      </c>
      <c r="F1518" s="27">
        <v>5694739</v>
      </c>
      <c r="G1518" s="27">
        <v>1</v>
      </c>
      <c r="H1518" s="27">
        <v>1</v>
      </c>
      <c r="I1518" s="27">
        <v>1</v>
      </c>
      <c r="J1518" s="30">
        <f t="shared" si="69"/>
        <v>1</v>
      </c>
      <c r="K1518" s="30">
        <f t="shared" si="70"/>
        <v>1</v>
      </c>
      <c r="L1518" s="26">
        <f t="shared" si="71"/>
        <v>1</v>
      </c>
      <c r="M1518" s="26"/>
    </row>
    <row r="1519" spans="1:13" ht="15" customHeight="1">
      <c r="A1519" s="25">
        <v>1608003</v>
      </c>
      <c r="B1519" s="26" t="s">
        <v>5423</v>
      </c>
      <c r="C1519" s="26" t="s">
        <v>9144</v>
      </c>
      <c r="D1519" s="26" t="s">
        <v>9145</v>
      </c>
      <c r="E1519" s="26" t="s">
        <v>5718</v>
      </c>
      <c r="F1519" s="27">
        <v>5666881</v>
      </c>
      <c r="G1519" s="27">
        <v>1</v>
      </c>
      <c r="H1519" s="27">
        <v>0</v>
      </c>
      <c r="I1519" s="27">
        <v>1</v>
      </c>
      <c r="J1519" s="30">
        <f t="shared" si="69"/>
        <v>1</v>
      </c>
      <c r="K1519" s="30">
        <f t="shared" si="70"/>
        <v>0</v>
      </c>
      <c r="L1519" s="26">
        <f t="shared" si="71"/>
        <v>0</v>
      </c>
      <c r="M1519" s="26"/>
    </row>
    <row r="1520" spans="1:13" ht="15" customHeight="1">
      <c r="A1520" s="25">
        <v>1608083</v>
      </c>
      <c r="B1520" s="26" t="s">
        <v>5423</v>
      </c>
      <c r="C1520" s="26" t="s">
        <v>9146</v>
      </c>
      <c r="D1520" s="26" t="s">
        <v>9147</v>
      </c>
      <c r="E1520" s="26" t="s">
        <v>5517</v>
      </c>
      <c r="F1520" s="27">
        <v>4947006</v>
      </c>
      <c r="G1520" s="27">
        <v>1</v>
      </c>
      <c r="H1520" s="27">
        <v>0</v>
      </c>
      <c r="I1520" s="27">
        <v>1</v>
      </c>
      <c r="J1520" s="30">
        <f t="shared" si="69"/>
        <v>1</v>
      </c>
      <c r="K1520" s="30">
        <f t="shared" si="70"/>
        <v>0</v>
      </c>
      <c r="L1520" s="26">
        <f t="shared" si="71"/>
        <v>0</v>
      </c>
      <c r="M1520" s="26"/>
    </row>
    <row r="1521" spans="1:13" ht="15" customHeight="1">
      <c r="A1521" s="25">
        <v>1608103</v>
      </c>
      <c r="B1521" s="26" t="s">
        <v>5427</v>
      </c>
      <c r="C1521" s="26" t="s">
        <v>9148</v>
      </c>
      <c r="D1521" s="26" t="s">
        <v>9149</v>
      </c>
      <c r="E1521" s="26" t="s">
        <v>5442</v>
      </c>
      <c r="F1521" s="27">
        <v>5695950</v>
      </c>
      <c r="G1521" s="27">
        <v>1</v>
      </c>
      <c r="H1521" s="27">
        <v>0</v>
      </c>
      <c r="I1521" s="27">
        <v>1</v>
      </c>
      <c r="J1521" s="30">
        <f t="shared" si="69"/>
        <v>1</v>
      </c>
      <c r="K1521" s="30">
        <f t="shared" si="70"/>
        <v>0</v>
      </c>
      <c r="L1521" s="26">
        <f t="shared" si="71"/>
        <v>0</v>
      </c>
      <c r="M1521" s="26"/>
    </row>
    <row r="1522" spans="1:13" ht="15" customHeight="1">
      <c r="A1522" s="25">
        <v>1608106</v>
      </c>
      <c r="B1522" s="26" t="s">
        <v>5423</v>
      </c>
      <c r="C1522" s="26" t="s">
        <v>9150</v>
      </c>
      <c r="D1522" s="26" t="s">
        <v>9151</v>
      </c>
      <c r="E1522" s="26" t="s">
        <v>5504</v>
      </c>
      <c r="F1522" s="27">
        <v>5546010</v>
      </c>
      <c r="G1522" s="27">
        <v>1</v>
      </c>
      <c r="H1522" s="27">
        <v>0</v>
      </c>
      <c r="I1522" s="27">
        <v>1</v>
      </c>
      <c r="J1522" s="30">
        <f t="shared" si="69"/>
        <v>1</v>
      </c>
      <c r="K1522" s="30">
        <f t="shared" si="70"/>
        <v>0</v>
      </c>
      <c r="L1522" s="26">
        <f t="shared" si="71"/>
        <v>0</v>
      </c>
      <c r="M1522" s="26"/>
    </row>
    <row r="1523" spans="1:13" ht="15" customHeight="1">
      <c r="A1523" s="25">
        <v>1608254</v>
      </c>
      <c r="B1523" s="26" t="s">
        <v>5423</v>
      </c>
      <c r="C1523" s="26" t="s">
        <v>9152</v>
      </c>
      <c r="D1523" s="26" t="s">
        <v>9153</v>
      </c>
      <c r="E1523" s="26" t="s">
        <v>5426</v>
      </c>
      <c r="F1523" s="27">
        <v>5695355</v>
      </c>
      <c r="G1523" s="27">
        <v>0</v>
      </c>
      <c r="H1523" s="27">
        <v>0</v>
      </c>
      <c r="I1523" s="27">
        <v>0</v>
      </c>
      <c r="J1523" s="30">
        <f t="shared" si="69"/>
        <v>0</v>
      </c>
      <c r="K1523" s="30">
        <f t="shared" si="70"/>
        <v>0</v>
      </c>
      <c r="L1523" s="26">
        <f t="shared" si="71"/>
        <v>0</v>
      </c>
      <c r="M1523" s="26">
        <v>0</v>
      </c>
    </row>
    <row r="1524" spans="1:13" ht="15" customHeight="1">
      <c r="A1524" s="25">
        <v>1609342</v>
      </c>
      <c r="B1524" s="26" t="s">
        <v>5423</v>
      </c>
      <c r="C1524" s="26" t="s">
        <v>9154</v>
      </c>
      <c r="D1524" s="26" t="s">
        <v>9155</v>
      </c>
      <c r="E1524" s="26" t="s">
        <v>5447</v>
      </c>
      <c r="F1524" s="27">
        <v>5697779</v>
      </c>
      <c r="G1524" s="27">
        <v>0</v>
      </c>
      <c r="H1524" s="27">
        <v>0</v>
      </c>
      <c r="I1524" s="27">
        <v>0</v>
      </c>
      <c r="J1524" s="30">
        <f t="shared" si="69"/>
        <v>0</v>
      </c>
      <c r="K1524" s="30">
        <f t="shared" si="70"/>
        <v>0</v>
      </c>
      <c r="L1524" s="26">
        <f t="shared" si="71"/>
        <v>0</v>
      </c>
      <c r="M1524" s="26">
        <v>0</v>
      </c>
    </row>
    <row r="1525" spans="1:13" ht="15" customHeight="1">
      <c r="A1525" s="25">
        <v>1609596</v>
      </c>
      <c r="B1525" s="26" t="s">
        <v>5423</v>
      </c>
      <c r="C1525" s="26" t="s">
        <v>9156</v>
      </c>
      <c r="D1525" s="26" t="s">
        <v>9157</v>
      </c>
      <c r="E1525" s="26" t="s">
        <v>5463</v>
      </c>
      <c r="F1525" s="27">
        <v>5302423</v>
      </c>
      <c r="G1525" s="27">
        <v>1</v>
      </c>
      <c r="H1525" s="27">
        <v>0</v>
      </c>
      <c r="I1525" s="27">
        <v>1</v>
      </c>
      <c r="J1525" s="30">
        <f t="shared" si="69"/>
        <v>1</v>
      </c>
      <c r="K1525" s="30">
        <f t="shared" si="70"/>
        <v>0</v>
      </c>
      <c r="L1525" s="26">
        <f t="shared" si="71"/>
        <v>0</v>
      </c>
      <c r="M1525" s="26"/>
    </row>
    <row r="1526" spans="1:13" ht="15" customHeight="1">
      <c r="A1526" s="25">
        <v>1610746</v>
      </c>
      <c r="B1526" s="26" t="s">
        <v>5427</v>
      </c>
      <c r="C1526" s="26" t="s">
        <v>9158</v>
      </c>
      <c r="D1526" s="26" t="s">
        <v>9159</v>
      </c>
      <c r="E1526" s="26" t="s">
        <v>5485</v>
      </c>
      <c r="F1526" s="27"/>
      <c r="G1526" s="27">
        <v>0</v>
      </c>
      <c r="H1526" s="27">
        <v>0</v>
      </c>
      <c r="I1526" s="27">
        <v>0</v>
      </c>
      <c r="J1526" s="30">
        <f t="shared" si="69"/>
        <v>0</v>
      </c>
      <c r="K1526" s="30">
        <f t="shared" si="70"/>
        <v>0</v>
      </c>
      <c r="L1526" s="26">
        <f t="shared" si="71"/>
        <v>0</v>
      </c>
      <c r="M1526" s="26" t="s">
        <v>8017</v>
      </c>
    </row>
    <row r="1527" spans="1:13" ht="15" customHeight="1">
      <c r="A1527" s="25">
        <v>1610805</v>
      </c>
      <c r="B1527" s="26" t="s">
        <v>5427</v>
      </c>
      <c r="C1527" s="26" t="s">
        <v>9160</v>
      </c>
      <c r="D1527" s="26" t="s">
        <v>9161</v>
      </c>
      <c r="E1527" s="26" t="s">
        <v>5514</v>
      </c>
      <c r="F1527" s="27">
        <v>5704889</v>
      </c>
      <c r="G1527" s="27">
        <v>1</v>
      </c>
      <c r="H1527" s="27">
        <v>1</v>
      </c>
      <c r="I1527" s="27">
        <v>1</v>
      </c>
      <c r="J1527" s="30">
        <f t="shared" si="69"/>
        <v>1</v>
      </c>
      <c r="K1527" s="30">
        <f t="shared" si="70"/>
        <v>1</v>
      </c>
      <c r="L1527" s="26">
        <f t="shared" si="71"/>
        <v>1</v>
      </c>
      <c r="M1527" s="26"/>
    </row>
    <row r="1528" spans="1:13" ht="15" customHeight="1">
      <c r="A1528" s="25">
        <v>1610822</v>
      </c>
      <c r="B1528" s="26" t="s">
        <v>5423</v>
      </c>
      <c r="C1528" s="26" t="s">
        <v>9162</v>
      </c>
      <c r="D1528" s="26" t="s">
        <v>9163</v>
      </c>
      <c r="E1528" s="26" t="s">
        <v>5522</v>
      </c>
      <c r="F1528" s="27">
        <v>5359100</v>
      </c>
      <c r="G1528" s="27">
        <v>1</v>
      </c>
      <c r="H1528" s="27">
        <v>1</v>
      </c>
      <c r="I1528" s="27">
        <v>1</v>
      </c>
      <c r="J1528" s="30">
        <f t="shared" si="69"/>
        <v>1</v>
      </c>
      <c r="K1528" s="30">
        <f t="shared" si="70"/>
        <v>1</v>
      </c>
      <c r="L1528" s="26">
        <f t="shared" si="71"/>
        <v>1</v>
      </c>
      <c r="M1528" s="26"/>
    </row>
    <row r="1529" spans="1:13" ht="15" customHeight="1">
      <c r="A1529" s="25">
        <v>1610845</v>
      </c>
      <c r="B1529" s="26" t="s">
        <v>5423</v>
      </c>
      <c r="C1529" s="26" t="s">
        <v>9164</v>
      </c>
      <c r="D1529" s="26" t="s">
        <v>9165</v>
      </c>
      <c r="E1529" s="26" t="s">
        <v>5439</v>
      </c>
      <c r="F1529" s="27">
        <v>5656138</v>
      </c>
      <c r="G1529" s="27">
        <v>1</v>
      </c>
      <c r="H1529" s="27">
        <v>1</v>
      </c>
      <c r="I1529" s="27">
        <v>1</v>
      </c>
      <c r="J1529" s="30">
        <f t="shared" si="69"/>
        <v>1</v>
      </c>
      <c r="K1529" s="30">
        <f t="shared" si="70"/>
        <v>1</v>
      </c>
      <c r="L1529" s="26">
        <f t="shared" si="71"/>
        <v>1</v>
      </c>
      <c r="M1529" s="26"/>
    </row>
    <row r="1530" spans="1:13" ht="15" customHeight="1">
      <c r="A1530" s="25">
        <v>1610847</v>
      </c>
      <c r="B1530" s="26" t="s">
        <v>5423</v>
      </c>
      <c r="C1530" s="26" t="s">
        <v>9166</v>
      </c>
      <c r="D1530" s="26" t="s">
        <v>9167</v>
      </c>
      <c r="E1530" s="26" t="s">
        <v>5532</v>
      </c>
      <c r="F1530" s="27">
        <v>5703845</v>
      </c>
      <c r="G1530" s="27">
        <v>0</v>
      </c>
      <c r="H1530" s="27">
        <v>0</v>
      </c>
      <c r="I1530" s="27">
        <v>0</v>
      </c>
      <c r="J1530" s="30">
        <f t="shared" si="69"/>
        <v>0</v>
      </c>
      <c r="K1530" s="30">
        <f t="shared" si="70"/>
        <v>0</v>
      </c>
      <c r="L1530" s="26">
        <f t="shared" si="71"/>
        <v>0</v>
      </c>
      <c r="M1530" s="26">
        <v>0</v>
      </c>
    </row>
    <row r="1531" spans="1:13" ht="15" customHeight="1">
      <c r="A1531" s="25">
        <v>1610864</v>
      </c>
      <c r="B1531" s="26" t="s">
        <v>5423</v>
      </c>
      <c r="C1531" s="26" t="s">
        <v>9168</v>
      </c>
      <c r="D1531" s="26" t="s">
        <v>9169</v>
      </c>
      <c r="E1531" s="26" t="s">
        <v>5488</v>
      </c>
      <c r="F1531" s="27"/>
      <c r="G1531" s="27">
        <v>0</v>
      </c>
      <c r="H1531" s="27">
        <v>0</v>
      </c>
      <c r="I1531" s="27">
        <v>0</v>
      </c>
      <c r="J1531" s="30">
        <f t="shared" si="69"/>
        <v>0</v>
      </c>
      <c r="K1531" s="30">
        <f t="shared" si="70"/>
        <v>0</v>
      </c>
      <c r="L1531" s="26">
        <f t="shared" si="71"/>
        <v>0</v>
      </c>
      <c r="M1531" s="26" t="s">
        <v>5557</v>
      </c>
    </row>
    <row r="1532" spans="1:13" ht="15" customHeight="1">
      <c r="A1532" s="25">
        <v>1610866</v>
      </c>
      <c r="B1532" s="26" t="s">
        <v>5423</v>
      </c>
      <c r="C1532" s="26" t="s">
        <v>9170</v>
      </c>
      <c r="D1532" s="26" t="s">
        <v>9171</v>
      </c>
      <c r="E1532" s="26" t="s">
        <v>5452</v>
      </c>
      <c r="F1532" s="27">
        <v>5591546</v>
      </c>
      <c r="G1532" s="27">
        <v>1</v>
      </c>
      <c r="H1532" s="27">
        <v>1</v>
      </c>
      <c r="I1532" s="27">
        <v>1</v>
      </c>
      <c r="J1532" s="30">
        <f t="shared" si="69"/>
        <v>1</v>
      </c>
      <c r="K1532" s="30">
        <f t="shared" si="70"/>
        <v>1</v>
      </c>
      <c r="L1532" s="26">
        <f t="shared" si="71"/>
        <v>1</v>
      </c>
      <c r="M1532" s="26"/>
    </row>
    <row r="1533" spans="1:13" ht="15" customHeight="1">
      <c r="A1533" s="25">
        <v>1610873</v>
      </c>
      <c r="B1533" s="26" t="s">
        <v>5423</v>
      </c>
      <c r="C1533" s="26" t="s">
        <v>9172</v>
      </c>
      <c r="D1533" s="26" t="s">
        <v>9173</v>
      </c>
      <c r="E1533" s="26" t="s">
        <v>5522</v>
      </c>
      <c r="F1533" s="27">
        <v>5705333</v>
      </c>
      <c r="G1533" s="27">
        <v>1</v>
      </c>
      <c r="H1533" s="27">
        <v>1</v>
      </c>
      <c r="I1533" s="27">
        <v>1</v>
      </c>
      <c r="J1533" s="30">
        <f t="shared" si="69"/>
        <v>1</v>
      </c>
      <c r="K1533" s="30">
        <f t="shared" si="70"/>
        <v>1</v>
      </c>
      <c r="L1533" s="26">
        <f t="shared" si="71"/>
        <v>1</v>
      </c>
      <c r="M1533" s="26"/>
    </row>
    <row r="1534" spans="1:13" ht="15" customHeight="1">
      <c r="A1534" s="25">
        <v>1611024</v>
      </c>
      <c r="B1534" s="26" t="s">
        <v>5423</v>
      </c>
      <c r="C1534" s="26" t="s">
        <v>9174</v>
      </c>
      <c r="D1534" s="26" t="s">
        <v>9175</v>
      </c>
      <c r="E1534" s="26" t="s">
        <v>5426</v>
      </c>
      <c r="F1534" s="27">
        <v>5692589</v>
      </c>
      <c r="G1534" s="27">
        <v>1</v>
      </c>
      <c r="H1534" s="27">
        <v>0</v>
      </c>
      <c r="I1534" s="27">
        <v>1</v>
      </c>
      <c r="J1534" s="30">
        <f t="shared" si="69"/>
        <v>1</v>
      </c>
      <c r="K1534" s="30">
        <f t="shared" si="70"/>
        <v>0</v>
      </c>
      <c r="L1534" s="26">
        <f t="shared" si="71"/>
        <v>0</v>
      </c>
      <c r="M1534" s="26"/>
    </row>
    <row r="1535" spans="1:13" ht="15" customHeight="1">
      <c r="A1535" s="25">
        <v>1611067</v>
      </c>
      <c r="B1535" s="26" t="s">
        <v>5423</v>
      </c>
      <c r="C1535" s="26" t="s">
        <v>9176</v>
      </c>
      <c r="D1535" s="26" t="s">
        <v>9177</v>
      </c>
      <c r="E1535" s="26" t="s">
        <v>5485</v>
      </c>
      <c r="F1535" s="27">
        <v>5705337</v>
      </c>
      <c r="G1535" s="27">
        <v>1</v>
      </c>
      <c r="H1535" s="27">
        <v>0</v>
      </c>
      <c r="I1535" s="27">
        <v>1</v>
      </c>
      <c r="J1535" s="30">
        <f t="shared" si="69"/>
        <v>1</v>
      </c>
      <c r="K1535" s="30">
        <f t="shared" si="70"/>
        <v>0</v>
      </c>
      <c r="L1535" s="26">
        <f t="shared" si="71"/>
        <v>0</v>
      </c>
      <c r="M1535" s="26"/>
    </row>
    <row r="1536" spans="1:13" ht="15" customHeight="1">
      <c r="A1536" s="25">
        <v>1611225</v>
      </c>
      <c r="B1536" s="26" t="s">
        <v>5423</v>
      </c>
      <c r="C1536" s="26" t="s">
        <v>9178</v>
      </c>
      <c r="D1536" s="26" t="s">
        <v>9179</v>
      </c>
      <c r="E1536" s="26" t="s">
        <v>5430</v>
      </c>
      <c r="F1536" s="27">
        <v>5704422</v>
      </c>
      <c r="G1536" s="27">
        <v>0</v>
      </c>
      <c r="H1536" s="27">
        <v>0</v>
      </c>
      <c r="I1536" s="27">
        <v>0</v>
      </c>
      <c r="J1536" s="30">
        <f t="shared" si="69"/>
        <v>0</v>
      </c>
      <c r="K1536" s="30">
        <f t="shared" si="70"/>
        <v>0</v>
      </c>
      <c r="L1536" s="26">
        <f t="shared" si="71"/>
        <v>0</v>
      </c>
      <c r="M1536" s="26">
        <v>0</v>
      </c>
    </row>
    <row r="1537" spans="1:13" ht="15" customHeight="1">
      <c r="A1537" s="25">
        <v>1611250</v>
      </c>
      <c r="B1537" s="26" t="s">
        <v>5423</v>
      </c>
      <c r="C1537" s="26" t="s">
        <v>9180</v>
      </c>
      <c r="D1537" s="26" t="s">
        <v>9181</v>
      </c>
      <c r="E1537" s="26" t="s">
        <v>5430</v>
      </c>
      <c r="F1537" s="27">
        <v>5705582</v>
      </c>
      <c r="G1537" s="27">
        <v>0</v>
      </c>
      <c r="H1537" s="27">
        <v>0</v>
      </c>
      <c r="I1537" s="27">
        <v>0</v>
      </c>
      <c r="J1537" s="30">
        <f t="shared" si="69"/>
        <v>0</v>
      </c>
      <c r="K1537" s="30">
        <f t="shared" si="70"/>
        <v>0</v>
      </c>
      <c r="L1537" s="26">
        <f t="shared" si="71"/>
        <v>0</v>
      </c>
      <c r="M1537" s="26">
        <v>0</v>
      </c>
    </row>
    <row r="1538" spans="1:13" ht="15" customHeight="1">
      <c r="A1538" s="25">
        <v>1611381</v>
      </c>
      <c r="B1538" s="26" t="s">
        <v>5423</v>
      </c>
      <c r="C1538" s="26" t="s">
        <v>9182</v>
      </c>
      <c r="D1538" s="26" t="s">
        <v>9183</v>
      </c>
      <c r="E1538" s="26" t="s">
        <v>5475</v>
      </c>
      <c r="F1538" s="27">
        <v>3760739</v>
      </c>
      <c r="G1538" s="27">
        <v>1</v>
      </c>
      <c r="H1538" s="27">
        <v>1</v>
      </c>
      <c r="I1538" s="27">
        <v>1</v>
      </c>
      <c r="J1538" s="30">
        <f t="shared" ref="J1538:J1601" si="72">IF(G1538&gt;0,1,0)</f>
        <v>1</v>
      </c>
      <c r="K1538" s="30">
        <f t="shared" ref="K1538:K1601" si="73">IF(H1538&gt;0,1,0)</f>
        <v>1</v>
      </c>
      <c r="L1538" s="26">
        <f t="shared" ref="L1538:L1601" si="74">IF(G1538&gt;0,IF(H1538&gt;0,1,0),0)</f>
        <v>1</v>
      </c>
      <c r="M1538" s="26"/>
    </row>
    <row r="1539" spans="1:13" ht="15" customHeight="1">
      <c r="A1539" s="25">
        <v>1611685</v>
      </c>
      <c r="B1539" s="26" t="s">
        <v>5423</v>
      </c>
      <c r="C1539" s="26" t="s">
        <v>9184</v>
      </c>
      <c r="D1539" s="26" t="s">
        <v>9185</v>
      </c>
      <c r="E1539" s="26" t="s">
        <v>5468</v>
      </c>
      <c r="F1539" s="27">
        <v>5706612</v>
      </c>
      <c r="G1539" s="27">
        <v>0</v>
      </c>
      <c r="H1539" s="27">
        <v>0</v>
      </c>
      <c r="I1539" s="27">
        <v>0</v>
      </c>
      <c r="J1539" s="30">
        <f t="shared" si="72"/>
        <v>0</v>
      </c>
      <c r="K1539" s="30">
        <f t="shared" si="73"/>
        <v>0</v>
      </c>
      <c r="L1539" s="26">
        <f t="shared" si="74"/>
        <v>0</v>
      </c>
      <c r="M1539" s="26">
        <v>0</v>
      </c>
    </row>
    <row r="1540" spans="1:13" ht="15" customHeight="1">
      <c r="A1540" s="25">
        <v>1611869</v>
      </c>
      <c r="B1540" s="26" t="s">
        <v>5423</v>
      </c>
      <c r="C1540" s="26" t="s">
        <v>9186</v>
      </c>
      <c r="D1540" s="26" t="s">
        <v>9187</v>
      </c>
      <c r="E1540" s="26" t="s">
        <v>5485</v>
      </c>
      <c r="F1540" s="27">
        <v>5037219</v>
      </c>
      <c r="G1540" s="27">
        <v>0</v>
      </c>
      <c r="H1540" s="27">
        <v>0</v>
      </c>
      <c r="I1540" s="27">
        <v>0</v>
      </c>
      <c r="J1540" s="30">
        <f t="shared" si="72"/>
        <v>0</v>
      </c>
      <c r="K1540" s="30">
        <f t="shared" si="73"/>
        <v>0</v>
      </c>
      <c r="L1540" s="26">
        <f t="shared" si="74"/>
        <v>0</v>
      </c>
      <c r="M1540" s="26" t="s">
        <v>5557</v>
      </c>
    </row>
    <row r="1541" spans="1:13" ht="15" customHeight="1">
      <c r="A1541" s="25">
        <v>1611871</v>
      </c>
      <c r="B1541" s="26" t="s">
        <v>5423</v>
      </c>
      <c r="C1541" s="26" t="s">
        <v>9188</v>
      </c>
      <c r="D1541" s="26" t="s">
        <v>9189</v>
      </c>
      <c r="E1541" s="26" t="s">
        <v>5532</v>
      </c>
      <c r="F1541" s="27">
        <v>5707357</v>
      </c>
      <c r="G1541" s="27">
        <v>0</v>
      </c>
      <c r="H1541" s="27">
        <v>1</v>
      </c>
      <c r="I1541" s="27">
        <v>1</v>
      </c>
      <c r="J1541" s="30">
        <f t="shared" si="72"/>
        <v>0</v>
      </c>
      <c r="K1541" s="30">
        <f t="shared" si="73"/>
        <v>1</v>
      </c>
      <c r="L1541" s="26">
        <f t="shared" si="74"/>
        <v>0</v>
      </c>
      <c r="M1541" s="26"/>
    </row>
    <row r="1542" spans="1:13" ht="15" customHeight="1">
      <c r="A1542" s="25">
        <v>1612061</v>
      </c>
      <c r="B1542" s="26" t="s">
        <v>5423</v>
      </c>
      <c r="C1542" s="26" t="s">
        <v>9190</v>
      </c>
      <c r="D1542" s="26" t="s">
        <v>9191</v>
      </c>
      <c r="E1542" s="26" t="s">
        <v>5763</v>
      </c>
      <c r="F1542" s="27">
        <v>5684024</v>
      </c>
      <c r="G1542" s="27">
        <v>1</v>
      </c>
      <c r="H1542" s="27">
        <v>1</v>
      </c>
      <c r="I1542" s="27">
        <v>1</v>
      </c>
      <c r="J1542" s="30">
        <f t="shared" si="72"/>
        <v>1</v>
      </c>
      <c r="K1542" s="30">
        <f t="shared" si="73"/>
        <v>1</v>
      </c>
      <c r="L1542" s="26">
        <f t="shared" si="74"/>
        <v>1</v>
      </c>
      <c r="M1542" s="26"/>
    </row>
    <row r="1543" spans="1:13" ht="15" customHeight="1">
      <c r="A1543" s="25">
        <v>1612181</v>
      </c>
      <c r="B1543" s="26" t="s">
        <v>5427</v>
      </c>
      <c r="C1543" s="26" t="s">
        <v>9192</v>
      </c>
      <c r="D1543" s="26" t="s">
        <v>9193</v>
      </c>
      <c r="E1543" s="26" t="s">
        <v>5488</v>
      </c>
      <c r="F1543" s="27">
        <v>5234802</v>
      </c>
      <c r="G1543" s="27">
        <v>0</v>
      </c>
      <c r="H1543" s="27">
        <v>0</v>
      </c>
      <c r="I1543" s="27">
        <v>0</v>
      </c>
      <c r="J1543" s="30">
        <f t="shared" si="72"/>
        <v>0</v>
      </c>
      <c r="K1543" s="30">
        <f t="shared" si="73"/>
        <v>0</v>
      </c>
      <c r="L1543" s="26">
        <f t="shared" si="74"/>
        <v>0</v>
      </c>
      <c r="M1543" s="26" t="s">
        <v>5557</v>
      </c>
    </row>
    <row r="1544" spans="1:13" ht="15" customHeight="1">
      <c r="A1544" s="25">
        <v>1612598</v>
      </c>
      <c r="B1544" s="26" t="s">
        <v>5423</v>
      </c>
      <c r="C1544" s="26" t="s">
        <v>9194</v>
      </c>
      <c r="D1544" s="26" t="s">
        <v>9195</v>
      </c>
      <c r="E1544" s="26" t="s">
        <v>5491</v>
      </c>
      <c r="F1544" s="27">
        <v>6069730</v>
      </c>
      <c r="G1544" s="27">
        <v>0</v>
      </c>
      <c r="H1544" s="27">
        <v>0</v>
      </c>
      <c r="I1544" s="27">
        <v>0</v>
      </c>
      <c r="J1544" s="30">
        <f t="shared" si="72"/>
        <v>0</v>
      </c>
      <c r="K1544" s="30">
        <f t="shared" si="73"/>
        <v>0</v>
      </c>
      <c r="L1544" s="26">
        <f t="shared" si="74"/>
        <v>0</v>
      </c>
      <c r="M1544" s="26">
        <v>0</v>
      </c>
    </row>
    <row r="1545" spans="1:13" ht="15" customHeight="1">
      <c r="A1545" s="25">
        <v>1613182</v>
      </c>
      <c r="B1545" s="26" t="s">
        <v>5423</v>
      </c>
      <c r="C1545" s="26" t="s">
        <v>9196</v>
      </c>
      <c r="D1545" s="26" t="s">
        <v>9197</v>
      </c>
      <c r="E1545" s="26" t="s">
        <v>5452</v>
      </c>
      <c r="F1545" s="27">
        <v>5699238</v>
      </c>
      <c r="G1545" s="27">
        <v>1</v>
      </c>
      <c r="H1545" s="27">
        <v>0</v>
      </c>
      <c r="I1545" s="27">
        <v>1</v>
      </c>
      <c r="J1545" s="30">
        <f t="shared" si="72"/>
        <v>1</v>
      </c>
      <c r="K1545" s="30">
        <f t="shared" si="73"/>
        <v>0</v>
      </c>
      <c r="L1545" s="26">
        <f t="shared" si="74"/>
        <v>0</v>
      </c>
      <c r="M1545" s="26"/>
    </row>
    <row r="1546" spans="1:13" ht="15" customHeight="1">
      <c r="A1546" s="25">
        <v>1613548</v>
      </c>
      <c r="B1546" s="26" t="s">
        <v>5423</v>
      </c>
      <c r="C1546" s="26" t="s">
        <v>9198</v>
      </c>
      <c r="D1546" s="26" t="s">
        <v>9199</v>
      </c>
      <c r="E1546" s="26" t="s">
        <v>5968</v>
      </c>
      <c r="F1546" s="27">
        <v>5713158</v>
      </c>
      <c r="G1546" s="27">
        <v>0</v>
      </c>
      <c r="H1546" s="27">
        <v>0</v>
      </c>
      <c r="I1546" s="27">
        <v>0</v>
      </c>
      <c r="J1546" s="30">
        <f t="shared" si="72"/>
        <v>0</v>
      </c>
      <c r="K1546" s="30">
        <f t="shared" si="73"/>
        <v>0</v>
      </c>
      <c r="L1546" s="26">
        <f t="shared" si="74"/>
        <v>0</v>
      </c>
      <c r="M1546" s="26">
        <v>0</v>
      </c>
    </row>
    <row r="1547" spans="1:13" ht="15" customHeight="1">
      <c r="A1547" s="25" t="s">
        <v>9200</v>
      </c>
      <c r="B1547" s="26" t="s">
        <v>5427</v>
      </c>
      <c r="C1547" s="26" t="s">
        <v>9201</v>
      </c>
      <c r="D1547" s="26" t="s">
        <v>9202</v>
      </c>
      <c r="E1547" s="26" t="s">
        <v>5545</v>
      </c>
      <c r="F1547" s="27">
        <v>5135806</v>
      </c>
      <c r="G1547" s="27">
        <v>1</v>
      </c>
      <c r="H1547" s="27">
        <v>0</v>
      </c>
      <c r="I1547" s="27">
        <v>1</v>
      </c>
      <c r="J1547" s="30">
        <f t="shared" si="72"/>
        <v>1</v>
      </c>
      <c r="K1547" s="30">
        <f t="shared" si="73"/>
        <v>0</v>
      </c>
      <c r="L1547" s="26">
        <f t="shared" si="74"/>
        <v>0</v>
      </c>
      <c r="M1547" s="26"/>
    </row>
    <row r="1548" spans="1:13" ht="15" customHeight="1">
      <c r="A1548" s="25">
        <v>1613705</v>
      </c>
      <c r="B1548" s="26" t="s">
        <v>5423</v>
      </c>
      <c r="C1548" s="26" t="s">
        <v>9203</v>
      </c>
      <c r="D1548" s="26" t="s">
        <v>9204</v>
      </c>
      <c r="E1548" s="26" t="s">
        <v>5463</v>
      </c>
      <c r="F1548" s="27">
        <v>5713322</v>
      </c>
      <c r="G1548" s="27">
        <v>1</v>
      </c>
      <c r="H1548" s="27">
        <v>0</v>
      </c>
      <c r="I1548" s="27">
        <v>1</v>
      </c>
      <c r="J1548" s="30">
        <f t="shared" si="72"/>
        <v>1</v>
      </c>
      <c r="K1548" s="30">
        <f t="shared" si="73"/>
        <v>0</v>
      </c>
      <c r="L1548" s="26">
        <f t="shared" si="74"/>
        <v>0</v>
      </c>
      <c r="M1548" s="26"/>
    </row>
    <row r="1549" spans="1:13" ht="15" customHeight="1">
      <c r="A1549" s="25">
        <v>1613739</v>
      </c>
      <c r="B1549" s="26" t="s">
        <v>5423</v>
      </c>
      <c r="C1549" s="26" t="s">
        <v>9205</v>
      </c>
      <c r="D1549" s="26" t="s">
        <v>9206</v>
      </c>
      <c r="E1549" s="26" t="s">
        <v>5610</v>
      </c>
      <c r="F1549" s="27">
        <v>5535324</v>
      </c>
      <c r="G1549" s="27">
        <v>1</v>
      </c>
      <c r="H1549" s="27">
        <v>1</v>
      </c>
      <c r="I1549" s="27">
        <v>1</v>
      </c>
      <c r="J1549" s="30">
        <f t="shared" si="72"/>
        <v>1</v>
      </c>
      <c r="K1549" s="30">
        <f t="shared" si="73"/>
        <v>1</v>
      </c>
      <c r="L1549" s="26">
        <f t="shared" si="74"/>
        <v>1</v>
      </c>
      <c r="M1549" s="26"/>
    </row>
    <row r="1550" spans="1:13" ht="15" customHeight="1">
      <c r="A1550" s="25">
        <v>1613777</v>
      </c>
      <c r="B1550" s="26" t="s">
        <v>5423</v>
      </c>
      <c r="C1550" s="26" t="s">
        <v>9207</v>
      </c>
      <c r="D1550" s="26" t="s">
        <v>9208</v>
      </c>
      <c r="E1550" s="26" t="s">
        <v>5517</v>
      </c>
      <c r="F1550" s="27">
        <v>5714668</v>
      </c>
      <c r="G1550" s="27">
        <v>1</v>
      </c>
      <c r="H1550" s="27">
        <v>1</v>
      </c>
      <c r="I1550" s="27">
        <v>1</v>
      </c>
      <c r="J1550" s="30">
        <f t="shared" si="72"/>
        <v>1</v>
      </c>
      <c r="K1550" s="30">
        <f t="shared" si="73"/>
        <v>1</v>
      </c>
      <c r="L1550" s="26">
        <f t="shared" si="74"/>
        <v>1</v>
      </c>
      <c r="M1550" s="26"/>
    </row>
    <row r="1551" spans="1:13" ht="15" customHeight="1">
      <c r="A1551" s="25">
        <v>1614114</v>
      </c>
      <c r="B1551" s="26" t="s">
        <v>5423</v>
      </c>
      <c r="C1551" s="26" t="s">
        <v>9209</v>
      </c>
      <c r="D1551" s="26" t="s">
        <v>9210</v>
      </c>
      <c r="E1551" s="26" t="s">
        <v>5683</v>
      </c>
      <c r="F1551" s="27">
        <v>5103199</v>
      </c>
      <c r="G1551" s="27">
        <v>0</v>
      </c>
      <c r="H1551" s="27">
        <v>0</v>
      </c>
      <c r="I1551" s="27">
        <v>0</v>
      </c>
      <c r="J1551" s="30">
        <f t="shared" si="72"/>
        <v>0</v>
      </c>
      <c r="K1551" s="30">
        <f t="shared" si="73"/>
        <v>0</v>
      </c>
      <c r="L1551" s="26">
        <f t="shared" si="74"/>
        <v>0</v>
      </c>
      <c r="M1551" s="26" t="s">
        <v>5557</v>
      </c>
    </row>
    <row r="1552" spans="1:13" ht="15" customHeight="1">
      <c r="A1552" s="25">
        <v>1614276</v>
      </c>
      <c r="B1552" s="26" t="s">
        <v>5423</v>
      </c>
      <c r="C1552" s="26" t="s">
        <v>9211</v>
      </c>
      <c r="D1552" s="26" t="s">
        <v>9212</v>
      </c>
      <c r="E1552" s="26" t="s">
        <v>5683</v>
      </c>
      <c r="F1552" s="27">
        <v>5696430</v>
      </c>
      <c r="G1552" s="27">
        <v>0</v>
      </c>
      <c r="H1552" s="27">
        <v>0</v>
      </c>
      <c r="I1552" s="27">
        <v>0</v>
      </c>
      <c r="J1552" s="30">
        <f t="shared" si="72"/>
        <v>0</v>
      </c>
      <c r="K1552" s="30">
        <f t="shared" si="73"/>
        <v>0</v>
      </c>
      <c r="L1552" s="26">
        <f t="shared" si="74"/>
        <v>0</v>
      </c>
      <c r="M1552" s="26"/>
    </row>
    <row r="1553" spans="1:13" ht="15" customHeight="1">
      <c r="A1553" s="25">
        <v>1614385</v>
      </c>
      <c r="B1553" s="26" t="s">
        <v>5423</v>
      </c>
      <c r="C1553" s="26" t="s">
        <v>9213</v>
      </c>
      <c r="D1553" s="26" t="s">
        <v>9214</v>
      </c>
      <c r="E1553" s="26" t="s">
        <v>5507</v>
      </c>
      <c r="F1553" s="27"/>
      <c r="G1553" s="27">
        <v>0</v>
      </c>
      <c r="H1553" s="27">
        <v>0</v>
      </c>
      <c r="I1553" s="27">
        <v>0</v>
      </c>
      <c r="J1553" s="30">
        <f t="shared" si="72"/>
        <v>0</v>
      </c>
      <c r="K1553" s="30">
        <f t="shared" si="73"/>
        <v>0</v>
      </c>
      <c r="L1553" s="26">
        <f t="shared" si="74"/>
        <v>0</v>
      </c>
      <c r="M1553" s="26" t="s">
        <v>9215</v>
      </c>
    </row>
    <row r="1554" spans="1:13" ht="15" customHeight="1">
      <c r="A1554" s="25">
        <v>1614713</v>
      </c>
      <c r="B1554" s="26" t="s">
        <v>5423</v>
      </c>
      <c r="C1554" s="26" t="s">
        <v>9216</v>
      </c>
      <c r="D1554" s="26" t="s">
        <v>9217</v>
      </c>
      <c r="E1554" s="26" t="s">
        <v>5426</v>
      </c>
      <c r="F1554" s="27">
        <v>5717189</v>
      </c>
      <c r="G1554" s="27">
        <v>0</v>
      </c>
      <c r="H1554" s="27">
        <v>0</v>
      </c>
      <c r="I1554" s="27">
        <v>0</v>
      </c>
      <c r="J1554" s="30">
        <f t="shared" si="72"/>
        <v>0</v>
      </c>
      <c r="K1554" s="30">
        <f t="shared" si="73"/>
        <v>0</v>
      </c>
      <c r="L1554" s="26">
        <f t="shared" si="74"/>
        <v>0</v>
      </c>
      <c r="M1554" s="26">
        <v>0</v>
      </c>
    </row>
    <row r="1555" spans="1:13" ht="15" customHeight="1">
      <c r="A1555" s="25">
        <v>1614874</v>
      </c>
      <c r="B1555" s="26" t="s">
        <v>5423</v>
      </c>
      <c r="C1555" s="26" t="s">
        <v>9218</v>
      </c>
      <c r="D1555" s="26" t="s">
        <v>9219</v>
      </c>
      <c r="E1555" s="26" t="s">
        <v>5488</v>
      </c>
      <c r="F1555" s="27">
        <v>5137395</v>
      </c>
      <c r="G1555" s="27">
        <v>0</v>
      </c>
      <c r="H1555" s="27">
        <v>0</v>
      </c>
      <c r="I1555" s="27">
        <v>0</v>
      </c>
      <c r="J1555" s="30">
        <f t="shared" si="72"/>
        <v>0</v>
      </c>
      <c r="K1555" s="30">
        <f t="shared" si="73"/>
        <v>0</v>
      </c>
      <c r="L1555" s="26">
        <f t="shared" si="74"/>
        <v>0</v>
      </c>
      <c r="M1555" s="26" t="s">
        <v>5557</v>
      </c>
    </row>
    <row r="1556" spans="1:13" ht="15" customHeight="1">
      <c r="A1556" s="25">
        <v>1614927</v>
      </c>
      <c r="B1556" s="26" t="s">
        <v>5423</v>
      </c>
      <c r="C1556" s="26" t="s">
        <v>9220</v>
      </c>
      <c r="D1556" s="26" t="s">
        <v>9221</v>
      </c>
      <c r="E1556" s="26" t="s">
        <v>5535</v>
      </c>
      <c r="F1556" s="27">
        <v>5436048</v>
      </c>
      <c r="G1556" s="27">
        <v>0</v>
      </c>
      <c r="H1556" s="27">
        <v>0</v>
      </c>
      <c r="I1556" s="27">
        <v>0</v>
      </c>
      <c r="J1556" s="30">
        <f t="shared" si="72"/>
        <v>0</v>
      </c>
      <c r="K1556" s="30">
        <f t="shared" si="73"/>
        <v>0</v>
      </c>
      <c r="L1556" s="26">
        <f t="shared" si="74"/>
        <v>0</v>
      </c>
      <c r="M1556" s="26" t="s">
        <v>5567</v>
      </c>
    </row>
    <row r="1557" spans="1:13" ht="15" customHeight="1">
      <c r="A1557" s="25">
        <v>1616126</v>
      </c>
      <c r="B1557" s="26" t="s">
        <v>5423</v>
      </c>
      <c r="C1557" s="26" t="s">
        <v>9222</v>
      </c>
      <c r="D1557" s="26" t="s">
        <v>9223</v>
      </c>
      <c r="E1557" s="26" t="s">
        <v>5586</v>
      </c>
      <c r="F1557" s="27">
        <v>5721569</v>
      </c>
      <c r="G1557" s="27">
        <v>0</v>
      </c>
      <c r="H1557" s="27">
        <v>1</v>
      </c>
      <c r="I1557" s="27">
        <v>1</v>
      </c>
      <c r="J1557" s="30">
        <f t="shared" si="72"/>
        <v>0</v>
      </c>
      <c r="K1557" s="30">
        <f t="shared" si="73"/>
        <v>1</v>
      </c>
      <c r="L1557" s="26">
        <f t="shared" si="74"/>
        <v>0</v>
      </c>
      <c r="M1557" s="26"/>
    </row>
    <row r="1558" spans="1:13" ht="15" customHeight="1">
      <c r="A1558" s="25">
        <v>1616131</v>
      </c>
      <c r="B1558" s="26" t="s">
        <v>5427</v>
      </c>
      <c r="C1558" s="26" t="s">
        <v>9224</v>
      </c>
      <c r="D1558" s="26" t="s">
        <v>9225</v>
      </c>
      <c r="E1558" s="26" t="s">
        <v>5532</v>
      </c>
      <c r="F1558" s="27">
        <v>4977541</v>
      </c>
      <c r="G1558" s="27">
        <v>0</v>
      </c>
      <c r="H1558" s="27">
        <v>0</v>
      </c>
      <c r="I1558" s="27">
        <v>0</v>
      </c>
      <c r="J1558" s="30">
        <f t="shared" si="72"/>
        <v>0</v>
      </c>
      <c r="K1558" s="30">
        <f t="shared" si="73"/>
        <v>0</v>
      </c>
      <c r="L1558" s="26">
        <f t="shared" si="74"/>
        <v>0</v>
      </c>
      <c r="M1558" s="26" t="s">
        <v>5557</v>
      </c>
    </row>
    <row r="1559" spans="1:13" ht="15" customHeight="1">
      <c r="A1559" s="25">
        <v>1616652</v>
      </c>
      <c r="B1559" s="26" t="s">
        <v>5423</v>
      </c>
      <c r="C1559" s="26" t="s">
        <v>9226</v>
      </c>
      <c r="D1559" s="26" t="s">
        <v>9227</v>
      </c>
      <c r="E1559" s="26" t="s">
        <v>5468</v>
      </c>
      <c r="F1559" s="27">
        <v>5555783</v>
      </c>
      <c r="G1559" s="27">
        <v>1</v>
      </c>
      <c r="H1559" s="27">
        <v>0</v>
      </c>
      <c r="I1559" s="27">
        <v>1</v>
      </c>
      <c r="J1559" s="30">
        <f t="shared" si="72"/>
        <v>1</v>
      </c>
      <c r="K1559" s="30">
        <f t="shared" si="73"/>
        <v>0</v>
      </c>
      <c r="L1559" s="26">
        <f t="shared" si="74"/>
        <v>0</v>
      </c>
      <c r="M1559" s="26"/>
    </row>
    <row r="1560" spans="1:13" ht="15" customHeight="1">
      <c r="A1560" s="25">
        <v>1616670</v>
      </c>
      <c r="B1560" s="26" t="s">
        <v>5427</v>
      </c>
      <c r="C1560" s="26" t="s">
        <v>9228</v>
      </c>
      <c r="D1560" s="26" t="s">
        <v>9229</v>
      </c>
      <c r="E1560" s="26" t="s">
        <v>5763</v>
      </c>
      <c r="F1560" s="27">
        <v>5714972</v>
      </c>
      <c r="G1560" s="27">
        <v>1</v>
      </c>
      <c r="H1560" s="27">
        <v>0</v>
      </c>
      <c r="I1560" s="27">
        <v>1</v>
      </c>
      <c r="J1560" s="30">
        <f t="shared" si="72"/>
        <v>1</v>
      </c>
      <c r="K1560" s="30">
        <f t="shared" si="73"/>
        <v>0</v>
      </c>
      <c r="L1560" s="26">
        <f t="shared" si="74"/>
        <v>0</v>
      </c>
      <c r="M1560" s="26"/>
    </row>
    <row r="1561" spans="1:13" ht="15" customHeight="1">
      <c r="A1561" s="25">
        <v>1617442</v>
      </c>
      <c r="B1561" s="26" t="s">
        <v>5423</v>
      </c>
      <c r="C1561" s="26" t="s">
        <v>9230</v>
      </c>
      <c r="D1561" s="26" t="s">
        <v>9231</v>
      </c>
      <c r="E1561" s="26" t="s">
        <v>5442</v>
      </c>
      <c r="F1561" s="27">
        <v>5725896</v>
      </c>
      <c r="G1561" s="27">
        <v>0</v>
      </c>
      <c r="H1561" s="27">
        <v>0</v>
      </c>
      <c r="I1561" s="27">
        <v>0</v>
      </c>
      <c r="J1561" s="30">
        <f t="shared" si="72"/>
        <v>0</v>
      </c>
      <c r="K1561" s="30">
        <f t="shared" si="73"/>
        <v>0</v>
      </c>
      <c r="L1561" s="26">
        <f t="shared" si="74"/>
        <v>0</v>
      </c>
      <c r="M1561" s="26">
        <v>0</v>
      </c>
    </row>
    <row r="1562" spans="1:13" ht="15" customHeight="1">
      <c r="A1562" s="25">
        <v>1617475</v>
      </c>
      <c r="B1562" s="26" t="s">
        <v>5423</v>
      </c>
      <c r="C1562" s="26" t="s">
        <v>9232</v>
      </c>
      <c r="D1562" s="26" t="s">
        <v>9233</v>
      </c>
      <c r="E1562" s="26" t="s">
        <v>5586</v>
      </c>
      <c r="F1562" s="27">
        <v>5069530</v>
      </c>
      <c r="G1562" s="27">
        <v>0</v>
      </c>
      <c r="H1562" s="27">
        <v>0</v>
      </c>
      <c r="I1562" s="27">
        <v>0</v>
      </c>
      <c r="J1562" s="30">
        <f t="shared" si="72"/>
        <v>0</v>
      </c>
      <c r="K1562" s="30">
        <f t="shared" si="73"/>
        <v>0</v>
      </c>
      <c r="L1562" s="26">
        <f t="shared" si="74"/>
        <v>0</v>
      </c>
      <c r="M1562" s="26" t="s">
        <v>5557</v>
      </c>
    </row>
    <row r="1563" spans="1:13" ht="15" customHeight="1">
      <c r="A1563" s="25">
        <v>1617529</v>
      </c>
      <c r="B1563" s="26" t="s">
        <v>5423</v>
      </c>
      <c r="C1563" s="26" t="s">
        <v>9234</v>
      </c>
      <c r="D1563" s="26" t="s">
        <v>9235</v>
      </c>
      <c r="E1563" s="26" t="s">
        <v>5433</v>
      </c>
      <c r="F1563" s="27">
        <v>5726254</v>
      </c>
      <c r="G1563" s="27">
        <v>0</v>
      </c>
      <c r="H1563" s="27">
        <v>0</v>
      </c>
      <c r="I1563" s="27">
        <v>0</v>
      </c>
      <c r="J1563" s="30">
        <f t="shared" si="72"/>
        <v>0</v>
      </c>
      <c r="K1563" s="30">
        <f t="shared" si="73"/>
        <v>0</v>
      </c>
      <c r="L1563" s="26">
        <f t="shared" si="74"/>
        <v>0</v>
      </c>
      <c r="M1563" s="26">
        <v>0</v>
      </c>
    </row>
    <row r="1564" spans="1:13" ht="15" customHeight="1">
      <c r="A1564" s="25">
        <v>1617605</v>
      </c>
      <c r="B1564" s="26" t="s">
        <v>5427</v>
      </c>
      <c r="C1564" s="26" t="s">
        <v>9236</v>
      </c>
      <c r="D1564" s="26" t="s">
        <v>9237</v>
      </c>
      <c r="E1564" s="26" t="s">
        <v>5485</v>
      </c>
      <c r="F1564" s="27">
        <v>5724814</v>
      </c>
      <c r="G1564" s="27">
        <v>0</v>
      </c>
      <c r="H1564" s="27">
        <v>0</v>
      </c>
      <c r="I1564" s="27">
        <v>0</v>
      </c>
      <c r="J1564" s="30">
        <f t="shared" si="72"/>
        <v>0</v>
      </c>
      <c r="K1564" s="30">
        <f t="shared" si="73"/>
        <v>0</v>
      </c>
      <c r="L1564" s="26">
        <f t="shared" si="74"/>
        <v>0</v>
      </c>
      <c r="M1564" s="26">
        <v>0</v>
      </c>
    </row>
    <row r="1565" spans="1:13" ht="15" customHeight="1">
      <c r="A1565" s="25">
        <v>1617750</v>
      </c>
      <c r="B1565" s="26" t="s">
        <v>5427</v>
      </c>
      <c r="C1565" s="26" t="s">
        <v>9238</v>
      </c>
      <c r="D1565" s="26" t="s">
        <v>9239</v>
      </c>
      <c r="E1565" s="26" t="s">
        <v>5504</v>
      </c>
      <c r="F1565" s="27">
        <v>5712197</v>
      </c>
      <c r="G1565" s="27">
        <v>0</v>
      </c>
      <c r="H1565" s="27">
        <v>0</v>
      </c>
      <c r="I1565" s="27">
        <v>0</v>
      </c>
      <c r="J1565" s="30">
        <f t="shared" si="72"/>
        <v>0</v>
      </c>
      <c r="K1565" s="30">
        <f t="shared" si="73"/>
        <v>0</v>
      </c>
      <c r="L1565" s="26">
        <f t="shared" si="74"/>
        <v>0</v>
      </c>
      <c r="M1565" s="26">
        <v>0</v>
      </c>
    </row>
    <row r="1566" spans="1:13" ht="15" customHeight="1">
      <c r="A1566" s="25">
        <v>1617803</v>
      </c>
      <c r="B1566" s="26" t="s">
        <v>5423</v>
      </c>
      <c r="C1566" s="26" t="s">
        <v>9240</v>
      </c>
      <c r="D1566" s="26" t="s">
        <v>9241</v>
      </c>
      <c r="E1566" s="26" t="s">
        <v>5532</v>
      </c>
      <c r="F1566" s="27">
        <v>5713482</v>
      </c>
      <c r="G1566" s="27">
        <v>1</v>
      </c>
      <c r="H1566" s="27">
        <v>0</v>
      </c>
      <c r="I1566" s="27">
        <v>1</v>
      </c>
      <c r="J1566" s="30">
        <f t="shared" si="72"/>
        <v>1</v>
      </c>
      <c r="K1566" s="30">
        <f t="shared" si="73"/>
        <v>0</v>
      </c>
      <c r="L1566" s="26">
        <f t="shared" si="74"/>
        <v>0</v>
      </c>
      <c r="M1566" s="26"/>
    </row>
    <row r="1567" spans="1:13" ht="15" customHeight="1">
      <c r="A1567" s="25">
        <v>1617964</v>
      </c>
      <c r="B1567" s="26" t="s">
        <v>5427</v>
      </c>
      <c r="C1567" s="26" t="s">
        <v>9242</v>
      </c>
      <c r="D1567" s="26" t="s">
        <v>9243</v>
      </c>
      <c r="E1567" s="26" t="s">
        <v>5485</v>
      </c>
      <c r="F1567" s="27">
        <v>5685610</v>
      </c>
      <c r="G1567" s="27">
        <v>1</v>
      </c>
      <c r="H1567" s="27">
        <v>0</v>
      </c>
      <c r="I1567" s="27">
        <v>1</v>
      </c>
      <c r="J1567" s="30">
        <f t="shared" si="72"/>
        <v>1</v>
      </c>
      <c r="K1567" s="30">
        <f t="shared" si="73"/>
        <v>0</v>
      </c>
      <c r="L1567" s="26">
        <f t="shared" si="74"/>
        <v>0</v>
      </c>
      <c r="M1567" s="26"/>
    </row>
    <row r="1568" spans="1:13" ht="15" customHeight="1">
      <c r="A1568" s="25">
        <v>1617988</v>
      </c>
      <c r="B1568" s="26" t="s">
        <v>5423</v>
      </c>
      <c r="C1568" s="26" t="s">
        <v>9244</v>
      </c>
      <c r="D1568" s="26" t="s">
        <v>9245</v>
      </c>
      <c r="E1568" s="26" t="s">
        <v>5504</v>
      </c>
      <c r="F1568" s="27">
        <v>5709311</v>
      </c>
      <c r="G1568" s="27">
        <v>1</v>
      </c>
      <c r="H1568" s="27">
        <v>0</v>
      </c>
      <c r="I1568" s="27">
        <v>1</v>
      </c>
      <c r="J1568" s="30">
        <f t="shared" si="72"/>
        <v>1</v>
      </c>
      <c r="K1568" s="30">
        <f t="shared" si="73"/>
        <v>0</v>
      </c>
      <c r="L1568" s="26">
        <f t="shared" si="74"/>
        <v>0</v>
      </c>
      <c r="M1568" s="26"/>
    </row>
    <row r="1569" spans="1:13" ht="15" customHeight="1">
      <c r="A1569" s="25">
        <v>1618015</v>
      </c>
      <c r="B1569" s="26" t="s">
        <v>5427</v>
      </c>
      <c r="C1569" s="26" t="s">
        <v>9246</v>
      </c>
      <c r="D1569" s="26" t="s">
        <v>9247</v>
      </c>
      <c r="E1569" s="26" t="s">
        <v>5540</v>
      </c>
      <c r="F1569" s="27">
        <v>5566391</v>
      </c>
      <c r="G1569" s="27">
        <v>1</v>
      </c>
      <c r="H1569" s="27">
        <v>0</v>
      </c>
      <c r="I1569" s="27">
        <v>1</v>
      </c>
      <c r="J1569" s="30">
        <f t="shared" si="72"/>
        <v>1</v>
      </c>
      <c r="K1569" s="30">
        <f t="shared" si="73"/>
        <v>0</v>
      </c>
      <c r="L1569" s="26">
        <f t="shared" si="74"/>
        <v>0</v>
      </c>
      <c r="M1569" s="26"/>
    </row>
    <row r="1570" spans="1:13" ht="15" customHeight="1">
      <c r="A1570" s="25">
        <v>1618615</v>
      </c>
      <c r="B1570" s="26" t="s">
        <v>5427</v>
      </c>
      <c r="C1570" s="26" t="s">
        <v>9248</v>
      </c>
      <c r="D1570" s="26" t="s">
        <v>9249</v>
      </c>
      <c r="E1570" s="26" t="s">
        <v>5683</v>
      </c>
      <c r="F1570" s="27">
        <v>5729906</v>
      </c>
      <c r="G1570" s="27">
        <v>0</v>
      </c>
      <c r="H1570" s="27">
        <v>0</v>
      </c>
      <c r="I1570" s="27">
        <v>0</v>
      </c>
      <c r="J1570" s="30">
        <f t="shared" si="72"/>
        <v>0</v>
      </c>
      <c r="K1570" s="30">
        <f t="shared" si="73"/>
        <v>0</v>
      </c>
      <c r="L1570" s="26">
        <f t="shared" si="74"/>
        <v>0</v>
      </c>
      <c r="M1570" s="26">
        <v>0</v>
      </c>
    </row>
    <row r="1571" spans="1:13" ht="15" customHeight="1">
      <c r="A1571" s="25">
        <v>1618661</v>
      </c>
      <c r="B1571" s="26" t="s">
        <v>5423</v>
      </c>
      <c r="C1571" s="26" t="s">
        <v>9250</v>
      </c>
      <c r="D1571" s="26" t="s">
        <v>9251</v>
      </c>
      <c r="E1571" s="26" t="s">
        <v>5433</v>
      </c>
      <c r="F1571" s="27">
        <v>5729792</v>
      </c>
      <c r="G1571" s="27">
        <v>0</v>
      </c>
      <c r="H1571" s="27">
        <v>1</v>
      </c>
      <c r="I1571" s="27">
        <v>1</v>
      </c>
      <c r="J1571" s="30">
        <f t="shared" si="72"/>
        <v>0</v>
      </c>
      <c r="K1571" s="30">
        <f t="shared" si="73"/>
        <v>1</v>
      </c>
      <c r="L1571" s="26">
        <f t="shared" si="74"/>
        <v>0</v>
      </c>
      <c r="M1571" s="26"/>
    </row>
    <row r="1572" spans="1:13" ht="15" customHeight="1">
      <c r="A1572" s="25">
        <v>1618673</v>
      </c>
      <c r="B1572" s="26" t="s">
        <v>5423</v>
      </c>
      <c r="C1572" s="26" t="s">
        <v>9252</v>
      </c>
      <c r="D1572" s="26" t="s">
        <v>9253</v>
      </c>
      <c r="E1572" s="26" t="s">
        <v>5455</v>
      </c>
      <c r="F1572" s="27"/>
      <c r="G1572" s="27">
        <v>0</v>
      </c>
      <c r="H1572" s="27">
        <v>0</v>
      </c>
      <c r="I1572" s="27">
        <v>0</v>
      </c>
      <c r="J1572" s="30">
        <f t="shared" si="72"/>
        <v>0</v>
      </c>
      <c r="K1572" s="30">
        <f t="shared" si="73"/>
        <v>0</v>
      </c>
      <c r="L1572" s="26">
        <f t="shared" si="74"/>
        <v>0</v>
      </c>
      <c r="M1572" s="26" t="s">
        <v>5557</v>
      </c>
    </row>
    <row r="1573" spans="1:13" ht="15" customHeight="1">
      <c r="A1573" s="25">
        <v>1619012</v>
      </c>
      <c r="B1573" s="26" t="s">
        <v>5423</v>
      </c>
      <c r="C1573" s="26" t="s">
        <v>9254</v>
      </c>
      <c r="D1573" s="26" t="s">
        <v>9255</v>
      </c>
      <c r="E1573" s="26" t="s">
        <v>5532</v>
      </c>
      <c r="F1573" s="27">
        <v>5731795</v>
      </c>
      <c r="G1573" s="27">
        <v>0</v>
      </c>
      <c r="H1573" s="27">
        <v>0</v>
      </c>
      <c r="I1573" s="27">
        <v>0</v>
      </c>
      <c r="J1573" s="30">
        <f t="shared" si="72"/>
        <v>0</v>
      </c>
      <c r="K1573" s="30">
        <f t="shared" si="73"/>
        <v>0</v>
      </c>
      <c r="L1573" s="26">
        <f t="shared" si="74"/>
        <v>0</v>
      </c>
      <c r="M1573" s="26" t="s">
        <v>5567</v>
      </c>
    </row>
    <row r="1574" spans="1:13" ht="15" customHeight="1">
      <c r="A1574" s="25">
        <v>1619014</v>
      </c>
      <c r="B1574" s="26" t="s">
        <v>5423</v>
      </c>
      <c r="C1574" s="26" t="s">
        <v>9256</v>
      </c>
      <c r="D1574" s="26" t="s">
        <v>9257</v>
      </c>
      <c r="E1574" s="26" t="s">
        <v>5430</v>
      </c>
      <c r="F1574" s="27">
        <v>5731434</v>
      </c>
      <c r="G1574" s="27">
        <v>0</v>
      </c>
      <c r="H1574" s="27">
        <v>0</v>
      </c>
      <c r="I1574" s="27">
        <v>0</v>
      </c>
      <c r="J1574" s="30">
        <f t="shared" si="72"/>
        <v>0</v>
      </c>
      <c r="K1574" s="30">
        <f t="shared" si="73"/>
        <v>0</v>
      </c>
      <c r="L1574" s="26">
        <f t="shared" si="74"/>
        <v>0</v>
      </c>
      <c r="M1574" s="26" t="s">
        <v>5567</v>
      </c>
    </row>
    <row r="1575" spans="1:13" ht="15" customHeight="1">
      <c r="A1575" s="25">
        <v>1619048</v>
      </c>
      <c r="B1575" s="26" t="s">
        <v>5423</v>
      </c>
      <c r="C1575" s="26" t="s">
        <v>9258</v>
      </c>
      <c r="D1575" s="26" t="s">
        <v>9259</v>
      </c>
      <c r="E1575" s="26" t="s">
        <v>5452</v>
      </c>
      <c r="F1575" s="27">
        <v>5729918</v>
      </c>
      <c r="G1575" s="27">
        <v>1</v>
      </c>
      <c r="H1575" s="27">
        <v>1</v>
      </c>
      <c r="I1575" s="27">
        <v>1</v>
      </c>
      <c r="J1575" s="30">
        <f t="shared" si="72"/>
        <v>1</v>
      </c>
      <c r="K1575" s="30">
        <f t="shared" si="73"/>
        <v>1</v>
      </c>
      <c r="L1575" s="26">
        <f t="shared" si="74"/>
        <v>1</v>
      </c>
      <c r="M1575" s="26"/>
    </row>
    <row r="1576" spans="1:13" ht="15" customHeight="1">
      <c r="A1576" s="25">
        <v>1619050</v>
      </c>
      <c r="B1576" s="26" t="s">
        <v>5423</v>
      </c>
      <c r="C1576" s="26" t="s">
        <v>9260</v>
      </c>
      <c r="D1576" s="26" t="s">
        <v>9261</v>
      </c>
      <c r="E1576" s="26" t="s">
        <v>5430</v>
      </c>
      <c r="F1576" s="27">
        <v>5731573</v>
      </c>
      <c r="G1576" s="27">
        <v>1</v>
      </c>
      <c r="H1576" s="27">
        <v>1</v>
      </c>
      <c r="I1576" s="27">
        <v>1</v>
      </c>
      <c r="J1576" s="30">
        <f t="shared" si="72"/>
        <v>1</v>
      </c>
      <c r="K1576" s="30">
        <f t="shared" si="73"/>
        <v>1</v>
      </c>
      <c r="L1576" s="26">
        <f t="shared" si="74"/>
        <v>1</v>
      </c>
      <c r="M1576" s="26"/>
    </row>
    <row r="1577" spans="1:13" ht="15" customHeight="1">
      <c r="A1577" s="25">
        <v>1619157</v>
      </c>
      <c r="B1577" s="26" t="s">
        <v>5423</v>
      </c>
      <c r="C1577" s="26" t="s">
        <v>9262</v>
      </c>
      <c r="D1577" s="26" t="s">
        <v>9263</v>
      </c>
      <c r="E1577" s="26" t="s">
        <v>5480</v>
      </c>
      <c r="F1577" s="27">
        <v>5731888</v>
      </c>
      <c r="G1577" s="27">
        <v>1</v>
      </c>
      <c r="H1577" s="27">
        <v>0</v>
      </c>
      <c r="I1577" s="27">
        <v>1</v>
      </c>
      <c r="J1577" s="30">
        <f t="shared" si="72"/>
        <v>1</v>
      </c>
      <c r="K1577" s="30">
        <f t="shared" si="73"/>
        <v>0</v>
      </c>
      <c r="L1577" s="26">
        <f t="shared" si="74"/>
        <v>0</v>
      </c>
      <c r="M1577" s="26"/>
    </row>
    <row r="1578" spans="1:13" ht="15" customHeight="1">
      <c r="A1578" s="25">
        <v>1619238</v>
      </c>
      <c r="B1578" s="26" t="s">
        <v>5423</v>
      </c>
      <c r="C1578" s="26" t="s">
        <v>9264</v>
      </c>
      <c r="D1578" s="26" t="s">
        <v>9265</v>
      </c>
      <c r="E1578" s="26" t="s">
        <v>5485</v>
      </c>
      <c r="F1578" s="27">
        <v>5718955</v>
      </c>
      <c r="G1578" s="27">
        <v>1</v>
      </c>
      <c r="H1578" s="27">
        <v>0</v>
      </c>
      <c r="I1578" s="27">
        <v>1</v>
      </c>
      <c r="J1578" s="30">
        <f t="shared" si="72"/>
        <v>1</v>
      </c>
      <c r="K1578" s="30">
        <f t="shared" si="73"/>
        <v>0</v>
      </c>
      <c r="L1578" s="26">
        <f t="shared" si="74"/>
        <v>0</v>
      </c>
      <c r="M1578" s="26"/>
    </row>
    <row r="1579" spans="1:13" ht="15" customHeight="1">
      <c r="A1579" s="25">
        <v>1619259</v>
      </c>
      <c r="B1579" s="26" t="s">
        <v>5427</v>
      </c>
      <c r="C1579" s="26" t="s">
        <v>9266</v>
      </c>
      <c r="D1579" s="26" t="s">
        <v>9267</v>
      </c>
      <c r="E1579" s="26" t="s">
        <v>5491</v>
      </c>
      <c r="F1579" s="27">
        <v>5731651</v>
      </c>
      <c r="G1579" s="27">
        <v>1</v>
      </c>
      <c r="H1579" s="27">
        <v>0</v>
      </c>
      <c r="I1579" s="27">
        <v>1</v>
      </c>
      <c r="J1579" s="30">
        <f t="shared" si="72"/>
        <v>1</v>
      </c>
      <c r="K1579" s="30">
        <f t="shared" si="73"/>
        <v>0</v>
      </c>
      <c r="L1579" s="26">
        <f t="shared" si="74"/>
        <v>0</v>
      </c>
      <c r="M1579" s="26"/>
    </row>
    <row r="1580" spans="1:13" ht="15" customHeight="1">
      <c r="A1580" s="25">
        <v>1619282</v>
      </c>
      <c r="B1580" s="26" t="s">
        <v>5423</v>
      </c>
      <c r="C1580" s="26" t="s">
        <v>9268</v>
      </c>
      <c r="D1580" s="26" t="s">
        <v>9269</v>
      </c>
      <c r="E1580" s="26" t="s">
        <v>5488</v>
      </c>
      <c r="F1580" s="27"/>
      <c r="G1580" s="27">
        <v>0</v>
      </c>
      <c r="H1580" s="27">
        <v>0</v>
      </c>
      <c r="I1580" s="27">
        <v>0</v>
      </c>
      <c r="J1580" s="30">
        <f t="shared" si="72"/>
        <v>0</v>
      </c>
      <c r="K1580" s="30">
        <f t="shared" si="73"/>
        <v>0</v>
      </c>
      <c r="L1580" s="26">
        <f t="shared" si="74"/>
        <v>0</v>
      </c>
      <c r="M1580" s="26" t="s">
        <v>8216</v>
      </c>
    </row>
    <row r="1581" spans="1:13" ht="15" customHeight="1">
      <c r="A1581" s="25">
        <v>1619570</v>
      </c>
      <c r="B1581" s="26" t="s">
        <v>5427</v>
      </c>
      <c r="C1581" s="26" t="s">
        <v>9270</v>
      </c>
      <c r="D1581" s="26" t="s">
        <v>9271</v>
      </c>
      <c r="E1581" s="26" t="s">
        <v>5781</v>
      </c>
      <c r="F1581" s="27">
        <v>5732924</v>
      </c>
      <c r="G1581" s="27">
        <v>0</v>
      </c>
      <c r="H1581" s="27">
        <v>0</v>
      </c>
      <c r="I1581" s="27">
        <v>0</v>
      </c>
      <c r="J1581" s="30">
        <f t="shared" si="72"/>
        <v>0</v>
      </c>
      <c r="K1581" s="30">
        <f t="shared" si="73"/>
        <v>0</v>
      </c>
      <c r="L1581" s="26">
        <f t="shared" si="74"/>
        <v>0</v>
      </c>
      <c r="M1581" s="26">
        <v>0</v>
      </c>
    </row>
    <row r="1582" spans="1:13" ht="15" customHeight="1">
      <c r="A1582" s="25">
        <v>1619618</v>
      </c>
      <c r="B1582" s="26" t="s">
        <v>5423</v>
      </c>
      <c r="C1582" s="26" t="s">
        <v>9272</v>
      </c>
      <c r="D1582" s="26" t="s">
        <v>9273</v>
      </c>
      <c r="E1582" s="26" t="s">
        <v>5532</v>
      </c>
      <c r="F1582" s="27">
        <v>5648328</v>
      </c>
      <c r="G1582" s="27">
        <v>1</v>
      </c>
      <c r="H1582" s="27">
        <v>0</v>
      </c>
      <c r="I1582" s="27">
        <v>1</v>
      </c>
      <c r="J1582" s="30">
        <f t="shared" si="72"/>
        <v>1</v>
      </c>
      <c r="K1582" s="30">
        <f t="shared" si="73"/>
        <v>0</v>
      </c>
      <c r="L1582" s="26">
        <f t="shared" si="74"/>
        <v>0</v>
      </c>
      <c r="M1582" s="26"/>
    </row>
    <row r="1583" spans="1:13" ht="15" customHeight="1">
      <c r="A1583" s="25">
        <v>1619707</v>
      </c>
      <c r="B1583" s="26" t="s">
        <v>5423</v>
      </c>
      <c r="C1583" s="26" t="s">
        <v>9274</v>
      </c>
      <c r="D1583" s="26" t="s">
        <v>9275</v>
      </c>
      <c r="E1583" s="26" t="s">
        <v>5480</v>
      </c>
      <c r="F1583" s="27">
        <v>5483431</v>
      </c>
      <c r="G1583" s="27">
        <v>0</v>
      </c>
      <c r="H1583" s="27">
        <v>0</v>
      </c>
      <c r="I1583" s="27">
        <v>0</v>
      </c>
      <c r="J1583" s="30">
        <f t="shared" si="72"/>
        <v>0</v>
      </c>
      <c r="K1583" s="30">
        <f t="shared" si="73"/>
        <v>0</v>
      </c>
      <c r="L1583" s="26">
        <f t="shared" si="74"/>
        <v>0</v>
      </c>
      <c r="M1583" s="26">
        <v>0</v>
      </c>
    </row>
    <row r="1584" spans="1:13" ht="15" customHeight="1">
      <c r="A1584" s="25">
        <v>1619910</v>
      </c>
      <c r="B1584" s="26" t="s">
        <v>5423</v>
      </c>
      <c r="C1584" s="26" t="s">
        <v>9276</v>
      </c>
      <c r="D1584" s="26" t="s">
        <v>9277</v>
      </c>
      <c r="E1584" s="26" t="s">
        <v>5475</v>
      </c>
      <c r="F1584" s="27">
        <v>5733256</v>
      </c>
      <c r="G1584" s="27">
        <v>0</v>
      </c>
      <c r="H1584" s="27">
        <v>0</v>
      </c>
      <c r="I1584" s="27">
        <v>0</v>
      </c>
      <c r="J1584" s="30">
        <f t="shared" si="72"/>
        <v>0</v>
      </c>
      <c r="K1584" s="30">
        <f t="shared" si="73"/>
        <v>0</v>
      </c>
      <c r="L1584" s="26">
        <f t="shared" si="74"/>
        <v>0</v>
      </c>
      <c r="M1584" s="26">
        <v>0</v>
      </c>
    </row>
    <row r="1585" spans="1:13" ht="15" customHeight="1">
      <c r="A1585" s="25">
        <v>1620126</v>
      </c>
      <c r="B1585" s="26" t="s">
        <v>5423</v>
      </c>
      <c r="C1585" s="26" t="s">
        <v>9278</v>
      </c>
      <c r="D1585" s="26" t="s">
        <v>9279</v>
      </c>
      <c r="E1585" s="26" t="s">
        <v>5475</v>
      </c>
      <c r="F1585" s="27">
        <v>5034470</v>
      </c>
      <c r="G1585" s="27">
        <v>0</v>
      </c>
      <c r="H1585" s="27">
        <v>0</v>
      </c>
      <c r="I1585" s="27">
        <v>0</v>
      </c>
      <c r="J1585" s="30">
        <f t="shared" si="72"/>
        <v>0</v>
      </c>
      <c r="K1585" s="30">
        <f t="shared" si="73"/>
        <v>0</v>
      </c>
      <c r="L1585" s="26">
        <f t="shared" si="74"/>
        <v>0</v>
      </c>
      <c r="M1585" s="26" t="s">
        <v>5557</v>
      </c>
    </row>
    <row r="1586" spans="1:13" ht="15" customHeight="1">
      <c r="A1586" s="25">
        <v>1620165</v>
      </c>
      <c r="B1586" s="26" t="s">
        <v>5423</v>
      </c>
      <c r="C1586" s="26" t="s">
        <v>9280</v>
      </c>
      <c r="D1586" s="26" t="s">
        <v>9281</v>
      </c>
      <c r="E1586" s="26" t="s">
        <v>5494</v>
      </c>
      <c r="F1586" s="27">
        <v>5713001</v>
      </c>
      <c r="G1586" s="27">
        <v>1</v>
      </c>
      <c r="H1586" s="27">
        <v>0</v>
      </c>
      <c r="I1586" s="27">
        <v>1</v>
      </c>
      <c r="J1586" s="30">
        <f t="shared" si="72"/>
        <v>1</v>
      </c>
      <c r="K1586" s="30">
        <f t="shared" si="73"/>
        <v>0</v>
      </c>
      <c r="L1586" s="26">
        <f t="shared" si="74"/>
        <v>0</v>
      </c>
      <c r="M1586" s="26" t="s">
        <v>8209</v>
      </c>
    </row>
    <row r="1587" spans="1:13" ht="15" customHeight="1">
      <c r="A1587" s="25">
        <v>1620606</v>
      </c>
      <c r="B1587" s="26" t="s">
        <v>5427</v>
      </c>
      <c r="C1587" s="26" t="s">
        <v>9282</v>
      </c>
      <c r="D1587" s="26" t="s">
        <v>9283</v>
      </c>
      <c r="E1587" s="26" t="s">
        <v>5522</v>
      </c>
      <c r="F1587" s="27">
        <v>5723672</v>
      </c>
      <c r="G1587" s="27">
        <v>1</v>
      </c>
      <c r="H1587" s="27">
        <v>1</v>
      </c>
      <c r="I1587" s="27">
        <v>1</v>
      </c>
      <c r="J1587" s="30">
        <f t="shared" si="72"/>
        <v>1</v>
      </c>
      <c r="K1587" s="30">
        <f t="shared" si="73"/>
        <v>1</v>
      </c>
      <c r="L1587" s="26">
        <f t="shared" si="74"/>
        <v>1</v>
      </c>
      <c r="M1587" s="26" t="s">
        <v>8169</v>
      </c>
    </row>
    <row r="1588" spans="1:13" ht="15" customHeight="1">
      <c r="A1588" s="25">
        <v>1620659</v>
      </c>
      <c r="B1588" s="26" t="s">
        <v>5423</v>
      </c>
      <c r="C1588" s="26" t="s">
        <v>9284</v>
      </c>
      <c r="D1588" s="26" t="s">
        <v>9285</v>
      </c>
      <c r="E1588" s="26" t="s">
        <v>5532</v>
      </c>
      <c r="F1588" s="27">
        <v>5735456</v>
      </c>
      <c r="G1588" s="27">
        <v>0</v>
      </c>
      <c r="H1588" s="27">
        <v>0</v>
      </c>
      <c r="I1588" s="27">
        <v>0</v>
      </c>
      <c r="J1588" s="30">
        <f t="shared" si="72"/>
        <v>0</v>
      </c>
      <c r="K1588" s="30">
        <f t="shared" si="73"/>
        <v>0</v>
      </c>
      <c r="L1588" s="26">
        <f t="shared" si="74"/>
        <v>0</v>
      </c>
      <c r="M1588" s="26">
        <v>0</v>
      </c>
    </row>
    <row r="1589" spans="1:13" ht="15" customHeight="1">
      <c r="A1589" s="25">
        <v>1620794</v>
      </c>
      <c r="B1589" s="26" t="s">
        <v>5423</v>
      </c>
      <c r="C1589" s="26" t="s">
        <v>9286</v>
      </c>
      <c r="D1589" s="26" t="s">
        <v>9287</v>
      </c>
      <c r="E1589" s="26" t="s">
        <v>6021</v>
      </c>
      <c r="F1589" s="27">
        <v>5731652</v>
      </c>
      <c r="G1589" s="27">
        <v>0</v>
      </c>
      <c r="H1589" s="27">
        <v>0</v>
      </c>
      <c r="I1589" s="27">
        <v>0</v>
      </c>
      <c r="J1589" s="30">
        <f t="shared" si="72"/>
        <v>0</v>
      </c>
      <c r="K1589" s="30">
        <f t="shared" si="73"/>
        <v>0</v>
      </c>
      <c r="L1589" s="26">
        <f t="shared" si="74"/>
        <v>0</v>
      </c>
      <c r="M1589" s="26" t="s">
        <v>9288</v>
      </c>
    </row>
    <row r="1590" spans="1:13" ht="15" customHeight="1">
      <c r="A1590" s="25">
        <v>1621033</v>
      </c>
      <c r="B1590" s="26" t="s">
        <v>5427</v>
      </c>
      <c r="C1590" s="26" t="s">
        <v>9289</v>
      </c>
      <c r="D1590" s="26" t="s">
        <v>9290</v>
      </c>
      <c r="E1590" s="26" t="s">
        <v>7084</v>
      </c>
      <c r="F1590" s="27">
        <v>5222323</v>
      </c>
      <c r="G1590" s="27">
        <v>0</v>
      </c>
      <c r="H1590" s="27">
        <v>0</v>
      </c>
      <c r="I1590" s="27">
        <v>0</v>
      </c>
      <c r="J1590" s="30">
        <f t="shared" si="72"/>
        <v>0</v>
      </c>
      <c r="K1590" s="30">
        <f t="shared" si="73"/>
        <v>0</v>
      </c>
      <c r="L1590" s="26">
        <f t="shared" si="74"/>
        <v>0</v>
      </c>
      <c r="M1590" s="26" t="s">
        <v>9291</v>
      </c>
    </row>
    <row r="1591" spans="1:13" ht="15" customHeight="1">
      <c r="A1591" s="25">
        <v>1621446</v>
      </c>
      <c r="B1591" s="26" t="s">
        <v>5423</v>
      </c>
      <c r="C1591" s="26" t="s">
        <v>9292</v>
      </c>
      <c r="D1591" s="26" t="s">
        <v>9293</v>
      </c>
      <c r="E1591" s="26" t="s">
        <v>5447</v>
      </c>
      <c r="F1591" s="27"/>
      <c r="G1591" s="27">
        <v>0</v>
      </c>
      <c r="H1591" s="27">
        <v>0</v>
      </c>
      <c r="I1591" s="27">
        <v>0</v>
      </c>
      <c r="J1591" s="30">
        <f t="shared" si="72"/>
        <v>0</v>
      </c>
      <c r="K1591" s="30">
        <f t="shared" si="73"/>
        <v>0</v>
      </c>
      <c r="L1591" s="26">
        <f t="shared" si="74"/>
        <v>0</v>
      </c>
      <c r="M1591" s="26">
        <v>0</v>
      </c>
    </row>
    <row r="1592" spans="1:13" ht="15" customHeight="1">
      <c r="A1592" s="25">
        <v>1621749</v>
      </c>
      <c r="B1592" s="26" t="s">
        <v>5423</v>
      </c>
      <c r="C1592" s="26" t="s">
        <v>9294</v>
      </c>
      <c r="D1592" s="26" t="s">
        <v>9295</v>
      </c>
      <c r="E1592" s="26" t="s">
        <v>5550</v>
      </c>
      <c r="F1592" s="27">
        <v>5567796</v>
      </c>
      <c r="G1592" s="27">
        <v>0</v>
      </c>
      <c r="H1592" s="27">
        <v>0</v>
      </c>
      <c r="I1592" s="27">
        <v>0</v>
      </c>
      <c r="J1592" s="30">
        <f t="shared" si="72"/>
        <v>0</v>
      </c>
      <c r="K1592" s="30">
        <f t="shared" si="73"/>
        <v>0</v>
      </c>
      <c r="L1592" s="26">
        <f t="shared" si="74"/>
        <v>0</v>
      </c>
      <c r="M1592" s="26">
        <v>0</v>
      </c>
    </row>
    <row r="1593" spans="1:13" ht="15" customHeight="1">
      <c r="A1593" s="25">
        <v>1621767</v>
      </c>
      <c r="B1593" s="26" t="s">
        <v>5423</v>
      </c>
      <c r="C1593" s="26" t="s">
        <v>9296</v>
      </c>
      <c r="D1593" s="26" t="s">
        <v>9297</v>
      </c>
      <c r="E1593" s="26" t="s">
        <v>5488</v>
      </c>
      <c r="F1593" s="27">
        <v>5741065</v>
      </c>
      <c r="G1593" s="27">
        <v>0</v>
      </c>
      <c r="H1593" s="27">
        <v>0</v>
      </c>
      <c r="I1593" s="27">
        <v>0</v>
      </c>
      <c r="J1593" s="30">
        <f t="shared" si="72"/>
        <v>0</v>
      </c>
      <c r="K1593" s="30">
        <f t="shared" si="73"/>
        <v>0</v>
      </c>
      <c r="L1593" s="26">
        <f t="shared" si="74"/>
        <v>0</v>
      </c>
      <c r="M1593" s="26">
        <v>0</v>
      </c>
    </row>
    <row r="1594" spans="1:13" ht="15" customHeight="1">
      <c r="A1594" s="25">
        <v>1621768</v>
      </c>
      <c r="B1594" s="26" t="s">
        <v>5423</v>
      </c>
      <c r="C1594" s="26" t="s">
        <v>9298</v>
      </c>
      <c r="D1594" s="26" t="s">
        <v>9299</v>
      </c>
      <c r="E1594" s="26" t="s">
        <v>5517</v>
      </c>
      <c r="F1594" s="27">
        <v>5741365</v>
      </c>
      <c r="G1594" s="27">
        <v>0</v>
      </c>
      <c r="H1594" s="27">
        <v>0</v>
      </c>
      <c r="I1594" s="27">
        <v>0</v>
      </c>
      <c r="J1594" s="30">
        <f t="shared" si="72"/>
        <v>0</v>
      </c>
      <c r="K1594" s="30">
        <f t="shared" si="73"/>
        <v>0</v>
      </c>
      <c r="L1594" s="26">
        <f t="shared" si="74"/>
        <v>0</v>
      </c>
      <c r="M1594" s="26">
        <v>0</v>
      </c>
    </row>
    <row r="1595" spans="1:13" ht="15" customHeight="1">
      <c r="A1595" s="25">
        <v>1621817</v>
      </c>
      <c r="B1595" s="26" t="s">
        <v>5427</v>
      </c>
      <c r="C1595" s="26" t="s">
        <v>9300</v>
      </c>
      <c r="D1595" s="26" t="s">
        <v>9301</v>
      </c>
      <c r="E1595" s="26" t="s">
        <v>5455</v>
      </c>
      <c r="F1595" s="27"/>
      <c r="G1595" s="27">
        <v>0</v>
      </c>
      <c r="H1595" s="27">
        <v>0</v>
      </c>
      <c r="I1595" s="27">
        <v>0</v>
      </c>
      <c r="J1595" s="30">
        <f t="shared" si="72"/>
        <v>0</v>
      </c>
      <c r="K1595" s="30">
        <f t="shared" si="73"/>
        <v>0</v>
      </c>
      <c r="L1595" s="26">
        <f t="shared" si="74"/>
        <v>0</v>
      </c>
      <c r="M1595" s="26">
        <v>0</v>
      </c>
    </row>
    <row r="1596" spans="1:13" ht="15" customHeight="1">
      <c r="A1596" s="25">
        <v>1622002</v>
      </c>
      <c r="B1596" s="26" t="s">
        <v>5423</v>
      </c>
      <c r="C1596" s="26" t="s">
        <v>9302</v>
      </c>
      <c r="D1596" s="26" t="s">
        <v>9303</v>
      </c>
      <c r="E1596" s="26" t="s">
        <v>5475</v>
      </c>
      <c r="F1596" s="27"/>
      <c r="G1596" s="27">
        <v>0</v>
      </c>
      <c r="H1596" s="27">
        <v>0</v>
      </c>
      <c r="I1596" s="27">
        <v>0</v>
      </c>
      <c r="J1596" s="30">
        <f t="shared" si="72"/>
        <v>0</v>
      </c>
      <c r="K1596" s="30">
        <f t="shared" si="73"/>
        <v>0</v>
      </c>
      <c r="L1596" s="26">
        <f t="shared" si="74"/>
        <v>0</v>
      </c>
      <c r="M1596" s="26">
        <v>0</v>
      </c>
    </row>
    <row r="1597" spans="1:13" ht="15" customHeight="1">
      <c r="A1597" s="25">
        <v>1622833</v>
      </c>
      <c r="B1597" s="26" t="s">
        <v>5423</v>
      </c>
      <c r="C1597" s="26" t="s">
        <v>9304</v>
      </c>
      <c r="D1597" s="26" t="s">
        <v>9305</v>
      </c>
      <c r="E1597" s="26" t="s">
        <v>5452</v>
      </c>
      <c r="F1597" s="27">
        <v>5739041</v>
      </c>
      <c r="G1597" s="27">
        <v>0</v>
      </c>
      <c r="H1597" s="27">
        <v>1</v>
      </c>
      <c r="I1597" s="27">
        <v>1</v>
      </c>
      <c r="J1597" s="30">
        <f t="shared" si="72"/>
        <v>0</v>
      </c>
      <c r="K1597" s="30">
        <f t="shared" si="73"/>
        <v>1</v>
      </c>
      <c r="L1597" s="26">
        <f t="shared" si="74"/>
        <v>0</v>
      </c>
      <c r="M1597" s="26" t="s">
        <v>8169</v>
      </c>
    </row>
    <row r="1598" spans="1:13" ht="15" customHeight="1">
      <c r="A1598" s="25">
        <v>1623817</v>
      </c>
      <c r="B1598" s="26" t="s">
        <v>5423</v>
      </c>
      <c r="C1598" s="26" t="s">
        <v>9306</v>
      </c>
      <c r="D1598" s="26" t="s">
        <v>9307</v>
      </c>
      <c r="E1598" s="26" t="s">
        <v>5968</v>
      </c>
      <c r="F1598" s="27">
        <v>4074970</v>
      </c>
      <c r="G1598" s="27">
        <v>1</v>
      </c>
      <c r="H1598" s="27">
        <v>1</v>
      </c>
      <c r="I1598" s="27">
        <v>1</v>
      </c>
      <c r="J1598" s="30">
        <f t="shared" si="72"/>
        <v>1</v>
      </c>
      <c r="K1598" s="30">
        <f t="shared" si="73"/>
        <v>1</v>
      </c>
      <c r="L1598" s="26">
        <f t="shared" si="74"/>
        <v>1</v>
      </c>
      <c r="M1598" s="26" t="s">
        <v>8045</v>
      </c>
    </row>
    <row r="1599" spans="1:13" ht="15" customHeight="1">
      <c r="A1599" s="25">
        <v>1623829</v>
      </c>
      <c r="B1599" s="26" t="s">
        <v>5427</v>
      </c>
      <c r="C1599" s="26" t="s">
        <v>9308</v>
      </c>
      <c r="D1599" s="26" t="s">
        <v>9309</v>
      </c>
      <c r="E1599" s="26" t="s">
        <v>5491</v>
      </c>
      <c r="F1599" s="27">
        <v>5752632</v>
      </c>
      <c r="G1599" s="27">
        <v>0</v>
      </c>
      <c r="H1599" s="27">
        <v>0</v>
      </c>
      <c r="I1599" s="27">
        <v>0</v>
      </c>
      <c r="J1599" s="30">
        <f t="shared" si="72"/>
        <v>0</v>
      </c>
      <c r="K1599" s="30">
        <f t="shared" si="73"/>
        <v>0</v>
      </c>
      <c r="L1599" s="26">
        <f t="shared" si="74"/>
        <v>0</v>
      </c>
      <c r="M1599" s="26">
        <v>0</v>
      </c>
    </row>
    <row r="1600" spans="1:13" ht="15" customHeight="1">
      <c r="A1600" s="25">
        <v>1623840</v>
      </c>
      <c r="B1600" s="26" t="s">
        <v>5423</v>
      </c>
      <c r="C1600" s="26" t="s">
        <v>9310</v>
      </c>
      <c r="D1600" s="26" t="s">
        <v>9311</v>
      </c>
      <c r="E1600" s="26" t="s">
        <v>5442</v>
      </c>
      <c r="F1600" s="27">
        <v>5406976</v>
      </c>
      <c r="G1600" s="27">
        <v>1</v>
      </c>
      <c r="H1600" s="27">
        <v>1</v>
      </c>
      <c r="I1600" s="27">
        <v>1</v>
      </c>
      <c r="J1600" s="30">
        <f t="shared" si="72"/>
        <v>1</v>
      </c>
      <c r="K1600" s="30">
        <f t="shared" si="73"/>
        <v>1</v>
      </c>
      <c r="L1600" s="26">
        <f t="shared" si="74"/>
        <v>1</v>
      </c>
      <c r="M1600" s="26"/>
    </row>
    <row r="1601" spans="1:13" ht="15" customHeight="1">
      <c r="A1601" s="25">
        <v>1624311</v>
      </c>
      <c r="B1601" s="26" t="s">
        <v>5423</v>
      </c>
      <c r="C1601" s="26" t="s">
        <v>9312</v>
      </c>
      <c r="D1601" s="26" t="s">
        <v>9313</v>
      </c>
      <c r="E1601" s="26" t="s">
        <v>5540</v>
      </c>
      <c r="F1601" s="27">
        <v>5754432</v>
      </c>
      <c r="G1601" s="27">
        <v>0</v>
      </c>
      <c r="H1601" s="27">
        <v>0</v>
      </c>
      <c r="I1601" s="27">
        <v>0</v>
      </c>
      <c r="J1601" s="30">
        <f t="shared" si="72"/>
        <v>0</v>
      </c>
      <c r="K1601" s="30">
        <f t="shared" si="73"/>
        <v>0</v>
      </c>
      <c r="L1601" s="26">
        <f t="shared" si="74"/>
        <v>0</v>
      </c>
      <c r="M1601" s="26">
        <v>0</v>
      </c>
    </row>
    <row r="1602" spans="1:13" ht="15" customHeight="1">
      <c r="A1602" s="25">
        <v>1624313</v>
      </c>
      <c r="B1602" s="26" t="s">
        <v>5423</v>
      </c>
      <c r="C1602" s="26" t="s">
        <v>9314</v>
      </c>
      <c r="D1602" s="26" t="s">
        <v>9315</v>
      </c>
      <c r="E1602" s="26" t="s">
        <v>5433</v>
      </c>
      <c r="F1602" s="27">
        <v>5732152</v>
      </c>
      <c r="G1602" s="27">
        <v>1</v>
      </c>
      <c r="H1602" s="27">
        <v>0</v>
      </c>
      <c r="I1602" s="27">
        <v>1</v>
      </c>
      <c r="J1602" s="30">
        <f t="shared" ref="J1602:J1665" si="75">IF(G1602&gt;0,1,0)</f>
        <v>1</v>
      </c>
      <c r="K1602" s="30">
        <f t="shared" ref="K1602:K1665" si="76">IF(H1602&gt;0,1,0)</f>
        <v>0</v>
      </c>
      <c r="L1602" s="26">
        <f t="shared" ref="L1602:L1665" si="77">IF(G1602&gt;0,IF(H1602&gt;0,1,0),0)</f>
        <v>0</v>
      </c>
      <c r="M1602" s="26"/>
    </row>
    <row r="1603" spans="1:13" ht="15" customHeight="1">
      <c r="A1603" s="25">
        <v>1625026</v>
      </c>
      <c r="B1603" s="26" t="s">
        <v>5423</v>
      </c>
      <c r="C1603" s="26" t="s">
        <v>9316</v>
      </c>
      <c r="D1603" s="26" t="s">
        <v>9317</v>
      </c>
      <c r="E1603" s="26" t="s">
        <v>5532</v>
      </c>
      <c r="F1603" s="27">
        <v>5753867</v>
      </c>
      <c r="G1603" s="27">
        <v>1</v>
      </c>
      <c r="H1603" s="27">
        <v>0</v>
      </c>
      <c r="I1603" s="27">
        <v>1</v>
      </c>
      <c r="J1603" s="30">
        <f t="shared" si="75"/>
        <v>1</v>
      </c>
      <c r="K1603" s="30">
        <f t="shared" si="76"/>
        <v>0</v>
      </c>
      <c r="L1603" s="26">
        <f t="shared" si="77"/>
        <v>0</v>
      </c>
      <c r="M1603" s="26"/>
    </row>
    <row r="1604" spans="1:13" ht="15" customHeight="1">
      <c r="A1604" s="25">
        <v>1625121</v>
      </c>
      <c r="B1604" s="26" t="s">
        <v>5427</v>
      </c>
      <c r="C1604" s="26" t="s">
        <v>9318</v>
      </c>
      <c r="D1604" s="26" t="s">
        <v>9319</v>
      </c>
      <c r="E1604" s="26" t="s">
        <v>5430</v>
      </c>
      <c r="F1604" s="27"/>
      <c r="G1604" s="27">
        <v>0</v>
      </c>
      <c r="H1604" s="27">
        <v>0</v>
      </c>
      <c r="I1604" s="27">
        <v>0</v>
      </c>
      <c r="J1604" s="30">
        <f t="shared" si="75"/>
        <v>0</v>
      </c>
      <c r="K1604" s="30">
        <f t="shared" si="76"/>
        <v>0</v>
      </c>
      <c r="L1604" s="26">
        <f t="shared" si="77"/>
        <v>0</v>
      </c>
      <c r="M1604" s="26" t="s">
        <v>5557</v>
      </c>
    </row>
    <row r="1605" spans="1:13" ht="15" customHeight="1">
      <c r="A1605" s="25">
        <v>1625435</v>
      </c>
      <c r="B1605" s="26" t="s">
        <v>5423</v>
      </c>
      <c r="C1605" s="26" t="s">
        <v>9320</v>
      </c>
      <c r="D1605" s="26" t="s">
        <v>9321</v>
      </c>
      <c r="E1605" s="26" t="s">
        <v>5610</v>
      </c>
      <c r="F1605" s="27">
        <v>5766403</v>
      </c>
      <c r="G1605" s="27">
        <v>0</v>
      </c>
      <c r="H1605" s="27">
        <v>0</v>
      </c>
      <c r="I1605" s="27">
        <v>0</v>
      </c>
      <c r="J1605" s="30">
        <f t="shared" si="75"/>
        <v>0</v>
      </c>
      <c r="K1605" s="30">
        <f t="shared" si="76"/>
        <v>0</v>
      </c>
      <c r="L1605" s="26">
        <f t="shared" si="77"/>
        <v>0</v>
      </c>
      <c r="M1605" s="26">
        <v>0</v>
      </c>
    </row>
    <row r="1606" spans="1:13" ht="15" customHeight="1">
      <c r="A1606" s="25">
        <v>1625471</v>
      </c>
      <c r="B1606" s="26" t="s">
        <v>5423</v>
      </c>
      <c r="C1606" s="26" t="s">
        <v>9322</v>
      </c>
      <c r="D1606" s="26" t="s">
        <v>9323</v>
      </c>
      <c r="E1606" s="26" t="s">
        <v>5447</v>
      </c>
      <c r="F1606" s="27">
        <v>5706160</v>
      </c>
      <c r="G1606" s="27">
        <v>0</v>
      </c>
      <c r="H1606" s="27">
        <v>0</v>
      </c>
      <c r="I1606" s="27">
        <v>0</v>
      </c>
      <c r="J1606" s="30">
        <f t="shared" si="75"/>
        <v>0</v>
      </c>
      <c r="K1606" s="30">
        <f t="shared" si="76"/>
        <v>0</v>
      </c>
      <c r="L1606" s="26">
        <f t="shared" si="77"/>
        <v>0</v>
      </c>
      <c r="M1606" s="26" t="s">
        <v>5567</v>
      </c>
    </row>
    <row r="1607" spans="1:13" ht="15" customHeight="1">
      <c r="A1607" s="25">
        <v>1625477</v>
      </c>
      <c r="B1607" s="26" t="s">
        <v>5427</v>
      </c>
      <c r="C1607" s="26" t="s">
        <v>9324</v>
      </c>
      <c r="D1607" s="26" t="s">
        <v>9325</v>
      </c>
      <c r="E1607" s="26" t="s">
        <v>7084</v>
      </c>
      <c r="F1607" s="27">
        <v>5222323</v>
      </c>
      <c r="G1607" s="27">
        <v>0</v>
      </c>
      <c r="H1607" s="27">
        <v>0</v>
      </c>
      <c r="I1607" s="27">
        <v>0</v>
      </c>
      <c r="J1607" s="30">
        <f t="shared" si="75"/>
        <v>0</v>
      </c>
      <c r="K1607" s="30">
        <f t="shared" si="76"/>
        <v>0</v>
      </c>
      <c r="L1607" s="26">
        <f t="shared" si="77"/>
        <v>0</v>
      </c>
      <c r="M1607" s="26" t="s">
        <v>8711</v>
      </c>
    </row>
    <row r="1608" spans="1:13" ht="15" customHeight="1">
      <c r="A1608" s="25">
        <v>1625540</v>
      </c>
      <c r="B1608" s="26" t="s">
        <v>5423</v>
      </c>
      <c r="C1608" s="26" t="s">
        <v>9326</v>
      </c>
      <c r="D1608" s="26" t="s">
        <v>9327</v>
      </c>
      <c r="E1608" s="26" t="s">
        <v>5488</v>
      </c>
      <c r="F1608" s="27"/>
      <c r="G1608" s="27">
        <v>0</v>
      </c>
      <c r="H1608" s="27">
        <v>0</v>
      </c>
      <c r="I1608" s="27">
        <v>0</v>
      </c>
      <c r="J1608" s="30">
        <f t="shared" si="75"/>
        <v>0</v>
      </c>
      <c r="K1608" s="30">
        <f t="shared" si="76"/>
        <v>0</v>
      </c>
      <c r="L1608" s="26">
        <f t="shared" si="77"/>
        <v>0</v>
      </c>
      <c r="M1608" s="26" t="s">
        <v>8017</v>
      </c>
    </row>
    <row r="1609" spans="1:13" ht="15" customHeight="1">
      <c r="A1609" s="25">
        <v>1625644</v>
      </c>
      <c r="B1609" s="26" t="s">
        <v>5427</v>
      </c>
      <c r="C1609" s="26" t="s">
        <v>9328</v>
      </c>
      <c r="D1609" s="26" t="s">
        <v>9329</v>
      </c>
      <c r="E1609" s="26" t="s">
        <v>5436</v>
      </c>
      <c r="F1609" s="27"/>
      <c r="G1609" s="27">
        <v>0</v>
      </c>
      <c r="H1609" s="27">
        <v>0</v>
      </c>
      <c r="I1609" s="27">
        <v>0</v>
      </c>
      <c r="J1609" s="30">
        <f t="shared" si="75"/>
        <v>0</v>
      </c>
      <c r="K1609" s="30">
        <f t="shared" si="76"/>
        <v>0</v>
      </c>
      <c r="L1609" s="26">
        <f t="shared" si="77"/>
        <v>0</v>
      </c>
      <c r="M1609" s="26" t="s">
        <v>5557</v>
      </c>
    </row>
    <row r="1610" spans="1:13" ht="15" customHeight="1">
      <c r="A1610" s="25">
        <v>1625921</v>
      </c>
      <c r="B1610" s="26" t="s">
        <v>5427</v>
      </c>
      <c r="C1610" s="26" t="s">
        <v>9330</v>
      </c>
      <c r="D1610" s="26" t="s">
        <v>9331</v>
      </c>
      <c r="E1610" s="26" t="s">
        <v>5683</v>
      </c>
      <c r="F1610" s="27">
        <v>5769581</v>
      </c>
      <c r="G1610" s="27">
        <v>0</v>
      </c>
      <c r="H1610" s="27">
        <v>0</v>
      </c>
      <c r="I1610" s="27">
        <v>0</v>
      </c>
      <c r="J1610" s="30">
        <f t="shared" si="75"/>
        <v>0</v>
      </c>
      <c r="K1610" s="30">
        <f t="shared" si="76"/>
        <v>0</v>
      </c>
      <c r="L1610" s="26">
        <f t="shared" si="77"/>
        <v>0</v>
      </c>
      <c r="M1610" s="26">
        <v>0</v>
      </c>
    </row>
    <row r="1611" spans="1:13" ht="15" customHeight="1">
      <c r="A1611" s="25">
        <v>1626342</v>
      </c>
      <c r="B1611" s="26" t="s">
        <v>5427</v>
      </c>
      <c r="C1611" s="26" t="s">
        <v>9332</v>
      </c>
      <c r="D1611" s="26" t="s">
        <v>9333</v>
      </c>
      <c r="E1611" s="26" t="s">
        <v>5468</v>
      </c>
      <c r="F1611" s="27">
        <v>5771764</v>
      </c>
      <c r="G1611" s="27">
        <v>1</v>
      </c>
      <c r="H1611" s="27">
        <v>0</v>
      </c>
      <c r="I1611" s="27">
        <v>1</v>
      </c>
      <c r="J1611" s="30">
        <f t="shared" si="75"/>
        <v>1</v>
      </c>
      <c r="K1611" s="30">
        <f t="shared" si="76"/>
        <v>0</v>
      </c>
      <c r="L1611" s="26">
        <f t="shared" si="77"/>
        <v>0</v>
      </c>
      <c r="M1611" s="26"/>
    </row>
    <row r="1612" spans="1:13" ht="15" customHeight="1">
      <c r="A1612" s="25">
        <v>1626418</v>
      </c>
      <c r="B1612" s="26" t="s">
        <v>5423</v>
      </c>
      <c r="C1612" s="26" t="s">
        <v>9334</v>
      </c>
      <c r="D1612" s="26" t="s">
        <v>9335</v>
      </c>
      <c r="E1612" s="26" t="s">
        <v>8392</v>
      </c>
      <c r="F1612" s="27">
        <v>5361464</v>
      </c>
      <c r="G1612" s="27">
        <v>1</v>
      </c>
      <c r="H1612" s="27">
        <v>1</v>
      </c>
      <c r="I1612" s="27">
        <v>1</v>
      </c>
      <c r="J1612" s="30">
        <f t="shared" si="75"/>
        <v>1</v>
      </c>
      <c r="K1612" s="30">
        <f t="shared" si="76"/>
        <v>1</v>
      </c>
      <c r="L1612" s="26">
        <f t="shared" si="77"/>
        <v>1</v>
      </c>
      <c r="M1612" s="26" t="s">
        <v>8188</v>
      </c>
    </row>
    <row r="1613" spans="1:13" ht="15" customHeight="1">
      <c r="A1613" s="25">
        <v>1626804</v>
      </c>
      <c r="B1613" s="26" t="s">
        <v>5423</v>
      </c>
      <c r="C1613" s="26" t="s">
        <v>9336</v>
      </c>
      <c r="D1613" s="26" t="s">
        <v>9337</v>
      </c>
      <c r="E1613" s="26" t="s">
        <v>5532</v>
      </c>
      <c r="F1613" s="27"/>
      <c r="G1613" s="27">
        <v>0</v>
      </c>
      <c r="H1613" s="27">
        <v>0</v>
      </c>
      <c r="I1613" s="27">
        <v>0</v>
      </c>
      <c r="J1613" s="30">
        <f t="shared" si="75"/>
        <v>0</v>
      </c>
      <c r="K1613" s="30">
        <f t="shared" si="76"/>
        <v>0</v>
      </c>
      <c r="L1613" s="26">
        <f t="shared" si="77"/>
        <v>0</v>
      </c>
      <c r="M1613" s="26" t="s">
        <v>5557</v>
      </c>
    </row>
    <row r="1614" spans="1:13" ht="15" customHeight="1">
      <c r="A1614" s="25">
        <v>1626843</v>
      </c>
      <c r="B1614" s="26" t="s">
        <v>5423</v>
      </c>
      <c r="C1614" s="26" t="s">
        <v>9338</v>
      </c>
      <c r="D1614" s="26" t="s">
        <v>9339</v>
      </c>
      <c r="E1614" s="26" t="s">
        <v>5488</v>
      </c>
      <c r="F1614" s="27">
        <v>5775063</v>
      </c>
      <c r="G1614" s="27">
        <v>1</v>
      </c>
      <c r="H1614" s="27">
        <v>0</v>
      </c>
      <c r="I1614" s="27">
        <v>1</v>
      </c>
      <c r="J1614" s="30">
        <f t="shared" si="75"/>
        <v>1</v>
      </c>
      <c r="K1614" s="30">
        <f t="shared" si="76"/>
        <v>0</v>
      </c>
      <c r="L1614" s="26">
        <f t="shared" si="77"/>
        <v>0</v>
      </c>
      <c r="M1614" s="26"/>
    </row>
    <row r="1615" spans="1:13" ht="15" customHeight="1">
      <c r="A1615" s="25">
        <v>1626947</v>
      </c>
      <c r="B1615" s="26" t="s">
        <v>5423</v>
      </c>
      <c r="C1615" s="26" t="s">
        <v>9340</v>
      </c>
      <c r="D1615" s="26" t="s">
        <v>9341</v>
      </c>
      <c r="E1615" s="26" t="s">
        <v>5442</v>
      </c>
      <c r="F1615" s="27">
        <v>5775558</v>
      </c>
      <c r="G1615" s="27">
        <v>0</v>
      </c>
      <c r="H1615" s="27">
        <v>0</v>
      </c>
      <c r="I1615" s="27">
        <v>0</v>
      </c>
      <c r="J1615" s="30">
        <f t="shared" si="75"/>
        <v>0</v>
      </c>
      <c r="K1615" s="30">
        <f t="shared" si="76"/>
        <v>0</v>
      </c>
      <c r="L1615" s="26">
        <f t="shared" si="77"/>
        <v>0</v>
      </c>
      <c r="M1615" s="26">
        <v>0</v>
      </c>
    </row>
    <row r="1616" spans="1:13" ht="15" customHeight="1">
      <c r="A1616" s="25">
        <v>1626986</v>
      </c>
      <c r="B1616" s="26" t="s">
        <v>5423</v>
      </c>
      <c r="C1616" s="26" t="s">
        <v>9342</v>
      </c>
      <c r="D1616" s="26" t="s">
        <v>9343</v>
      </c>
      <c r="E1616" s="26" t="s">
        <v>5452</v>
      </c>
      <c r="F1616" s="27">
        <v>5502758</v>
      </c>
      <c r="G1616" s="27">
        <v>1</v>
      </c>
      <c r="H1616" s="27">
        <v>0</v>
      </c>
      <c r="I1616" s="27">
        <v>1</v>
      </c>
      <c r="J1616" s="30">
        <f t="shared" si="75"/>
        <v>1</v>
      </c>
      <c r="K1616" s="30">
        <f t="shared" si="76"/>
        <v>0</v>
      </c>
      <c r="L1616" s="26">
        <f t="shared" si="77"/>
        <v>0</v>
      </c>
      <c r="M1616" s="26"/>
    </row>
    <row r="1617" spans="1:13" ht="15" customHeight="1">
      <c r="A1617" s="25">
        <v>1626988</v>
      </c>
      <c r="B1617" s="26" t="s">
        <v>5427</v>
      </c>
      <c r="C1617" s="26" t="s">
        <v>9344</v>
      </c>
      <c r="D1617" s="26" t="s">
        <v>9345</v>
      </c>
      <c r="E1617" s="26" t="s">
        <v>5475</v>
      </c>
      <c r="F1617" s="27">
        <v>5638263</v>
      </c>
      <c r="G1617" s="27">
        <v>0</v>
      </c>
      <c r="H1617" s="27">
        <v>0</v>
      </c>
      <c r="I1617" s="27">
        <v>0</v>
      </c>
      <c r="J1617" s="30">
        <f t="shared" si="75"/>
        <v>0</v>
      </c>
      <c r="K1617" s="30">
        <f t="shared" si="76"/>
        <v>0</v>
      </c>
      <c r="L1617" s="26">
        <f t="shared" si="77"/>
        <v>0</v>
      </c>
      <c r="M1617" s="26" t="s">
        <v>5567</v>
      </c>
    </row>
    <row r="1618" spans="1:13" ht="15" customHeight="1">
      <c r="A1618" s="25">
        <v>1627305</v>
      </c>
      <c r="B1618" s="26" t="s">
        <v>5423</v>
      </c>
      <c r="C1618" s="26" t="s">
        <v>9346</v>
      </c>
      <c r="D1618" s="26" t="s">
        <v>9347</v>
      </c>
      <c r="E1618" s="26" t="s">
        <v>5532</v>
      </c>
      <c r="F1618" s="27">
        <v>5712103</v>
      </c>
      <c r="G1618" s="27">
        <v>1</v>
      </c>
      <c r="H1618" s="27">
        <v>0</v>
      </c>
      <c r="I1618" s="27">
        <v>1</v>
      </c>
      <c r="J1618" s="30">
        <f t="shared" si="75"/>
        <v>1</v>
      </c>
      <c r="K1618" s="30">
        <f t="shared" si="76"/>
        <v>0</v>
      </c>
      <c r="L1618" s="26">
        <f t="shared" si="77"/>
        <v>0</v>
      </c>
      <c r="M1618" s="26"/>
    </row>
    <row r="1619" spans="1:13" ht="15" customHeight="1">
      <c r="A1619" s="25">
        <v>1627350</v>
      </c>
      <c r="B1619" s="26" t="s">
        <v>5423</v>
      </c>
      <c r="C1619" s="26" t="s">
        <v>9348</v>
      </c>
      <c r="D1619" s="26" t="s">
        <v>9349</v>
      </c>
      <c r="E1619" s="26" t="s">
        <v>5504</v>
      </c>
      <c r="F1619" s="27">
        <v>5720653</v>
      </c>
      <c r="G1619" s="27">
        <v>1</v>
      </c>
      <c r="H1619" s="27">
        <v>0</v>
      </c>
      <c r="I1619" s="27">
        <v>1</v>
      </c>
      <c r="J1619" s="30">
        <f t="shared" si="75"/>
        <v>1</v>
      </c>
      <c r="K1619" s="30">
        <f t="shared" si="76"/>
        <v>0</v>
      </c>
      <c r="L1619" s="26">
        <f t="shared" si="77"/>
        <v>0</v>
      </c>
      <c r="M1619" s="26"/>
    </row>
    <row r="1620" spans="1:13" ht="15" customHeight="1">
      <c r="A1620" s="25">
        <v>1627703</v>
      </c>
      <c r="B1620" s="26" t="s">
        <v>5427</v>
      </c>
      <c r="C1620" s="26" t="s">
        <v>9350</v>
      </c>
      <c r="D1620" s="26" t="s">
        <v>9351</v>
      </c>
      <c r="E1620" s="26" t="s">
        <v>5603</v>
      </c>
      <c r="F1620" s="27">
        <v>5757517</v>
      </c>
      <c r="G1620" s="27">
        <v>1</v>
      </c>
      <c r="H1620" s="27">
        <v>0</v>
      </c>
      <c r="I1620" s="27">
        <v>1</v>
      </c>
      <c r="J1620" s="30">
        <f t="shared" si="75"/>
        <v>1</v>
      </c>
      <c r="K1620" s="30">
        <f t="shared" si="76"/>
        <v>0</v>
      </c>
      <c r="L1620" s="26">
        <f t="shared" si="77"/>
        <v>0</v>
      </c>
      <c r="M1620" s="26"/>
    </row>
    <row r="1621" spans="1:13" ht="15" customHeight="1">
      <c r="A1621" s="25">
        <v>1627708</v>
      </c>
      <c r="B1621" s="26" t="s">
        <v>5423</v>
      </c>
      <c r="C1621" s="26" t="s">
        <v>9352</v>
      </c>
      <c r="D1621" s="26" t="s">
        <v>9353</v>
      </c>
      <c r="E1621" s="26" t="s">
        <v>5763</v>
      </c>
      <c r="F1621" s="27">
        <v>5778516</v>
      </c>
      <c r="G1621" s="27">
        <v>0</v>
      </c>
      <c r="H1621" s="27">
        <v>0</v>
      </c>
      <c r="I1621" s="27">
        <v>0</v>
      </c>
      <c r="J1621" s="30">
        <f t="shared" si="75"/>
        <v>0</v>
      </c>
      <c r="K1621" s="30">
        <f t="shared" si="76"/>
        <v>0</v>
      </c>
      <c r="L1621" s="26">
        <f t="shared" si="77"/>
        <v>0</v>
      </c>
      <c r="M1621" s="26">
        <v>0</v>
      </c>
    </row>
    <row r="1622" spans="1:13" ht="15" customHeight="1">
      <c r="A1622" s="25">
        <v>1627790</v>
      </c>
      <c r="B1622" s="26" t="s">
        <v>5427</v>
      </c>
      <c r="C1622" s="26" t="s">
        <v>9354</v>
      </c>
      <c r="D1622" s="26" t="s">
        <v>9355</v>
      </c>
      <c r="E1622" s="26" t="s">
        <v>5436</v>
      </c>
      <c r="F1622" s="27">
        <v>5741725</v>
      </c>
      <c r="G1622" s="27">
        <v>1</v>
      </c>
      <c r="H1622" s="27">
        <v>0</v>
      </c>
      <c r="I1622" s="27">
        <v>1</v>
      </c>
      <c r="J1622" s="30">
        <f t="shared" si="75"/>
        <v>1</v>
      </c>
      <c r="K1622" s="30">
        <f t="shared" si="76"/>
        <v>0</v>
      </c>
      <c r="L1622" s="26">
        <f t="shared" si="77"/>
        <v>0</v>
      </c>
      <c r="M1622" s="26"/>
    </row>
    <row r="1623" spans="1:13" ht="15" customHeight="1">
      <c r="A1623" s="25">
        <v>1627939</v>
      </c>
      <c r="B1623" s="26" t="s">
        <v>5427</v>
      </c>
      <c r="C1623" s="26" t="s">
        <v>9356</v>
      </c>
      <c r="D1623" s="26" t="s">
        <v>9357</v>
      </c>
      <c r="E1623" s="26" t="s">
        <v>5455</v>
      </c>
      <c r="F1623" s="27">
        <v>5772064</v>
      </c>
      <c r="G1623" s="27">
        <v>1</v>
      </c>
      <c r="H1623" s="27">
        <v>1</v>
      </c>
      <c r="I1623" s="27">
        <v>1</v>
      </c>
      <c r="J1623" s="30">
        <f t="shared" si="75"/>
        <v>1</v>
      </c>
      <c r="K1623" s="30">
        <f t="shared" si="76"/>
        <v>1</v>
      </c>
      <c r="L1623" s="26">
        <f t="shared" si="77"/>
        <v>1</v>
      </c>
      <c r="M1623" s="26"/>
    </row>
    <row r="1624" spans="1:13" ht="15" customHeight="1">
      <c r="A1624" s="25">
        <v>1627965</v>
      </c>
      <c r="B1624" s="26" t="s">
        <v>5427</v>
      </c>
      <c r="C1624" s="26" t="s">
        <v>9358</v>
      </c>
      <c r="D1624" s="26" t="s">
        <v>9359</v>
      </c>
      <c r="E1624" s="26" t="s">
        <v>5488</v>
      </c>
      <c r="F1624" s="27">
        <v>5696951</v>
      </c>
      <c r="G1624" s="27">
        <v>1</v>
      </c>
      <c r="H1624" s="27">
        <v>0</v>
      </c>
      <c r="I1624" s="27">
        <v>1</v>
      </c>
      <c r="J1624" s="30">
        <f t="shared" si="75"/>
        <v>1</v>
      </c>
      <c r="K1624" s="30">
        <f t="shared" si="76"/>
        <v>0</v>
      </c>
      <c r="L1624" s="26">
        <f t="shared" si="77"/>
        <v>0</v>
      </c>
      <c r="M1624" s="26"/>
    </row>
    <row r="1625" spans="1:13" ht="15" customHeight="1">
      <c r="A1625" s="25">
        <v>1628022</v>
      </c>
      <c r="B1625" s="26" t="s">
        <v>5423</v>
      </c>
      <c r="C1625" s="26" t="s">
        <v>9360</v>
      </c>
      <c r="D1625" s="26" t="s">
        <v>9361</v>
      </c>
      <c r="E1625" s="26" t="s">
        <v>5447</v>
      </c>
      <c r="F1625" s="27">
        <v>5304213</v>
      </c>
      <c r="G1625" s="27">
        <v>0</v>
      </c>
      <c r="H1625" s="27">
        <v>0</v>
      </c>
      <c r="I1625" s="27">
        <v>0</v>
      </c>
      <c r="J1625" s="30">
        <f t="shared" si="75"/>
        <v>0</v>
      </c>
      <c r="K1625" s="30">
        <f t="shared" si="76"/>
        <v>0</v>
      </c>
      <c r="L1625" s="26">
        <f t="shared" si="77"/>
        <v>0</v>
      </c>
      <c r="M1625" s="26">
        <v>0</v>
      </c>
    </row>
    <row r="1626" spans="1:13" ht="15" customHeight="1">
      <c r="A1626" s="25">
        <v>1628196</v>
      </c>
      <c r="B1626" s="26" t="s">
        <v>5423</v>
      </c>
      <c r="C1626" s="26" t="s">
        <v>9362</v>
      </c>
      <c r="D1626" s="26" t="s">
        <v>9363</v>
      </c>
      <c r="E1626" s="26" t="s">
        <v>5504</v>
      </c>
      <c r="F1626" s="27">
        <v>5777993</v>
      </c>
      <c r="G1626" s="27">
        <v>0</v>
      </c>
      <c r="H1626" s="27">
        <v>0</v>
      </c>
      <c r="I1626" s="27">
        <v>0</v>
      </c>
      <c r="J1626" s="30">
        <f t="shared" si="75"/>
        <v>0</v>
      </c>
      <c r="K1626" s="30">
        <f t="shared" si="76"/>
        <v>0</v>
      </c>
      <c r="L1626" s="26">
        <f t="shared" si="77"/>
        <v>0</v>
      </c>
      <c r="M1626" s="26">
        <v>0</v>
      </c>
    </row>
    <row r="1627" spans="1:13" ht="15" customHeight="1">
      <c r="A1627" s="25">
        <v>1628330</v>
      </c>
      <c r="B1627" s="26" t="s">
        <v>5423</v>
      </c>
      <c r="C1627" s="26" t="s">
        <v>9364</v>
      </c>
      <c r="D1627" s="26" t="s">
        <v>9365</v>
      </c>
      <c r="E1627" s="26" t="s">
        <v>5455</v>
      </c>
      <c r="F1627" s="27">
        <v>5780809</v>
      </c>
      <c r="G1627" s="27">
        <v>0</v>
      </c>
      <c r="H1627" s="27">
        <v>0</v>
      </c>
      <c r="I1627" s="27">
        <v>0</v>
      </c>
      <c r="J1627" s="30">
        <f t="shared" si="75"/>
        <v>0</v>
      </c>
      <c r="K1627" s="30">
        <f t="shared" si="76"/>
        <v>0</v>
      </c>
      <c r="L1627" s="26">
        <f t="shared" si="77"/>
        <v>0</v>
      </c>
      <c r="M1627" s="26">
        <v>0</v>
      </c>
    </row>
    <row r="1628" spans="1:13" ht="15" customHeight="1">
      <c r="A1628" s="25">
        <v>1628336</v>
      </c>
      <c r="B1628" s="26" t="s">
        <v>5423</v>
      </c>
      <c r="C1628" s="26" t="s">
        <v>9366</v>
      </c>
      <c r="D1628" s="26" t="s">
        <v>9367</v>
      </c>
      <c r="E1628" s="26" t="s">
        <v>5532</v>
      </c>
      <c r="F1628" s="27">
        <v>5762322</v>
      </c>
      <c r="G1628" s="27">
        <v>1</v>
      </c>
      <c r="H1628" s="27">
        <v>0</v>
      </c>
      <c r="I1628" s="27">
        <v>1</v>
      </c>
      <c r="J1628" s="30">
        <f t="shared" si="75"/>
        <v>1</v>
      </c>
      <c r="K1628" s="30">
        <f t="shared" si="76"/>
        <v>0</v>
      </c>
      <c r="L1628" s="26">
        <f t="shared" si="77"/>
        <v>0</v>
      </c>
      <c r="M1628" s="26"/>
    </row>
    <row r="1629" spans="1:13" ht="15" customHeight="1">
      <c r="A1629" s="25">
        <v>1628521</v>
      </c>
      <c r="B1629" s="26" t="s">
        <v>5427</v>
      </c>
      <c r="C1629" s="26" t="s">
        <v>9368</v>
      </c>
      <c r="D1629" s="26" t="s">
        <v>9369</v>
      </c>
      <c r="E1629" s="26" t="s">
        <v>5439</v>
      </c>
      <c r="F1629" s="27">
        <v>5780196</v>
      </c>
      <c r="G1629" s="27">
        <v>1</v>
      </c>
      <c r="H1629" s="27">
        <v>1</v>
      </c>
      <c r="I1629" s="27">
        <v>1</v>
      </c>
      <c r="J1629" s="30">
        <f t="shared" si="75"/>
        <v>1</v>
      </c>
      <c r="K1629" s="30">
        <f t="shared" si="76"/>
        <v>1</v>
      </c>
      <c r="L1629" s="26">
        <f t="shared" si="77"/>
        <v>1</v>
      </c>
      <c r="M1629" s="26"/>
    </row>
    <row r="1630" spans="1:13" ht="15" customHeight="1">
      <c r="A1630" s="25">
        <v>1628559</v>
      </c>
      <c r="B1630" s="26" t="s">
        <v>5427</v>
      </c>
      <c r="C1630" s="26" t="s">
        <v>9370</v>
      </c>
      <c r="D1630" s="26" t="s">
        <v>9371</v>
      </c>
      <c r="E1630" s="26" t="s">
        <v>5430</v>
      </c>
      <c r="F1630" s="27">
        <v>5781073</v>
      </c>
      <c r="G1630" s="27">
        <v>1</v>
      </c>
      <c r="H1630" s="27">
        <v>1</v>
      </c>
      <c r="I1630" s="27">
        <v>1</v>
      </c>
      <c r="J1630" s="30">
        <f t="shared" si="75"/>
        <v>1</v>
      </c>
      <c r="K1630" s="30">
        <f t="shared" si="76"/>
        <v>1</v>
      </c>
      <c r="L1630" s="26">
        <f t="shared" si="77"/>
        <v>1</v>
      </c>
      <c r="M1630" s="26" t="s">
        <v>9372</v>
      </c>
    </row>
    <row r="1631" spans="1:13" ht="15" customHeight="1">
      <c r="A1631" s="25">
        <v>1628788</v>
      </c>
      <c r="B1631" s="26" t="s">
        <v>5423</v>
      </c>
      <c r="C1631" s="26" t="s">
        <v>9373</v>
      </c>
      <c r="D1631" s="26" t="s">
        <v>9374</v>
      </c>
      <c r="E1631" s="26" t="s">
        <v>5707</v>
      </c>
      <c r="F1631" s="27">
        <v>5783234</v>
      </c>
      <c r="G1631" s="27">
        <v>0</v>
      </c>
      <c r="H1631" s="27">
        <v>0</v>
      </c>
      <c r="I1631" s="27">
        <v>0</v>
      </c>
      <c r="J1631" s="30">
        <f t="shared" si="75"/>
        <v>0</v>
      </c>
      <c r="K1631" s="30">
        <f t="shared" si="76"/>
        <v>0</v>
      </c>
      <c r="L1631" s="26">
        <f t="shared" si="77"/>
        <v>0</v>
      </c>
      <c r="M1631" s="26">
        <v>0</v>
      </c>
    </row>
    <row r="1632" spans="1:13" ht="15" customHeight="1">
      <c r="A1632" s="25">
        <v>1628822</v>
      </c>
      <c r="B1632" s="26" t="s">
        <v>5423</v>
      </c>
      <c r="C1632" s="26" t="s">
        <v>9375</v>
      </c>
      <c r="D1632" s="26" t="s">
        <v>9376</v>
      </c>
      <c r="E1632" s="26" t="s">
        <v>5480</v>
      </c>
      <c r="F1632" s="27">
        <v>5784278</v>
      </c>
      <c r="G1632" s="27">
        <v>0</v>
      </c>
      <c r="H1632" s="27">
        <v>0</v>
      </c>
      <c r="I1632" s="27">
        <v>0</v>
      </c>
      <c r="J1632" s="30">
        <f t="shared" si="75"/>
        <v>0</v>
      </c>
      <c r="K1632" s="30">
        <f t="shared" si="76"/>
        <v>0</v>
      </c>
      <c r="L1632" s="26">
        <f t="shared" si="77"/>
        <v>0</v>
      </c>
      <c r="M1632" s="26">
        <v>0</v>
      </c>
    </row>
    <row r="1633" spans="1:13" ht="15" customHeight="1">
      <c r="A1633" s="25">
        <v>1629073</v>
      </c>
      <c r="B1633" s="26" t="s">
        <v>5427</v>
      </c>
      <c r="C1633" s="26" t="s">
        <v>9377</v>
      </c>
      <c r="D1633" s="26" t="s">
        <v>9378</v>
      </c>
      <c r="E1633" s="26" t="s">
        <v>5468</v>
      </c>
      <c r="F1633" s="27">
        <v>5786154</v>
      </c>
      <c r="G1633" s="27">
        <v>0</v>
      </c>
      <c r="H1633" s="27">
        <v>0</v>
      </c>
      <c r="I1633" s="27">
        <v>0</v>
      </c>
      <c r="J1633" s="30">
        <f t="shared" si="75"/>
        <v>0</v>
      </c>
      <c r="K1633" s="30">
        <f t="shared" si="76"/>
        <v>0</v>
      </c>
      <c r="L1633" s="26">
        <f t="shared" si="77"/>
        <v>0</v>
      </c>
      <c r="M1633" s="26">
        <v>0</v>
      </c>
    </row>
    <row r="1634" spans="1:13" ht="15" customHeight="1">
      <c r="A1634" s="25">
        <v>1629247</v>
      </c>
      <c r="B1634" s="26" t="s">
        <v>5423</v>
      </c>
      <c r="C1634" s="26" t="s">
        <v>9379</v>
      </c>
      <c r="D1634" s="26" t="s">
        <v>9380</v>
      </c>
      <c r="E1634" s="26" t="s">
        <v>5452</v>
      </c>
      <c r="F1634" s="27">
        <v>5519455</v>
      </c>
      <c r="G1634" s="27">
        <v>1</v>
      </c>
      <c r="H1634" s="27">
        <v>0</v>
      </c>
      <c r="I1634" s="27">
        <v>1</v>
      </c>
      <c r="J1634" s="30">
        <f t="shared" si="75"/>
        <v>1</v>
      </c>
      <c r="K1634" s="30">
        <f t="shared" si="76"/>
        <v>0</v>
      </c>
      <c r="L1634" s="26">
        <f t="shared" si="77"/>
        <v>0</v>
      </c>
      <c r="M1634" s="26"/>
    </row>
    <row r="1635" spans="1:13" ht="15" customHeight="1">
      <c r="A1635" s="25">
        <v>1629255</v>
      </c>
      <c r="B1635" s="26" t="s">
        <v>5427</v>
      </c>
      <c r="C1635" s="26" t="s">
        <v>9381</v>
      </c>
      <c r="D1635" s="26" t="s">
        <v>9382</v>
      </c>
      <c r="E1635" s="26" t="s">
        <v>5455</v>
      </c>
      <c r="F1635" s="27"/>
      <c r="G1635" s="27">
        <v>0</v>
      </c>
      <c r="H1635" s="27">
        <v>0</v>
      </c>
      <c r="I1635" s="27">
        <v>0</v>
      </c>
      <c r="J1635" s="30">
        <f t="shared" si="75"/>
        <v>0</v>
      </c>
      <c r="K1635" s="30">
        <f t="shared" si="76"/>
        <v>0</v>
      </c>
      <c r="L1635" s="26">
        <f t="shared" si="77"/>
        <v>0</v>
      </c>
      <c r="M1635" s="26" t="s">
        <v>5557</v>
      </c>
    </row>
    <row r="1636" spans="1:13" ht="15" customHeight="1">
      <c r="A1636" s="25">
        <v>1629568</v>
      </c>
      <c r="B1636" s="26" t="s">
        <v>5423</v>
      </c>
      <c r="C1636" s="26" t="s">
        <v>9383</v>
      </c>
      <c r="D1636" s="26" t="s">
        <v>9384</v>
      </c>
      <c r="E1636" s="26" t="s">
        <v>5436</v>
      </c>
      <c r="F1636" s="27">
        <v>5776082</v>
      </c>
      <c r="G1636" s="27">
        <v>1</v>
      </c>
      <c r="H1636" s="27">
        <v>0</v>
      </c>
      <c r="I1636" s="27">
        <v>1</v>
      </c>
      <c r="J1636" s="30">
        <f t="shared" si="75"/>
        <v>1</v>
      </c>
      <c r="K1636" s="30">
        <f t="shared" si="76"/>
        <v>0</v>
      </c>
      <c r="L1636" s="26">
        <f t="shared" si="77"/>
        <v>0</v>
      </c>
      <c r="M1636" s="26"/>
    </row>
    <row r="1637" spans="1:13" ht="15" customHeight="1">
      <c r="A1637" s="25">
        <v>1629685</v>
      </c>
      <c r="B1637" s="26" t="s">
        <v>5423</v>
      </c>
      <c r="C1637" s="26" t="s">
        <v>9385</v>
      </c>
      <c r="D1637" s="26" t="s">
        <v>9386</v>
      </c>
      <c r="E1637" s="26" t="s">
        <v>5535</v>
      </c>
      <c r="F1637" s="27"/>
      <c r="G1637" s="27">
        <v>0</v>
      </c>
      <c r="H1637" s="27">
        <v>0</v>
      </c>
      <c r="I1637" s="27">
        <v>0</v>
      </c>
      <c r="J1637" s="30">
        <f t="shared" si="75"/>
        <v>0</v>
      </c>
      <c r="K1637" s="30">
        <f t="shared" si="76"/>
        <v>0</v>
      </c>
      <c r="L1637" s="26">
        <f t="shared" si="77"/>
        <v>0</v>
      </c>
      <c r="M1637" s="26" t="s">
        <v>8216</v>
      </c>
    </row>
    <row r="1638" spans="1:13" ht="15" customHeight="1">
      <c r="A1638" s="25">
        <v>1629750</v>
      </c>
      <c r="B1638" s="26" t="s">
        <v>5423</v>
      </c>
      <c r="C1638" s="26" t="s">
        <v>9387</v>
      </c>
      <c r="D1638" s="26" t="s">
        <v>9388</v>
      </c>
      <c r="E1638" s="26" t="s">
        <v>5535</v>
      </c>
      <c r="F1638" s="27">
        <v>5777748</v>
      </c>
      <c r="G1638" s="27">
        <v>1</v>
      </c>
      <c r="H1638" s="27">
        <v>0</v>
      </c>
      <c r="I1638" s="27">
        <v>1</v>
      </c>
      <c r="J1638" s="30">
        <f t="shared" si="75"/>
        <v>1</v>
      </c>
      <c r="K1638" s="30">
        <f t="shared" si="76"/>
        <v>0</v>
      </c>
      <c r="L1638" s="26">
        <f t="shared" si="77"/>
        <v>0</v>
      </c>
      <c r="M1638" s="26"/>
    </row>
    <row r="1639" spans="1:13" ht="15" customHeight="1">
      <c r="A1639" s="25">
        <v>1630098</v>
      </c>
      <c r="B1639" s="26" t="s">
        <v>5423</v>
      </c>
      <c r="C1639" s="26" t="s">
        <v>9389</v>
      </c>
      <c r="D1639" s="26" t="s">
        <v>9390</v>
      </c>
      <c r="E1639" s="26" t="s">
        <v>5458</v>
      </c>
      <c r="F1639" s="27">
        <v>5247693</v>
      </c>
      <c r="G1639" s="27">
        <v>0</v>
      </c>
      <c r="H1639" s="27">
        <v>0</v>
      </c>
      <c r="I1639" s="27">
        <v>0</v>
      </c>
      <c r="J1639" s="30">
        <f t="shared" si="75"/>
        <v>0</v>
      </c>
      <c r="K1639" s="30">
        <f t="shared" si="76"/>
        <v>0</v>
      </c>
      <c r="L1639" s="26">
        <f t="shared" si="77"/>
        <v>0</v>
      </c>
      <c r="M1639" s="26" t="s">
        <v>5557</v>
      </c>
    </row>
    <row r="1640" spans="1:13" ht="15" customHeight="1">
      <c r="A1640" s="25">
        <v>1630122</v>
      </c>
      <c r="B1640" s="26" t="s">
        <v>5423</v>
      </c>
      <c r="C1640" s="26" t="s">
        <v>9391</v>
      </c>
      <c r="D1640" s="26" t="s">
        <v>9392</v>
      </c>
      <c r="E1640" s="26" t="s">
        <v>5475</v>
      </c>
      <c r="F1640" s="27">
        <v>5786552</v>
      </c>
      <c r="G1640" s="27">
        <v>1</v>
      </c>
      <c r="H1640" s="27">
        <v>0</v>
      </c>
      <c r="I1640" s="27">
        <v>1</v>
      </c>
      <c r="J1640" s="30">
        <f t="shared" si="75"/>
        <v>1</v>
      </c>
      <c r="K1640" s="30">
        <f t="shared" si="76"/>
        <v>0</v>
      </c>
      <c r="L1640" s="26">
        <f t="shared" si="77"/>
        <v>0</v>
      </c>
      <c r="M1640" s="26"/>
    </row>
    <row r="1641" spans="1:13" ht="15" customHeight="1">
      <c r="A1641" s="25">
        <v>1630542</v>
      </c>
      <c r="B1641" s="26" t="s">
        <v>5423</v>
      </c>
      <c r="C1641" s="26" t="s">
        <v>9393</v>
      </c>
      <c r="D1641" s="26" t="s">
        <v>9394</v>
      </c>
      <c r="E1641" s="26" t="s">
        <v>5468</v>
      </c>
      <c r="F1641" s="27">
        <v>5779588</v>
      </c>
      <c r="G1641" s="27">
        <v>1</v>
      </c>
      <c r="H1641" s="27">
        <v>0</v>
      </c>
      <c r="I1641" s="27">
        <v>1</v>
      </c>
      <c r="J1641" s="30">
        <f t="shared" si="75"/>
        <v>1</v>
      </c>
      <c r="K1641" s="30">
        <f t="shared" si="76"/>
        <v>0</v>
      </c>
      <c r="L1641" s="26">
        <f t="shared" si="77"/>
        <v>0</v>
      </c>
      <c r="M1641" s="26"/>
    </row>
    <row r="1642" spans="1:13" ht="15" customHeight="1">
      <c r="A1642" s="25">
        <v>1630595</v>
      </c>
      <c r="B1642" s="26" t="s">
        <v>5423</v>
      </c>
      <c r="C1642" s="26" t="s">
        <v>9395</v>
      </c>
      <c r="D1642" s="26" t="s">
        <v>9396</v>
      </c>
      <c r="E1642" s="26" t="s">
        <v>5540</v>
      </c>
      <c r="F1642" s="27">
        <v>5738887</v>
      </c>
      <c r="G1642" s="27">
        <v>1</v>
      </c>
      <c r="H1642" s="27">
        <v>0</v>
      </c>
      <c r="I1642" s="27">
        <v>1</v>
      </c>
      <c r="J1642" s="30">
        <f t="shared" si="75"/>
        <v>1</v>
      </c>
      <c r="K1642" s="30">
        <f t="shared" si="76"/>
        <v>0</v>
      </c>
      <c r="L1642" s="26">
        <f t="shared" si="77"/>
        <v>0</v>
      </c>
      <c r="M1642" s="26"/>
    </row>
    <row r="1643" spans="1:13" ht="15" customHeight="1">
      <c r="A1643" s="25">
        <v>1630981</v>
      </c>
      <c r="B1643" s="26" t="s">
        <v>5423</v>
      </c>
      <c r="C1643" s="26" t="s">
        <v>9397</v>
      </c>
      <c r="D1643" s="26" t="s">
        <v>9398</v>
      </c>
      <c r="E1643" s="26" t="s">
        <v>8392</v>
      </c>
      <c r="F1643" s="27">
        <v>5793812</v>
      </c>
      <c r="G1643" s="27">
        <v>0</v>
      </c>
      <c r="H1643" s="27">
        <v>0</v>
      </c>
      <c r="I1643" s="27">
        <v>0</v>
      </c>
      <c r="J1643" s="30">
        <f t="shared" si="75"/>
        <v>0</v>
      </c>
      <c r="K1643" s="30">
        <f t="shared" si="76"/>
        <v>0</v>
      </c>
      <c r="L1643" s="26">
        <f t="shared" si="77"/>
        <v>0</v>
      </c>
      <c r="M1643" s="26">
        <v>0</v>
      </c>
    </row>
    <row r="1644" spans="1:13" ht="15" customHeight="1">
      <c r="A1644" s="25">
        <v>1631002</v>
      </c>
      <c r="B1644" s="26" t="s">
        <v>5427</v>
      </c>
      <c r="C1644" s="26" t="s">
        <v>9399</v>
      </c>
      <c r="D1644" s="26" t="s">
        <v>9400</v>
      </c>
      <c r="E1644" s="26" t="s">
        <v>5540</v>
      </c>
      <c r="F1644" s="27">
        <v>5793633</v>
      </c>
      <c r="G1644" s="27">
        <v>0</v>
      </c>
      <c r="H1644" s="27">
        <v>1</v>
      </c>
      <c r="I1644" s="27">
        <v>1</v>
      </c>
      <c r="J1644" s="30">
        <f t="shared" si="75"/>
        <v>0</v>
      </c>
      <c r="K1644" s="30">
        <f t="shared" si="76"/>
        <v>1</v>
      </c>
      <c r="L1644" s="26">
        <f t="shared" si="77"/>
        <v>0</v>
      </c>
      <c r="M1644" s="26"/>
    </row>
    <row r="1645" spans="1:13" ht="15" customHeight="1">
      <c r="A1645" s="25">
        <v>1631020</v>
      </c>
      <c r="B1645" s="26" t="s">
        <v>5423</v>
      </c>
      <c r="C1645" s="26" t="s">
        <v>9401</v>
      </c>
      <c r="D1645" s="26" t="s">
        <v>9402</v>
      </c>
      <c r="E1645" s="26" t="s">
        <v>5455</v>
      </c>
      <c r="F1645" s="27">
        <v>5793717</v>
      </c>
      <c r="G1645" s="27">
        <v>1</v>
      </c>
      <c r="H1645" s="27">
        <v>0</v>
      </c>
      <c r="I1645" s="27">
        <v>1</v>
      </c>
      <c r="J1645" s="30">
        <f t="shared" si="75"/>
        <v>1</v>
      </c>
      <c r="K1645" s="30">
        <f t="shared" si="76"/>
        <v>0</v>
      </c>
      <c r="L1645" s="26">
        <f t="shared" si="77"/>
        <v>0</v>
      </c>
      <c r="M1645" s="26"/>
    </row>
    <row r="1646" spans="1:13" ht="15" customHeight="1">
      <c r="A1646" s="25">
        <v>1631076</v>
      </c>
      <c r="B1646" s="26" t="s">
        <v>5423</v>
      </c>
      <c r="C1646" s="26" t="s">
        <v>9403</v>
      </c>
      <c r="D1646" s="26" t="s">
        <v>9404</v>
      </c>
      <c r="E1646" s="26" t="s">
        <v>5433</v>
      </c>
      <c r="F1646" s="27">
        <v>5756208</v>
      </c>
      <c r="G1646" s="27">
        <v>1</v>
      </c>
      <c r="H1646" s="27">
        <v>0</v>
      </c>
      <c r="I1646" s="27">
        <v>1</v>
      </c>
      <c r="J1646" s="30">
        <f t="shared" si="75"/>
        <v>1</v>
      </c>
      <c r="K1646" s="30">
        <f t="shared" si="76"/>
        <v>0</v>
      </c>
      <c r="L1646" s="26">
        <f t="shared" si="77"/>
        <v>0</v>
      </c>
      <c r="M1646" s="26"/>
    </row>
    <row r="1647" spans="1:13" ht="15" customHeight="1">
      <c r="A1647" s="25">
        <v>1631086</v>
      </c>
      <c r="B1647" s="26" t="s">
        <v>5427</v>
      </c>
      <c r="C1647" s="26" t="s">
        <v>9405</v>
      </c>
      <c r="D1647" s="26" t="s">
        <v>9406</v>
      </c>
      <c r="E1647" s="26" t="s">
        <v>5436</v>
      </c>
      <c r="F1647" s="27">
        <v>5602141</v>
      </c>
      <c r="G1647" s="27">
        <v>1</v>
      </c>
      <c r="H1647" s="27">
        <v>0</v>
      </c>
      <c r="I1647" s="27">
        <v>1</v>
      </c>
      <c r="J1647" s="30">
        <f t="shared" si="75"/>
        <v>1</v>
      </c>
      <c r="K1647" s="30">
        <f t="shared" si="76"/>
        <v>0</v>
      </c>
      <c r="L1647" s="26">
        <f t="shared" si="77"/>
        <v>0</v>
      </c>
      <c r="M1647" s="26"/>
    </row>
    <row r="1648" spans="1:13" ht="15" customHeight="1">
      <c r="A1648" s="25">
        <v>1631141</v>
      </c>
      <c r="B1648" s="26" t="s">
        <v>5427</v>
      </c>
      <c r="C1648" s="26" t="s">
        <v>9407</v>
      </c>
      <c r="D1648" s="26" t="s">
        <v>9408</v>
      </c>
      <c r="E1648" s="26" t="s">
        <v>5683</v>
      </c>
      <c r="F1648" s="27">
        <v>5661123</v>
      </c>
      <c r="G1648" s="27">
        <v>1</v>
      </c>
      <c r="H1648" s="27">
        <v>1</v>
      </c>
      <c r="I1648" s="27">
        <v>1</v>
      </c>
      <c r="J1648" s="30">
        <f t="shared" si="75"/>
        <v>1</v>
      </c>
      <c r="K1648" s="30">
        <f t="shared" si="76"/>
        <v>1</v>
      </c>
      <c r="L1648" s="26">
        <f t="shared" si="77"/>
        <v>1</v>
      </c>
      <c r="M1648" s="26"/>
    </row>
    <row r="1649" spans="1:13" ht="15" customHeight="1">
      <c r="A1649" s="25">
        <v>1631308</v>
      </c>
      <c r="B1649" s="26" t="s">
        <v>5423</v>
      </c>
      <c r="C1649" s="26" t="s">
        <v>9409</v>
      </c>
      <c r="D1649" s="26" t="s">
        <v>9410</v>
      </c>
      <c r="E1649" s="26" t="s">
        <v>5718</v>
      </c>
      <c r="F1649" s="27">
        <v>5758905</v>
      </c>
      <c r="G1649" s="27">
        <v>1</v>
      </c>
      <c r="H1649" s="27">
        <v>0</v>
      </c>
      <c r="I1649" s="27">
        <v>1</v>
      </c>
      <c r="J1649" s="30">
        <f t="shared" si="75"/>
        <v>1</v>
      </c>
      <c r="K1649" s="30">
        <f t="shared" si="76"/>
        <v>0</v>
      </c>
      <c r="L1649" s="26">
        <f t="shared" si="77"/>
        <v>0</v>
      </c>
      <c r="M1649" s="26"/>
    </row>
    <row r="1650" spans="1:13" ht="15" customHeight="1">
      <c r="A1650" s="25">
        <v>1631852</v>
      </c>
      <c r="B1650" s="26" t="s">
        <v>5427</v>
      </c>
      <c r="C1650" s="26" t="s">
        <v>9411</v>
      </c>
      <c r="D1650" s="26" t="s">
        <v>9412</v>
      </c>
      <c r="E1650" s="26" t="s">
        <v>5507</v>
      </c>
      <c r="F1650" s="27"/>
      <c r="G1650" s="27">
        <v>0</v>
      </c>
      <c r="H1650" s="27">
        <v>0</v>
      </c>
      <c r="I1650" s="27">
        <v>0</v>
      </c>
      <c r="J1650" s="30">
        <f t="shared" si="75"/>
        <v>0</v>
      </c>
      <c r="K1650" s="30">
        <f t="shared" si="76"/>
        <v>0</v>
      </c>
      <c r="L1650" s="26">
        <f t="shared" si="77"/>
        <v>0</v>
      </c>
      <c r="M1650" s="26" t="s">
        <v>5557</v>
      </c>
    </row>
    <row r="1651" spans="1:13" ht="15" customHeight="1">
      <c r="A1651" s="25">
        <v>1631901</v>
      </c>
      <c r="B1651" s="26" t="s">
        <v>5427</v>
      </c>
      <c r="C1651" s="26" t="s">
        <v>9413</v>
      </c>
      <c r="D1651" s="26" t="s">
        <v>9414</v>
      </c>
      <c r="E1651" s="26" t="s">
        <v>5968</v>
      </c>
      <c r="F1651" s="27">
        <v>5790745</v>
      </c>
      <c r="G1651" s="27">
        <v>1</v>
      </c>
      <c r="H1651" s="27">
        <v>1</v>
      </c>
      <c r="I1651" s="27">
        <v>1</v>
      </c>
      <c r="J1651" s="30">
        <f t="shared" si="75"/>
        <v>1</v>
      </c>
      <c r="K1651" s="30">
        <f t="shared" si="76"/>
        <v>1</v>
      </c>
      <c r="L1651" s="26">
        <f t="shared" si="77"/>
        <v>1</v>
      </c>
      <c r="M1651" s="26"/>
    </row>
    <row r="1652" spans="1:13" ht="15" customHeight="1">
      <c r="A1652" s="25">
        <v>1632093</v>
      </c>
      <c r="B1652" s="26" t="s">
        <v>5423</v>
      </c>
      <c r="C1652" s="26" t="s">
        <v>9415</v>
      </c>
      <c r="D1652" s="26" t="s">
        <v>9416</v>
      </c>
      <c r="E1652" s="26" t="s">
        <v>5683</v>
      </c>
      <c r="F1652" s="27">
        <v>5789918</v>
      </c>
      <c r="G1652" s="27">
        <v>1</v>
      </c>
      <c r="H1652" s="27">
        <v>0</v>
      </c>
      <c r="I1652" s="27">
        <v>1</v>
      </c>
      <c r="J1652" s="30">
        <f t="shared" si="75"/>
        <v>1</v>
      </c>
      <c r="K1652" s="30">
        <f t="shared" si="76"/>
        <v>0</v>
      </c>
      <c r="L1652" s="26">
        <f t="shared" si="77"/>
        <v>0</v>
      </c>
      <c r="M1652" s="26"/>
    </row>
    <row r="1653" spans="1:13" ht="15" customHeight="1">
      <c r="A1653" s="25">
        <v>1632493</v>
      </c>
      <c r="B1653" s="26" t="s">
        <v>5423</v>
      </c>
      <c r="C1653" s="26" t="s">
        <v>9417</v>
      </c>
      <c r="D1653" s="26" t="s">
        <v>9418</v>
      </c>
      <c r="E1653" s="26" t="s">
        <v>5491</v>
      </c>
      <c r="F1653" s="27">
        <v>5796900</v>
      </c>
      <c r="G1653" s="27">
        <v>1</v>
      </c>
      <c r="H1653" s="27">
        <v>0</v>
      </c>
      <c r="I1653" s="27">
        <v>1</v>
      </c>
      <c r="J1653" s="30">
        <f t="shared" si="75"/>
        <v>1</v>
      </c>
      <c r="K1653" s="30">
        <f t="shared" si="76"/>
        <v>0</v>
      </c>
      <c r="L1653" s="26">
        <f t="shared" si="77"/>
        <v>0</v>
      </c>
      <c r="M1653" s="26" t="s">
        <v>8209</v>
      </c>
    </row>
    <row r="1654" spans="1:13" ht="15" customHeight="1">
      <c r="A1654" s="25">
        <v>1632630</v>
      </c>
      <c r="B1654" s="26" t="s">
        <v>5423</v>
      </c>
      <c r="C1654" s="26" t="s">
        <v>9419</v>
      </c>
      <c r="D1654" s="26" t="s">
        <v>9420</v>
      </c>
      <c r="E1654" s="26" t="s">
        <v>5610</v>
      </c>
      <c r="F1654" s="27"/>
      <c r="G1654" s="27">
        <v>0</v>
      </c>
      <c r="H1654" s="27">
        <v>0</v>
      </c>
      <c r="I1654" s="27">
        <v>0</v>
      </c>
      <c r="J1654" s="30">
        <f t="shared" si="75"/>
        <v>0</v>
      </c>
      <c r="K1654" s="30">
        <f t="shared" si="76"/>
        <v>0</v>
      </c>
      <c r="L1654" s="26">
        <f t="shared" si="77"/>
        <v>0</v>
      </c>
      <c r="M1654" s="26" t="s">
        <v>5557</v>
      </c>
    </row>
    <row r="1655" spans="1:13" ht="15" customHeight="1">
      <c r="A1655" s="25">
        <v>1632643</v>
      </c>
      <c r="B1655" s="26" t="s">
        <v>5423</v>
      </c>
      <c r="C1655" s="26" t="s">
        <v>9421</v>
      </c>
      <c r="D1655" s="26" t="s">
        <v>9422</v>
      </c>
      <c r="E1655" s="26" t="s">
        <v>5426</v>
      </c>
      <c r="F1655" s="27">
        <v>5798092</v>
      </c>
      <c r="G1655" s="27">
        <v>1</v>
      </c>
      <c r="H1655" s="27">
        <v>0</v>
      </c>
      <c r="I1655" s="27">
        <v>1</v>
      </c>
      <c r="J1655" s="30">
        <f t="shared" si="75"/>
        <v>1</v>
      </c>
      <c r="K1655" s="30">
        <f t="shared" si="76"/>
        <v>0</v>
      </c>
      <c r="L1655" s="26">
        <f t="shared" si="77"/>
        <v>0</v>
      </c>
      <c r="M1655" s="26" t="s">
        <v>9423</v>
      </c>
    </row>
    <row r="1656" spans="1:13" ht="15" customHeight="1">
      <c r="A1656" s="25">
        <v>1632860</v>
      </c>
      <c r="B1656" s="26" t="s">
        <v>5427</v>
      </c>
      <c r="C1656" s="26" t="s">
        <v>9424</v>
      </c>
      <c r="D1656" s="26" t="s">
        <v>9425</v>
      </c>
      <c r="E1656" s="26" t="s">
        <v>5763</v>
      </c>
      <c r="F1656" s="27">
        <v>5800527</v>
      </c>
      <c r="G1656" s="27">
        <v>1</v>
      </c>
      <c r="H1656" s="27">
        <v>1</v>
      </c>
      <c r="I1656" s="27">
        <v>1</v>
      </c>
      <c r="J1656" s="30">
        <f t="shared" si="75"/>
        <v>1</v>
      </c>
      <c r="K1656" s="30">
        <f t="shared" si="76"/>
        <v>1</v>
      </c>
      <c r="L1656" s="26">
        <f t="shared" si="77"/>
        <v>1</v>
      </c>
      <c r="M1656" s="26" t="s">
        <v>8169</v>
      </c>
    </row>
    <row r="1657" spans="1:13" ht="15" customHeight="1">
      <c r="A1657" s="25" t="s">
        <v>9426</v>
      </c>
      <c r="B1657" s="26" t="s">
        <v>5423</v>
      </c>
      <c r="C1657" s="26" t="s">
        <v>9427</v>
      </c>
      <c r="D1657" s="26" t="s">
        <v>9428</v>
      </c>
      <c r="E1657" s="26" t="s">
        <v>5436</v>
      </c>
      <c r="F1657" s="27">
        <v>2441376</v>
      </c>
      <c r="G1657" s="27">
        <v>2</v>
      </c>
      <c r="H1657" s="27">
        <v>0</v>
      </c>
      <c r="I1657" s="27">
        <v>1</v>
      </c>
      <c r="J1657" s="30">
        <f t="shared" si="75"/>
        <v>1</v>
      </c>
      <c r="K1657" s="30">
        <f t="shared" si="76"/>
        <v>0</v>
      </c>
      <c r="L1657" s="26">
        <f t="shared" si="77"/>
        <v>0</v>
      </c>
      <c r="M1657" s="26" t="s">
        <v>5611</v>
      </c>
    </row>
    <row r="1658" spans="1:13" ht="15" customHeight="1">
      <c r="A1658" s="25">
        <v>1632918</v>
      </c>
      <c r="B1658" s="26" t="s">
        <v>5427</v>
      </c>
      <c r="C1658" s="26" t="s">
        <v>9429</v>
      </c>
      <c r="D1658" s="26" t="s">
        <v>9430</v>
      </c>
      <c r="E1658" s="26" t="s">
        <v>5433</v>
      </c>
      <c r="F1658" s="27">
        <v>5520950</v>
      </c>
      <c r="G1658" s="27">
        <v>0</v>
      </c>
      <c r="H1658" s="27">
        <v>0</v>
      </c>
      <c r="I1658" s="27">
        <v>0</v>
      </c>
      <c r="J1658" s="30">
        <f t="shared" si="75"/>
        <v>0</v>
      </c>
      <c r="K1658" s="30">
        <f t="shared" si="76"/>
        <v>0</v>
      </c>
      <c r="L1658" s="26">
        <f t="shared" si="77"/>
        <v>0</v>
      </c>
      <c r="M1658" s="26">
        <v>0</v>
      </c>
    </row>
    <row r="1659" spans="1:13" ht="15" customHeight="1">
      <c r="A1659" s="25">
        <v>1632957</v>
      </c>
      <c r="B1659" s="26" t="s">
        <v>5427</v>
      </c>
      <c r="C1659" s="26" t="s">
        <v>9431</v>
      </c>
      <c r="D1659" s="26" t="s">
        <v>9432</v>
      </c>
      <c r="E1659" s="26" t="s">
        <v>5545</v>
      </c>
      <c r="F1659" s="27">
        <v>5801285</v>
      </c>
      <c r="G1659" s="27">
        <v>1</v>
      </c>
      <c r="H1659" s="27">
        <v>0</v>
      </c>
      <c r="I1659" s="27">
        <v>1</v>
      </c>
      <c r="J1659" s="30">
        <f t="shared" si="75"/>
        <v>1</v>
      </c>
      <c r="K1659" s="30">
        <f t="shared" si="76"/>
        <v>0</v>
      </c>
      <c r="L1659" s="26">
        <f t="shared" si="77"/>
        <v>0</v>
      </c>
      <c r="M1659" s="26"/>
    </row>
    <row r="1660" spans="1:13" ht="15" customHeight="1">
      <c r="A1660" s="25">
        <v>1633316</v>
      </c>
      <c r="B1660" s="26" t="s">
        <v>5423</v>
      </c>
      <c r="C1660" s="26" t="s">
        <v>9433</v>
      </c>
      <c r="D1660" s="26" t="s">
        <v>9434</v>
      </c>
      <c r="E1660" s="26" t="s">
        <v>5683</v>
      </c>
      <c r="F1660" s="27">
        <v>5801857</v>
      </c>
      <c r="G1660" s="27">
        <v>0</v>
      </c>
      <c r="H1660" s="27">
        <v>0</v>
      </c>
      <c r="I1660" s="27">
        <v>0</v>
      </c>
      <c r="J1660" s="30">
        <f t="shared" si="75"/>
        <v>0</v>
      </c>
      <c r="K1660" s="30">
        <f t="shared" si="76"/>
        <v>0</v>
      </c>
      <c r="L1660" s="26">
        <f t="shared" si="77"/>
        <v>0</v>
      </c>
      <c r="M1660" s="26">
        <v>0</v>
      </c>
    </row>
    <row r="1661" spans="1:13" ht="15" customHeight="1">
      <c r="A1661" s="25">
        <v>1633391</v>
      </c>
      <c r="B1661" s="26" t="s">
        <v>5423</v>
      </c>
      <c r="C1661" s="26" t="s">
        <v>9435</v>
      </c>
      <c r="D1661" s="26" t="s">
        <v>9436</v>
      </c>
      <c r="E1661" s="26" t="s">
        <v>5586</v>
      </c>
      <c r="F1661" s="27">
        <v>3908362</v>
      </c>
      <c r="G1661" s="27">
        <v>0</v>
      </c>
      <c r="H1661" s="27">
        <v>0</v>
      </c>
      <c r="I1661" s="27">
        <v>0</v>
      </c>
      <c r="J1661" s="30">
        <f t="shared" si="75"/>
        <v>0</v>
      </c>
      <c r="K1661" s="30">
        <f t="shared" si="76"/>
        <v>0</v>
      </c>
      <c r="L1661" s="26">
        <f t="shared" si="77"/>
        <v>0</v>
      </c>
      <c r="M1661" s="26" t="s">
        <v>5567</v>
      </c>
    </row>
    <row r="1662" spans="1:13" ht="15" customHeight="1">
      <c r="A1662" s="25">
        <v>1633469</v>
      </c>
      <c r="B1662" s="26" t="s">
        <v>5427</v>
      </c>
      <c r="C1662" s="26" t="s">
        <v>9437</v>
      </c>
      <c r="D1662" s="26" t="s">
        <v>9438</v>
      </c>
      <c r="E1662" s="26" t="s">
        <v>5586</v>
      </c>
      <c r="F1662" s="27">
        <v>5796142</v>
      </c>
      <c r="G1662" s="27">
        <v>0</v>
      </c>
      <c r="H1662" s="27">
        <v>0</v>
      </c>
      <c r="I1662" s="27">
        <v>0</v>
      </c>
      <c r="J1662" s="30">
        <f t="shared" si="75"/>
        <v>0</v>
      </c>
      <c r="K1662" s="30">
        <f t="shared" si="76"/>
        <v>0</v>
      </c>
      <c r="L1662" s="26">
        <f t="shared" si="77"/>
        <v>0</v>
      </c>
      <c r="M1662" s="26">
        <v>0</v>
      </c>
    </row>
    <row r="1663" spans="1:13" ht="15" customHeight="1">
      <c r="A1663" s="25">
        <v>1633497</v>
      </c>
      <c r="B1663" s="26" t="s">
        <v>5427</v>
      </c>
      <c r="C1663" s="26" t="s">
        <v>9439</v>
      </c>
      <c r="D1663" s="26" t="s">
        <v>9440</v>
      </c>
      <c r="E1663" s="26" t="s">
        <v>5430</v>
      </c>
      <c r="F1663" s="27">
        <v>5801917</v>
      </c>
      <c r="G1663" s="27">
        <v>1</v>
      </c>
      <c r="H1663" s="27">
        <v>0</v>
      </c>
      <c r="I1663" s="27">
        <v>1</v>
      </c>
      <c r="J1663" s="30">
        <f t="shared" si="75"/>
        <v>1</v>
      </c>
      <c r="K1663" s="30">
        <f t="shared" si="76"/>
        <v>0</v>
      </c>
      <c r="L1663" s="26">
        <f t="shared" si="77"/>
        <v>0</v>
      </c>
      <c r="M1663" s="26"/>
    </row>
    <row r="1664" spans="1:13" ht="15" customHeight="1">
      <c r="A1664" s="25">
        <v>1633582</v>
      </c>
      <c r="B1664" s="26" t="s">
        <v>5427</v>
      </c>
      <c r="C1664" s="26" t="s">
        <v>9441</v>
      </c>
      <c r="D1664" s="26" t="s">
        <v>9442</v>
      </c>
      <c r="E1664" s="26" t="s">
        <v>5475</v>
      </c>
      <c r="F1664" s="27">
        <v>5801914</v>
      </c>
      <c r="G1664" s="27">
        <v>0</v>
      </c>
      <c r="H1664" s="27">
        <v>0</v>
      </c>
      <c r="I1664" s="27">
        <v>0</v>
      </c>
      <c r="J1664" s="30">
        <f t="shared" si="75"/>
        <v>0</v>
      </c>
      <c r="K1664" s="30">
        <f t="shared" si="76"/>
        <v>0</v>
      </c>
      <c r="L1664" s="26">
        <f t="shared" si="77"/>
        <v>0</v>
      </c>
      <c r="M1664" s="26">
        <v>0</v>
      </c>
    </row>
    <row r="1665" spans="1:13" ht="15" customHeight="1">
      <c r="A1665" s="25">
        <v>1633584</v>
      </c>
      <c r="B1665" s="26" t="s">
        <v>5423</v>
      </c>
      <c r="C1665" s="26" t="s">
        <v>9443</v>
      </c>
      <c r="D1665" s="26" t="s">
        <v>9444</v>
      </c>
      <c r="E1665" s="26" t="s">
        <v>5540</v>
      </c>
      <c r="F1665" s="27">
        <v>5803139</v>
      </c>
      <c r="G1665" s="27">
        <v>0</v>
      </c>
      <c r="H1665" s="27">
        <v>0</v>
      </c>
      <c r="I1665" s="27">
        <v>0</v>
      </c>
      <c r="J1665" s="30">
        <f t="shared" si="75"/>
        <v>0</v>
      </c>
      <c r="K1665" s="30">
        <f t="shared" si="76"/>
        <v>0</v>
      </c>
      <c r="L1665" s="26">
        <f t="shared" si="77"/>
        <v>0</v>
      </c>
      <c r="M1665" s="26">
        <v>0</v>
      </c>
    </row>
    <row r="1666" spans="1:13" ht="15" customHeight="1">
      <c r="A1666" s="25">
        <v>1633624</v>
      </c>
      <c r="B1666" s="26" t="s">
        <v>5423</v>
      </c>
      <c r="C1666" s="26" t="s">
        <v>9445</v>
      </c>
      <c r="D1666" s="26" t="s">
        <v>9446</v>
      </c>
      <c r="E1666" s="26" t="s">
        <v>6075</v>
      </c>
      <c r="F1666" s="27">
        <v>5803595</v>
      </c>
      <c r="G1666" s="27">
        <v>1</v>
      </c>
      <c r="H1666" s="27">
        <v>1</v>
      </c>
      <c r="I1666" s="27">
        <v>1</v>
      </c>
      <c r="J1666" s="30">
        <f t="shared" ref="J1666:J1729" si="78">IF(G1666&gt;0,1,0)</f>
        <v>1</v>
      </c>
      <c r="K1666" s="30">
        <f t="shared" ref="K1666:K1729" si="79">IF(H1666&gt;0,1,0)</f>
        <v>1</v>
      </c>
      <c r="L1666" s="26">
        <f t="shared" ref="L1666:L1729" si="80">IF(G1666&gt;0,IF(H1666&gt;0,1,0),0)</f>
        <v>1</v>
      </c>
      <c r="M1666" s="26"/>
    </row>
    <row r="1667" spans="1:13" ht="15" customHeight="1">
      <c r="A1667" s="25">
        <v>1633708</v>
      </c>
      <c r="B1667" s="26" t="s">
        <v>5427</v>
      </c>
      <c r="C1667" s="26" t="s">
        <v>9447</v>
      </c>
      <c r="D1667" s="26" t="s">
        <v>9448</v>
      </c>
      <c r="E1667" s="26" t="s">
        <v>6541</v>
      </c>
      <c r="F1667" s="27">
        <v>5792188</v>
      </c>
      <c r="G1667" s="27">
        <v>1</v>
      </c>
      <c r="H1667" s="27">
        <v>0</v>
      </c>
      <c r="I1667" s="27">
        <v>1</v>
      </c>
      <c r="J1667" s="30">
        <f t="shared" si="78"/>
        <v>1</v>
      </c>
      <c r="K1667" s="30">
        <f t="shared" si="79"/>
        <v>0</v>
      </c>
      <c r="L1667" s="26">
        <f t="shared" si="80"/>
        <v>0</v>
      </c>
      <c r="M1667" s="26"/>
    </row>
    <row r="1668" spans="1:13" ht="15" customHeight="1">
      <c r="A1668" s="25">
        <v>1633787</v>
      </c>
      <c r="B1668" s="26" t="s">
        <v>5423</v>
      </c>
      <c r="C1668" s="26" t="s">
        <v>9449</v>
      </c>
      <c r="D1668" s="26" t="s">
        <v>9450</v>
      </c>
      <c r="E1668" s="26" t="s">
        <v>5550</v>
      </c>
      <c r="F1668" s="27"/>
      <c r="G1668" s="27">
        <v>0</v>
      </c>
      <c r="H1668" s="27">
        <v>0</v>
      </c>
      <c r="I1668" s="27">
        <v>0</v>
      </c>
      <c r="J1668" s="30">
        <f t="shared" si="78"/>
        <v>0</v>
      </c>
      <c r="K1668" s="30">
        <f t="shared" si="79"/>
        <v>0</v>
      </c>
      <c r="L1668" s="26">
        <f t="shared" si="80"/>
        <v>0</v>
      </c>
      <c r="M1668" s="26" t="s">
        <v>5567</v>
      </c>
    </row>
    <row r="1669" spans="1:13" ht="15" customHeight="1">
      <c r="A1669" s="25">
        <v>1633824</v>
      </c>
      <c r="B1669" s="26" t="s">
        <v>5427</v>
      </c>
      <c r="C1669" s="26" t="s">
        <v>9451</v>
      </c>
      <c r="D1669" s="26" t="s">
        <v>9452</v>
      </c>
      <c r="E1669" s="26" t="s">
        <v>5433</v>
      </c>
      <c r="F1669" s="27">
        <v>5804256</v>
      </c>
      <c r="G1669" s="27">
        <v>0</v>
      </c>
      <c r="H1669" s="27">
        <v>0</v>
      </c>
      <c r="I1669" s="27">
        <v>0</v>
      </c>
      <c r="J1669" s="30">
        <f t="shared" si="78"/>
        <v>0</v>
      </c>
      <c r="K1669" s="30">
        <f t="shared" si="79"/>
        <v>0</v>
      </c>
      <c r="L1669" s="26">
        <f t="shared" si="80"/>
        <v>0</v>
      </c>
      <c r="M1669" s="26">
        <v>0</v>
      </c>
    </row>
    <row r="1670" spans="1:13" ht="15" customHeight="1">
      <c r="A1670" s="25">
        <v>1633836</v>
      </c>
      <c r="B1670" s="26" t="s">
        <v>5423</v>
      </c>
      <c r="C1670" s="26" t="s">
        <v>9453</v>
      </c>
      <c r="D1670" s="26" t="s">
        <v>9454</v>
      </c>
      <c r="E1670" s="26" t="s">
        <v>5468</v>
      </c>
      <c r="F1670" s="27">
        <v>5803802</v>
      </c>
      <c r="G1670" s="27">
        <v>0</v>
      </c>
      <c r="H1670" s="27">
        <v>0</v>
      </c>
      <c r="I1670" s="27">
        <v>0</v>
      </c>
      <c r="J1670" s="30">
        <f t="shared" si="78"/>
        <v>0</v>
      </c>
      <c r="K1670" s="30">
        <f t="shared" si="79"/>
        <v>0</v>
      </c>
      <c r="L1670" s="26">
        <f t="shared" si="80"/>
        <v>0</v>
      </c>
      <c r="M1670" s="26">
        <v>0</v>
      </c>
    </row>
    <row r="1671" spans="1:13" ht="15" customHeight="1">
      <c r="A1671" s="25">
        <v>1633844</v>
      </c>
      <c r="B1671" s="26" t="s">
        <v>5423</v>
      </c>
      <c r="C1671" s="26" t="s">
        <v>9455</v>
      </c>
      <c r="D1671" s="26" t="s">
        <v>9456</v>
      </c>
      <c r="E1671" s="26" t="s">
        <v>5442</v>
      </c>
      <c r="F1671" s="27">
        <v>5796550</v>
      </c>
      <c r="G1671" s="27">
        <v>0</v>
      </c>
      <c r="H1671" s="27">
        <v>0</v>
      </c>
      <c r="I1671" s="27">
        <v>0</v>
      </c>
      <c r="J1671" s="30">
        <f t="shared" si="78"/>
        <v>0</v>
      </c>
      <c r="K1671" s="30">
        <f t="shared" si="79"/>
        <v>0</v>
      </c>
      <c r="L1671" s="26">
        <f t="shared" si="80"/>
        <v>0</v>
      </c>
      <c r="M1671" s="26">
        <v>0</v>
      </c>
    </row>
    <row r="1672" spans="1:13" ht="15" customHeight="1">
      <c r="A1672" s="25">
        <v>1633936</v>
      </c>
      <c r="B1672" s="26" t="s">
        <v>5423</v>
      </c>
      <c r="C1672" s="26" t="s">
        <v>9457</v>
      </c>
      <c r="D1672" s="26" t="s">
        <v>9458</v>
      </c>
      <c r="E1672" s="26" t="s">
        <v>5447</v>
      </c>
      <c r="F1672" s="27">
        <v>5803286</v>
      </c>
      <c r="G1672" s="27">
        <v>0</v>
      </c>
      <c r="H1672" s="27">
        <v>0</v>
      </c>
      <c r="I1672" s="27">
        <v>0</v>
      </c>
      <c r="J1672" s="30">
        <f t="shared" si="78"/>
        <v>0</v>
      </c>
      <c r="K1672" s="30">
        <f t="shared" si="79"/>
        <v>0</v>
      </c>
      <c r="L1672" s="26">
        <f t="shared" si="80"/>
        <v>0</v>
      </c>
      <c r="M1672" s="26">
        <v>0</v>
      </c>
    </row>
    <row r="1673" spans="1:13" ht="15" customHeight="1">
      <c r="A1673" s="25">
        <v>1634043</v>
      </c>
      <c r="B1673" s="26" t="s">
        <v>5423</v>
      </c>
      <c r="C1673" s="26" t="s">
        <v>9459</v>
      </c>
      <c r="D1673" s="26" t="s">
        <v>9460</v>
      </c>
      <c r="E1673" s="26" t="s">
        <v>5430</v>
      </c>
      <c r="F1673" s="27">
        <v>5760903</v>
      </c>
      <c r="G1673" s="27">
        <v>1</v>
      </c>
      <c r="H1673" s="27">
        <v>0</v>
      </c>
      <c r="I1673" s="27">
        <v>1</v>
      </c>
      <c r="J1673" s="30">
        <f t="shared" si="78"/>
        <v>1</v>
      </c>
      <c r="K1673" s="30">
        <f t="shared" si="79"/>
        <v>0</v>
      </c>
      <c r="L1673" s="26">
        <f t="shared" si="80"/>
        <v>0</v>
      </c>
      <c r="M1673" s="26"/>
    </row>
    <row r="1674" spans="1:13" ht="15" customHeight="1">
      <c r="A1674" s="25">
        <v>1634152</v>
      </c>
      <c r="B1674" s="26" t="s">
        <v>5423</v>
      </c>
      <c r="C1674" s="26" t="s">
        <v>9461</v>
      </c>
      <c r="D1674" s="26" t="s">
        <v>9462</v>
      </c>
      <c r="E1674" s="26" t="s">
        <v>8392</v>
      </c>
      <c r="F1674" s="27">
        <v>5805667</v>
      </c>
      <c r="G1674" s="27">
        <v>0</v>
      </c>
      <c r="H1674" s="27">
        <v>0</v>
      </c>
      <c r="I1674" s="27">
        <v>0</v>
      </c>
      <c r="J1674" s="30">
        <f t="shared" si="78"/>
        <v>0</v>
      </c>
      <c r="K1674" s="30">
        <f t="shared" si="79"/>
        <v>0</v>
      </c>
      <c r="L1674" s="26">
        <f t="shared" si="80"/>
        <v>0</v>
      </c>
      <c r="M1674" s="26">
        <v>0</v>
      </c>
    </row>
    <row r="1675" spans="1:13" ht="15" customHeight="1">
      <c r="A1675" s="25">
        <v>1634167</v>
      </c>
      <c r="B1675" s="26" t="s">
        <v>5423</v>
      </c>
      <c r="C1675" s="26" t="s">
        <v>9463</v>
      </c>
      <c r="D1675" s="26" t="s">
        <v>9464</v>
      </c>
      <c r="E1675" s="26" t="s">
        <v>5480</v>
      </c>
      <c r="F1675" s="27">
        <v>5800625</v>
      </c>
      <c r="G1675" s="27">
        <v>0</v>
      </c>
      <c r="H1675" s="27">
        <v>0</v>
      </c>
      <c r="I1675" s="27">
        <v>0</v>
      </c>
      <c r="J1675" s="30">
        <f t="shared" si="78"/>
        <v>0</v>
      </c>
      <c r="K1675" s="30">
        <f t="shared" si="79"/>
        <v>0</v>
      </c>
      <c r="L1675" s="26">
        <f t="shared" si="80"/>
        <v>0</v>
      </c>
      <c r="M1675" s="26">
        <v>0</v>
      </c>
    </row>
    <row r="1676" spans="1:13" ht="15" customHeight="1">
      <c r="A1676" s="25">
        <v>1634453</v>
      </c>
      <c r="B1676" s="26" t="s">
        <v>5423</v>
      </c>
      <c r="C1676" s="26" t="s">
        <v>9465</v>
      </c>
      <c r="D1676" s="26" t="s">
        <v>9466</v>
      </c>
      <c r="E1676" s="26" t="s">
        <v>5455</v>
      </c>
      <c r="F1676" s="27">
        <v>4733466</v>
      </c>
      <c r="G1676" s="27">
        <v>1</v>
      </c>
      <c r="H1676" s="27">
        <v>0</v>
      </c>
      <c r="I1676" s="27">
        <v>1</v>
      </c>
      <c r="J1676" s="30">
        <f t="shared" si="78"/>
        <v>1</v>
      </c>
      <c r="K1676" s="30">
        <f t="shared" si="79"/>
        <v>0</v>
      </c>
      <c r="L1676" s="26">
        <f t="shared" si="80"/>
        <v>0</v>
      </c>
      <c r="M1676" s="26"/>
    </row>
    <row r="1677" spans="1:13" ht="15" customHeight="1">
      <c r="A1677" s="25">
        <v>1634626</v>
      </c>
      <c r="B1677" s="26" t="s">
        <v>5427</v>
      </c>
      <c r="C1677" s="26" t="s">
        <v>9467</v>
      </c>
      <c r="D1677" s="26" t="s">
        <v>9468</v>
      </c>
      <c r="E1677" s="26" t="s">
        <v>5480</v>
      </c>
      <c r="F1677" s="27">
        <v>5801254</v>
      </c>
      <c r="G1677" s="27">
        <v>1</v>
      </c>
      <c r="H1677" s="27">
        <v>0</v>
      </c>
      <c r="I1677" s="27">
        <v>1</v>
      </c>
      <c r="J1677" s="30">
        <f t="shared" si="78"/>
        <v>1</v>
      </c>
      <c r="K1677" s="30">
        <f t="shared" si="79"/>
        <v>0</v>
      </c>
      <c r="L1677" s="26">
        <f t="shared" si="80"/>
        <v>0</v>
      </c>
      <c r="M1677" s="26"/>
    </row>
    <row r="1678" spans="1:13" ht="15" customHeight="1">
      <c r="A1678" s="25">
        <v>1634729</v>
      </c>
      <c r="B1678" s="26" t="s">
        <v>5423</v>
      </c>
      <c r="C1678" s="26" t="s">
        <v>9469</v>
      </c>
      <c r="D1678" s="26" t="s">
        <v>9470</v>
      </c>
      <c r="E1678" s="26" t="s">
        <v>5683</v>
      </c>
      <c r="F1678" s="27">
        <v>5597957</v>
      </c>
      <c r="G1678" s="27">
        <v>1</v>
      </c>
      <c r="H1678" s="27">
        <v>1</v>
      </c>
      <c r="I1678" s="27">
        <v>1</v>
      </c>
      <c r="J1678" s="30">
        <f t="shared" si="78"/>
        <v>1</v>
      </c>
      <c r="K1678" s="30">
        <f t="shared" si="79"/>
        <v>1</v>
      </c>
      <c r="L1678" s="26">
        <f t="shared" si="80"/>
        <v>1</v>
      </c>
      <c r="M1678" s="26"/>
    </row>
    <row r="1679" spans="1:13" ht="15" customHeight="1">
      <c r="A1679" s="25">
        <v>1634774</v>
      </c>
      <c r="B1679" s="26" t="s">
        <v>5427</v>
      </c>
      <c r="C1679" s="26" t="s">
        <v>9471</v>
      </c>
      <c r="D1679" s="26" t="s">
        <v>9472</v>
      </c>
      <c r="E1679" s="26" t="s">
        <v>5560</v>
      </c>
      <c r="F1679" s="27">
        <v>5806081</v>
      </c>
      <c r="G1679" s="27">
        <v>1</v>
      </c>
      <c r="H1679" s="27">
        <v>1</v>
      </c>
      <c r="I1679" s="27">
        <v>1</v>
      </c>
      <c r="J1679" s="30">
        <f t="shared" si="78"/>
        <v>1</v>
      </c>
      <c r="K1679" s="30">
        <f t="shared" si="79"/>
        <v>1</v>
      </c>
      <c r="L1679" s="26">
        <f t="shared" si="80"/>
        <v>1</v>
      </c>
      <c r="M1679" s="26"/>
    </row>
    <row r="1680" spans="1:13" ht="15" customHeight="1">
      <c r="A1680" s="25">
        <v>1634844</v>
      </c>
      <c r="B1680" s="26" t="s">
        <v>5423</v>
      </c>
      <c r="C1680" s="26" t="s">
        <v>9473</v>
      </c>
      <c r="D1680" s="26" t="s">
        <v>9474</v>
      </c>
      <c r="E1680" s="26" t="s">
        <v>5436</v>
      </c>
      <c r="F1680" s="27"/>
      <c r="G1680" s="27">
        <v>0</v>
      </c>
      <c r="H1680" s="27">
        <v>0</v>
      </c>
      <c r="I1680" s="27">
        <v>0</v>
      </c>
      <c r="J1680" s="30">
        <f t="shared" si="78"/>
        <v>0</v>
      </c>
      <c r="K1680" s="30">
        <f t="shared" si="79"/>
        <v>0</v>
      </c>
      <c r="L1680" s="26">
        <f t="shared" si="80"/>
        <v>0</v>
      </c>
      <c r="M1680" s="26" t="s">
        <v>5557</v>
      </c>
    </row>
    <row r="1681" spans="1:13" ht="15" customHeight="1">
      <c r="A1681" s="25">
        <v>1634846</v>
      </c>
      <c r="B1681" s="26" t="s">
        <v>5423</v>
      </c>
      <c r="C1681" s="26" t="s">
        <v>9475</v>
      </c>
      <c r="D1681" s="26" t="s">
        <v>9476</v>
      </c>
      <c r="E1681" s="26" t="s">
        <v>5485</v>
      </c>
      <c r="F1681" s="27">
        <v>5769176</v>
      </c>
      <c r="G1681" s="27">
        <v>1</v>
      </c>
      <c r="H1681" s="27">
        <v>0</v>
      </c>
      <c r="I1681" s="27">
        <v>1</v>
      </c>
      <c r="J1681" s="30">
        <f t="shared" si="78"/>
        <v>1</v>
      </c>
      <c r="K1681" s="30">
        <f t="shared" si="79"/>
        <v>0</v>
      </c>
      <c r="L1681" s="26">
        <f t="shared" si="80"/>
        <v>0</v>
      </c>
      <c r="M1681" s="26"/>
    </row>
    <row r="1682" spans="1:13" ht="15" customHeight="1">
      <c r="A1682" s="25">
        <v>1634865</v>
      </c>
      <c r="B1682" s="26" t="s">
        <v>5423</v>
      </c>
      <c r="C1682" s="26" t="s">
        <v>9477</v>
      </c>
      <c r="D1682" s="26" t="s">
        <v>9478</v>
      </c>
      <c r="E1682" s="26" t="s">
        <v>5485</v>
      </c>
      <c r="F1682" s="27">
        <v>5754151</v>
      </c>
      <c r="G1682" s="27">
        <v>1</v>
      </c>
      <c r="H1682" s="27">
        <v>1</v>
      </c>
      <c r="I1682" s="27">
        <v>1</v>
      </c>
      <c r="J1682" s="30">
        <f t="shared" si="78"/>
        <v>1</v>
      </c>
      <c r="K1682" s="30">
        <f t="shared" si="79"/>
        <v>1</v>
      </c>
      <c r="L1682" s="26">
        <f t="shared" si="80"/>
        <v>1</v>
      </c>
      <c r="M1682" s="26"/>
    </row>
    <row r="1683" spans="1:13" ht="15" customHeight="1">
      <c r="A1683" s="25">
        <v>1634891</v>
      </c>
      <c r="B1683" s="26" t="s">
        <v>5427</v>
      </c>
      <c r="C1683" s="26" t="s">
        <v>9479</v>
      </c>
      <c r="D1683" s="26" t="s">
        <v>9480</v>
      </c>
      <c r="E1683" s="26" t="s">
        <v>5458</v>
      </c>
      <c r="F1683" s="27">
        <v>5752383</v>
      </c>
      <c r="G1683" s="27">
        <v>1</v>
      </c>
      <c r="H1683" s="27">
        <v>1</v>
      </c>
      <c r="I1683" s="27">
        <v>1</v>
      </c>
      <c r="J1683" s="30">
        <f t="shared" si="78"/>
        <v>1</v>
      </c>
      <c r="K1683" s="30">
        <f t="shared" si="79"/>
        <v>1</v>
      </c>
      <c r="L1683" s="26">
        <f t="shared" si="80"/>
        <v>1</v>
      </c>
      <c r="M1683" s="26"/>
    </row>
    <row r="1684" spans="1:13" ht="15" customHeight="1">
      <c r="A1684" s="25" t="s">
        <v>9481</v>
      </c>
      <c r="B1684" s="26" t="s">
        <v>5427</v>
      </c>
      <c r="C1684" s="26" t="s">
        <v>9482</v>
      </c>
      <c r="D1684" s="26" t="s">
        <v>9483</v>
      </c>
      <c r="E1684" s="26" t="s">
        <v>5514</v>
      </c>
      <c r="F1684" s="27">
        <v>4988517</v>
      </c>
      <c r="G1684" s="27">
        <v>1</v>
      </c>
      <c r="H1684" s="27">
        <v>1</v>
      </c>
      <c r="I1684" s="27">
        <v>1</v>
      </c>
      <c r="J1684" s="30">
        <f t="shared" si="78"/>
        <v>1</v>
      </c>
      <c r="K1684" s="30">
        <f t="shared" si="79"/>
        <v>1</v>
      </c>
      <c r="L1684" s="26">
        <f t="shared" si="80"/>
        <v>1</v>
      </c>
      <c r="M1684" s="26"/>
    </row>
    <row r="1685" spans="1:13" ht="15" customHeight="1">
      <c r="A1685" s="25">
        <v>1635487</v>
      </c>
      <c r="B1685" s="26" t="s">
        <v>5427</v>
      </c>
      <c r="C1685" s="26" t="s">
        <v>9484</v>
      </c>
      <c r="D1685" s="26" t="s">
        <v>9485</v>
      </c>
      <c r="E1685" s="26" t="s">
        <v>5683</v>
      </c>
      <c r="F1685" s="27">
        <v>5796909</v>
      </c>
      <c r="G1685" s="27">
        <v>1</v>
      </c>
      <c r="H1685" s="27">
        <v>0</v>
      </c>
      <c r="I1685" s="27">
        <v>1</v>
      </c>
      <c r="J1685" s="30">
        <f t="shared" si="78"/>
        <v>1</v>
      </c>
      <c r="K1685" s="30">
        <f t="shared" si="79"/>
        <v>0</v>
      </c>
      <c r="L1685" s="26">
        <f t="shared" si="80"/>
        <v>0</v>
      </c>
      <c r="M1685" s="26"/>
    </row>
    <row r="1686" spans="1:13" ht="15" customHeight="1">
      <c r="A1686" s="25">
        <v>1635515</v>
      </c>
      <c r="B1686" s="26" t="s">
        <v>5427</v>
      </c>
      <c r="C1686" s="26" t="s">
        <v>9486</v>
      </c>
      <c r="D1686" s="26" t="s">
        <v>9485</v>
      </c>
      <c r="E1686" s="26" t="s">
        <v>5433</v>
      </c>
      <c r="F1686" s="27">
        <v>5797038</v>
      </c>
      <c r="G1686" s="27">
        <v>1</v>
      </c>
      <c r="H1686" s="27">
        <v>0</v>
      </c>
      <c r="I1686" s="27">
        <v>1</v>
      </c>
      <c r="J1686" s="30">
        <f t="shared" si="78"/>
        <v>1</v>
      </c>
      <c r="K1686" s="30">
        <f t="shared" si="79"/>
        <v>0</v>
      </c>
      <c r="L1686" s="26">
        <f t="shared" si="80"/>
        <v>0</v>
      </c>
      <c r="M1686" s="26"/>
    </row>
    <row r="1687" spans="1:13" ht="15" customHeight="1">
      <c r="A1687" s="25">
        <v>1635724</v>
      </c>
      <c r="B1687" s="26" t="s">
        <v>5423</v>
      </c>
      <c r="C1687" s="26" t="s">
        <v>9487</v>
      </c>
      <c r="D1687" s="26" t="s">
        <v>9488</v>
      </c>
      <c r="E1687" s="26" t="s">
        <v>7130</v>
      </c>
      <c r="F1687" s="27">
        <v>4662495</v>
      </c>
      <c r="G1687" s="27">
        <v>1</v>
      </c>
      <c r="H1687" s="27">
        <v>0</v>
      </c>
      <c r="I1687" s="27">
        <v>1</v>
      </c>
      <c r="J1687" s="30">
        <f t="shared" si="78"/>
        <v>1</v>
      </c>
      <c r="K1687" s="30">
        <f t="shared" si="79"/>
        <v>0</v>
      </c>
      <c r="L1687" s="26">
        <f t="shared" si="80"/>
        <v>0</v>
      </c>
      <c r="M1687" s="26"/>
    </row>
    <row r="1688" spans="1:13" ht="15" customHeight="1">
      <c r="A1688" s="25">
        <v>1635763</v>
      </c>
      <c r="B1688" s="26" t="s">
        <v>5423</v>
      </c>
      <c r="C1688" s="26" t="s">
        <v>9489</v>
      </c>
      <c r="D1688" s="26" t="s">
        <v>9488</v>
      </c>
      <c r="E1688" s="26" t="s">
        <v>5439</v>
      </c>
      <c r="F1688" s="27">
        <v>5803786</v>
      </c>
      <c r="G1688" s="27">
        <v>1</v>
      </c>
      <c r="H1688" s="27">
        <v>0</v>
      </c>
      <c r="I1688" s="27">
        <v>1</v>
      </c>
      <c r="J1688" s="30">
        <f t="shared" si="78"/>
        <v>1</v>
      </c>
      <c r="K1688" s="30">
        <f t="shared" si="79"/>
        <v>0</v>
      </c>
      <c r="L1688" s="26">
        <f t="shared" si="80"/>
        <v>0</v>
      </c>
      <c r="M1688" s="26"/>
    </row>
    <row r="1689" spans="1:13" ht="15" customHeight="1">
      <c r="A1689" s="25">
        <v>1635888</v>
      </c>
      <c r="B1689" s="26" t="s">
        <v>5427</v>
      </c>
      <c r="C1689" s="26" t="s">
        <v>9490</v>
      </c>
      <c r="D1689" s="26" t="s">
        <v>9488</v>
      </c>
      <c r="E1689" s="26" t="s">
        <v>5891</v>
      </c>
      <c r="F1689" s="27">
        <v>2437722</v>
      </c>
      <c r="G1689" s="27">
        <v>0</v>
      </c>
      <c r="H1689" s="27">
        <v>0</v>
      </c>
      <c r="I1689" s="27">
        <v>0</v>
      </c>
      <c r="J1689" s="30">
        <f t="shared" si="78"/>
        <v>0</v>
      </c>
      <c r="K1689" s="30">
        <f t="shared" si="79"/>
        <v>0</v>
      </c>
      <c r="L1689" s="26">
        <f t="shared" si="80"/>
        <v>0</v>
      </c>
      <c r="M1689" s="26">
        <v>0</v>
      </c>
    </row>
    <row r="1690" spans="1:13" ht="15" customHeight="1">
      <c r="A1690" s="25">
        <v>1635911</v>
      </c>
      <c r="B1690" s="26" t="s">
        <v>5423</v>
      </c>
      <c r="C1690" s="26" t="s">
        <v>9491</v>
      </c>
      <c r="D1690" s="26" t="s">
        <v>9492</v>
      </c>
      <c r="E1690" s="26" t="s">
        <v>5455</v>
      </c>
      <c r="F1690" s="27"/>
      <c r="G1690" s="27">
        <v>0</v>
      </c>
      <c r="H1690" s="27">
        <v>0</v>
      </c>
      <c r="I1690" s="27">
        <v>0</v>
      </c>
      <c r="J1690" s="30">
        <f t="shared" si="78"/>
        <v>0</v>
      </c>
      <c r="K1690" s="30">
        <f t="shared" si="79"/>
        <v>0</v>
      </c>
      <c r="L1690" s="26">
        <f t="shared" si="80"/>
        <v>0</v>
      </c>
      <c r="M1690" s="26" t="s">
        <v>5557</v>
      </c>
    </row>
    <row r="1691" spans="1:13" ht="15" customHeight="1">
      <c r="A1691" s="25">
        <v>1635965</v>
      </c>
      <c r="B1691" s="26" t="s">
        <v>5423</v>
      </c>
      <c r="C1691" s="26" t="s">
        <v>9493</v>
      </c>
      <c r="D1691" s="26" t="s">
        <v>9492</v>
      </c>
      <c r="E1691" s="26" t="s">
        <v>5455</v>
      </c>
      <c r="F1691" s="27">
        <v>5802227</v>
      </c>
      <c r="G1691" s="27">
        <v>1</v>
      </c>
      <c r="H1691" s="27">
        <v>1</v>
      </c>
      <c r="I1691" s="27">
        <v>1</v>
      </c>
      <c r="J1691" s="30">
        <f t="shared" si="78"/>
        <v>1</v>
      </c>
      <c r="K1691" s="30">
        <f t="shared" si="79"/>
        <v>1</v>
      </c>
      <c r="L1691" s="26">
        <f t="shared" si="80"/>
        <v>1</v>
      </c>
      <c r="M1691" s="26"/>
    </row>
    <row r="1692" spans="1:13" ht="15" customHeight="1">
      <c r="A1692" s="25">
        <v>1635966</v>
      </c>
      <c r="B1692" s="26" t="s">
        <v>5427</v>
      </c>
      <c r="C1692" s="26" t="s">
        <v>9494</v>
      </c>
      <c r="D1692" s="26" t="s">
        <v>9483</v>
      </c>
      <c r="E1692" s="26" t="s">
        <v>5718</v>
      </c>
      <c r="F1692" s="27">
        <v>5812079</v>
      </c>
      <c r="G1692" s="27">
        <v>0</v>
      </c>
      <c r="H1692" s="27">
        <v>0</v>
      </c>
      <c r="I1692" s="27">
        <v>0</v>
      </c>
      <c r="J1692" s="30">
        <f t="shared" si="78"/>
        <v>0</v>
      </c>
      <c r="K1692" s="30">
        <f t="shared" si="79"/>
        <v>0</v>
      </c>
      <c r="L1692" s="26">
        <f t="shared" si="80"/>
        <v>0</v>
      </c>
      <c r="M1692" s="26">
        <v>0</v>
      </c>
    </row>
    <row r="1693" spans="1:13" ht="15" customHeight="1">
      <c r="A1693" s="25">
        <v>1635977</v>
      </c>
      <c r="B1693" s="26" t="s">
        <v>5423</v>
      </c>
      <c r="C1693" s="26" t="s">
        <v>9495</v>
      </c>
      <c r="D1693" s="26" t="s">
        <v>9483</v>
      </c>
      <c r="E1693" s="26" t="s">
        <v>5485</v>
      </c>
      <c r="F1693" s="27">
        <v>5812213</v>
      </c>
      <c r="G1693" s="27">
        <v>0</v>
      </c>
      <c r="H1693" s="27">
        <v>0</v>
      </c>
      <c r="I1693" s="27">
        <v>0</v>
      </c>
      <c r="J1693" s="30">
        <f t="shared" si="78"/>
        <v>0</v>
      </c>
      <c r="K1693" s="30">
        <f t="shared" si="79"/>
        <v>0</v>
      </c>
      <c r="L1693" s="26">
        <f t="shared" si="80"/>
        <v>0</v>
      </c>
      <c r="M1693" s="26">
        <v>0</v>
      </c>
    </row>
    <row r="1694" spans="1:13" ht="15" customHeight="1">
      <c r="A1694" s="25">
        <v>1636063</v>
      </c>
      <c r="B1694" s="26" t="s">
        <v>5423</v>
      </c>
      <c r="C1694" s="26" t="s">
        <v>9496</v>
      </c>
      <c r="D1694" s="26" t="s">
        <v>9483</v>
      </c>
      <c r="E1694" s="26" t="s">
        <v>5535</v>
      </c>
      <c r="F1694" s="27">
        <v>5797003</v>
      </c>
      <c r="G1694" s="27">
        <v>0</v>
      </c>
      <c r="H1694" s="27">
        <v>0</v>
      </c>
      <c r="I1694" s="27">
        <v>0</v>
      </c>
      <c r="J1694" s="30">
        <f t="shared" si="78"/>
        <v>0</v>
      </c>
      <c r="K1694" s="30">
        <f t="shared" si="79"/>
        <v>0</v>
      </c>
      <c r="L1694" s="26">
        <f t="shared" si="80"/>
        <v>0</v>
      </c>
      <c r="M1694" s="26">
        <v>0</v>
      </c>
    </row>
    <row r="1695" spans="1:13" ht="15" customHeight="1">
      <c r="A1695" s="25">
        <v>1636066</v>
      </c>
      <c r="B1695" s="26" t="s">
        <v>5423</v>
      </c>
      <c r="C1695" s="26" t="s">
        <v>9497</v>
      </c>
      <c r="D1695" s="26" t="s">
        <v>9483</v>
      </c>
      <c r="E1695" s="26" t="s">
        <v>5455</v>
      </c>
      <c r="F1695" s="27">
        <v>5737565</v>
      </c>
      <c r="G1695" s="27">
        <v>1</v>
      </c>
      <c r="H1695" s="27">
        <v>0</v>
      </c>
      <c r="I1695" s="27">
        <v>1</v>
      </c>
      <c r="J1695" s="30">
        <f t="shared" si="78"/>
        <v>1</v>
      </c>
      <c r="K1695" s="30">
        <f t="shared" si="79"/>
        <v>0</v>
      </c>
      <c r="L1695" s="26">
        <f t="shared" si="80"/>
        <v>0</v>
      </c>
      <c r="M1695" s="26"/>
    </row>
    <row r="1696" spans="1:13" ht="15" customHeight="1">
      <c r="A1696" s="25">
        <v>1636085</v>
      </c>
      <c r="B1696" s="26" t="s">
        <v>5423</v>
      </c>
      <c r="C1696" s="26" t="s">
        <v>9498</v>
      </c>
      <c r="D1696" s="26" t="s">
        <v>9483</v>
      </c>
      <c r="E1696" s="26" t="s">
        <v>5504</v>
      </c>
      <c r="F1696" s="27">
        <v>5812259</v>
      </c>
      <c r="G1696" s="27">
        <v>0</v>
      </c>
      <c r="H1696" s="27">
        <v>0</v>
      </c>
      <c r="I1696" s="27">
        <v>0</v>
      </c>
      <c r="J1696" s="30">
        <f t="shared" si="78"/>
        <v>0</v>
      </c>
      <c r="K1696" s="30">
        <f t="shared" si="79"/>
        <v>0</v>
      </c>
      <c r="L1696" s="26">
        <f t="shared" si="80"/>
        <v>0</v>
      </c>
      <c r="M1696" s="26">
        <v>0</v>
      </c>
    </row>
    <row r="1697" spans="1:13" ht="15" customHeight="1">
      <c r="A1697" s="25">
        <v>1636392</v>
      </c>
      <c r="B1697" s="26" t="s">
        <v>5423</v>
      </c>
      <c r="C1697" s="26" t="s">
        <v>9499</v>
      </c>
      <c r="D1697" s="26" t="s">
        <v>9500</v>
      </c>
      <c r="E1697" s="26" t="s">
        <v>5683</v>
      </c>
      <c r="F1697" s="27">
        <v>5696368</v>
      </c>
      <c r="G1697" s="27">
        <v>0</v>
      </c>
      <c r="H1697" s="27">
        <v>0</v>
      </c>
      <c r="I1697" s="27">
        <v>0</v>
      </c>
      <c r="J1697" s="30">
        <f t="shared" si="78"/>
        <v>0</v>
      </c>
      <c r="K1697" s="30">
        <f t="shared" si="79"/>
        <v>0</v>
      </c>
      <c r="L1697" s="26">
        <f t="shared" si="80"/>
        <v>0</v>
      </c>
      <c r="M1697" s="26">
        <v>0</v>
      </c>
    </row>
    <row r="1698" spans="1:13" ht="15" customHeight="1">
      <c r="A1698" s="25">
        <v>1636598</v>
      </c>
      <c r="B1698" s="26" t="s">
        <v>5427</v>
      </c>
      <c r="C1698" s="26" t="s">
        <v>9501</v>
      </c>
      <c r="D1698" s="26" t="s">
        <v>9502</v>
      </c>
      <c r="E1698" s="26" t="s">
        <v>5507</v>
      </c>
      <c r="F1698" s="27">
        <v>5814529</v>
      </c>
      <c r="G1698" s="27">
        <v>0</v>
      </c>
      <c r="H1698" s="27">
        <v>0</v>
      </c>
      <c r="I1698" s="27">
        <v>0</v>
      </c>
      <c r="J1698" s="30">
        <f t="shared" si="78"/>
        <v>0</v>
      </c>
      <c r="K1698" s="30">
        <f t="shared" si="79"/>
        <v>0</v>
      </c>
      <c r="L1698" s="26">
        <f t="shared" si="80"/>
        <v>0</v>
      </c>
      <c r="M1698" s="26">
        <v>0</v>
      </c>
    </row>
    <row r="1699" spans="1:13" ht="15" customHeight="1">
      <c r="A1699" s="25">
        <v>1636842</v>
      </c>
      <c r="B1699" s="26" t="s">
        <v>5427</v>
      </c>
      <c r="C1699" s="26" t="s">
        <v>9503</v>
      </c>
      <c r="D1699" s="26" t="s">
        <v>9504</v>
      </c>
      <c r="E1699" s="26" t="s">
        <v>5468</v>
      </c>
      <c r="F1699" s="27">
        <v>5811076</v>
      </c>
      <c r="G1699" s="27">
        <v>1</v>
      </c>
      <c r="H1699" s="27">
        <v>0</v>
      </c>
      <c r="I1699" s="27">
        <v>1</v>
      </c>
      <c r="J1699" s="30">
        <f t="shared" si="78"/>
        <v>1</v>
      </c>
      <c r="K1699" s="30">
        <f t="shared" si="79"/>
        <v>0</v>
      </c>
      <c r="L1699" s="26">
        <f t="shared" si="80"/>
        <v>0</v>
      </c>
      <c r="M1699" s="26"/>
    </row>
    <row r="1700" spans="1:13" ht="15" customHeight="1">
      <c r="A1700" s="25">
        <v>1636845</v>
      </c>
      <c r="B1700" s="26" t="s">
        <v>5427</v>
      </c>
      <c r="C1700" s="26" t="s">
        <v>9505</v>
      </c>
      <c r="D1700" s="26" t="s">
        <v>9504</v>
      </c>
      <c r="E1700" s="26" t="s">
        <v>5488</v>
      </c>
      <c r="F1700" s="27">
        <v>5812719</v>
      </c>
      <c r="G1700" s="27">
        <v>0</v>
      </c>
      <c r="H1700" s="27">
        <v>0</v>
      </c>
      <c r="I1700" s="27">
        <v>0</v>
      </c>
      <c r="J1700" s="30">
        <f t="shared" si="78"/>
        <v>0</v>
      </c>
      <c r="K1700" s="30">
        <f t="shared" si="79"/>
        <v>0</v>
      </c>
      <c r="L1700" s="26">
        <f t="shared" si="80"/>
        <v>0</v>
      </c>
      <c r="M1700" s="26">
        <v>0</v>
      </c>
    </row>
    <row r="1701" spans="1:13" ht="15" customHeight="1">
      <c r="A1701" s="25">
        <v>1636856</v>
      </c>
      <c r="B1701" s="26" t="s">
        <v>5423</v>
      </c>
      <c r="C1701" s="26" t="s">
        <v>9506</v>
      </c>
      <c r="D1701" s="26" t="s">
        <v>9507</v>
      </c>
      <c r="E1701" s="26" t="s">
        <v>5430</v>
      </c>
      <c r="F1701" s="27">
        <v>5474156</v>
      </c>
      <c r="G1701" s="27">
        <v>1</v>
      </c>
      <c r="H1701" s="27">
        <v>0</v>
      </c>
      <c r="I1701" s="27">
        <v>1</v>
      </c>
      <c r="J1701" s="30">
        <f t="shared" si="78"/>
        <v>1</v>
      </c>
      <c r="K1701" s="30">
        <f t="shared" si="79"/>
        <v>0</v>
      </c>
      <c r="L1701" s="26">
        <f t="shared" si="80"/>
        <v>0</v>
      </c>
      <c r="M1701" s="26"/>
    </row>
    <row r="1702" spans="1:13" ht="15" customHeight="1">
      <c r="A1702" s="25">
        <v>1637375</v>
      </c>
      <c r="B1702" s="26" t="s">
        <v>5423</v>
      </c>
      <c r="C1702" s="26" t="s">
        <v>9508</v>
      </c>
      <c r="D1702" s="26" t="s">
        <v>9502</v>
      </c>
      <c r="E1702" s="26" t="s">
        <v>5603</v>
      </c>
      <c r="F1702" s="27">
        <v>5816538</v>
      </c>
      <c r="G1702" s="27">
        <v>1</v>
      </c>
      <c r="H1702" s="27">
        <v>0</v>
      </c>
      <c r="I1702" s="27">
        <v>1</v>
      </c>
      <c r="J1702" s="30">
        <f t="shared" si="78"/>
        <v>1</v>
      </c>
      <c r="K1702" s="30">
        <f t="shared" si="79"/>
        <v>0</v>
      </c>
      <c r="L1702" s="26">
        <f t="shared" si="80"/>
        <v>0</v>
      </c>
      <c r="M1702" s="26"/>
    </row>
    <row r="1703" spans="1:13" ht="15" customHeight="1">
      <c r="A1703" s="25">
        <v>1637523</v>
      </c>
      <c r="B1703" s="26" t="s">
        <v>5427</v>
      </c>
      <c r="C1703" s="26" t="s">
        <v>9509</v>
      </c>
      <c r="D1703" s="26" t="s">
        <v>9510</v>
      </c>
      <c r="E1703" s="26" t="s">
        <v>5603</v>
      </c>
      <c r="F1703" s="27">
        <v>5816604</v>
      </c>
      <c r="G1703" s="27">
        <v>0</v>
      </c>
      <c r="H1703" s="27">
        <v>0</v>
      </c>
      <c r="I1703" s="27">
        <v>0</v>
      </c>
      <c r="J1703" s="30">
        <f t="shared" si="78"/>
        <v>0</v>
      </c>
      <c r="K1703" s="30">
        <f t="shared" si="79"/>
        <v>0</v>
      </c>
      <c r="L1703" s="26">
        <f t="shared" si="80"/>
        <v>0</v>
      </c>
      <c r="M1703" s="26">
        <v>0</v>
      </c>
    </row>
    <row r="1704" spans="1:13" ht="15" customHeight="1">
      <c r="A1704" s="25">
        <v>1637891</v>
      </c>
      <c r="B1704" s="26" t="s">
        <v>5423</v>
      </c>
      <c r="C1704" s="26" t="s">
        <v>9511</v>
      </c>
      <c r="D1704" s="26" t="s">
        <v>9512</v>
      </c>
      <c r="E1704" s="26" t="s">
        <v>5475</v>
      </c>
      <c r="F1704" s="27">
        <v>5810402</v>
      </c>
      <c r="G1704" s="27">
        <v>1</v>
      </c>
      <c r="H1704" s="27">
        <v>0</v>
      </c>
      <c r="I1704" s="27">
        <v>1</v>
      </c>
      <c r="J1704" s="30">
        <f t="shared" si="78"/>
        <v>1</v>
      </c>
      <c r="K1704" s="30">
        <f t="shared" si="79"/>
        <v>0</v>
      </c>
      <c r="L1704" s="26">
        <f t="shared" si="80"/>
        <v>0</v>
      </c>
      <c r="M1704" s="26"/>
    </row>
    <row r="1705" spans="1:13" ht="15" customHeight="1">
      <c r="A1705" s="25">
        <v>1638057</v>
      </c>
      <c r="B1705" s="26" t="s">
        <v>5423</v>
      </c>
      <c r="C1705" s="26" t="s">
        <v>9513</v>
      </c>
      <c r="D1705" s="26" t="s">
        <v>9510</v>
      </c>
      <c r="E1705" s="26" t="s">
        <v>5447</v>
      </c>
      <c r="F1705" s="27">
        <v>5812576</v>
      </c>
      <c r="G1705" s="27">
        <v>1</v>
      </c>
      <c r="H1705" s="27">
        <v>0</v>
      </c>
      <c r="I1705" s="27">
        <v>1</v>
      </c>
      <c r="J1705" s="30">
        <f t="shared" si="78"/>
        <v>1</v>
      </c>
      <c r="K1705" s="30">
        <f t="shared" si="79"/>
        <v>0</v>
      </c>
      <c r="L1705" s="26">
        <f t="shared" si="80"/>
        <v>0</v>
      </c>
      <c r="M1705" s="26"/>
    </row>
    <row r="1706" spans="1:13" ht="15" customHeight="1">
      <c r="A1706" s="25">
        <v>1638067</v>
      </c>
      <c r="B1706" s="26" t="s">
        <v>5423</v>
      </c>
      <c r="C1706" s="26" t="s">
        <v>9514</v>
      </c>
      <c r="D1706" s="26" t="s">
        <v>9510</v>
      </c>
      <c r="E1706" s="26" t="s">
        <v>5480</v>
      </c>
      <c r="F1706" s="27">
        <v>5802203</v>
      </c>
      <c r="G1706" s="27">
        <v>1</v>
      </c>
      <c r="H1706" s="27">
        <v>0</v>
      </c>
      <c r="I1706" s="27">
        <v>1</v>
      </c>
      <c r="J1706" s="30">
        <f t="shared" si="78"/>
        <v>1</v>
      </c>
      <c r="K1706" s="30">
        <f t="shared" si="79"/>
        <v>0</v>
      </c>
      <c r="L1706" s="26">
        <f t="shared" si="80"/>
        <v>0</v>
      </c>
      <c r="M1706" s="26"/>
    </row>
    <row r="1707" spans="1:13" ht="15" customHeight="1">
      <c r="A1707" s="25">
        <v>1638073</v>
      </c>
      <c r="B1707" s="26" t="s">
        <v>5423</v>
      </c>
      <c r="C1707" s="26" t="s">
        <v>9515</v>
      </c>
      <c r="D1707" s="26" t="s">
        <v>9512</v>
      </c>
      <c r="E1707" s="26" t="s">
        <v>5475</v>
      </c>
      <c r="F1707" s="27">
        <v>5805196</v>
      </c>
      <c r="G1707" s="27">
        <v>1</v>
      </c>
      <c r="H1707" s="27">
        <v>0</v>
      </c>
      <c r="I1707" s="27">
        <v>1</v>
      </c>
      <c r="J1707" s="30">
        <f t="shared" si="78"/>
        <v>1</v>
      </c>
      <c r="K1707" s="30">
        <f t="shared" si="79"/>
        <v>0</v>
      </c>
      <c r="L1707" s="26">
        <f t="shared" si="80"/>
        <v>0</v>
      </c>
      <c r="M1707" s="26"/>
    </row>
    <row r="1708" spans="1:13" ht="15" customHeight="1">
      <c r="A1708" s="25">
        <v>1638086</v>
      </c>
      <c r="B1708" s="26" t="s">
        <v>5423</v>
      </c>
      <c r="C1708" s="26" t="s">
        <v>9516</v>
      </c>
      <c r="D1708" s="26" t="s">
        <v>9517</v>
      </c>
      <c r="E1708" s="26" t="s">
        <v>5517</v>
      </c>
      <c r="F1708" s="27">
        <v>5814087</v>
      </c>
      <c r="G1708" s="27">
        <v>0</v>
      </c>
      <c r="H1708" s="27">
        <v>0</v>
      </c>
      <c r="I1708" s="27">
        <v>0</v>
      </c>
      <c r="J1708" s="30">
        <f t="shared" si="78"/>
        <v>0</v>
      </c>
      <c r="K1708" s="30">
        <f t="shared" si="79"/>
        <v>0</v>
      </c>
      <c r="L1708" s="26">
        <f t="shared" si="80"/>
        <v>0</v>
      </c>
      <c r="M1708" s="26">
        <v>0</v>
      </c>
    </row>
    <row r="1709" spans="1:13" ht="15" customHeight="1">
      <c r="A1709" s="25">
        <v>1638089</v>
      </c>
      <c r="B1709" s="26" t="s">
        <v>5427</v>
      </c>
      <c r="C1709" s="26" t="s">
        <v>9518</v>
      </c>
      <c r="D1709" s="26" t="s">
        <v>9519</v>
      </c>
      <c r="E1709" s="26" t="s">
        <v>5433</v>
      </c>
      <c r="F1709" s="27">
        <v>5193091</v>
      </c>
      <c r="G1709" s="27">
        <v>0</v>
      </c>
      <c r="H1709" s="27">
        <v>0</v>
      </c>
      <c r="I1709" s="27">
        <v>0</v>
      </c>
      <c r="J1709" s="30">
        <f t="shared" si="78"/>
        <v>0</v>
      </c>
      <c r="K1709" s="30">
        <f t="shared" si="79"/>
        <v>0</v>
      </c>
      <c r="L1709" s="26">
        <f t="shared" si="80"/>
        <v>0</v>
      </c>
      <c r="M1709" s="26" t="s">
        <v>5557</v>
      </c>
    </row>
    <row r="1710" spans="1:13" ht="15" customHeight="1">
      <c r="A1710" s="25">
        <v>1638426</v>
      </c>
      <c r="B1710" s="26" t="s">
        <v>5423</v>
      </c>
      <c r="C1710" s="26" t="s">
        <v>9520</v>
      </c>
      <c r="D1710" s="26" t="s">
        <v>9512</v>
      </c>
      <c r="E1710" s="26" t="s">
        <v>5455</v>
      </c>
      <c r="F1710" s="27"/>
      <c r="G1710" s="27">
        <v>0</v>
      </c>
      <c r="H1710" s="27">
        <v>0</v>
      </c>
      <c r="I1710" s="27">
        <v>0</v>
      </c>
      <c r="J1710" s="30">
        <f t="shared" si="78"/>
        <v>0</v>
      </c>
      <c r="K1710" s="30">
        <f t="shared" si="79"/>
        <v>0</v>
      </c>
      <c r="L1710" s="26">
        <f t="shared" si="80"/>
        <v>0</v>
      </c>
      <c r="M1710" s="26" t="s">
        <v>5557</v>
      </c>
    </row>
    <row r="1711" spans="1:13" ht="15" customHeight="1">
      <c r="A1711" s="25">
        <v>1638495</v>
      </c>
      <c r="B1711" s="26" t="s">
        <v>5423</v>
      </c>
      <c r="C1711" s="26" t="s">
        <v>9521</v>
      </c>
      <c r="D1711" s="26" t="s">
        <v>9522</v>
      </c>
      <c r="E1711" s="26" t="s">
        <v>5535</v>
      </c>
      <c r="F1711" s="27">
        <v>5353679</v>
      </c>
      <c r="G1711" s="27">
        <v>1</v>
      </c>
      <c r="H1711" s="27">
        <v>0</v>
      </c>
      <c r="I1711" s="27">
        <v>1</v>
      </c>
      <c r="J1711" s="30">
        <f t="shared" si="78"/>
        <v>1</v>
      </c>
      <c r="K1711" s="30">
        <f t="shared" si="79"/>
        <v>0</v>
      </c>
      <c r="L1711" s="26">
        <f t="shared" si="80"/>
        <v>0</v>
      </c>
      <c r="M1711" s="26"/>
    </row>
    <row r="1712" spans="1:13" ht="15" customHeight="1">
      <c r="A1712" s="25">
        <v>1638957</v>
      </c>
      <c r="B1712" s="26" t="s">
        <v>5423</v>
      </c>
      <c r="C1712" s="26" t="s">
        <v>9523</v>
      </c>
      <c r="D1712" s="26" t="s">
        <v>9524</v>
      </c>
      <c r="E1712" s="26" t="s">
        <v>5485</v>
      </c>
      <c r="F1712" s="27">
        <v>5821544</v>
      </c>
      <c r="G1712" s="27">
        <v>0</v>
      </c>
      <c r="H1712" s="27">
        <v>0</v>
      </c>
      <c r="I1712" s="27">
        <v>0</v>
      </c>
      <c r="J1712" s="30">
        <f t="shared" si="78"/>
        <v>0</v>
      </c>
      <c r="K1712" s="30">
        <f t="shared" si="79"/>
        <v>0</v>
      </c>
      <c r="L1712" s="26">
        <f t="shared" si="80"/>
        <v>0</v>
      </c>
      <c r="M1712" s="26">
        <v>0</v>
      </c>
    </row>
    <row r="1713" spans="1:13" ht="15" customHeight="1">
      <c r="A1713" s="25">
        <v>1639027</v>
      </c>
      <c r="B1713" s="26" t="s">
        <v>5423</v>
      </c>
      <c r="C1713" s="26" t="s">
        <v>9525</v>
      </c>
      <c r="D1713" s="26" t="s">
        <v>9526</v>
      </c>
      <c r="E1713" s="26" t="s">
        <v>9527</v>
      </c>
      <c r="F1713" s="27">
        <v>5822423</v>
      </c>
      <c r="G1713" s="27">
        <v>1</v>
      </c>
      <c r="H1713" s="27">
        <v>1</v>
      </c>
      <c r="I1713" s="27">
        <v>1</v>
      </c>
      <c r="J1713" s="30">
        <f t="shared" si="78"/>
        <v>1</v>
      </c>
      <c r="K1713" s="30">
        <f t="shared" si="79"/>
        <v>1</v>
      </c>
      <c r="L1713" s="26">
        <f t="shared" si="80"/>
        <v>1</v>
      </c>
      <c r="M1713" s="26" t="s">
        <v>8209</v>
      </c>
    </row>
    <row r="1714" spans="1:13" ht="15" customHeight="1">
      <c r="A1714" s="25">
        <v>1639170</v>
      </c>
      <c r="B1714" s="26" t="s">
        <v>5423</v>
      </c>
      <c r="C1714" s="26" t="s">
        <v>9528</v>
      </c>
      <c r="D1714" s="26" t="s">
        <v>9526</v>
      </c>
      <c r="E1714" s="26" t="s">
        <v>5430</v>
      </c>
      <c r="F1714" s="27">
        <v>5801884</v>
      </c>
      <c r="G1714" s="27">
        <v>1</v>
      </c>
      <c r="H1714" s="27">
        <v>0</v>
      </c>
      <c r="I1714" s="27">
        <v>1</v>
      </c>
      <c r="J1714" s="30">
        <f t="shared" si="78"/>
        <v>1</v>
      </c>
      <c r="K1714" s="30">
        <f t="shared" si="79"/>
        <v>0</v>
      </c>
      <c r="L1714" s="26">
        <f t="shared" si="80"/>
        <v>0</v>
      </c>
      <c r="M1714" s="26"/>
    </row>
    <row r="1715" spans="1:13" ht="15" customHeight="1">
      <c r="A1715" s="25">
        <v>1639337</v>
      </c>
      <c r="B1715" s="26" t="s">
        <v>5423</v>
      </c>
      <c r="C1715" s="26" t="s">
        <v>9529</v>
      </c>
      <c r="D1715" s="26" t="s">
        <v>9530</v>
      </c>
      <c r="E1715" s="26" t="s">
        <v>5439</v>
      </c>
      <c r="F1715" s="27">
        <v>5817464</v>
      </c>
      <c r="G1715" s="27">
        <v>0</v>
      </c>
      <c r="H1715" s="27">
        <v>0</v>
      </c>
      <c r="I1715" s="27">
        <v>0</v>
      </c>
      <c r="J1715" s="30">
        <f t="shared" si="78"/>
        <v>0</v>
      </c>
      <c r="K1715" s="30">
        <f t="shared" si="79"/>
        <v>0</v>
      </c>
      <c r="L1715" s="26">
        <f t="shared" si="80"/>
        <v>0</v>
      </c>
      <c r="M1715" s="26">
        <v>0</v>
      </c>
    </row>
    <row r="1716" spans="1:13" ht="15" customHeight="1">
      <c r="A1716" s="25">
        <v>1640042</v>
      </c>
      <c r="B1716" s="26" t="s">
        <v>5423</v>
      </c>
      <c r="C1716" s="26" t="s">
        <v>9531</v>
      </c>
      <c r="D1716" s="26" t="s">
        <v>9530</v>
      </c>
      <c r="E1716" s="26" t="s">
        <v>5522</v>
      </c>
      <c r="F1716" s="27">
        <v>5825154</v>
      </c>
      <c r="G1716" s="27">
        <v>0</v>
      </c>
      <c r="H1716" s="27">
        <v>0</v>
      </c>
      <c r="I1716" s="27">
        <v>0</v>
      </c>
      <c r="J1716" s="30">
        <f t="shared" si="78"/>
        <v>0</v>
      </c>
      <c r="K1716" s="30">
        <f t="shared" si="79"/>
        <v>0</v>
      </c>
      <c r="L1716" s="26">
        <f t="shared" si="80"/>
        <v>0</v>
      </c>
      <c r="M1716" s="26">
        <v>0</v>
      </c>
    </row>
    <row r="1717" spans="1:13" ht="15" customHeight="1">
      <c r="A1717" s="25">
        <v>1640088</v>
      </c>
      <c r="B1717" s="26" t="s">
        <v>5423</v>
      </c>
      <c r="C1717" s="26" t="s">
        <v>9532</v>
      </c>
      <c r="D1717" s="26" t="s">
        <v>9517</v>
      </c>
      <c r="E1717" s="26" t="s">
        <v>5540</v>
      </c>
      <c r="F1717" s="27">
        <v>5822402</v>
      </c>
      <c r="G1717" s="27">
        <v>0</v>
      </c>
      <c r="H1717" s="27">
        <v>1</v>
      </c>
      <c r="I1717" s="27">
        <v>1</v>
      </c>
      <c r="J1717" s="30">
        <f t="shared" si="78"/>
        <v>0</v>
      </c>
      <c r="K1717" s="30">
        <f t="shared" si="79"/>
        <v>1</v>
      </c>
      <c r="L1717" s="26">
        <f t="shared" si="80"/>
        <v>0</v>
      </c>
      <c r="M1717" s="26"/>
    </row>
    <row r="1718" spans="1:13" ht="15" customHeight="1">
      <c r="A1718" s="25">
        <v>1640437</v>
      </c>
      <c r="B1718" s="26" t="s">
        <v>5427</v>
      </c>
      <c r="C1718" s="26" t="s">
        <v>9533</v>
      </c>
      <c r="D1718" s="26" t="s">
        <v>9534</v>
      </c>
      <c r="E1718" s="26" t="s">
        <v>5455</v>
      </c>
      <c r="F1718" s="27">
        <v>5819856</v>
      </c>
      <c r="G1718" s="27">
        <v>1</v>
      </c>
      <c r="H1718" s="27">
        <v>0</v>
      </c>
      <c r="I1718" s="27">
        <v>1</v>
      </c>
      <c r="J1718" s="30">
        <f t="shared" si="78"/>
        <v>1</v>
      </c>
      <c r="K1718" s="30">
        <f t="shared" si="79"/>
        <v>0</v>
      </c>
      <c r="L1718" s="26">
        <f t="shared" si="80"/>
        <v>0</v>
      </c>
      <c r="M1718" s="26"/>
    </row>
    <row r="1719" spans="1:13" ht="15" customHeight="1">
      <c r="A1719" s="25">
        <v>1640479</v>
      </c>
      <c r="B1719" s="26" t="s">
        <v>5423</v>
      </c>
      <c r="C1719" s="26" t="s">
        <v>9535</v>
      </c>
      <c r="D1719" s="26" t="s">
        <v>9536</v>
      </c>
      <c r="E1719" s="26" t="s">
        <v>5540</v>
      </c>
      <c r="F1719" s="27">
        <v>5824985</v>
      </c>
      <c r="G1719" s="27">
        <v>0</v>
      </c>
      <c r="H1719" s="27">
        <v>0</v>
      </c>
      <c r="I1719" s="27">
        <v>0</v>
      </c>
      <c r="J1719" s="30">
        <f t="shared" si="78"/>
        <v>0</v>
      </c>
      <c r="K1719" s="30">
        <f t="shared" si="79"/>
        <v>0</v>
      </c>
      <c r="L1719" s="26">
        <f t="shared" si="80"/>
        <v>0</v>
      </c>
      <c r="M1719" s="26">
        <v>0</v>
      </c>
    </row>
    <row r="1720" spans="1:13" ht="15" customHeight="1">
      <c r="A1720" s="25">
        <v>1640518</v>
      </c>
      <c r="B1720" s="26" t="s">
        <v>5427</v>
      </c>
      <c r="C1720" s="26" t="s">
        <v>9537</v>
      </c>
      <c r="D1720" s="26" t="s">
        <v>9534</v>
      </c>
      <c r="E1720" s="26" t="s">
        <v>5718</v>
      </c>
      <c r="F1720" s="27">
        <v>2335889</v>
      </c>
      <c r="G1720" s="27">
        <v>1</v>
      </c>
      <c r="H1720" s="27">
        <v>0</v>
      </c>
      <c r="I1720" s="27">
        <v>1</v>
      </c>
      <c r="J1720" s="30">
        <f t="shared" si="78"/>
        <v>1</v>
      </c>
      <c r="K1720" s="30">
        <f t="shared" si="79"/>
        <v>0</v>
      </c>
      <c r="L1720" s="26">
        <f t="shared" si="80"/>
        <v>0</v>
      </c>
      <c r="M1720" s="26"/>
    </row>
    <row r="1721" spans="1:13" ht="15" customHeight="1">
      <c r="A1721" s="25">
        <v>1640635</v>
      </c>
      <c r="B1721" s="26" t="s">
        <v>5427</v>
      </c>
      <c r="C1721" s="26" t="s">
        <v>9538</v>
      </c>
      <c r="D1721" s="26" t="s">
        <v>9539</v>
      </c>
      <c r="E1721" s="26" t="s">
        <v>5968</v>
      </c>
      <c r="F1721" s="27">
        <v>5826538</v>
      </c>
      <c r="G1721" s="27">
        <v>1</v>
      </c>
      <c r="H1721" s="27">
        <v>0</v>
      </c>
      <c r="I1721" s="27">
        <v>1</v>
      </c>
      <c r="J1721" s="30">
        <f t="shared" si="78"/>
        <v>1</v>
      </c>
      <c r="K1721" s="30">
        <f t="shared" si="79"/>
        <v>0</v>
      </c>
      <c r="L1721" s="26">
        <f t="shared" si="80"/>
        <v>0</v>
      </c>
      <c r="M1721" s="26"/>
    </row>
    <row r="1722" spans="1:13" ht="15" customHeight="1">
      <c r="A1722" s="25">
        <v>1640685</v>
      </c>
      <c r="B1722" s="26" t="s">
        <v>5423</v>
      </c>
      <c r="C1722" s="26" t="s">
        <v>9540</v>
      </c>
      <c r="D1722" s="26" t="s">
        <v>9541</v>
      </c>
      <c r="E1722" s="26" t="s">
        <v>5535</v>
      </c>
      <c r="F1722" s="27">
        <v>5827392</v>
      </c>
      <c r="G1722" s="27">
        <v>1</v>
      </c>
      <c r="H1722" s="27">
        <v>0</v>
      </c>
      <c r="I1722" s="27">
        <v>1</v>
      </c>
      <c r="J1722" s="30">
        <f t="shared" si="78"/>
        <v>1</v>
      </c>
      <c r="K1722" s="30">
        <f t="shared" si="79"/>
        <v>0</v>
      </c>
      <c r="L1722" s="26">
        <f t="shared" si="80"/>
        <v>0</v>
      </c>
      <c r="M1722" s="26"/>
    </row>
    <row r="1723" spans="1:13" ht="15" customHeight="1">
      <c r="A1723" s="25">
        <v>1640719</v>
      </c>
      <c r="B1723" s="26" t="s">
        <v>5427</v>
      </c>
      <c r="C1723" s="26" t="s">
        <v>9542</v>
      </c>
      <c r="D1723" s="26" t="s">
        <v>9539</v>
      </c>
      <c r="E1723" s="26" t="s">
        <v>5772</v>
      </c>
      <c r="F1723" s="27">
        <v>5430636</v>
      </c>
      <c r="G1723" s="27">
        <v>1</v>
      </c>
      <c r="H1723" s="27">
        <v>1</v>
      </c>
      <c r="I1723" s="27">
        <v>1</v>
      </c>
      <c r="J1723" s="30">
        <f t="shared" si="78"/>
        <v>1</v>
      </c>
      <c r="K1723" s="30">
        <f t="shared" si="79"/>
        <v>1</v>
      </c>
      <c r="L1723" s="26">
        <f t="shared" si="80"/>
        <v>1</v>
      </c>
      <c r="M1723" s="26"/>
    </row>
    <row r="1724" spans="1:13" ht="15" customHeight="1">
      <c r="A1724" s="25">
        <v>1640931</v>
      </c>
      <c r="B1724" s="26" t="s">
        <v>5423</v>
      </c>
      <c r="C1724" s="26" t="s">
        <v>9543</v>
      </c>
      <c r="D1724" s="26" t="s">
        <v>9536</v>
      </c>
      <c r="E1724" s="26" t="s">
        <v>5540</v>
      </c>
      <c r="F1724" s="27">
        <v>5136583</v>
      </c>
      <c r="G1724" s="27">
        <v>0</v>
      </c>
      <c r="H1724" s="27">
        <v>0</v>
      </c>
      <c r="I1724" s="27">
        <v>0</v>
      </c>
      <c r="J1724" s="30">
        <f t="shared" si="78"/>
        <v>0</v>
      </c>
      <c r="K1724" s="30">
        <f t="shared" si="79"/>
        <v>0</v>
      </c>
      <c r="L1724" s="26">
        <f t="shared" si="80"/>
        <v>0</v>
      </c>
      <c r="M1724" s="26" t="s">
        <v>5557</v>
      </c>
    </row>
    <row r="1725" spans="1:13" ht="15" customHeight="1">
      <c r="A1725" s="25">
        <v>1641266</v>
      </c>
      <c r="B1725" s="26" t="s">
        <v>5423</v>
      </c>
      <c r="C1725" s="26" t="s">
        <v>9544</v>
      </c>
      <c r="D1725" s="26" t="s">
        <v>9545</v>
      </c>
      <c r="E1725" s="26" t="s">
        <v>5433</v>
      </c>
      <c r="F1725" s="27">
        <v>5827061</v>
      </c>
      <c r="G1725" s="27">
        <v>0</v>
      </c>
      <c r="H1725" s="27">
        <v>0</v>
      </c>
      <c r="I1725" s="27">
        <v>0</v>
      </c>
      <c r="J1725" s="30">
        <f t="shared" si="78"/>
        <v>0</v>
      </c>
      <c r="K1725" s="30">
        <f t="shared" si="79"/>
        <v>0</v>
      </c>
      <c r="L1725" s="26">
        <f t="shared" si="80"/>
        <v>0</v>
      </c>
      <c r="M1725" s="26">
        <v>0</v>
      </c>
    </row>
    <row r="1726" spans="1:13" ht="15" customHeight="1">
      <c r="A1726" s="25">
        <v>1641516</v>
      </c>
      <c r="B1726" s="26" t="s">
        <v>5427</v>
      </c>
      <c r="C1726" s="26" t="s">
        <v>9546</v>
      </c>
      <c r="D1726" s="26" t="s">
        <v>9539</v>
      </c>
      <c r="E1726" s="26" t="s">
        <v>5439</v>
      </c>
      <c r="F1726" s="27">
        <v>5780960</v>
      </c>
      <c r="G1726" s="27">
        <v>0</v>
      </c>
      <c r="H1726" s="27">
        <v>0</v>
      </c>
      <c r="I1726" s="27">
        <v>0</v>
      </c>
      <c r="J1726" s="30">
        <f t="shared" si="78"/>
        <v>0</v>
      </c>
      <c r="K1726" s="30">
        <f t="shared" si="79"/>
        <v>0</v>
      </c>
      <c r="L1726" s="26">
        <f t="shared" si="80"/>
        <v>0</v>
      </c>
      <c r="M1726" s="26" t="s">
        <v>9547</v>
      </c>
    </row>
    <row r="1727" spans="1:13" ht="15" customHeight="1">
      <c r="A1727" s="25">
        <v>1641657</v>
      </c>
      <c r="B1727" s="26" t="s">
        <v>5423</v>
      </c>
      <c r="C1727" s="26" t="s">
        <v>9548</v>
      </c>
      <c r="D1727" s="26" t="s">
        <v>9549</v>
      </c>
      <c r="E1727" s="26" t="s">
        <v>5517</v>
      </c>
      <c r="F1727" s="27">
        <v>5178374</v>
      </c>
      <c r="G1727" s="27">
        <v>1</v>
      </c>
      <c r="H1727" s="27">
        <v>0</v>
      </c>
      <c r="I1727" s="27">
        <v>1</v>
      </c>
      <c r="J1727" s="30">
        <f t="shared" si="78"/>
        <v>1</v>
      </c>
      <c r="K1727" s="30">
        <f t="shared" si="79"/>
        <v>0</v>
      </c>
      <c r="L1727" s="26">
        <f t="shared" si="80"/>
        <v>0</v>
      </c>
      <c r="M1727" s="26"/>
    </row>
    <row r="1728" spans="1:13" ht="15" customHeight="1">
      <c r="A1728" s="25">
        <v>1641681</v>
      </c>
      <c r="B1728" s="26" t="s">
        <v>5423</v>
      </c>
      <c r="C1728" s="26" t="s">
        <v>9550</v>
      </c>
      <c r="D1728" s="26" t="s">
        <v>9551</v>
      </c>
      <c r="E1728" s="26" t="s">
        <v>5468</v>
      </c>
      <c r="F1728" s="27">
        <v>5829995</v>
      </c>
      <c r="G1728" s="27">
        <v>0</v>
      </c>
      <c r="H1728" s="27">
        <v>1</v>
      </c>
      <c r="I1728" s="27">
        <v>1</v>
      </c>
      <c r="J1728" s="30">
        <f t="shared" si="78"/>
        <v>0</v>
      </c>
      <c r="K1728" s="30">
        <f t="shared" si="79"/>
        <v>1</v>
      </c>
      <c r="L1728" s="26">
        <f t="shared" si="80"/>
        <v>0</v>
      </c>
      <c r="M1728" s="26"/>
    </row>
    <row r="1729" spans="1:13" ht="15" customHeight="1">
      <c r="A1729" s="25">
        <v>1641683</v>
      </c>
      <c r="B1729" s="26" t="s">
        <v>5423</v>
      </c>
      <c r="C1729" s="26" t="s">
        <v>9552</v>
      </c>
      <c r="D1729" s="26" t="s">
        <v>9553</v>
      </c>
      <c r="E1729" s="26" t="s">
        <v>5488</v>
      </c>
      <c r="F1729" s="27">
        <v>4281423</v>
      </c>
      <c r="G1729" s="27">
        <v>0</v>
      </c>
      <c r="H1729" s="27">
        <v>0</v>
      </c>
      <c r="I1729" s="27">
        <v>0</v>
      </c>
      <c r="J1729" s="30">
        <f t="shared" si="78"/>
        <v>0</v>
      </c>
      <c r="K1729" s="30">
        <f t="shared" si="79"/>
        <v>0</v>
      </c>
      <c r="L1729" s="26">
        <f t="shared" si="80"/>
        <v>0</v>
      </c>
      <c r="M1729" s="26" t="s">
        <v>5567</v>
      </c>
    </row>
    <row r="1730" spans="1:13" ht="15" customHeight="1">
      <c r="A1730" s="25">
        <v>1642124</v>
      </c>
      <c r="B1730" s="26" t="s">
        <v>5427</v>
      </c>
      <c r="C1730" s="26" t="s">
        <v>9554</v>
      </c>
      <c r="D1730" s="26" t="s">
        <v>9555</v>
      </c>
      <c r="E1730" s="26" t="s">
        <v>5891</v>
      </c>
      <c r="F1730" s="27">
        <v>2437722</v>
      </c>
      <c r="G1730" s="27">
        <v>1</v>
      </c>
      <c r="H1730" s="27">
        <v>0</v>
      </c>
      <c r="I1730" s="27">
        <v>1</v>
      </c>
      <c r="J1730" s="30">
        <f t="shared" ref="J1730:J1793" si="81">IF(G1730&gt;0,1,0)</f>
        <v>1</v>
      </c>
      <c r="K1730" s="30">
        <f t="shared" ref="K1730:K1793" si="82">IF(H1730&gt;0,1,0)</f>
        <v>0</v>
      </c>
      <c r="L1730" s="26">
        <f t="shared" ref="L1730:L1793" si="83">IF(G1730&gt;0,IF(H1730&gt;0,1,0),0)</f>
        <v>0</v>
      </c>
      <c r="M1730" s="26" t="s">
        <v>9556</v>
      </c>
    </row>
    <row r="1731" spans="1:13" ht="15" customHeight="1">
      <c r="A1731" s="25">
        <v>1642233</v>
      </c>
      <c r="B1731" s="26" t="s">
        <v>5423</v>
      </c>
      <c r="C1731" s="26" t="s">
        <v>9557</v>
      </c>
      <c r="D1731" s="26" t="s">
        <v>9553</v>
      </c>
      <c r="E1731" s="26" t="s">
        <v>5707</v>
      </c>
      <c r="F1731" s="27">
        <v>2844411</v>
      </c>
      <c r="G1731" s="27">
        <v>1</v>
      </c>
      <c r="H1731" s="27">
        <v>0</v>
      </c>
      <c r="I1731" s="27">
        <v>1</v>
      </c>
      <c r="J1731" s="30">
        <f t="shared" si="81"/>
        <v>1</v>
      </c>
      <c r="K1731" s="30">
        <f t="shared" si="82"/>
        <v>0</v>
      </c>
      <c r="L1731" s="26">
        <f t="shared" si="83"/>
        <v>0</v>
      </c>
      <c r="M1731" s="26"/>
    </row>
    <row r="1732" spans="1:13" ht="15" customHeight="1">
      <c r="A1732" s="25">
        <v>1642612</v>
      </c>
      <c r="B1732" s="26" t="s">
        <v>5423</v>
      </c>
      <c r="C1732" s="26" t="s">
        <v>9558</v>
      </c>
      <c r="D1732" s="26" t="s">
        <v>9559</v>
      </c>
      <c r="E1732" s="26" t="s">
        <v>5430</v>
      </c>
      <c r="F1732" s="27">
        <v>5792557</v>
      </c>
      <c r="G1732" s="27">
        <v>1</v>
      </c>
      <c r="H1732" s="27">
        <v>0</v>
      </c>
      <c r="I1732" s="27">
        <v>1</v>
      </c>
      <c r="J1732" s="30">
        <f t="shared" si="81"/>
        <v>1</v>
      </c>
      <c r="K1732" s="30">
        <f t="shared" si="82"/>
        <v>0</v>
      </c>
      <c r="L1732" s="26">
        <f t="shared" si="83"/>
        <v>0</v>
      </c>
      <c r="M1732" s="26"/>
    </row>
    <row r="1733" spans="1:13" ht="15" customHeight="1">
      <c r="A1733" s="25">
        <v>1642996</v>
      </c>
      <c r="B1733" s="26" t="s">
        <v>5423</v>
      </c>
      <c r="C1733" s="26" t="s">
        <v>9560</v>
      </c>
      <c r="D1733" s="26" t="s">
        <v>9561</v>
      </c>
      <c r="E1733" s="26" t="s">
        <v>5442</v>
      </c>
      <c r="F1733" s="27">
        <v>5831716</v>
      </c>
      <c r="G1733" s="27">
        <v>0</v>
      </c>
      <c r="H1733" s="27">
        <v>0</v>
      </c>
      <c r="I1733" s="27">
        <v>0</v>
      </c>
      <c r="J1733" s="30">
        <f t="shared" si="81"/>
        <v>0</v>
      </c>
      <c r="K1733" s="30">
        <f t="shared" si="82"/>
        <v>0</v>
      </c>
      <c r="L1733" s="26">
        <f t="shared" si="83"/>
        <v>0</v>
      </c>
      <c r="M1733" s="26">
        <v>0</v>
      </c>
    </row>
    <row r="1734" spans="1:13" ht="15" customHeight="1">
      <c r="A1734" s="25">
        <v>1643047</v>
      </c>
      <c r="B1734" s="26" t="s">
        <v>5423</v>
      </c>
      <c r="C1734" s="26" t="s">
        <v>9562</v>
      </c>
      <c r="D1734" s="26" t="s">
        <v>9561</v>
      </c>
      <c r="E1734" s="26" t="s">
        <v>5433</v>
      </c>
      <c r="F1734" s="27">
        <v>4651245</v>
      </c>
      <c r="G1734" s="27">
        <v>1</v>
      </c>
      <c r="H1734" s="27">
        <v>1</v>
      </c>
      <c r="I1734" s="27">
        <v>1</v>
      </c>
      <c r="J1734" s="30">
        <f t="shared" si="81"/>
        <v>1</v>
      </c>
      <c r="K1734" s="30">
        <f t="shared" si="82"/>
        <v>1</v>
      </c>
      <c r="L1734" s="26">
        <f t="shared" si="83"/>
        <v>1</v>
      </c>
      <c r="M1734" s="26"/>
    </row>
    <row r="1735" spans="1:13" ht="15" customHeight="1">
      <c r="A1735" s="25">
        <v>1643103</v>
      </c>
      <c r="B1735" s="26" t="s">
        <v>5427</v>
      </c>
      <c r="C1735" s="26" t="s">
        <v>9563</v>
      </c>
      <c r="D1735" s="26" t="s">
        <v>9549</v>
      </c>
      <c r="E1735" s="26" t="s">
        <v>5455</v>
      </c>
      <c r="F1735" s="27">
        <v>4829162</v>
      </c>
      <c r="G1735" s="27">
        <v>1</v>
      </c>
      <c r="H1735" s="27">
        <v>0</v>
      </c>
      <c r="I1735" s="27">
        <v>1</v>
      </c>
      <c r="J1735" s="30">
        <f t="shared" si="81"/>
        <v>1</v>
      </c>
      <c r="K1735" s="30">
        <f t="shared" si="82"/>
        <v>0</v>
      </c>
      <c r="L1735" s="26">
        <f t="shared" si="83"/>
        <v>0</v>
      </c>
      <c r="M1735" s="26"/>
    </row>
    <row r="1736" spans="1:13" ht="15" customHeight="1">
      <c r="A1736" s="25">
        <v>1643270</v>
      </c>
      <c r="B1736" s="26" t="s">
        <v>5423</v>
      </c>
      <c r="C1736" s="26" t="s">
        <v>9564</v>
      </c>
      <c r="D1736" s="26" t="s">
        <v>9565</v>
      </c>
      <c r="E1736" s="26" t="s">
        <v>5586</v>
      </c>
      <c r="F1736" s="27">
        <v>5834784</v>
      </c>
      <c r="G1736" s="27">
        <v>0</v>
      </c>
      <c r="H1736" s="27">
        <v>0</v>
      </c>
      <c r="I1736" s="27">
        <v>0</v>
      </c>
      <c r="J1736" s="30">
        <f t="shared" si="81"/>
        <v>0</v>
      </c>
      <c r="K1736" s="30">
        <f t="shared" si="82"/>
        <v>0</v>
      </c>
      <c r="L1736" s="26">
        <f t="shared" si="83"/>
        <v>0</v>
      </c>
      <c r="M1736" s="26">
        <v>0</v>
      </c>
    </row>
    <row r="1737" spans="1:13" ht="15" customHeight="1">
      <c r="A1737" s="25">
        <v>1643418</v>
      </c>
      <c r="B1737" s="26" t="s">
        <v>5427</v>
      </c>
      <c r="C1737" s="26" t="s">
        <v>9566</v>
      </c>
      <c r="D1737" s="26" t="s">
        <v>9565</v>
      </c>
      <c r="E1737" s="26" t="s">
        <v>5683</v>
      </c>
      <c r="F1737" s="27">
        <v>5836499</v>
      </c>
      <c r="G1737" s="27">
        <v>1</v>
      </c>
      <c r="H1737" s="27">
        <v>1</v>
      </c>
      <c r="I1737" s="27">
        <v>1</v>
      </c>
      <c r="J1737" s="30">
        <f t="shared" si="81"/>
        <v>1</v>
      </c>
      <c r="K1737" s="30">
        <f t="shared" si="82"/>
        <v>1</v>
      </c>
      <c r="L1737" s="26">
        <f t="shared" si="83"/>
        <v>1</v>
      </c>
      <c r="M1737" s="26"/>
    </row>
    <row r="1738" spans="1:13" ht="15" customHeight="1">
      <c r="A1738" s="25">
        <v>1643563</v>
      </c>
      <c r="B1738" s="26" t="s">
        <v>5427</v>
      </c>
      <c r="C1738" s="26" t="s">
        <v>9567</v>
      </c>
      <c r="D1738" s="26" t="s">
        <v>9559</v>
      </c>
      <c r="E1738" s="26" t="s">
        <v>5436</v>
      </c>
      <c r="F1738" s="27">
        <v>5836342</v>
      </c>
      <c r="G1738" s="27">
        <v>0</v>
      </c>
      <c r="H1738" s="27">
        <v>0</v>
      </c>
      <c r="I1738" s="27">
        <v>0</v>
      </c>
      <c r="J1738" s="30">
        <f t="shared" si="81"/>
        <v>0</v>
      </c>
      <c r="K1738" s="30">
        <f t="shared" si="82"/>
        <v>0</v>
      </c>
      <c r="L1738" s="26">
        <f t="shared" si="83"/>
        <v>0</v>
      </c>
      <c r="M1738" s="26">
        <v>0</v>
      </c>
    </row>
    <row r="1739" spans="1:13" ht="15" customHeight="1">
      <c r="A1739" s="25">
        <v>1643944</v>
      </c>
      <c r="B1739" s="26" t="s">
        <v>5423</v>
      </c>
      <c r="C1739" s="26" t="s">
        <v>9568</v>
      </c>
      <c r="D1739" s="26" t="s">
        <v>9569</v>
      </c>
      <c r="E1739" s="26" t="s">
        <v>5517</v>
      </c>
      <c r="F1739" s="27">
        <v>5837019</v>
      </c>
      <c r="G1739" s="27">
        <v>0</v>
      </c>
      <c r="H1739" s="27">
        <v>1</v>
      </c>
      <c r="I1739" s="27">
        <v>1</v>
      </c>
      <c r="J1739" s="30">
        <f t="shared" si="81"/>
        <v>0</v>
      </c>
      <c r="K1739" s="30">
        <f t="shared" si="82"/>
        <v>1</v>
      </c>
      <c r="L1739" s="26">
        <f t="shared" si="83"/>
        <v>0</v>
      </c>
      <c r="M1739" s="26"/>
    </row>
    <row r="1740" spans="1:13" ht="15" customHeight="1">
      <c r="A1740" s="25">
        <v>1644060</v>
      </c>
      <c r="B1740" s="26" t="s">
        <v>5423</v>
      </c>
      <c r="C1740" s="26" t="s">
        <v>9570</v>
      </c>
      <c r="D1740" s="26" t="s">
        <v>9571</v>
      </c>
      <c r="E1740" s="26" t="s">
        <v>5463</v>
      </c>
      <c r="F1740" s="27">
        <v>5835949</v>
      </c>
      <c r="G1740" s="27">
        <v>1</v>
      </c>
      <c r="H1740" s="27">
        <v>1</v>
      </c>
      <c r="I1740" s="27">
        <v>1</v>
      </c>
      <c r="J1740" s="30">
        <f t="shared" si="81"/>
        <v>1</v>
      </c>
      <c r="K1740" s="30">
        <f t="shared" si="82"/>
        <v>1</v>
      </c>
      <c r="L1740" s="26">
        <f t="shared" si="83"/>
        <v>1</v>
      </c>
      <c r="M1740" s="26"/>
    </row>
    <row r="1741" spans="1:13" ht="15" customHeight="1">
      <c r="A1741" s="25" t="s">
        <v>9572</v>
      </c>
      <c r="B1741" s="26" t="s">
        <v>5427</v>
      </c>
      <c r="C1741" s="26" t="s">
        <v>9573</v>
      </c>
      <c r="D1741" s="26" t="s">
        <v>9574</v>
      </c>
      <c r="E1741" s="26" t="s">
        <v>6541</v>
      </c>
      <c r="F1741" s="27"/>
      <c r="G1741" s="27">
        <v>1</v>
      </c>
      <c r="H1741" s="27">
        <v>0</v>
      </c>
      <c r="I1741" s="27">
        <v>1</v>
      </c>
      <c r="J1741" s="30">
        <f t="shared" si="81"/>
        <v>1</v>
      </c>
      <c r="K1741" s="30">
        <f t="shared" si="82"/>
        <v>0</v>
      </c>
      <c r="L1741" s="26">
        <f t="shared" si="83"/>
        <v>0</v>
      </c>
      <c r="M1741" s="26"/>
    </row>
    <row r="1742" spans="1:13" ht="15" customHeight="1">
      <c r="A1742" s="25">
        <v>1644150</v>
      </c>
      <c r="B1742" s="26" t="s">
        <v>5427</v>
      </c>
      <c r="C1742" s="26" t="s">
        <v>9575</v>
      </c>
      <c r="D1742" s="26" t="s">
        <v>9576</v>
      </c>
      <c r="E1742" s="26" t="s">
        <v>5433</v>
      </c>
      <c r="F1742" s="27">
        <v>5834093</v>
      </c>
      <c r="G1742" s="27">
        <v>1</v>
      </c>
      <c r="H1742" s="27">
        <v>1</v>
      </c>
      <c r="I1742" s="27">
        <v>1</v>
      </c>
      <c r="J1742" s="30">
        <f t="shared" si="81"/>
        <v>1</v>
      </c>
      <c r="K1742" s="30">
        <f t="shared" si="82"/>
        <v>1</v>
      </c>
      <c r="L1742" s="26">
        <f t="shared" si="83"/>
        <v>1</v>
      </c>
      <c r="M1742" s="26"/>
    </row>
    <row r="1743" spans="1:13" ht="15" customHeight="1">
      <c r="A1743" s="25">
        <v>1644194</v>
      </c>
      <c r="B1743" s="26" t="s">
        <v>5423</v>
      </c>
      <c r="C1743" s="26" t="s">
        <v>9577</v>
      </c>
      <c r="D1743" s="26" t="s">
        <v>9576</v>
      </c>
      <c r="E1743" s="26" t="s">
        <v>5452</v>
      </c>
      <c r="F1743" s="27">
        <v>5838823</v>
      </c>
      <c r="G1743" s="27">
        <v>0</v>
      </c>
      <c r="H1743" s="27">
        <v>0</v>
      </c>
      <c r="I1743" s="27">
        <v>0</v>
      </c>
      <c r="J1743" s="30">
        <f t="shared" si="81"/>
        <v>0</v>
      </c>
      <c r="K1743" s="30">
        <f t="shared" si="82"/>
        <v>0</v>
      </c>
      <c r="L1743" s="26">
        <f t="shared" si="83"/>
        <v>0</v>
      </c>
      <c r="M1743" s="26">
        <v>0</v>
      </c>
    </row>
    <row r="1744" spans="1:13" ht="15" customHeight="1">
      <c r="A1744" s="25">
        <v>1644219</v>
      </c>
      <c r="B1744" s="26" t="s">
        <v>5423</v>
      </c>
      <c r="C1744" s="26" t="s">
        <v>9578</v>
      </c>
      <c r="D1744" s="26" t="s">
        <v>9576</v>
      </c>
      <c r="E1744" s="26" t="s">
        <v>5540</v>
      </c>
      <c r="F1744" s="27">
        <v>5836566</v>
      </c>
      <c r="G1744" s="27">
        <v>0</v>
      </c>
      <c r="H1744" s="27">
        <v>1</v>
      </c>
      <c r="I1744" s="27">
        <v>1</v>
      </c>
      <c r="J1744" s="30">
        <f t="shared" si="81"/>
        <v>0</v>
      </c>
      <c r="K1744" s="30">
        <f t="shared" si="82"/>
        <v>1</v>
      </c>
      <c r="L1744" s="26">
        <f t="shared" si="83"/>
        <v>0</v>
      </c>
      <c r="M1744" s="26" t="s">
        <v>8169</v>
      </c>
    </row>
    <row r="1745" spans="1:13" ht="15" customHeight="1">
      <c r="A1745" s="25">
        <v>1644223</v>
      </c>
      <c r="B1745" s="26" t="s">
        <v>5423</v>
      </c>
      <c r="C1745" s="26" t="s">
        <v>9579</v>
      </c>
      <c r="D1745" s="26" t="s">
        <v>9580</v>
      </c>
      <c r="E1745" s="26" t="s">
        <v>5433</v>
      </c>
      <c r="F1745" s="27">
        <v>5773724</v>
      </c>
      <c r="G1745" s="27">
        <v>0</v>
      </c>
      <c r="H1745" s="27">
        <v>0</v>
      </c>
      <c r="I1745" s="27">
        <v>0</v>
      </c>
      <c r="J1745" s="30">
        <f t="shared" si="81"/>
        <v>0</v>
      </c>
      <c r="K1745" s="30">
        <f t="shared" si="82"/>
        <v>0</v>
      </c>
      <c r="L1745" s="26">
        <f t="shared" si="83"/>
        <v>0</v>
      </c>
      <c r="M1745" s="26" t="s">
        <v>9581</v>
      </c>
    </row>
    <row r="1746" spans="1:13" ht="15" customHeight="1">
      <c r="A1746" s="25">
        <v>1644257</v>
      </c>
      <c r="B1746" s="26" t="s">
        <v>5427</v>
      </c>
      <c r="C1746" s="26" t="s">
        <v>9582</v>
      </c>
      <c r="D1746" s="26" t="s">
        <v>9571</v>
      </c>
      <c r="E1746" s="26" t="s">
        <v>5532</v>
      </c>
      <c r="F1746" s="27">
        <v>5826414</v>
      </c>
      <c r="G1746" s="27">
        <v>1</v>
      </c>
      <c r="H1746" s="27">
        <v>0</v>
      </c>
      <c r="I1746" s="27">
        <v>1</v>
      </c>
      <c r="J1746" s="30">
        <f t="shared" si="81"/>
        <v>1</v>
      </c>
      <c r="K1746" s="30">
        <f t="shared" si="82"/>
        <v>0</v>
      </c>
      <c r="L1746" s="26">
        <f t="shared" si="83"/>
        <v>0</v>
      </c>
      <c r="M1746" s="26" t="s">
        <v>8045</v>
      </c>
    </row>
    <row r="1747" spans="1:13" ht="15" customHeight="1">
      <c r="A1747" s="25">
        <v>1644269</v>
      </c>
      <c r="B1747" s="26" t="s">
        <v>5423</v>
      </c>
      <c r="C1747" s="26" t="s">
        <v>9583</v>
      </c>
      <c r="D1747" s="26" t="s">
        <v>9574</v>
      </c>
      <c r="E1747" s="26" t="s">
        <v>5535</v>
      </c>
      <c r="F1747" s="27">
        <v>5835542</v>
      </c>
      <c r="G1747" s="27">
        <v>1</v>
      </c>
      <c r="H1747" s="27">
        <v>0</v>
      </c>
      <c r="I1747" s="27">
        <v>1</v>
      </c>
      <c r="J1747" s="30">
        <f t="shared" si="81"/>
        <v>1</v>
      </c>
      <c r="K1747" s="30">
        <f t="shared" si="82"/>
        <v>0</v>
      </c>
      <c r="L1747" s="26">
        <f t="shared" si="83"/>
        <v>0</v>
      </c>
      <c r="M1747" s="26"/>
    </row>
    <row r="1748" spans="1:13" ht="15" customHeight="1">
      <c r="A1748" s="25">
        <v>1644315</v>
      </c>
      <c r="B1748" s="26" t="s">
        <v>5423</v>
      </c>
      <c r="C1748" s="26" t="s">
        <v>9584</v>
      </c>
      <c r="D1748" s="26" t="s">
        <v>9574</v>
      </c>
      <c r="E1748" s="26" t="s">
        <v>5439</v>
      </c>
      <c r="F1748" s="27">
        <v>5827671</v>
      </c>
      <c r="G1748" s="27">
        <v>1</v>
      </c>
      <c r="H1748" s="27">
        <v>0</v>
      </c>
      <c r="I1748" s="27">
        <v>1</v>
      </c>
      <c r="J1748" s="30">
        <f t="shared" si="81"/>
        <v>1</v>
      </c>
      <c r="K1748" s="30">
        <f t="shared" si="82"/>
        <v>0</v>
      </c>
      <c r="L1748" s="26">
        <f t="shared" si="83"/>
        <v>0</v>
      </c>
      <c r="M1748" s="26"/>
    </row>
    <row r="1749" spans="1:13" ht="15" customHeight="1">
      <c r="A1749" s="25">
        <v>1644331</v>
      </c>
      <c r="B1749" s="26" t="s">
        <v>5423</v>
      </c>
      <c r="C1749" s="26" t="s">
        <v>9585</v>
      </c>
      <c r="D1749" s="26" t="s">
        <v>9571</v>
      </c>
      <c r="E1749" s="26" t="s">
        <v>5433</v>
      </c>
      <c r="F1749" s="27">
        <v>5183700</v>
      </c>
      <c r="G1749" s="27">
        <v>1</v>
      </c>
      <c r="H1749" s="27">
        <v>1</v>
      </c>
      <c r="I1749" s="27">
        <v>1</v>
      </c>
      <c r="J1749" s="30">
        <f t="shared" si="81"/>
        <v>1</v>
      </c>
      <c r="K1749" s="30">
        <f t="shared" si="82"/>
        <v>1</v>
      </c>
      <c r="L1749" s="26">
        <f t="shared" si="83"/>
        <v>1</v>
      </c>
      <c r="M1749" s="26"/>
    </row>
    <row r="1750" spans="1:13" ht="15" customHeight="1">
      <c r="A1750" s="25">
        <v>1644342</v>
      </c>
      <c r="B1750" s="26" t="s">
        <v>5423</v>
      </c>
      <c r="C1750" s="26" t="s">
        <v>9586</v>
      </c>
      <c r="D1750" s="26" t="s">
        <v>9574</v>
      </c>
      <c r="E1750" s="26" t="s">
        <v>5452</v>
      </c>
      <c r="F1750" s="27">
        <v>5832312</v>
      </c>
      <c r="G1750" s="27">
        <v>0</v>
      </c>
      <c r="H1750" s="27">
        <v>1</v>
      </c>
      <c r="I1750" s="27">
        <v>1</v>
      </c>
      <c r="J1750" s="30">
        <f t="shared" si="81"/>
        <v>0</v>
      </c>
      <c r="K1750" s="30">
        <f t="shared" si="82"/>
        <v>1</v>
      </c>
      <c r="L1750" s="26">
        <f t="shared" si="83"/>
        <v>0</v>
      </c>
      <c r="M1750" s="26"/>
    </row>
    <row r="1751" spans="1:13" ht="15" customHeight="1">
      <c r="A1751" s="25">
        <v>1644981</v>
      </c>
      <c r="B1751" s="26" t="s">
        <v>5427</v>
      </c>
      <c r="C1751" s="26" t="s">
        <v>9587</v>
      </c>
      <c r="D1751" s="26" t="s">
        <v>9588</v>
      </c>
      <c r="E1751" s="26" t="s">
        <v>5772</v>
      </c>
      <c r="F1751" s="27">
        <v>5818271</v>
      </c>
      <c r="G1751" s="27">
        <v>1</v>
      </c>
      <c r="H1751" s="27">
        <v>1</v>
      </c>
      <c r="I1751" s="27">
        <v>1</v>
      </c>
      <c r="J1751" s="30">
        <f t="shared" si="81"/>
        <v>1</v>
      </c>
      <c r="K1751" s="30">
        <f t="shared" si="82"/>
        <v>1</v>
      </c>
      <c r="L1751" s="26">
        <f t="shared" si="83"/>
        <v>1</v>
      </c>
      <c r="M1751" s="26"/>
    </row>
    <row r="1752" spans="1:13" ht="15" customHeight="1">
      <c r="A1752" s="25">
        <v>1645064</v>
      </c>
      <c r="B1752" s="26" t="s">
        <v>5423</v>
      </c>
      <c r="C1752" s="26" t="s">
        <v>9589</v>
      </c>
      <c r="D1752" s="26" t="s">
        <v>9569</v>
      </c>
      <c r="E1752" s="26" t="s">
        <v>5485</v>
      </c>
      <c r="F1752" s="27">
        <v>5837107</v>
      </c>
      <c r="G1752" s="27">
        <v>1</v>
      </c>
      <c r="H1752" s="27">
        <v>0</v>
      </c>
      <c r="I1752" s="27">
        <v>1</v>
      </c>
      <c r="J1752" s="30">
        <f t="shared" si="81"/>
        <v>1</v>
      </c>
      <c r="K1752" s="30">
        <f t="shared" si="82"/>
        <v>0</v>
      </c>
      <c r="L1752" s="26">
        <f t="shared" si="83"/>
        <v>0</v>
      </c>
      <c r="M1752" s="26"/>
    </row>
    <row r="1753" spans="1:13" ht="15" customHeight="1">
      <c r="A1753" s="25">
        <v>1645081</v>
      </c>
      <c r="B1753" s="26" t="s">
        <v>5423</v>
      </c>
      <c r="C1753" s="26" t="s">
        <v>9590</v>
      </c>
      <c r="D1753" s="26" t="s">
        <v>9569</v>
      </c>
      <c r="E1753" s="26" t="s">
        <v>5504</v>
      </c>
      <c r="F1753" s="27">
        <v>5827139</v>
      </c>
      <c r="G1753" s="27">
        <v>1</v>
      </c>
      <c r="H1753" s="27">
        <v>0</v>
      </c>
      <c r="I1753" s="27">
        <v>1</v>
      </c>
      <c r="J1753" s="30">
        <f t="shared" si="81"/>
        <v>1</v>
      </c>
      <c r="K1753" s="30">
        <f t="shared" si="82"/>
        <v>0</v>
      </c>
      <c r="L1753" s="26">
        <f t="shared" si="83"/>
        <v>0</v>
      </c>
      <c r="M1753" s="26"/>
    </row>
    <row r="1754" spans="1:13" ht="15" customHeight="1">
      <c r="A1754" s="25">
        <v>1645656</v>
      </c>
      <c r="B1754" s="26" t="s">
        <v>5423</v>
      </c>
      <c r="C1754" s="26" t="s">
        <v>9591</v>
      </c>
      <c r="D1754" s="26" t="s">
        <v>9592</v>
      </c>
      <c r="E1754" s="26" t="s">
        <v>5517</v>
      </c>
      <c r="F1754" s="27"/>
      <c r="G1754" s="27">
        <v>0</v>
      </c>
      <c r="H1754" s="27">
        <v>0</v>
      </c>
      <c r="I1754" s="27">
        <v>0</v>
      </c>
      <c r="J1754" s="30">
        <f t="shared" si="81"/>
        <v>0</v>
      </c>
      <c r="K1754" s="30">
        <f t="shared" si="82"/>
        <v>0</v>
      </c>
      <c r="L1754" s="26">
        <f t="shared" si="83"/>
        <v>0</v>
      </c>
      <c r="M1754" s="26" t="s">
        <v>9020</v>
      </c>
    </row>
    <row r="1755" spans="1:13" ht="15" customHeight="1">
      <c r="A1755" s="25">
        <v>1645846</v>
      </c>
      <c r="B1755" s="26" t="s">
        <v>5423</v>
      </c>
      <c r="C1755" s="26" t="s">
        <v>9593</v>
      </c>
      <c r="D1755" s="26" t="s">
        <v>9594</v>
      </c>
      <c r="E1755" s="26" t="s">
        <v>5468</v>
      </c>
      <c r="F1755" s="27">
        <v>5839476</v>
      </c>
      <c r="G1755" s="27">
        <v>1</v>
      </c>
      <c r="H1755" s="27">
        <v>1</v>
      </c>
      <c r="I1755" s="27">
        <v>1</v>
      </c>
      <c r="J1755" s="30">
        <f t="shared" si="81"/>
        <v>1</v>
      </c>
      <c r="K1755" s="30">
        <f t="shared" si="82"/>
        <v>1</v>
      </c>
      <c r="L1755" s="26">
        <f t="shared" si="83"/>
        <v>1</v>
      </c>
      <c r="M1755" s="26" t="s">
        <v>9595</v>
      </c>
    </row>
    <row r="1756" spans="1:13" ht="15" customHeight="1">
      <c r="A1756" s="25">
        <v>1645853</v>
      </c>
      <c r="B1756" s="26" t="s">
        <v>5423</v>
      </c>
      <c r="C1756" s="26" t="s">
        <v>9596</v>
      </c>
      <c r="D1756" s="26" t="s">
        <v>9594</v>
      </c>
      <c r="E1756" s="26" t="s">
        <v>5535</v>
      </c>
      <c r="F1756" s="27">
        <v>5837425</v>
      </c>
      <c r="G1756" s="27">
        <v>1</v>
      </c>
      <c r="H1756" s="27">
        <v>0</v>
      </c>
      <c r="I1756" s="27">
        <v>1</v>
      </c>
      <c r="J1756" s="30">
        <f t="shared" si="81"/>
        <v>1</v>
      </c>
      <c r="K1756" s="30">
        <f t="shared" si="82"/>
        <v>0</v>
      </c>
      <c r="L1756" s="26">
        <f t="shared" si="83"/>
        <v>0</v>
      </c>
      <c r="M1756" s="26"/>
    </row>
    <row r="1757" spans="1:13" ht="15" customHeight="1">
      <c r="A1757" s="25">
        <v>1645954</v>
      </c>
      <c r="B1757" s="26" t="s">
        <v>5423</v>
      </c>
      <c r="C1757" s="26" t="s">
        <v>9597</v>
      </c>
      <c r="D1757" s="26" t="s">
        <v>9594</v>
      </c>
      <c r="E1757" s="26" t="s">
        <v>5603</v>
      </c>
      <c r="F1757" s="27">
        <v>5831785</v>
      </c>
      <c r="G1757" s="27">
        <v>1</v>
      </c>
      <c r="H1757" s="27">
        <v>1</v>
      </c>
      <c r="I1757" s="27">
        <v>1</v>
      </c>
      <c r="J1757" s="30">
        <f t="shared" si="81"/>
        <v>1</v>
      </c>
      <c r="K1757" s="30">
        <f t="shared" si="82"/>
        <v>1</v>
      </c>
      <c r="L1757" s="26">
        <f t="shared" si="83"/>
        <v>1</v>
      </c>
      <c r="M1757" s="26"/>
    </row>
    <row r="1758" spans="1:13" ht="15" customHeight="1">
      <c r="A1758" s="25">
        <v>1646234</v>
      </c>
      <c r="B1758" s="26" t="s">
        <v>5423</v>
      </c>
      <c r="C1758" s="26" t="s">
        <v>9598</v>
      </c>
      <c r="D1758" s="26" t="s">
        <v>9599</v>
      </c>
      <c r="E1758" s="26" t="s">
        <v>5586</v>
      </c>
      <c r="F1758" s="27">
        <v>5654450</v>
      </c>
      <c r="G1758" s="27">
        <v>1</v>
      </c>
      <c r="H1758" s="27">
        <v>1</v>
      </c>
      <c r="I1758" s="27">
        <v>1</v>
      </c>
      <c r="J1758" s="30">
        <f t="shared" si="81"/>
        <v>1</v>
      </c>
      <c r="K1758" s="30">
        <f t="shared" si="82"/>
        <v>1</v>
      </c>
      <c r="L1758" s="26">
        <f t="shared" si="83"/>
        <v>1</v>
      </c>
      <c r="M1758" s="26"/>
    </row>
    <row r="1759" spans="1:13" ht="15" customHeight="1">
      <c r="A1759" s="25">
        <v>1646303</v>
      </c>
      <c r="B1759" s="26" t="s">
        <v>5423</v>
      </c>
      <c r="C1759" s="26" t="s">
        <v>9600</v>
      </c>
      <c r="D1759" s="26" t="s">
        <v>9594</v>
      </c>
      <c r="E1759" s="26" t="s">
        <v>5545</v>
      </c>
      <c r="F1759" s="27">
        <v>3476797</v>
      </c>
      <c r="G1759" s="27">
        <v>0</v>
      </c>
      <c r="H1759" s="27">
        <v>0</v>
      </c>
      <c r="I1759" s="27">
        <v>0</v>
      </c>
      <c r="J1759" s="30">
        <f t="shared" si="81"/>
        <v>0</v>
      </c>
      <c r="K1759" s="30">
        <f t="shared" si="82"/>
        <v>0</v>
      </c>
      <c r="L1759" s="26">
        <f t="shared" si="83"/>
        <v>0</v>
      </c>
      <c r="M1759" s="26" t="s">
        <v>9601</v>
      </c>
    </row>
    <row r="1760" spans="1:13" ht="15" customHeight="1">
      <c r="A1760" s="25">
        <v>1646351</v>
      </c>
      <c r="B1760" s="26" t="s">
        <v>5423</v>
      </c>
      <c r="C1760" s="26" t="s">
        <v>9602</v>
      </c>
      <c r="D1760" s="26" t="s">
        <v>9603</v>
      </c>
      <c r="E1760" s="26" t="s">
        <v>5439</v>
      </c>
      <c r="F1760" s="27">
        <v>5312176</v>
      </c>
      <c r="G1760" s="27">
        <v>1</v>
      </c>
      <c r="H1760" s="27">
        <v>0</v>
      </c>
      <c r="I1760" s="27">
        <v>1</v>
      </c>
      <c r="J1760" s="30">
        <f t="shared" si="81"/>
        <v>1</v>
      </c>
      <c r="K1760" s="30">
        <f t="shared" si="82"/>
        <v>0</v>
      </c>
      <c r="L1760" s="26">
        <f t="shared" si="83"/>
        <v>0</v>
      </c>
      <c r="M1760" s="26"/>
    </row>
    <row r="1761" spans="1:13" ht="15" customHeight="1">
      <c r="A1761" s="25">
        <v>1646585</v>
      </c>
      <c r="B1761" s="26" t="s">
        <v>5423</v>
      </c>
      <c r="C1761" s="26" t="s">
        <v>9604</v>
      </c>
      <c r="D1761" s="26" t="s">
        <v>9605</v>
      </c>
      <c r="E1761" s="26" t="s">
        <v>5540</v>
      </c>
      <c r="F1761" s="27">
        <v>5846082</v>
      </c>
      <c r="G1761" s="27">
        <v>1</v>
      </c>
      <c r="H1761" s="27">
        <v>1</v>
      </c>
      <c r="I1761" s="27">
        <v>1</v>
      </c>
      <c r="J1761" s="30">
        <f t="shared" si="81"/>
        <v>1</v>
      </c>
      <c r="K1761" s="30">
        <f t="shared" si="82"/>
        <v>1</v>
      </c>
      <c r="L1761" s="26">
        <f t="shared" si="83"/>
        <v>1</v>
      </c>
      <c r="M1761" s="26"/>
    </row>
    <row r="1762" spans="1:13" ht="15" customHeight="1">
      <c r="A1762" s="25">
        <v>1646588</v>
      </c>
      <c r="B1762" s="26" t="s">
        <v>5423</v>
      </c>
      <c r="C1762" s="26" t="s">
        <v>9606</v>
      </c>
      <c r="D1762" s="26" t="s">
        <v>9607</v>
      </c>
      <c r="E1762" s="26" t="s">
        <v>5517</v>
      </c>
      <c r="F1762" s="27">
        <v>5769586</v>
      </c>
      <c r="G1762" s="27">
        <v>1</v>
      </c>
      <c r="H1762" s="27">
        <v>1</v>
      </c>
      <c r="I1762" s="27">
        <v>1</v>
      </c>
      <c r="J1762" s="30">
        <f t="shared" si="81"/>
        <v>1</v>
      </c>
      <c r="K1762" s="30">
        <f t="shared" si="82"/>
        <v>1</v>
      </c>
      <c r="L1762" s="26">
        <f t="shared" si="83"/>
        <v>1</v>
      </c>
      <c r="M1762" s="26"/>
    </row>
    <row r="1763" spans="1:13" ht="15" customHeight="1">
      <c r="A1763" s="25">
        <v>1646604</v>
      </c>
      <c r="B1763" s="26" t="s">
        <v>5423</v>
      </c>
      <c r="C1763" s="26" t="s">
        <v>9608</v>
      </c>
      <c r="D1763" s="26" t="s">
        <v>9605</v>
      </c>
      <c r="E1763" s="26" t="s">
        <v>5540</v>
      </c>
      <c r="F1763" s="27">
        <v>5844789</v>
      </c>
      <c r="G1763" s="27">
        <v>0</v>
      </c>
      <c r="H1763" s="27">
        <v>1</v>
      </c>
      <c r="I1763" s="27">
        <v>1</v>
      </c>
      <c r="J1763" s="30">
        <f t="shared" si="81"/>
        <v>0</v>
      </c>
      <c r="K1763" s="30">
        <f t="shared" si="82"/>
        <v>1</v>
      </c>
      <c r="L1763" s="26">
        <f t="shared" si="83"/>
        <v>0</v>
      </c>
      <c r="M1763" s="26"/>
    </row>
    <row r="1764" spans="1:13" ht="15" customHeight="1">
      <c r="A1764" s="25">
        <v>1646817</v>
      </c>
      <c r="B1764" s="26" t="s">
        <v>5427</v>
      </c>
      <c r="C1764" s="26" t="s">
        <v>9609</v>
      </c>
      <c r="D1764" s="26" t="s">
        <v>9610</v>
      </c>
      <c r="E1764" s="26" t="s">
        <v>5447</v>
      </c>
      <c r="F1764" s="27"/>
      <c r="G1764" s="27">
        <v>0</v>
      </c>
      <c r="H1764" s="27">
        <v>0</v>
      </c>
      <c r="I1764" s="27">
        <v>0</v>
      </c>
      <c r="J1764" s="30">
        <f t="shared" si="81"/>
        <v>0</v>
      </c>
      <c r="K1764" s="30">
        <f t="shared" si="82"/>
        <v>0</v>
      </c>
      <c r="L1764" s="26">
        <f t="shared" si="83"/>
        <v>0</v>
      </c>
      <c r="M1764" s="26" t="s">
        <v>9020</v>
      </c>
    </row>
    <row r="1765" spans="1:13" ht="15" customHeight="1">
      <c r="A1765" s="25">
        <v>1646842</v>
      </c>
      <c r="B1765" s="26" t="s">
        <v>5423</v>
      </c>
      <c r="C1765" s="26" t="s">
        <v>9611</v>
      </c>
      <c r="D1765" s="26" t="s">
        <v>9612</v>
      </c>
      <c r="E1765" s="26" t="s">
        <v>5426</v>
      </c>
      <c r="F1765" s="27">
        <v>5414622</v>
      </c>
      <c r="G1765" s="27">
        <v>0</v>
      </c>
      <c r="H1765" s="27">
        <v>0</v>
      </c>
      <c r="I1765" s="27">
        <v>0</v>
      </c>
      <c r="J1765" s="30">
        <f t="shared" si="81"/>
        <v>0</v>
      </c>
      <c r="K1765" s="30">
        <f t="shared" si="82"/>
        <v>0</v>
      </c>
      <c r="L1765" s="26">
        <f t="shared" si="83"/>
        <v>0</v>
      </c>
      <c r="M1765" s="26" t="s">
        <v>5557</v>
      </c>
    </row>
    <row r="1766" spans="1:13" ht="15" customHeight="1">
      <c r="A1766" s="25">
        <v>1646880</v>
      </c>
      <c r="B1766" s="26" t="s">
        <v>5423</v>
      </c>
      <c r="C1766" s="26" t="s">
        <v>9613</v>
      </c>
      <c r="D1766" s="26" t="s">
        <v>9612</v>
      </c>
      <c r="E1766" s="26" t="s">
        <v>5532</v>
      </c>
      <c r="F1766" s="27">
        <v>5837683</v>
      </c>
      <c r="G1766" s="27">
        <v>1</v>
      </c>
      <c r="H1766" s="27">
        <v>0</v>
      </c>
      <c r="I1766" s="27">
        <v>1</v>
      </c>
      <c r="J1766" s="30">
        <f t="shared" si="81"/>
        <v>1</v>
      </c>
      <c r="K1766" s="30">
        <f t="shared" si="82"/>
        <v>0</v>
      </c>
      <c r="L1766" s="26">
        <f t="shared" si="83"/>
        <v>0</v>
      </c>
      <c r="M1766" s="26"/>
    </row>
    <row r="1767" spans="1:13" ht="15" customHeight="1">
      <c r="A1767" s="25">
        <v>1646896</v>
      </c>
      <c r="B1767" s="26" t="s">
        <v>5427</v>
      </c>
      <c r="C1767" s="26" t="s">
        <v>9614</v>
      </c>
      <c r="D1767" s="26" t="s">
        <v>9607</v>
      </c>
      <c r="E1767" s="26" t="s">
        <v>5426</v>
      </c>
      <c r="F1767" s="27">
        <v>5833233</v>
      </c>
      <c r="G1767" s="27">
        <v>1</v>
      </c>
      <c r="H1767" s="27">
        <v>1</v>
      </c>
      <c r="I1767" s="27">
        <v>1</v>
      </c>
      <c r="J1767" s="30">
        <f t="shared" si="81"/>
        <v>1</v>
      </c>
      <c r="K1767" s="30">
        <f t="shared" si="82"/>
        <v>1</v>
      </c>
      <c r="L1767" s="26">
        <f t="shared" si="83"/>
        <v>1</v>
      </c>
      <c r="M1767" s="26" t="s">
        <v>8169</v>
      </c>
    </row>
    <row r="1768" spans="1:13" ht="15" customHeight="1">
      <c r="A1768" s="25">
        <v>1647176</v>
      </c>
      <c r="B1768" s="26" t="s">
        <v>5423</v>
      </c>
      <c r="C1768" s="26" t="s">
        <v>9615</v>
      </c>
      <c r="D1768" s="26" t="s">
        <v>9607</v>
      </c>
      <c r="E1768" s="26" t="s">
        <v>5480</v>
      </c>
      <c r="F1768" s="27">
        <v>5843373</v>
      </c>
      <c r="G1768" s="27">
        <v>1</v>
      </c>
      <c r="H1768" s="27">
        <v>1</v>
      </c>
      <c r="I1768" s="27">
        <v>1</v>
      </c>
      <c r="J1768" s="30">
        <f t="shared" si="81"/>
        <v>1</v>
      </c>
      <c r="K1768" s="30">
        <f t="shared" si="82"/>
        <v>1</v>
      </c>
      <c r="L1768" s="26">
        <f t="shared" si="83"/>
        <v>1</v>
      </c>
      <c r="M1768" s="26"/>
    </row>
    <row r="1769" spans="1:13" ht="15" customHeight="1">
      <c r="A1769" s="25">
        <v>1647178</v>
      </c>
      <c r="B1769" s="26" t="s">
        <v>5423</v>
      </c>
      <c r="C1769" s="26" t="s">
        <v>9616</v>
      </c>
      <c r="D1769" s="26" t="s">
        <v>9617</v>
      </c>
      <c r="E1769" s="26" t="s">
        <v>5532</v>
      </c>
      <c r="F1769" s="27">
        <v>5816083</v>
      </c>
      <c r="G1769" s="27">
        <v>0</v>
      </c>
      <c r="H1769" s="27">
        <v>0</v>
      </c>
      <c r="I1769" s="27">
        <v>0</v>
      </c>
      <c r="J1769" s="30">
        <f t="shared" si="81"/>
        <v>0</v>
      </c>
      <c r="K1769" s="30">
        <f t="shared" si="82"/>
        <v>0</v>
      </c>
      <c r="L1769" s="26">
        <f t="shared" si="83"/>
        <v>0</v>
      </c>
      <c r="M1769" s="26" t="s">
        <v>5567</v>
      </c>
    </row>
    <row r="1770" spans="1:13" ht="15" customHeight="1">
      <c r="A1770" s="25">
        <v>1647343</v>
      </c>
      <c r="B1770" s="26" t="s">
        <v>5423</v>
      </c>
      <c r="C1770" s="26" t="s">
        <v>9618</v>
      </c>
      <c r="D1770" s="26" t="s">
        <v>9605</v>
      </c>
      <c r="E1770" s="26" t="s">
        <v>5480</v>
      </c>
      <c r="F1770" s="27">
        <v>5847740</v>
      </c>
      <c r="G1770" s="27">
        <v>0</v>
      </c>
      <c r="H1770" s="27">
        <v>0</v>
      </c>
      <c r="I1770" s="27">
        <v>0</v>
      </c>
      <c r="J1770" s="30">
        <f t="shared" si="81"/>
        <v>0</v>
      </c>
      <c r="K1770" s="30">
        <f t="shared" si="82"/>
        <v>0</v>
      </c>
      <c r="L1770" s="26">
        <f t="shared" si="83"/>
        <v>0</v>
      </c>
      <c r="M1770" s="26">
        <v>0</v>
      </c>
    </row>
    <row r="1771" spans="1:13" ht="15" customHeight="1">
      <c r="A1771" s="25">
        <v>1647603</v>
      </c>
      <c r="B1771" s="26" t="s">
        <v>5423</v>
      </c>
      <c r="C1771" s="26" t="s">
        <v>9619</v>
      </c>
      <c r="D1771" s="26" t="s">
        <v>9605</v>
      </c>
      <c r="E1771" s="26" t="s">
        <v>5455</v>
      </c>
      <c r="F1771" s="27">
        <v>5848375</v>
      </c>
      <c r="G1771" s="27">
        <v>1</v>
      </c>
      <c r="H1771" s="27">
        <v>0</v>
      </c>
      <c r="I1771" s="27">
        <v>1</v>
      </c>
      <c r="J1771" s="30">
        <f t="shared" si="81"/>
        <v>1</v>
      </c>
      <c r="K1771" s="30">
        <f t="shared" si="82"/>
        <v>0</v>
      </c>
      <c r="L1771" s="26">
        <f t="shared" si="83"/>
        <v>0</v>
      </c>
      <c r="M1771" s="26"/>
    </row>
    <row r="1772" spans="1:13" ht="15" customHeight="1">
      <c r="A1772" s="25">
        <v>1647695</v>
      </c>
      <c r="B1772" s="26" t="s">
        <v>5423</v>
      </c>
      <c r="C1772" s="26" t="s">
        <v>9620</v>
      </c>
      <c r="D1772" s="26" t="s">
        <v>9605</v>
      </c>
      <c r="E1772" s="26" t="s">
        <v>5480</v>
      </c>
      <c r="F1772" s="27"/>
      <c r="G1772" s="27">
        <v>0</v>
      </c>
      <c r="H1772" s="27">
        <v>0</v>
      </c>
      <c r="I1772" s="27">
        <v>0</v>
      </c>
      <c r="J1772" s="30">
        <f t="shared" si="81"/>
        <v>0</v>
      </c>
      <c r="K1772" s="30">
        <f t="shared" si="82"/>
        <v>0</v>
      </c>
      <c r="L1772" s="26">
        <f t="shared" si="83"/>
        <v>0</v>
      </c>
      <c r="M1772" s="26" t="s">
        <v>5557</v>
      </c>
    </row>
    <row r="1773" spans="1:13" ht="15" customHeight="1">
      <c r="A1773" s="25">
        <v>1647702</v>
      </c>
      <c r="B1773" s="26" t="s">
        <v>5423</v>
      </c>
      <c r="C1773" s="26" t="s">
        <v>9621</v>
      </c>
      <c r="D1773" s="26" t="s">
        <v>9622</v>
      </c>
      <c r="E1773" s="26" t="s">
        <v>5718</v>
      </c>
      <c r="F1773" s="27">
        <v>5789070</v>
      </c>
      <c r="G1773" s="27">
        <v>1</v>
      </c>
      <c r="H1773" s="27">
        <v>0</v>
      </c>
      <c r="I1773" s="27">
        <v>1</v>
      </c>
      <c r="J1773" s="30">
        <f t="shared" si="81"/>
        <v>1</v>
      </c>
      <c r="K1773" s="30">
        <f t="shared" si="82"/>
        <v>0</v>
      </c>
      <c r="L1773" s="26">
        <f t="shared" si="83"/>
        <v>0</v>
      </c>
      <c r="M1773" s="26"/>
    </row>
    <row r="1774" spans="1:13" ht="15" customHeight="1">
      <c r="A1774" s="25">
        <v>1647748</v>
      </c>
      <c r="B1774" s="26" t="s">
        <v>5423</v>
      </c>
      <c r="C1774" s="26" t="s">
        <v>9623</v>
      </c>
      <c r="D1774" s="26" t="s">
        <v>9605</v>
      </c>
      <c r="E1774" s="26" t="s">
        <v>5475</v>
      </c>
      <c r="F1774" s="27">
        <v>5078662</v>
      </c>
      <c r="G1774" s="27">
        <v>0</v>
      </c>
      <c r="H1774" s="27">
        <v>0</v>
      </c>
      <c r="I1774" s="27">
        <v>0</v>
      </c>
      <c r="J1774" s="30">
        <f t="shared" si="81"/>
        <v>0</v>
      </c>
      <c r="K1774" s="30">
        <f t="shared" si="82"/>
        <v>0</v>
      </c>
      <c r="L1774" s="26">
        <f t="shared" si="83"/>
        <v>0</v>
      </c>
      <c r="M1774" s="26" t="s">
        <v>5557</v>
      </c>
    </row>
    <row r="1775" spans="1:13" ht="15" customHeight="1">
      <c r="A1775" s="25">
        <v>1647754</v>
      </c>
      <c r="B1775" s="26" t="s">
        <v>5423</v>
      </c>
      <c r="C1775" s="26" t="s">
        <v>9624</v>
      </c>
      <c r="D1775" s="26" t="s">
        <v>9605</v>
      </c>
      <c r="E1775" s="26" t="s">
        <v>5517</v>
      </c>
      <c r="F1775" s="27">
        <v>4908447</v>
      </c>
      <c r="G1775" s="27">
        <v>1</v>
      </c>
      <c r="H1775" s="27">
        <v>1</v>
      </c>
      <c r="I1775" s="27">
        <v>1</v>
      </c>
      <c r="J1775" s="30">
        <f t="shared" si="81"/>
        <v>1</v>
      </c>
      <c r="K1775" s="30">
        <f t="shared" si="82"/>
        <v>1</v>
      </c>
      <c r="L1775" s="26">
        <f t="shared" si="83"/>
        <v>1</v>
      </c>
      <c r="M1775" s="26" t="s">
        <v>8169</v>
      </c>
    </row>
    <row r="1776" spans="1:13" ht="15" customHeight="1">
      <c r="A1776" s="25">
        <v>1648330</v>
      </c>
      <c r="B1776" s="26" t="s">
        <v>5423</v>
      </c>
      <c r="C1776" s="26" t="s">
        <v>9625</v>
      </c>
      <c r="D1776" s="26" t="s">
        <v>9626</v>
      </c>
      <c r="E1776" s="26" t="s">
        <v>5532</v>
      </c>
      <c r="F1776" s="27">
        <v>5844991</v>
      </c>
      <c r="G1776" s="27">
        <v>0</v>
      </c>
      <c r="H1776" s="27">
        <v>0</v>
      </c>
      <c r="I1776" s="27">
        <v>0</v>
      </c>
      <c r="J1776" s="30">
        <f t="shared" si="81"/>
        <v>0</v>
      </c>
      <c r="K1776" s="30">
        <f t="shared" si="82"/>
        <v>0</v>
      </c>
      <c r="L1776" s="26">
        <f t="shared" si="83"/>
        <v>0</v>
      </c>
      <c r="M1776" s="26">
        <v>0</v>
      </c>
    </row>
    <row r="1777" spans="1:13" ht="15" customHeight="1">
      <c r="A1777" s="25">
        <v>1648397</v>
      </c>
      <c r="B1777" s="26" t="s">
        <v>5423</v>
      </c>
      <c r="C1777" s="26" t="s">
        <v>9627</v>
      </c>
      <c r="D1777" s="26" t="s">
        <v>9628</v>
      </c>
      <c r="E1777" s="26" t="s">
        <v>5522</v>
      </c>
      <c r="F1777" s="27">
        <v>5844486</v>
      </c>
      <c r="G1777" s="27">
        <v>1</v>
      </c>
      <c r="H1777" s="27">
        <v>0</v>
      </c>
      <c r="I1777" s="27">
        <v>1</v>
      </c>
      <c r="J1777" s="30">
        <f t="shared" si="81"/>
        <v>1</v>
      </c>
      <c r="K1777" s="30">
        <f t="shared" si="82"/>
        <v>0</v>
      </c>
      <c r="L1777" s="26">
        <f t="shared" si="83"/>
        <v>0</v>
      </c>
      <c r="M1777" s="26"/>
    </row>
    <row r="1778" spans="1:13" ht="15" customHeight="1">
      <c r="A1778" s="25">
        <v>1648803</v>
      </c>
      <c r="B1778" s="26" t="s">
        <v>5423</v>
      </c>
      <c r="C1778" s="26" t="s">
        <v>9629</v>
      </c>
      <c r="D1778" s="26" t="s">
        <v>9628</v>
      </c>
      <c r="E1778" s="26" t="s">
        <v>5447</v>
      </c>
      <c r="F1778" s="27">
        <v>5830531</v>
      </c>
      <c r="G1778" s="27">
        <v>1</v>
      </c>
      <c r="H1778" s="27">
        <v>0</v>
      </c>
      <c r="I1778" s="27">
        <v>1</v>
      </c>
      <c r="J1778" s="30">
        <f t="shared" si="81"/>
        <v>1</v>
      </c>
      <c r="K1778" s="30">
        <f t="shared" si="82"/>
        <v>0</v>
      </c>
      <c r="L1778" s="26">
        <f t="shared" si="83"/>
        <v>0</v>
      </c>
      <c r="M1778" s="26"/>
    </row>
    <row r="1779" spans="1:13" ht="15" customHeight="1">
      <c r="A1779" s="25">
        <v>1648818</v>
      </c>
      <c r="B1779" s="26" t="s">
        <v>5423</v>
      </c>
      <c r="C1779" s="26" t="s">
        <v>9630</v>
      </c>
      <c r="D1779" s="26" t="s">
        <v>9628</v>
      </c>
      <c r="E1779" s="26" t="s">
        <v>5517</v>
      </c>
      <c r="F1779" s="27">
        <v>5851733</v>
      </c>
      <c r="G1779" s="27">
        <v>0</v>
      </c>
      <c r="H1779" s="27">
        <v>0</v>
      </c>
      <c r="I1779" s="27">
        <v>0</v>
      </c>
      <c r="J1779" s="30">
        <f t="shared" si="81"/>
        <v>0</v>
      </c>
      <c r="K1779" s="30">
        <f t="shared" si="82"/>
        <v>0</v>
      </c>
      <c r="L1779" s="26">
        <f t="shared" si="83"/>
        <v>0</v>
      </c>
      <c r="M1779" s="26">
        <v>0</v>
      </c>
    </row>
    <row r="1780" spans="1:13" ht="15" customHeight="1">
      <c r="A1780" s="25">
        <v>1648894</v>
      </c>
      <c r="B1780" s="26" t="s">
        <v>5423</v>
      </c>
      <c r="C1780" s="26" t="s">
        <v>9631</v>
      </c>
      <c r="D1780" s="26" t="s">
        <v>9632</v>
      </c>
      <c r="E1780" s="26" t="s">
        <v>5485</v>
      </c>
      <c r="F1780" s="27"/>
      <c r="G1780" s="27">
        <v>0</v>
      </c>
      <c r="H1780" s="27">
        <v>0</v>
      </c>
      <c r="I1780" s="27">
        <v>0</v>
      </c>
      <c r="J1780" s="30">
        <f t="shared" si="81"/>
        <v>0</v>
      </c>
      <c r="K1780" s="30">
        <f t="shared" si="82"/>
        <v>0</v>
      </c>
      <c r="L1780" s="26">
        <f t="shared" si="83"/>
        <v>0</v>
      </c>
      <c r="M1780" s="26" t="s">
        <v>5557</v>
      </c>
    </row>
    <row r="1781" spans="1:13" ht="15" customHeight="1">
      <c r="A1781" s="25">
        <v>1649020</v>
      </c>
      <c r="B1781" s="26" t="s">
        <v>5427</v>
      </c>
      <c r="C1781" s="26" t="s">
        <v>9633</v>
      </c>
      <c r="D1781" s="26" t="s">
        <v>9634</v>
      </c>
      <c r="E1781" s="26" t="s">
        <v>5488</v>
      </c>
      <c r="F1781" s="27">
        <v>5705254</v>
      </c>
      <c r="G1781" s="27">
        <v>1</v>
      </c>
      <c r="H1781" s="27">
        <v>1</v>
      </c>
      <c r="I1781" s="27">
        <v>1</v>
      </c>
      <c r="J1781" s="30">
        <f t="shared" si="81"/>
        <v>1</v>
      </c>
      <c r="K1781" s="30">
        <f t="shared" si="82"/>
        <v>1</v>
      </c>
      <c r="L1781" s="26">
        <f t="shared" si="83"/>
        <v>1</v>
      </c>
      <c r="M1781" s="26"/>
    </row>
    <row r="1782" spans="1:13" ht="15" customHeight="1">
      <c r="A1782" s="25">
        <v>1649060</v>
      </c>
      <c r="B1782" s="26" t="s">
        <v>5427</v>
      </c>
      <c r="C1782" s="26" t="s">
        <v>9635</v>
      </c>
      <c r="D1782" s="26" t="s">
        <v>9636</v>
      </c>
      <c r="E1782" s="26" t="s">
        <v>5475</v>
      </c>
      <c r="F1782" s="27">
        <v>5795257</v>
      </c>
      <c r="G1782" s="27">
        <v>1</v>
      </c>
      <c r="H1782" s="27">
        <v>1</v>
      </c>
      <c r="I1782" s="27">
        <v>1</v>
      </c>
      <c r="J1782" s="30">
        <f t="shared" si="81"/>
        <v>1</v>
      </c>
      <c r="K1782" s="30">
        <f t="shared" si="82"/>
        <v>1</v>
      </c>
      <c r="L1782" s="26">
        <f t="shared" si="83"/>
        <v>1</v>
      </c>
      <c r="M1782" s="26"/>
    </row>
    <row r="1783" spans="1:13" ht="15" customHeight="1">
      <c r="A1783" s="25">
        <v>1649112</v>
      </c>
      <c r="B1783" s="26" t="s">
        <v>5423</v>
      </c>
      <c r="C1783" s="26" t="s">
        <v>9637</v>
      </c>
      <c r="D1783" s="26" t="s">
        <v>9638</v>
      </c>
      <c r="E1783" s="26" t="s">
        <v>5475</v>
      </c>
      <c r="F1783" s="27">
        <v>5781385</v>
      </c>
      <c r="G1783" s="27">
        <v>0</v>
      </c>
      <c r="H1783" s="27">
        <v>0</v>
      </c>
      <c r="I1783" s="27">
        <v>0</v>
      </c>
      <c r="J1783" s="30">
        <f t="shared" si="81"/>
        <v>0</v>
      </c>
      <c r="K1783" s="30">
        <f t="shared" si="82"/>
        <v>0</v>
      </c>
      <c r="L1783" s="26">
        <f t="shared" si="83"/>
        <v>0</v>
      </c>
      <c r="M1783" s="26">
        <v>0</v>
      </c>
    </row>
    <row r="1784" spans="1:13" ht="15" customHeight="1">
      <c r="A1784" s="25">
        <v>1649142</v>
      </c>
      <c r="B1784" s="26" t="s">
        <v>5423</v>
      </c>
      <c r="C1784" s="26" t="s">
        <v>9639</v>
      </c>
      <c r="D1784" s="26" t="s">
        <v>9636</v>
      </c>
      <c r="E1784" s="26" t="s">
        <v>5433</v>
      </c>
      <c r="F1784" s="27">
        <v>5853409</v>
      </c>
      <c r="G1784" s="27">
        <v>0</v>
      </c>
      <c r="H1784" s="27">
        <v>1</v>
      </c>
      <c r="I1784" s="27">
        <v>1</v>
      </c>
      <c r="J1784" s="30">
        <f t="shared" si="81"/>
        <v>0</v>
      </c>
      <c r="K1784" s="30">
        <f t="shared" si="82"/>
        <v>1</v>
      </c>
      <c r="L1784" s="26">
        <f t="shared" si="83"/>
        <v>0</v>
      </c>
      <c r="M1784" s="26"/>
    </row>
    <row r="1785" spans="1:13" ht="15" customHeight="1">
      <c r="A1785" s="25">
        <v>1649205</v>
      </c>
      <c r="B1785" s="26" t="s">
        <v>5423</v>
      </c>
      <c r="C1785" s="26" t="s">
        <v>9640</v>
      </c>
      <c r="D1785" s="26" t="s">
        <v>9641</v>
      </c>
      <c r="E1785" s="26" t="s">
        <v>5463</v>
      </c>
      <c r="F1785" s="27">
        <v>5846007</v>
      </c>
      <c r="G1785" s="27">
        <v>0</v>
      </c>
      <c r="H1785" s="27">
        <v>0</v>
      </c>
      <c r="I1785" s="27">
        <v>0</v>
      </c>
      <c r="J1785" s="30">
        <f t="shared" si="81"/>
        <v>0</v>
      </c>
      <c r="K1785" s="30">
        <f t="shared" si="82"/>
        <v>0</v>
      </c>
      <c r="L1785" s="26">
        <f t="shared" si="83"/>
        <v>0</v>
      </c>
      <c r="M1785" s="26">
        <v>0</v>
      </c>
    </row>
    <row r="1786" spans="1:13" ht="15" customHeight="1">
      <c r="A1786" s="25">
        <v>1649248</v>
      </c>
      <c r="B1786" s="26" t="s">
        <v>5427</v>
      </c>
      <c r="C1786" s="26" t="s">
        <v>9642</v>
      </c>
      <c r="D1786" s="26" t="s">
        <v>9643</v>
      </c>
      <c r="E1786" s="26" t="s">
        <v>5433</v>
      </c>
      <c r="F1786" s="27">
        <v>5575441</v>
      </c>
      <c r="G1786" s="27">
        <v>0</v>
      </c>
      <c r="H1786" s="27">
        <v>0</v>
      </c>
      <c r="I1786" s="27">
        <v>0</v>
      </c>
      <c r="J1786" s="30">
        <f t="shared" si="81"/>
        <v>0</v>
      </c>
      <c r="K1786" s="30">
        <f t="shared" si="82"/>
        <v>0</v>
      </c>
      <c r="L1786" s="26">
        <f t="shared" si="83"/>
        <v>0</v>
      </c>
      <c r="M1786" s="26" t="s">
        <v>8160</v>
      </c>
    </row>
    <row r="1787" spans="1:13" ht="15" customHeight="1">
      <c r="A1787" s="25">
        <v>1649268</v>
      </c>
      <c r="B1787" s="26" t="s">
        <v>5423</v>
      </c>
      <c r="C1787" s="26" t="s">
        <v>9644</v>
      </c>
      <c r="D1787" s="26" t="s">
        <v>9634</v>
      </c>
      <c r="E1787" s="26" t="s">
        <v>5491</v>
      </c>
      <c r="F1787" s="27"/>
      <c r="G1787" s="27">
        <v>0</v>
      </c>
      <c r="H1787" s="27">
        <v>0</v>
      </c>
      <c r="I1787" s="27">
        <v>0</v>
      </c>
      <c r="J1787" s="30">
        <f t="shared" si="81"/>
        <v>0</v>
      </c>
      <c r="K1787" s="30">
        <f t="shared" si="82"/>
        <v>0</v>
      </c>
      <c r="L1787" s="26">
        <f t="shared" si="83"/>
        <v>0</v>
      </c>
      <c r="M1787" s="26" t="s">
        <v>5557</v>
      </c>
    </row>
    <row r="1788" spans="1:13" ht="15" customHeight="1">
      <c r="A1788" s="25">
        <v>1649271</v>
      </c>
      <c r="B1788" s="26" t="s">
        <v>5423</v>
      </c>
      <c r="C1788" s="26" t="s">
        <v>9645</v>
      </c>
      <c r="D1788" s="26" t="s">
        <v>9634</v>
      </c>
      <c r="E1788" s="26" t="s">
        <v>5763</v>
      </c>
      <c r="F1788" s="27">
        <v>5844936</v>
      </c>
      <c r="G1788" s="27">
        <v>1</v>
      </c>
      <c r="H1788" s="27">
        <v>0</v>
      </c>
      <c r="I1788" s="27">
        <v>1</v>
      </c>
      <c r="J1788" s="30">
        <f t="shared" si="81"/>
        <v>1</v>
      </c>
      <c r="K1788" s="30">
        <f t="shared" si="82"/>
        <v>0</v>
      </c>
      <c r="L1788" s="26">
        <f t="shared" si="83"/>
        <v>0</v>
      </c>
      <c r="M1788" s="26"/>
    </row>
    <row r="1789" spans="1:13" ht="15" customHeight="1">
      <c r="A1789" s="25">
        <v>1649413</v>
      </c>
      <c r="B1789" s="26" t="s">
        <v>5427</v>
      </c>
      <c r="C1789" s="26" t="s">
        <v>9646</v>
      </c>
      <c r="D1789" s="26" t="s">
        <v>9647</v>
      </c>
      <c r="E1789" s="26" t="s">
        <v>5610</v>
      </c>
      <c r="F1789" s="27">
        <v>5853698</v>
      </c>
      <c r="G1789" s="27">
        <v>0</v>
      </c>
      <c r="H1789" s="27">
        <v>0</v>
      </c>
      <c r="I1789" s="27">
        <v>0</v>
      </c>
      <c r="J1789" s="30">
        <f t="shared" si="81"/>
        <v>0</v>
      </c>
      <c r="K1789" s="30">
        <f t="shared" si="82"/>
        <v>0</v>
      </c>
      <c r="L1789" s="26">
        <f t="shared" si="83"/>
        <v>0</v>
      </c>
      <c r="M1789" s="26">
        <v>0</v>
      </c>
    </row>
    <row r="1790" spans="1:13" ht="15" customHeight="1">
      <c r="A1790" s="25">
        <v>1649510</v>
      </c>
      <c r="B1790" s="26" t="s">
        <v>5427</v>
      </c>
      <c r="C1790" s="26" t="s">
        <v>9648</v>
      </c>
      <c r="D1790" s="26" t="s">
        <v>9647</v>
      </c>
      <c r="E1790" s="26" t="s">
        <v>5718</v>
      </c>
      <c r="F1790" s="27">
        <v>5853923</v>
      </c>
      <c r="G1790" s="27">
        <v>0</v>
      </c>
      <c r="H1790" s="27">
        <v>0</v>
      </c>
      <c r="I1790" s="27">
        <v>0</v>
      </c>
      <c r="J1790" s="30">
        <f t="shared" si="81"/>
        <v>0</v>
      </c>
      <c r="K1790" s="30">
        <f t="shared" si="82"/>
        <v>0</v>
      </c>
      <c r="L1790" s="26">
        <f t="shared" si="83"/>
        <v>0</v>
      </c>
      <c r="M1790" s="26">
        <v>0</v>
      </c>
    </row>
    <row r="1791" spans="1:13" ht="15" customHeight="1">
      <c r="A1791" s="25">
        <v>1649907</v>
      </c>
      <c r="B1791" s="26" t="s">
        <v>5423</v>
      </c>
      <c r="C1791" s="26" t="s">
        <v>9649</v>
      </c>
      <c r="D1791" s="26" t="s">
        <v>9650</v>
      </c>
      <c r="E1791" s="26" t="s">
        <v>5485</v>
      </c>
      <c r="F1791" s="27">
        <v>5850143</v>
      </c>
      <c r="G1791" s="27">
        <v>0</v>
      </c>
      <c r="H1791" s="27">
        <v>0</v>
      </c>
      <c r="I1791" s="27">
        <v>0</v>
      </c>
      <c r="J1791" s="30">
        <f t="shared" si="81"/>
        <v>0</v>
      </c>
      <c r="K1791" s="30">
        <f t="shared" si="82"/>
        <v>0</v>
      </c>
      <c r="L1791" s="26">
        <f t="shared" si="83"/>
        <v>0</v>
      </c>
      <c r="M1791" s="26">
        <v>0</v>
      </c>
    </row>
    <row r="1792" spans="1:13" ht="15" customHeight="1">
      <c r="A1792" s="25">
        <v>1649995</v>
      </c>
      <c r="B1792" s="26" t="s">
        <v>5423</v>
      </c>
      <c r="C1792" s="26" t="s">
        <v>9651</v>
      </c>
      <c r="D1792" s="26" t="s">
        <v>9652</v>
      </c>
      <c r="E1792" s="26" t="s">
        <v>5455</v>
      </c>
      <c r="F1792" s="27">
        <v>5854965</v>
      </c>
      <c r="G1792" s="27">
        <v>1</v>
      </c>
      <c r="H1792" s="27">
        <v>1</v>
      </c>
      <c r="I1792" s="27">
        <v>1</v>
      </c>
      <c r="J1792" s="30">
        <f t="shared" si="81"/>
        <v>1</v>
      </c>
      <c r="K1792" s="30">
        <f t="shared" si="82"/>
        <v>1</v>
      </c>
      <c r="L1792" s="26">
        <f t="shared" si="83"/>
        <v>1</v>
      </c>
      <c r="M1792" s="26"/>
    </row>
    <row r="1793" spans="1:13" ht="15" customHeight="1">
      <c r="A1793" s="25">
        <v>1650055</v>
      </c>
      <c r="B1793" s="26" t="s">
        <v>5423</v>
      </c>
      <c r="C1793" s="26" t="s">
        <v>9653</v>
      </c>
      <c r="D1793" s="26" t="s">
        <v>9650</v>
      </c>
      <c r="E1793" s="26" t="s">
        <v>5426</v>
      </c>
      <c r="F1793" s="27">
        <v>5855314</v>
      </c>
      <c r="G1793" s="27">
        <v>0</v>
      </c>
      <c r="H1793" s="27">
        <v>0</v>
      </c>
      <c r="I1793" s="27">
        <v>0</v>
      </c>
      <c r="J1793" s="30">
        <f t="shared" si="81"/>
        <v>0</v>
      </c>
      <c r="K1793" s="30">
        <f t="shared" si="82"/>
        <v>0</v>
      </c>
      <c r="L1793" s="26">
        <f t="shared" si="83"/>
        <v>0</v>
      </c>
      <c r="M1793" s="26">
        <v>0</v>
      </c>
    </row>
    <row r="1794" spans="1:13" ht="15" customHeight="1">
      <c r="A1794" s="25">
        <v>1650063</v>
      </c>
      <c r="B1794" s="26" t="s">
        <v>5423</v>
      </c>
      <c r="C1794" s="26" t="s">
        <v>9654</v>
      </c>
      <c r="D1794" s="26" t="s">
        <v>9650</v>
      </c>
      <c r="E1794" s="26" t="s">
        <v>5517</v>
      </c>
      <c r="F1794" s="27">
        <v>5850148</v>
      </c>
      <c r="G1794" s="27">
        <v>1</v>
      </c>
      <c r="H1794" s="27">
        <v>0</v>
      </c>
      <c r="I1794" s="27">
        <v>1</v>
      </c>
      <c r="J1794" s="30">
        <f t="shared" ref="J1794:J1857" si="84">IF(G1794&gt;0,1,0)</f>
        <v>1</v>
      </c>
      <c r="K1794" s="30">
        <f t="shared" ref="K1794:K1857" si="85">IF(H1794&gt;0,1,0)</f>
        <v>0</v>
      </c>
      <c r="L1794" s="26">
        <f t="shared" ref="L1794:L1857" si="86">IF(G1794&gt;0,IF(H1794&gt;0,1,0),0)</f>
        <v>0</v>
      </c>
      <c r="M1794" s="26"/>
    </row>
    <row r="1795" spans="1:13" ht="15" customHeight="1">
      <c r="A1795" s="25">
        <v>1650120</v>
      </c>
      <c r="B1795" s="26" t="s">
        <v>5423</v>
      </c>
      <c r="C1795" s="26" t="s">
        <v>9655</v>
      </c>
      <c r="D1795" s="26" t="s">
        <v>9656</v>
      </c>
      <c r="E1795" s="26" t="s">
        <v>5532</v>
      </c>
      <c r="F1795" s="27">
        <v>5855099</v>
      </c>
      <c r="G1795" s="27">
        <v>1</v>
      </c>
      <c r="H1795" s="27">
        <v>1</v>
      </c>
      <c r="I1795" s="27">
        <v>1</v>
      </c>
      <c r="J1795" s="30">
        <f t="shared" si="84"/>
        <v>1</v>
      </c>
      <c r="K1795" s="30">
        <f t="shared" si="85"/>
        <v>1</v>
      </c>
      <c r="L1795" s="26">
        <f t="shared" si="86"/>
        <v>1</v>
      </c>
      <c r="M1795" s="26"/>
    </row>
    <row r="1796" spans="1:13" ht="15" customHeight="1">
      <c r="A1796" s="25">
        <v>1650428</v>
      </c>
      <c r="B1796" s="26" t="s">
        <v>5423</v>
      </c>
      <c r="C1796" s="26" t="s">
        <v>9657</v>
      </c>
      <c r="D1796" s="26" t="s">
        <v>9643</v>
      </c>
      <c r="E1796" s="26" t="s">
        <v>5468</v>
      </c>
      <c r="F1796" s="27">
        <v>5158596</v>
      </c>
      <c r="G1796" s="27">
        <v>0</v>
      </c>
      <c r="H1796" s="27">
        <v>0</v>
      </c>
      <c r="I1796" s="27">
        <v>0</v>
      </c>
      <c r="J1796" s="30">
        <f t="shared" si="84"/>
        <v>0</v>
      </c>
      <c r="K1796" s="30">
        <f t="shared" si="85"/>
        <v>0</v>
      </c>
      <c r="L1796" s="26">
        <f t="shared" si="86"/>
        <v>0</v>
      </c>
      <c r="M1796" s="26" t="s">
        <v>5557</v>
      </c>
    </row>
    <row r="1797" spans="1:13" ht="15" customHeight="1">
      <c r="A1797" s="25" t="s">
        <v>9658</v>
      </c>
      <c r="B1797" s="26" t="s">
        <v>5427</v>
      </c>
      <c r="C1797" s="26" t="s">
        <v>9659</v>
      </c>
      <c r="D1797" s="26" t="s">
        <v>9643</v>
      </c>
      <c r="E1797" s="26" t="s">
        <v>5504</v>
      </c>
      <c r="F1797" s="27"/>
      <c r="G1797" s="27">
        <v>1</v>
      </c>
      <c r="H1797" s="27">
        <v>1</v>
      </c>
      <c r="I1797" s="27">
        <v>1</v>
      </c>
      <c r="J1797" s="30">
        <f t="shared" si="84"/>
        <v>1</v>
      </c>
      <c r="K1797" s="30">
        <f t="shared" si="85"/>
        <v>1</v>
      </c>
      <c r="L1797" s="26">
        <f t="shared" si="86"/>
        <v>1</v>
      </c>
      <c r="M1797" s="26"/>
    </row>
    <row r="1798" spans="1:13" ht="15" customHeight="1">
      <c r="A1798" s="25">
        <v>1650783</v>
      </c>
      <c r="B1798" s="26" t="s">
        <v>5427</v>
      </c>
      <c r="C1798" s="26" t="s">
        <v>9660</v>
      </c>
      <c r="D1798" s="26" t="s">
        <v>9661</v>
      </c>
      <c r="E1798" s="26" t="s">
        <v>5475</v>
      </c>
      <c r="F1798" s="27">
        <v>5856325</v>
      </c>
      <c r="G1798" s="27">
        <v>0</v>
      </c>
      <c r="H1798" s="27">
        <v>0</v>
      </c>
      <c r="I1798" s="27">
        <v>0</v>
      </c>
      <c r="J1798" s="30">
        <f t="shared" si="84"/>
        <v>0</v>
      </c>
      <c r="K1798" s="30">
        <f t="shared" si="85"/>
        <v>0</v>
      </c>
      <c r="L1798" s="26">
        <f t="shared" si="86"/>
        <v>0</v>
      </c>
      <c r="M1798" s="26">
        <v>0</v>
      </c>
    </row>
    <row r="1799" spans="1:13" ht="15" customHeight="1">
      <c r="A1799" s="25">
        <v>1650820</v>
      </c>
      <c r="B1799" s="26" t="s">
        <v>5427</v>
      </c>
      <c r="C1799" s="26" t="s">
        <v>9662</v>
      </c>
      <c r="D1799" s="26" t="s">
        <v>9656</v>
      </c>
      <c r="E1799" s="26" t="s">
        <v>5507</v>
      </c>
      <c r="F1799" s="27">
        <v>5850744</v>
      </c>
      <c r="G1799" s="27">
        <v>0</v>
      </c>
      <c r="H1799" s="27">
        <v>0</v>
      </c>
      <c r="I1799" s="27">
        <v>0</v>
      </c>
      <c r="J1799" s="30">
        <f t="shared" si="84"/>
        <v>0</v>
      </c>
      <c r="K1799" s="30">
        <f t="shared" si="85"/>
        <v>0</v>
      </c>
      <c r="L1799" s="26">
        <f t="shared" si="86"/>
        <v>0</v>
      </c>
      <c r="M1799" s="26">
        <v>0</v>
      </c>
    </row>
    <row r="1800" spans="1:13" ht="15" customHeight="1">
      <c r="A1800" s="25">
        <v>1650840</v>
      </c>
      <c r="B1800" s="26" t="s">
        <v>5427</v>
      </c>
      <c r="C1800" s="26" t="s">
        <v>9663</v>
      </c>
      <c r="D1800" s="26" t="s">
        <v>9656</v>
      </c>
      <c r="E1800" s="26" t="s">
        <v>5501</v>
      </c>
      <c r="F1800" s="27">
        <v>5855800</v>
      </c>
      <c r="G1800" s="27">
        <v>0</v>
      </c>
      <c r="H1800" s="27">
        <v>0</v>
      </c>
      <c r="I1800" s="27">
        <v>0</v>
      </c>
      <c r="J1800" s="30">
        <f t="shared" si="84"/>
        <v>0</v>
      </c>
      <c r="K1800" s="30">
        <f t="shared" si="85"/>
        <v>0</v>
      </c>
      <c r="L1800" s="26">
        <f t="shared" si="86"/>
        <v>0</v>
      </c>
      <c r="M1800" s="26">
        <v>0</v>
      </c>
    </row>
    <row r="1801" spans="1:13" ht="15" customHeight="1">
      <c r="A1801" s="25">
        <v>1651017</v>
      </c>
      <c r="B1801" s="26" t="s">
        <v>5423</v>
      </c>
      <c r="C1801" s="26" t="s">
        <v>9664</v>
      </c>
      <c r="D1801" s="26" t="s">
        <v>9661</v>
      </c>
      <c r="E1801" s="26" t="s">
        <v>5475</v>
      </c>
      <c r="F1801" s="27">
        <v>5857370</v>
      </c>
      <c r="G1801" s="27">
        <v>1</v>
      </c>
      <c r="H1801" s="27">
        <v>0</v>
      </c>
      <c r="I1801" s="27">
        <v>1</v>
      </c>
      <c r="J1801" s="30">
        <f t="shared" si="84"/>
        <v>1</v>
      </c>
      <c r="K1801" s="30">
        <f t="shared" si="85"/>
        <v>0</v>
      </c>
      <c r="L1801" s="26">
        <f t="shared" si="86"/>
        <v>0</v>
      </c>
      <c r="M1801" s="26"/>
    </row>
    <row r="1802" spans="1:13" ht="15" customHeight="1">
      <c r="A1802" s="25">
        <v>1651067</v>
      </c>
      <c r="B1802" s="26" t="s">
        <v>5423</v>
      </c>
      <c r="C1802" s="26" t="s">
        <v>9665</v>
      </c>
      <c r="D1802" s="26" t="s">
        <v>9661</v>
      </c>
      <c r="E1802" s="26" t="s">
        <v>5683</v>
      </c>
      <c r="F1802" s="27">
        <v>5858128</v>
      </c>
      <c r="G1802" s="27">
        <v>0</v>
      </c>
      <c r="H1802" s="27">
        <v>0</v>
      </c>
      <c r="I1802" s="27">
        <v>0</v>
      </c>
      <c r="J1802" s="30">
        <f t="shared" si="84"/>
        <v>0</v>
      </c>
      <c r="K1802" s="30">
        <f t="shared" si="85"/>
        <v>0</v>
      </c>
      <c r="L1802" s="26">
        <f t="shared" si="86"/>
        <v>0</v>
      </c>
      <c r="M1802" s="26">
        <v>0</v>
      </c>
    </row>
    <row r="1803" spans="1:13" ht="15" customHeight="1">
      <c r="A1803" s="25">
        <v>1651131</v>
      </c>
      <c r="B1803" s="26" t="s">
        <v>5423</v>
      </c>
      <c r="C1803" s="26" t="s">
        <v>9666</v>
      </c>
      <c r="D1803" s="26" t="s">
        <v>9661</v>
      </c>
      <c r="E1803" s="26" t="s">
        <v>5468</v>
      </c>
      <c r="F1803" s="27"/>
      <c r="G1803" s="27">
        <v>0</v>
      </c>
      <c r="H1803" s="27">
        <v>0</v>
      </c>
      <c r="I1803" s="27">
        <v>0</v>
      </c>
      <c r="J1803" s="30">
        <f t="shared" si="84"/>
        <v>0</v>
      </c>
      <c r="K1803" s="30">
        <f t="shared" si="85"/>
        <v>0</v>
      </c>
      <c r="L1803" s="26">
        <f t="shared" si="86"/>
        <v>0</v>
      </c>
      <c r="M1803" s="26" t="s">
        <v>5557</v>
      </c>
    </row>
    <row r="1804" spans="1:13" ht="15" customHeight="1">
      <c r="A1804" s="25">
        <v>1651267</v>
      </c>
      <c r="B1804" s="26" t="s">
        <v>5423</v>
      </c>
      <c r="C1804" s="26" t="s">
        <v>9667</v>
      </c>
      <c r="D1804" s="26" t="s">
        <v>9661</v>
      </c>
      <c r="E1804" s="26" t="s">
        <v>6123</v>
      </c>
      <c r="F1804" s="27">
        <v>5855751</v>
      </c>
      <c r="G1804" s="27">
        <v>1</v>
      </c>
      <c r="H1804" s="27">
        <v>0</v>
      </c>
      <c r="I1804" s="27">
        <v>1</v>
      </c>
      <c r="J1804" s="30">
        <f t="shared" si="84"/>
        <v>1</v>
      </c>
      <c r="K1804" s="30">
        <f t="shared" si="85"/>
        <v>0</v>
      </c>
      <c r="L1804" s="26">
        <f t="shared" si="86"/>
        <v>0</v>
      </c>
      <c r="M1804" s="26"/>
    </row>
    <row r="1805" spans="1:13" ht="15" customHeight="1">
      <c r="A1805" s="25">
        <v>1651324</v>
      </c>
      <c r="B1805" s="26" t="s">
        <v>5423</v>
      </c>
      <c r="C1805" s="26" t="s">
        <v>9668</v>
      </c>
      <c r="D1805" s="26" t="s">
        <v>9669</v>
      </c>
      <c r="E1805" s="26" t="s">
        <v>5603</v>
      </c>
      <c r="F1805" s="27">
        <v>5856103</v>
      </c>
      <c r="G1805" s="27">
        <v>0</v>
      </c>
      <c r="H1805" s="27">
        <v>0</v>
      </c>
      <c r="I1805" s="27">
        <v>0</v>
      </c>
      <c r="J1805" s="30">
        <f t="shared" si="84"/>
        <v>0</v>
      </c>
      <c r="K1805" s="30">
        <f t="shared" si="85"/>
        <v>0</v>
      </c>
      <c r="L1805" s="26">
        <f t="shared" si="86"/>
        <v>0</v>
      </c>
      <c r="M1805" s="26">
        <v>0</v>
      </c>
    </row>
    <row r="1806" spans="1:13" ht="15" customHeight="1">
      <c r="A1806" s="25">
        <v>1651361</v>
      </c>
      <c r="B1806" s="26" t="s">
        <v>5427</v>
      </c>
      <c r="C1806" s="26" t="s">
        <v>9670</v>
      </c>
      <c r="D1806" s="26" t="s">
        <v>9671</v>
      </c>
      <c r="E1806" s="26" t="s">
        <v>5507</v>
      </c>
      <c r="F1806" s="27">
        <v>5857434</v>
      </c>
      <c r="G1806" s="27">
        <v>0</v>
      </c>
      <c r="H1806" s="27">
        <v>0</v>
      </c>
      <c r="I1806" s="27">
        <v>0</v>
      </c>
      <c r="J1806" s="30">
        <f t="shared" si="84"/>
        <v>0</v>
      </c>
      <c r="K1806" s="30">
        <f t="shared" si="85"/>
        <v>0</v>
      </c>
      <c r="L1806" s="26">
        <f t="shared" si="86"/>
        <v>0</v>
      </c>
      <c r="M1806" s="26">
        <v>0</v>
      </c>
    </row>
    <row r="1807" spans="1:13" ht="15" customHeight="1">
      <c r="A1807" s="25">
        <v>1651601</v>
      </c>
      <c r="B1807" s="26" t="s">
        <v>5423</v>
      </c>
      <c r="C1807" s="26" t="s">
        <v>9672</v>
      </c>
      <c r="D1807" s="26" t="s">
        <v>9661</v>
      </c>
      <c r="E1807" s="26" t="s">
        <v>7084</v>
      </c>
      <c r="F1807" s="27">
        <v>5854983</v>
      </c>
      <c r="G1807" s="27">
        <v>1</v>
      </c>
      <c r="H1807" s="27">
        <v>0</v>
      </c>
      <c r="I1807" s="27">
        <v>1</v>
      </c>
      <c r="J1807" s="30">
        <f t="shared" si="84"/>
        <v>1</v>
      </c>
      <c r="K1807" s="30">
        <f t="shared" si="85"/>
        <v>0</v>
      </c>
      <c r="L1807" s="26">
        <f t="shared" si="86"/>
        <v>0</v>
      </c>
      <c r="M1807" s="26"/>
    </row>
    <row r="1808" spans="1:13" ht="15" customHeight="1">
      <c r="A1808" s="25">
        <v>1651661</v>
      </c>
      <c r="B1808" s="26" t="s">
        <v>5423</v>
      </c>
      <c r="C1808" s="26" t="s">
        <v>9673</v>
      </c>
      <c r="D1808" s="26" t="s">
        <v>9674</v>
      </c>
      <c r="E1808" s="26" t="s">
        <v>5522</v>
      </c>
      <c r="F1808" s="27">
        <v>5859248</v>
      </c>
      <c r="G1808" s="27">
        <v>0</v>
      </c>
      <c r="H1808" s="27">
        <v>1</v>
      </c>
      <c r="I1808" s="27">
        <v>1</v>
      </c>
      <c r="J1808" s="30">
        <f t="shared" si="84"/>
        <v>0</v>
      </c>
      <c r="K1808" s="30">
        <f t="shared" si="85"/>
        <v>1</v>
      </c>
      <c r="L1808" s="26">
        <f t="shared" si="86"/>
        <v>0</v>
      </c>
      <c r="M1808" s="26"/>
    </row>
    <row r="1809" spans="1:13" ht="15" customHeight="1">
      <c r="A1809" s="25">
        <v>1651805</v>
      </c>
      <c r="B1809" s="26" t="s">
        <v>5423</v>
      </c>
      <c r="C1809" s="26" t="s">
        <v>9675</v>
      </c>
      <c r="D1809" s="26" t="s">
        <v>9676</v>
      </c>
      <c r="E1809" s="26" t="s">
        <v>5442</v>
      </c>
      <c r="F1809" s="27">
        <v>5858295</v>
      </c>
      <c r="G1809" s="27">
        <v>0</v>
      </c>
      <c r="H1809" s="27">
        <v>1</v>
      </c>
      <c r="I1809" s="27">
        <v>1</v>
      </c>
      <c r="J1809" s="30">
        <f t="shared" si="84"/>
        <v>0</v>
      </c>
      <c r="K1809" s="30">
        <f t="shared" si="85"/>
        <v>1</v>
      </c>
      <c r="L1809" s="26">
        <f t="shared" si="86"/>
        <v>0</v>
      </c>
      <c r="M1809" s="26"/>
    </row>
    <row r="1810" spans="1:13" ht="15" customHeight="1">
      <c r="A1810" s="25">
        <v>1651830</v>
      </c>
      <c r="B1810" s="26" t="s">
        <v>5427</v>
      </c>
      <c r="C1810" s="26" t="s">
        <v>9677</v>
      </c>
      <c r="D1810" s="26" t="s">
        <v>9669</v>
      </c>
      <c r="E1810" s="26" t="s">
        <v>5433</v>
      </c>
      <c r="F1810" s="27"/>
      <c r="G1810" s="27">
        <v>0</v>
      </c>
      <c r="H1810" s="27">
        <v>0</v>
      </c>
      <c r="I1810" s="27">
        <v>0</v>
      </c>
      <c r="J1810" s="30">
        <f t="shared" si="84"/>
        <v>0</v>
      </c>
      <c r="K1810" s="30">
        <f t="shared" si="85"/>
        <v>0</v>
      </c>
      <c r="L1810" s="26">
        <f t="shared" si="86"/>
        <v>0</v>
      </c>
      <c r="M1810" s="26" t="s">
        <v>9678</v>
      </c>
    </row>
    <row r="1811" spans="1:13" ht="15" customHeight="1">
      <c r="A1811" s="25">
        <v>1651851</v>
      </c>
      <c r="B1811" s="26" t="s">
        <v>5423</v>
      </c>
      <c r="C1811" s="26" t="s">
        <v>9679</v>
      </c>
      <c r="D1811" s="26" t="s">
        <v>9680</v>
      </c>
      <c r="E1811" s="26" t="s">
        <v>5430</v>
      </c>
      <c r="F1811" s="27">
        <v>5858935</v>
      </c>
      <c r="G1811" s="27">
        <v>0</v>
      </c>
      <c r="H1811" s="27">
        <v>0</v>
      </c>
      <c r="I1811" s="27">
        <v>0</v>
      </c>
      <c r="J1811" s="30">
        <f t="shared" si="84"/>
        <v>0</v>
      </c>
      <c r="K1811" s="30">
        <f t="shared" si="85"/>
        <v>0</v>
      </c>
      <c r="L1811" s="26">
        <f t="shared" si="86"/>
        <v>0</v>
      </c>
      <c r="M1811" s="26">
        <v>0</v>
      </c>
    </row>
    <row r="1812" spans="1:13" ht="15" customHeight="1">
      <c r="A1812" s="25">
        <v>1651910</v>
      </c>
      <c r="B1812" s="26" t="s">
        <v>5423</v>
      </c>
      <c r="C1812" s="26" t="s">
        <v>9681</v>
      </c>
      <c r="D1812" s="26" t="s">
        <v>9680</v>
      </c>
      <c r="E1812" s="26" t="s">
        <v>5763</v>
      </c>
      <c r="F1812" s="27">
        <v>5860470</v>
      </c>
      <c r="G1812" s="27">
        <v>1</v>
      </c>
      <c r="H1812" s="27">
        <v>1</v>
      </c>
      <c r="I1812" s="27">
        <v>1</v>
      </c>
      <c r="J1812" s="30">
        <f t="shared" si="84"/>
        <v>1</v>
      </c>
      <c r="K1812" s="30">
        <f t="shared" si="85"/>
        <v>1</v>
      </c>
      <c r="L1812" s="26">
        <f t="shared" si="86"/>
        <v>1</v>
      </c>
      <c r="M1812" s="26"/>
    </row>
    <row r="1813" spans="1:13" ht="15" customHeight="1">
      <c r="A1813" s="25">
        <v>1651946</v>
      </c>
      <c r="B1813" s="26" t="s">
        <v>5423</v>
      </c>
      <c r="C1813" s="26" t="s">
        <v>9682</v>
      </c>
      <c r="D1813" s="26" t="s">
        <v>9669</v>
      </c>
      <c r="E1813" s="26" t="s">
        <v>5545</v>
      </c>
      <c r="F1813" s="27">
        <v>5577460</v>
      </c>
      <c r="G1813" s="27">
        <v>1</v>
      </c>
      <c r="H1813" s="27">
        <v>1</v>
      </c>
      <c r="I1813" s="27">
        <v>1</v>
      </c>
      <c r="J1813" s="30">
        <f t="shared" si="84"/>
        <v>1</v>
      </c>
      <c r="K1813" s="30">
        <f t="shared" si="85"/>
        <v>1</v>
      </c>
      <c r="L1813" s="26">
        <f t="shared" si="86"/>
        <v>1</v>
      </c>
      <c r="M1813" s="26"/>
    </row>
    <row r="1814" spans="1:13" ht="15" customHeight="1">
      <c r="A1814" s="25">
        <v>1651950</v>
      </c>
      <c r="B1814" s="26" t="s">
        <v>5423</v>
      </c>
      <c r="C1814" s="26" t="s">
        <v>9683</v>
      </c>
      <c r="D1814" s="26" t="s">
        <v>9684</v>
      </c>
      <c r="E1814" s="26" t="s">
        <v>5517</v>
      </c>
      <c r="F1814" s="27">
        <v>5847688</v>
      </c>
      <c r="G1814" s="27">
        <v>1</v>
      </c>
      <c r="H1814" s="27">
        <v>1</v>
      </c>
      <c r="I1814" s="27">
        <v>1</v>
      </c>
      <c r="J1814" s="30">
        <f t="shared" si="84"/>
        <v>1</v>
      </c>
      <c r="K1814" s="30">
        <f t="shared" si="85"/>
        <v>1</v>
      </c>
      <c r="L1814" s="26">
        <f t="shared" si="86"/>
        <v>1</v>
      </c>
      <c r="M1814" s="26"/>
    </row>
    <row r="1815" spans="1:13" ht="15" customHeight="1">
      <c r="A1815" s="25">
        <v>1652119</v>
      </c>
      <c r="B1815" s="26" t="s">
        <v>5423</v>
      </c>
      <c r="C1815" s="26" t="s">
        <v>9685</v>
      </c>
      <c r="D1815" s="26" t="s">
        <v>9686</v>
      </c>
      <c r="E1815" s="26" t="s">
        <v>5426</v>
      </c>
      <c r="F1815" s="27">
        <v>5802203</v>
      </c>
      <c r="G1815" s="27">
        <v>0</v>
      </c>
      <c r="H1815" s="27">
        <v>0</v>
      </c>
      <c r="I1815" s="27">
        <v>0</v>
      </c>
      <c r="J1815" s="30">
        <f t="shared" si="84"/>
        <v>0</v>
      </c>
      <c r="K1815" s="30">
        <f t="shared" si="85"/>
        <v>0</v>
      </c>
      <c r="L1815" s="26">
        <f t="shared" si="86"/>
        <v>0</v>
      </c>
      <c r="M1815" s="26" t="s">
        <v>8937</v>
      </c>
    </row>
    <row r="1816" spans="1:13" ht="15" customHeight="1">
      <c r="A1816" s="25">
        <v>1652253</v>
      </c>
      <c r="B1816" s="26" t="s">
        <v>5423</v>
      </c>
      <c r="C1816" s="26" t="s">
        <v>9687</v>
      </c>
      <c r="D1816" s="26" t="s">
        <v>9684</v>
      </c>
      <c r="E1816" s="26" t="s">
        <v>5488</v>
      </c>
      <c r="F1816" s="27">
        <v>5861187</v>
      </c>
      <c r="G1816" s="27">
        <v>0</v>
      </c>
      <c r="H1816" s="27">
        <v>0</v>
      </c>
      <c r="I1816" s="27">
        <v>0</v>
      </c>
      <c r="J1816" s="30">
        <f t="shared" si="84"/>
        <v>0</v>
      </c>
      <c r="K1816" s="30">
        <f t="shared" si="85"/>
        <v>0</v>
      </c>
      <c r="L1816" s="26">
        <f t="shared" si="86"/>
        <v>0</v>
      </c>
      <c r="M1816" s="26">
        <v>0</v>
      </c>
    </row>
    <row r="1817" spans="1:13" ht="15" customHeight="1">
      <c r="A1817" s="25">
        <v>1652384</v>
      </c>
      <c r="B1817" s="26" t="s">
        <v>5427</v>
      </c>
      <c r="C1817" s="26" t="s">
        <v>9688</v>
      </c>
      <c r="D1817" s="26" t="s">
        <v>9680</v>
      </c>
      <c r="E1817" s="26" t="s">
        <v>5517</v>
      </c>
      <c r="F1817" s="27"/>
      <c r="G1817" s="27">
        <v>0</v>
      </c>
      <c r="H1817" s="27">
        <v>0</v>
      </c>
      <c r="I1817" s="27">
        <v>0</v>
      </c>
      <c r="J1817" s="30">
        <f t="shared" si="84"/>
        <v>0</v>
      </c>
      <c r="K1817" s="30">
        <f t="shared" si="85"/>
        <v>0</v>
      </c>
      <c r="L1817" s="26">
        <f t="shared" si="86"/>
        <v>0</v>
      </c>
      <c r="M1817" s="26" t="s">
        <v>5557</v>
      </c>
    </row>
    <row r="1818" spans="1:13" ht="15" customHeight="1">
      <c r="A1818" s="25">
        <v>1652403</v>
      </c>
      <c r="B1818" s="26" t="s">
        <v>5427</v>
      </c>
      <c r="C1818" s="26" t="s">
        <v>9689</v>
      </c>
      <c r="D1818" s="26" t="s">
        <v>9684</v>
      </c>
      <c r="E1818" s="26" t="s">
        <v>5532</v>
      </c>
      <c r="F1818" s="27">
        <v>5861234</v>
      </c>
      <c r="G1818" s="27">
        <v>1</v>
      </c>
      <c r="H1818" s="27">
        <v>0</v>
      </c>
      <c r="I1818" s="27">
        <v>1</v>
      </c>
      <c r="J1818" s="30">
        <f t="shared" si="84"/>
        <v>1</v>
      </c>
      <c r="K1818" s="30">
        <f t="shared" si="85"/>
        <v>0</v>
      </c>
      <c r="L1818" s="26">
        <f t="shared" si="86"/>
        <v>0</v>
      </c>
      <c r="M1818" s="26" t="s">
        <v>8209</v>
      </c>
    </row>
    <row r="1819" spans="1:13" ht="15" customHeight="1">
      <c r="A1819" s="25">
        <v>1652436</v>
      </c>
      <c r="B1819" s="26" t="s">
        <v>5427</v>
      </c>
      <c r="C1819" s="26" t="s">
        <v>9690</v>
      </c>
      <c r="D1819" s="26" t="s">
        <v>9691</v>
      </c>
      <c r="E1819" s="26" t="s">
        <v>5447</v>
      </c>
      <c r="F1819" s="27">
        <v>5861359</v>
      </c>
      <c r="G1819" s="27">
        <v>0</v>
      </c>
      <c r="H1819" s="27">
        <v>0</v>
      </c>
      <c r="I1819" s="27">
        <v>0</v>
      </c>
      <c r="J1819" s="30">
        <f t="shared" si="84"/>
        <v>0</v>
      </c>
      <c r="K1819" s="30">
        <f t="shared" si="85"/>
        <v>0</v>
      </c>
      <c r="L1819" s="26">
        <f t="shared" si="86"/>
        <v>0</v>
      </c>
      <c r="M1819" s="26">
        <v>0</v>
      </c>
    </row>
    <row r="1820" spans="1:13" ht="15" customHeight="1">
      <c r="A1820" s="25">
        <v>1652595</v>
      </c>
      <c r="B1820" s="26" t="s">
        <v>5427</v>
      </c>
      <c r="C1820" s="26" t="s">
        <v>9692</v>
      </c>
      <c r="D1820" s="26" t="s">
        <v>9684</v>
      </c>
      <c r="E1820" s="26" t="s">
        <v>5718</v>
      </c>
      <c r="F1820" s="27">
        <v>5123710</v>
      </c>
      <c r="G1820" s="27">
        <v>0</v>
      </c>
      <c r="H1820" s="27">
        <v>0</v>
      </c>
      <c r="I1820" s="27">
        <v>0</v>
      </c>
      <c r="J1820" s="30">
        <f t="shared" si="84"/>
        <v>0</v>
      </c>
      <c r="K1820" s="30">
        <f t="shared" si="85"/>
        <v>0</v>
      </c>
      <c r="L1820" s="26">
        <f t="shared" si="86"/>
        <v>0</v>
      </c>
      <c r="M1820" s="26" t="s">
        <v>5557</v>
      </c>
    </row>
    <row r="1821" spans="1:13" ht="15" customHeight="1">
      <c r="A1821" s="25">
        <v>1652606</v>
      </c>
      <c r="B1821" s="26" t="s">
        <v>5423</v>
      </c>
      <c r="C1821" s="26" t="s">
        <v>9693</v>
      </c>
      <c r="D1821" s="26" t="s">
        <v>9676</v>
      </c>
      <c r="E1821" s="26" t="s">
        <v>5603</v>
      </c>
      <c r="F1821" s="27">
        <v>5091774</v>
      </c>
      <c r="G1821" s="27">
        <v>0</v>
      </c>
      <c r="H1821" s="27">
        <v>0</v>
      </c>
      <c r="I1821" s="27">
        <v>0</v>
      </c>
      <c r="J1821" s="30">
        <f t="shared" si="84"/>
        <v>0</v>
      </c>
      <c r="K1821" s="30">
        <f t="shared" si="85"/>
        <v>0</v>
      </c>
      <c r="L1821" s="26">
        <f t="shared" si="86"/>
        <v>0</v>
      </c>
      <c r="M1821" s="26" t="s">
        <v>5557</v>
      </c>
    </row>
    <row r="1822" spans="1:13" ht="15" customHeight="1">
      <c r="A1822" s="25">
        <v>1652677</v>
      </c>
      <c r="B1822" s="26" t="s">
        <v>5427</v>
      </c>
      <c r="C1822" s="26" t="s">
        <v>9694</v>
      </c>
      <c r="D1822" s="26" t="s">
        <v>9684</v>
      </c>
      <c r="E1822" s="26" t="s">
        <v>5475</v>
      </c>
      <c r="F1822" s="27">
        <v>5861141</v>
      </c>
      <c r="G1822" s="27">
        <v>0</v>
      </c>
      <c r="H1822" s="27">
        <v>0</v>
      </c>
      <c r="I1822" s="27">
        <v>0</v>
      </c>
      <c r="J1822" s="30">
        <f t="shared" si="84"/>
        <v>0</v>
      </c>
      <c r="K1822" s="30">
        <f t="shared" si="85"/>
        <v>0</v>
      </c>
      <c r="L1822" s="26">
        <f t="shared" si="86"/>
        <v>0</v>
      </c>
      <c r="M1822" s="26">
        <v>0</v>
      </c>
    </row>
    <row r="1823" spans="1:13" ht="15" customHeight="1">
      <c r="A1823" s="25">
        <v>1652719</v>
      </c>
      <c r="B1823" s="26" t="s">
        <v>5427</v>
      </c>
      <c r="C1823" s="26" t="s">
        <v>9695</v>
      </c>
      <c r="D1823" s="26" t="s">
        <v>9676</v>
      </c>
      <c r="E1823" s="26" t="s">
        <v>8392</v>
      </c>
      <c r="F1823" s="27">
        <v>5857996</v>
      </c>
      <c r="G1823" s="27">
        <v>1</v>
      </c>
      <c r="H1823" s="27">
        <v>0</v>
      </c>
      <c r="I1823" s="27">
        <v>1</v>
      </c>
      <c r="J1823" s="30">
        <f t="shared" si="84"/>
        <v>1</v>
      </c>
      <c r="K1823" s="30">
        <f t="shared" si="85"/>
        <v>0</v>
      </c>
      <c r="L1823" s="26">
        <f t="shared" si="86"/>
        <v>0</v>
      </c>
      <c r="M1823" s="26"/>
    </row>
    <row r="1824" spans="1:13" ht="15" customHeight="1">
      <c r="A1824" s="25">
        <v>1652820</v>
      </c>
      <c r="B1824" s="26" t="s">
        <v>5423</v>
      </c>
      <c r="C1824" s="26" t="s">
        <v>9696</v>
      </c>
      <c r="D1824" s="26" t="s">
        <v>9684</v>
      </c>
      <c r="E1824" s="26" t="s">
        <v>5458</v>
      </c>
      <c r="F1824" s="27">
        <v>5861745</v>
      </c>
      <c r="G1824" s="27">
        <v>0</v>
      </c>
      <c r="H1824" s="27">
        <v>0</v>
      </c>
      <c r="I1824" s="27">
        <v>0</v>
      </c>
      <c r="J1824" s="30">
        <f t="shared" si="84"/>
        <v>0</v>
      </c>
      <c r="K1824" s="30">
        <f t="shared" si="85"/>
        <v>0</v>
      </c>
      <c r="L1824" s="26">
        <f t="shared" si="86"/>
        <v>0</v>
      </c>
      <c r="M1824" s="26">
        <v>0</v>
      </c>
    </row>
    <row r="1825" spans="1:13" ht="15" customHeight="1">
      <c r="A1825" s="25">
        <v>1652873</v>
      </c>
      <c r="B1825" s="26" t="s">
        <v>5423</v>
      </c>
      <c r="C1825" s="26" t="s">
        <v>9697</v>
      </c>
      <c r="D1825" s="26" t="s">
        <v>9684</v>
      </c>
      <c r="E1825" s="26" t="s">
        <v>5529</v>
      </c>
      <c r="F1825" s="27">
        <v>5862635</v>
      </c>
      <c r="G1825" s="27">
        <v>0</v>
      </c>
      <c r="H1825" s="27">
        <v>0</v>
      </c>
      <c r="I1825" s="27">
        <v>0</v>
      </c>
      <c r="J1825" s="30">
        <f t="shared" si="84"/>
        <v>0</v>
      </c>
      <c r="K1825" s="30">
        <f t="shared" si="85"/>
        <v>0</v>
      </c>
      <c r="L1825" s="26">
        <f t="shared" si="86"/>
        <v>0</v>
      </c>
      <c r="M1825" s="26">
        <v>0</v>
      </c>
    </row>
    <row r="1826" spans="1:13" ht="15" customHeight="1">
      <c r="A1826" s="25">
        <v>1653186</v>
      </c>
      <c r="B1826" s="26" t="s">
        <v>5423</v>
      </c>
      <c r="C1826" s="26" t="s">
        <v>9698</v>
      </c>
      <c r="D1826" s="26" t="s">
        <v>9699</v>
      </c>
      <c r="E1826" s="26" t="s">
        <v>5532</v>
      </c>
      <c r="F1826" s="27">
        <v>5855928</v>
      </c>
      <c r="G1826" s="27">
        <v>1</v>
      </c>
      <c r="H1826" s="27">
        <v>0</v>
      </c>
      <c r="I1826" s="27">
        <v>1</v>
      </c>
      <c r="J1826" s="30">
        <f t="shared" si="84"/>
        <v>1</v>
      </c>
      <c r="K1826" s="30">
        <f t="shared" si="85"/>
        <v>0</v>
      </c>
      <c r="L1826" s="26">
        <f t="shared" si="86"/>
        <v>0</v>
      </c>
      <c r="M1826" s="26"/>
    </row>
    <row r="1827" spans="1:13" ht="15" customHeight="1">
      <c r="A1827" s="25">
        <v>1653283</v>
      </c>
      <c r="B1827" s="26" t="s">
        <v>5423</v>
      </c>
      <c r="C1827" s="26" t="s">
        <v>9700</v>
      </c>
      <c r="D1827" s="26" t="s">
        <v>9699</v>
      </c>
      <c r="E1827" s="26" t="s">
        <v>5475</v>
      </c>
      <c r="F1827" s="27">
        <v>5856243</v>
      </c>
      <c r="G1827" s="27">
        <v>1</v>
      </c>
      <c r="H1827" s="27">
        <v>0</v>
      </c>
      <c r="I1827" s="27">
        <v>1</v>
      </c>
      <c r="J1827" s="30">
        <f t="shared" si="84"/>
        <v>1</v>
      </c>
      <c r="K1827" s="30">
        <f t="shared" si="85"/>
        <v>0</v>
      </c>
      <c r="L1827" s="26">
        <f t="shared" si="86"/>
        <v>0</v>
      </c>
      <c r="M1827" s="26"/>
    </row>
    <row r="1828" spans="1:13" ht="15" customHeight="1">
      <c r="A1828" s="25">
        <v>1653303</v>
      </c>
      <c r="B1828" s="26" t="s">
        <v>5423</v>
      </c>
      <c r="C1828" s="26" t="s">
        <v>9701</v>
      </c>
      <c r="D1828" s="26" t="s">
        <v>9702</v>
      </c>
      <c r="E1828" s="26" t="s">
        <v>5433</v>
      </c>
      <c r="F1828" s="27">
        <v>5773724</v>
      </c>
      <c r="G1828" s="27">
        <v>1</v>
      </c>
      <c r="H1828" s="27">
        <v>1</v>
      </c>
      <c r="I1828" s="27">
        <v>1</v>
      </c>
      <c r="J1828" s="30">
        <f t="shared" si="84"/>
        <v>1</v>
      </c>
      <c r="K1828" s="30">
        <f t="shared" si="85"/>
        <v>1</v>
      </c>
      <c r="L1828" s="26">
        <f t="shared" si="86"/>
        <v>1</v>
      </c>
      <c r="M1828" s="26"/>
    </row>
    <row r="1829" spans="1:13" ht="15" customHeight="1">
      <c r="A1829" s="25">
        <v>1653577</v>
      </c>
      <c r="B1829" s="26" t="s">
        <v>5423</v>
      </c>
      <c r="C1829" s="26" t="s">
        <v>9703</v>
      </c>
      <c r="D1829" s="26" t="s">
        <v>9704</v>
      </c>
      <c r="E1829" s="26" t="s">
        <v>5532</v>
      </c>
      <c r="F1829" s="27">
        <v>5362373</v>
      </c>
      <c r="G1829" s="27">
        <v>1</v>
      </c>
      <c r="H1829" s="27">
        <v>0</v>
      </c>
      <c r="I1829" s="27">
        <v>1</v>
      </c>
      <c r="J1829" s="30">
        <f t="shared" si="84"/>
        <v>1</v>
      </c>
      <c r="K1829" s="30">
        <f t="shared" si="85"/>
        <v>0</v>
      </c>
      <c r="L1829" s="26">
        <f t="shared" si="86"/>
        <v>0</v>
      </c>
      <c r="M1829" s="26"/>
    </row>
    <row r="1830" spans="1:13" ht="15" customHeight="1">
      <c r="A1830" s="25">
        <v>1653665</v>
      </c>
      <c r="B1830" s="26" t="s">
        <v>5423</v>
      </c>
      <c r="C1830" s="26" t="s">
        <v>9705</v>
      </c>
      <c r="D1830" s="26" t="s">
        <v>9706</v>
      </c>
      <c r="E1830" s="26" t="s">
        <v>5433</v>
      </c>
      <c r="F1830" s="27">
        <v>5808913</v>
      </c>
      <c r="G1830" s="27">
        <v>1</v>
      </c>
      <c r="H1830" s="27">
        <v>0</v>
      </c>
      <c r="I1830" s="27">
        <v>1</v>
      </c>
      <c r="J1830" s="30">
        <f t="shared" si="84"/>
        <v>1</v>
      </c>
      <c r="K1830" s="30">
        <f t="shared" si="85"/>
        <v>0</v>
      </c>
      <c r="L1830" s="26">
        <f t="shared" si="86"/>
        <v>0</v>
      </c>
      <c r="M1830" s="26"/>
    </row>
    <row r="1831" spans="1:13" ht="15" customHeight="1">
      <c r="A1831" s="25">
        <v>1654099</v>
      </c>
      <c r="B1831" s="26" t="s">
        <v>5423</v>
      </c>
      <c r="C1831" s="26" t="s">
        <v>9707</v>
      </c>
      <c r="D1831" s="26" t="s">
        <v>9704</v>
      </c>
      <c r="E1831" s="26" t="s">
        <v>5452</v>
      </c>
      <c r="F1831" s="27">
        <v>5864051</v>
      </c>
      <c r="G1831" s="27">
        <v>1</v>
      </c>
      <c r="H1831" s="27">
        <v>1</v>
      </c>
      <c r="I1831" s="27">
        <v>1</v>
      </c>
      <c r="J1831" s="30">
        <f t="shared" si="84"/>
        <v>1</v>
      </c>
      <c r="K1831" s="30">
        <f t="shared" si="85"/>
        <v>1</v>
      </c>
      <c r="L1831" s="26">
        <f t="shared" si="86"/>
        <v>1</v>
      </c>
      <c r="M1831" s="26"/>
    </row>
    <row r="1832" spans="1:13" ht="15" customHeight="1">
      <c r="A1832" s="25">
        <v>1654418</v>
      </c>
      <c r="B1832" s="26" t="s">
        <v>5423</v>
      </c>
      <c r="C1832" s="26" t="s">
        <v>9708</v>
      </c>
      <c r="D1832" s="26" t="s">
        <v>9709</v>
      </c>
      <c r="E1832" s="26" t="s">
        <v>5535</v>
      </c>
      <c r="F1832" s="27">
        <v>5856273</v>
      </c>
      <c r="G1832" s="27">
        <v>1</v>
      </c>
      <c r="H1832" s="27">
        <v>0</v>
      </c>
      <c r="I1832" s="27">
        <v>1</v>
      </c>
      <c r="J1832" s="30">
        <f t="shared" si="84"/>
        <v>1</v>
      </c>
      <c r="K1832" s="30">
        <f t="shared" si="85"/>
        <v>0</v>
      </c>
      <c r="L1832" s="26">
        <f t="shared" si="86"/>
        <v>0</v>
      </c>
      <c r="M1832" s="26"/>
    </row>
    <row r="1833" spans="1:13" ht="15" customHeight="1">
      <c r="A1833" s="25">
        <v>1654482</v>
      </c>
      <c r="B1833" s="26" t="s">
        <v>5427</v>
      </c>
      <c r="C1833" s="26" t="s">
        <v>9710</v>
      </c>
      <c r="D1833" s="26" t="s">
        <v>9711</v>
      </c>
      <c r="E1833" s="26" t="s">
        <v>5575</v>
      </c>
      <c r="F1833" s="27">
        <v>5855752</v>
      </c>
      <c r="G1833" s="27">
        <v>1</v>
      </c>
      <c r="H1833" s="27">
        <v>0</v>
      </c>
      <c r="I1833" s="27">
        <v>1</v>
      </c>
      <c r="J1833" s="30">
        <f t="shared" si="84"/>
        <v>1</v>
      </c>
      <c r="K1833" s="30">
        <f t="shared" si="85"/>
        <v>0</v>
      </c>
      <c r="L1833" s="26">
        <f t="shared" si="86"/>
        <v>0</v>
      </c>
      <c r="M1833" s="26"/>
    </row>
    <row r="1834" spans="1:13" ht="15" customHeight="1">
      <c r="A1834" s="25">
        <v>1654724</v>
      </c>
      <c r="B1834" s="26" t="s">
        <v>5427</v>
      </c>
      <c r="C1834" s="26" t="s">
        <v>9712</v>
      </c>
      <c r="D1834" s="26" t="s">
        <v>9713</v>
      </c>
      <c r="E1834" s="26" t="s">
        <v>5718</v>
      </c>
      <c r="F1834" s="27">
        <v>2335889</v>
      </c>
      <c r="G1834" s="27">
        <v>0</v>
      </c>
      <c r="H1834" s="27">
        <v>0</v>
      </c>
      <c r="I1834" s="27">
        <v>0</v>
      </c>
      <c r="J1834" s="30">
        <f t="shared" si="84"/>
        <v>0</v>
      </c>
      <c r="K1834" s="30">
        <f t="shared" si="85"/>
        <v>0</v>
      </c>
      <c r="L1834" s="26">
        <f t="shared" si="86"/>
        <v>0</v>
      </c>
      <c r="M1834" s="26" t="s">
        <v>9291</v>
      </c>
    </row>
    <row r="1835" spans="1:13" ht="15" customHeight="1">
      <c r="A1835" s="25">
        <v>1654737</v>
      </c>
      <c r="B1835" s="26" t="s">
        <v>5423</v>
      </c>
      <c r="C1835" s="26" t="s">
        <v>9714</v>
      </c>
      <c r="D1835" s="26" t="s">
        <v>9715</v>
      </c>
      <c r="E1835" s="26" t="s">
        <v>5475</v>
      </c>
      <c r="F1835" s="27">
        <v>4019536</v>
      </c>
      <c r="G1835" s="27">
        <v>0</v>
      </c>
      <c r="H1835" s="27">
        <v>0</v>
      </c>
      <c r="I1835" s="27">
        <v>0</v>
      </c>
      <c r="J1835" s="30">
        <f t="shared" si="84"/>
        <v>0</v>
      </c>
      <c r="K1835" s="30">
        <f t="shared" si="85"/>
        <v>0</v>
      </c>
      <c r="L1835" s="26">
        <f t="shared" si="86"/>
        <v>0</v>
      </c>
      <c r="M1835" s="26" t="s">
        <v>5557</v>
      </c>
    </row>
    <row r="1836" spans="1:13" ht="15" customHeight="1">
      <c r="A1836" s="25">
        <v>1654789</v>
      </c>
      <c r="B1836" s="26" t="s">
        <v>5427</v>
      </c>
      <c r="C1836" s="26" t="s">
        <v>9716</v>
      </c>
      <c r="D1836" s="26" t="s">
        <v>9715</v>
      </c>
      <c r="E1836" s="26" t="s">
        <v>5535</v>
      </c>
      <c r="F1836" s="27">
        <v>5867895</v>
      </c>
      <c r="G1836" s="27">
        <v>1</v>
      </c>
      <c r="H1836" s="27">
        <v>1</v>
      </c>
      <c r="I1836" s="27">
        <v>1</v>
      </c>
      <c r="J1836" s="30">
        <f t="shared" si="84"/>
        <v>1</v>
      </c>
      <c r="K1836" s="30">
        <f t="shared" si="85"/>
        <v>1</v>
      </c>
      <c r="L1836" s="26">
        <f t="shared" si="86"/>
        <v>1</v>
      </c>
      <c r="M1836" s="26" t="s">
        <v>9595</v>
      </c>
    </row>
    <row r="1837" spans="1:13" ht="15" customHeight="1">
      <c r="A1837" s="25">
        <v>1654796</v>
      </c>
      <c r="B1837" s="26" t="s">
        <v>5423</v>
      </c>
      <c r="C1837" s="26" t="s">
        <v>9717</v>
      </c>
      <c r="D1837" s="26" t="s">
        <v>9715</v>
      </c>
      <c r="E1837" s="26" t="s">
        <v>5545</v>
      </c>
      <c r="F1837" s="27">
        <v>5869233</v>
      </c>
      <c r="G1837" s="27">
        <v>1</v>
      </c>
      <c r="H1837" s="27">
        <v>1</v>
      </c>
      <c r="I1837" s="27">
        <v>1</v>
      </c>
      <c r="J1837" s="30">
        <f t="shared" si="84"/>
        <v>1</v>
      </c>
      <c r="K1837" s="30">
        <f t="shared" si="85"/>
        <v>1</v>
      </c>
      <c r="L1837" s="26">
        <f t="shared" si="86"/>
        <v>1</v>
      </c>
      <c r="M1837" s="26"/>
    </row>
    <row r="1838" spans="1:13" ht="15" customHeight="1">
      <c r="A1838" s="25">
        <v>1654809</v>
      </c>
      <c r="B1838" s="26" t="s">
        <v>5427</v>
      </c>
      <c r="C1838" s="26" t="s">
        <v>9718</v>
      </c>
      <c r="D1838" s="26" t="s">
        <v>9719</v>
      </c>
      <c r="E1838" s="26" t="s">
        <v>5535</v>
      </c>
      <c r="F1838" s="27">
        <v>5865973</v>
      </c>
      <c r="G1838" s="27">
        <v>0</v>
      </c>
      <c r="H1838" s="27">
        <v>0</v>
      </c>
      <c r="I1838" s="27">
        <v>0</v>
      </c>
      <c r="J1838" s="30">
        <f t="shared" si="84"/>
        <v>0</v>
      </c>
      <c r="K1838" s="30">
        <f t="shared" si="85"/>
        <v>0</v>
      </c>
      <c r="L1838" s="26">
        <f t="shared" si="86"/>
        <v>0</v>
      </c>
      <c r="M1838" s="26">
        <v>0</v>
      </c>
    </row>
    <row r="1839" spans="1:13" ht="15" customHeight="1">
      <c r="A1839" s="25">
        <v>1654811</v>
      </c>
      <c r="B1839" s="26" t="s">
        <v>5423</v>
      </c>
      <c r="C1839" s="26" t="s">
        <v>9720</v>
      </c>
      <c r="D1839" s="26" t="s">
        <v>9721</v>
      </c>
      <c r="E1839" s="26" t="s">
        <v>5485</v>
      </c>
      <c r="F1839" s="27">
        <v>5868126</v>
      </c>
      <c r="G1839" s="27">
        <v>0</v>
      </c>
      <c r="H1839" s="27">
        <v>1</v>
      </c>
      <c r="I1839" s="27">
        <v>1</v>
      </c>
      <c r="J1839" s="30">
        <f t="shared" si="84"/>
        <v>0</v>
      </c>
      <c r="K1839" s="30">
        <f t="shared" si="85"/>
        <v>1</v>
      </c>
      <c r="L1839" s="26">
        <f t="shared" si="86"/>
        <v>0</v>
      </c>
      <c r="M1839" s="26"/>
    </row>
    <row r="1840" spans="1:13" ht="15" customHeight="1">
      <c r="A1840" s="25">
        <v>1654845</v>
      </c>
      <c r="B1840" s="26" t="s">
        <v>5423</v>
      </c>
      <c r="C1840" s="26" t="s">
        <v>9722</v>
      </c>
      <c r="D1840" s="26" t="s">
        <v>9721</v>
      </c>
      <c r="E1840" s="26" t="s">
        <v>5517</v>
      </c>
      <c r="F1840" s="27">
        <v>5867886</v>
      </c>
      <c r="G1840" s="27">
        <v>0</v>
      </c>
      <c r="H1840" s="27">
        <v>1</v>
      </c>
      <c r="I1840" s="27">
        <v>1</v>
      </c>
      <c r="J1840" s="30">
        <f t="shared" si="84"/>
        <v>0</v>
      </c>
      <c r="K1840" s="30">
        <f t="shared" si="85"/>
        <v>1</v>
      </c>
      <c r="L1840" s="26">
        <f t="shared" si="86"/>
        <v>0</v>
      </c>
      <c r="M1840" s="26"/>
    </row>
    <row r="1841" spans="1:13" ht="15" customHeight="1">
      <c r="A1841" s="25">
        <v>1655693</v>
      </c>
      <c r="B1841" s="26" t="s">
        <v>5427</v>
      </c>
      <c r="C1841" s="26" t="s">
        <v>9723</v>
      </c>
      <c r="D1841" s="26" t="s">
        <v>9715</v>
      </c>
      <c r="E1841" s="26" t="s">
        <v>5968</v>
      </c>
      <c r="F1841" s="27"/>
      <c r="G1841" s="27">
        <v>0</v>
      </c>
      <c r="H1841" s="27">
        <v>0</v>
      </c>
      <c r="I1841" s="27">
        <v>0</v>
      </c>
      <c r="J1841" s="30">
        <f t="shared" si="84"/>
        <v>0</v>
      </c>
      <c r="K1841" s="30">
        <f t="shared" si="85"/>
        <v>0</v>
      </c>
      <c r="L1841" s="26">
        <f t="shared" si="86"/>
        <v>0</v>
      </c>
      <c r="M1841" s="26" t="s">
        <v>5557</v>
      </c>
    </row>
    <row r="1842" spans="1:13" ht="15" customHeight="1">
      <c r="A1842" s="25">
        <v>1655763</v>
      </c>
      <c r="B1842" s="26" t="s">
        <v>5423</v>
      </c>
      <c r="C1842" s="26" t="s">
        <v>9724</v>
      </c>
      <c r="D1842" s="26" t="s">
        <v>9713</v>
      </c>
      <c r="E1842" s="26" t="s">
        <v>5430</v>
      </c>
      <c r="F1842" s="27"/>
      <c r="G1842" s="27">
        <v>0</v>
      </c>
      <c r="H1842" s="27">
        <v>0</v>
      </c>
      <c r="I1842" s="27">
        <v>0</v>
      </c>
      <c r="J1842" s="30">
        <f t="shared" si="84"/>
        <v>0</v>
      </c>
      <c r="K1842" s="30">
        <f t="shared" si="85"/>
        <v>0</v>
      </c>
      <c r="L1842" s="26">
        <f t="shared" si="86"/>
        <v>0</v>
      </c>
      <c r="M1842" s="26" t="s">
        <v>8017</v>
      </c>
    </row>
    <row r="1843" spans="1:13" ht="15" customHeight="1">
      <c r="A1843" s="25">
        <v>1655790</v>
      </c>
      <c r="B1843" s="26" t="s">
        <v>5423</v>
      </c>
      <c r="C1843" s="26" t="s">
        <v>9725</v>
      </c>
      <c r="D1843" s="26" t="s">
        <v>9721</v>
      </c>
      <c r="E1843" s="26" t="s">
        <v>5491</v>
      </c>
      <c r="F1843" s="27">
        <v>5515644</v>
      </c>
      <c r="G1843" s="27">
        <v>0</v>
      </c>
      <c r="H1843" s="27">
        <v>0</v>
      </c>
      <c r="I1843" s="27">
        <v>0</v>
      </c>
      <c r="J1843" s="30">
        <f t="shared" si="84"/>
        <v>0</v>
      </c>
      <c r="K1843" s="30">
        <f t="shared" si="85"/>
        <v>0</v>
      </c>
      <c r="L1843" s="26">
        <f t="shared" si="86"/>
        <v>0</v>
      </c>
      <c r="M1843" s="26" t="s">
        <v>5557</v>
      </c>
    </row>
    <row r="1844" spans="1:13" ht="15" customHeight="1">
      <c r="A1844" s="25">
        <v>1656126</v>
      </c>
      <c r="B1844" s="26" t="s">
        <v>5423</v>
      </c>
      <c r="C1844" s="26" t="s">
        <v>9726</v>
      </c>
      <c r="D1844" s="26" t="s">
        <v>9713</v>
      </c>
      <c r="E1844" s="26" t="s">
        <v>5447</v>
      </c>
      <c r="F1844" s="27">
        <v>5841609</v>
      </c>
      <c r="G1844" s="27">
        <v>1</v>
      </c>
      <c r="H1844" s="27">
        <v>0</v>
      </c>
      <c r="I1844" s="27">
        <v>1</v>
      </c>
      <c r="J1844" s="30">
        <f t="shared" si="84"/>
        <v>1</v>
      </c>
      <c r="K1844" s="30">
        <f t="shared" si="85"/>
        <v>0</v>
      </c>
      <c r="L1844" s="26">
        <f t="shared" si="86"/>
        <v>0</v>
      </c>
      <c r="M1844" s="26"/>
    </row>
    <row r="1845" spans="1:13" ht="15" customHeight="1">
      <c r="A1845" s="25">
        <v>1656159</v>
      </c>
      <c r="B1845" s="26" t="s">
        <v>5423</v>
      </c>
      <c r="C1845" s="26" t="s">
        <v>9727</v>
      </c>
      <c r="D1845" s="26" t="s">
        <v>9713</v>
      </c>
      <c r="E1845" s="26" t="s">
        <v>5535</v>
      </c>
      <c r="F1845" s="27">
        <v>5852610</v>
      </c>
      <c r="G1845" s="27">
        <v>1</v>
      </c>
      <c r="H1845" s="27">
        <v>0</v>
      </c>
      <c r="I1845" s="27">
        <v>1</v>
      </c>
      <c r="J1845" s="30">
        <f t="shared" si="84"/>
        <v>1</v>
      </c>
      <c r="K1845" s="30">
        <f t="shared" si="85"/>
        <v>0</v>
      </c>
      <c r="L1845" s="26">
        <f t="shared" si="86"/>
        <v>0</v>
      </c>
      <c r="M1845" s="26"/>
    </row>
    <row r="1846" spans="1:13" ht="15" customHeight="1">
      <c r="A1846" s="25">
        <v>1656603</v>
      </c>
      <c r="B1846" s="26" t="s">
        <v>5427</v>
      </c>
      <c r="C1846" s="26" t="s">
        <v>9728</v>
      </c>
      <c r="D1846" s="26" t="s">
        <v>9713</v>
      </c>
      <c r="E1846" s="26" t="s">
        <v>5575</v>
      </c>
      <c r="F1846" s="27">
        <v>5873864</v>
      </c>
      <c r="G1846" s="27">
        <v>0</v>
      </c>
      <c r="H1846" s="27">
        <v>0</v>
      </c>
      <c r="I1846" s="27">
        <v>0</v>
      </c>
      <c r="J1846" s="30">
        <f t="shared" si="84"/>
        <v>0</v>
      </c>
      <c r="K1846" s="30">
        <f t="shared" si="85"/>
        <v>0</v>
      </c>
      <c r="L1846" s="26">
        <f t="shared" si="86"/>
        <v>0</v>
      </c>
      <c r="M1846" s="26" t="s">
        <v>8711</v>
      </c>
    </row>
    <row r="1847" spans="1:13" ht="15" customHeight="1">
      <c r="A1847" s="25">
        <v>1656997</v>
      </c>
      <c r="B1847" s="26" t="s">
        <v>5423</v>
      </c>
      <c r="C1847" s="26" t="s">
        <v>9729</v>
      </c>
      <c r="D1847" s="26" t="s">
        <v>9730</v>
      </c>
      <c r="E1847" s="26" t="s">
        <v>5517</v>
      </c>
      <c r="F1847" s="27">
        <v>5669064</v>
      </c>
      <c r="G1847" s="27">
        <v>1</v>
      </c>
      <c r="H1847" s="27">
        <v>0</v>
      </c>
      <c r="I1847" s="27">
        <v>1</v>
      </c>
      <c r="J1847" s="30">
        <f t="shared" si="84"/>
        <v>1</v>
      </c>
      <c r="K1847" s="30">
        <f t="shared" si="85"/>
        <v>0</v>
      </c>
      <c r="L1847" s="26">
        <f t="shared" si="86"/>
        <v>0</v>
      </c>
      <c r="M1847" s="26"/>
    </row>
    <row r="1848" spans="1:13" ht="15" customHeight="1">
      <c r="A1848" s="25">
        <v>1657022</v>
      </c>
      <c r="B1848" s="26" t="s">
        <v>5427</v>
      </c>
      <c r="C1848" s="26" t="s">
        <v>9731</v>
      </c>
      <c r="D1848" s="26" t="s">
        <v>9732</v>
      </c>
      <c r="E1848" s="26" t="s">
        <v>5485</v>
      </c>
      <c r="F1848" s="27">
        <v>5872703</v>
      </c>
      <c r="G1848" s="27">
        <v>0</v>
      </c>
      <c r="H1848" s="27">
        <v>0</v>
      </c>
      <c r="I1848" s="27">
        <v>0</v>
      </c>
      <c r="J1848" s="30">
        <f t="shared" si="84"/>
        <v>0</v>
      </c>
      <c r="K1848" s="30">
        <f t="shared" si="85"/>
        <v>0</v>
      </c>
      <c r="L1848" s="26">
        <f t="shared" si="86"/>
        <v>0</v>
      </c>
      <c r="M1848" s="26">
        <v>0</v>
      </c>
    </row>
    <row r="1849" spans="1:13" ht="15" customHeight="1">
      <c r="A1849" s="25">
        <v>1657186</v>
      </c>
      <c r="B1849" s="26" t="s">
        <v>5423</v>
      </c>
      <c r="C1849" s="26" t="s">
        <v>9733</v>
      </c>
      <c r="D1849" s="26" t="s">
        <v>9734</v>
      </c>
      <c r="E1849" s="26" t="s">
        <v>5517</v>
      </c>
      <c r="F1849" s="27">
        <v>5876994</v>
      </c>
      <c r="G1849" s="27">
        <v>0</v>
      </c>
      <c r="H1849" s="27">
        <v>1</v>
      </c>
      <c r="I1849" s="27">
        <v>1</v>
      </c>
      <c r="J1849" s="30">
        <f t="shared" si="84"/>
        <v>0</v>
      </c>
      <c r="K1849" s="30">
        <f t="shared" si="85"/>
        <v>1</v>
      </c>
      <c r="L1849" s="26">
        <f t="shared" si="86"/>
        <v>0</v>
      </c>
      <c r="M1849" s="26"/>
    </row>
    <row r="1850" spans="1:13" ht="15" customHeight="1">
      <c r="A1850" s="25">
        <v>1657234</v>
      </c>
      <c r="B1850" s="26" t="s">
        <v>5423</v>
      </c>
      <c r="C1850" s="26" t="s">
        <v>9735</v>
      </c>
      <c r="D1850" s="26" t="s">
        <v>9736</v>
      </c>
      <c r="E1850" s="26" t="s">
        <v>5517</v>
      </c>
      <c r="F1850" s="27">
        <v>5118128</v>
      </c>
      <c r="G1850" s="27">
        <v>0</v>
      </c>
      <c r="H1850" s="27">
        <v>0</v>
      </c>
      <c r="I1850" s="27">
        <v>0</v>
      </c>
      <c r="J1850" s="30">
        <f t="shared" si="84"/>
        <v>0</v>
      </c>
      <c r="K1850" s="30">
        <f t="shared" si="85"/>
        <v>0</v>
      </c>
      <c r="L1850" s="26">
        <f t="shared" si="86"/>
        <v>0</v>
      </c>
      <c r="M1850" s="26" t="s">
        <v>5557</v>
      </c>
    </row>
    <row r="1851" spans="1:13" ht="15" customHeight="1">
      <c r="A1851" s="25">
        <v>1657366</v>
      </c>
      <c r="B1851" s="26" t="s">
        <v>5427</v>
      </c>
      <c r="C1851" s="26" t="s">
        <v>9737</v>
      </c>
      <c r="D1851" s="26" t="s">
        <v>9738</v>
      </c>
      <c r="E1851" s="26" t="s">
        <v>5426</v>
      </c>
      <c r="F1851" s="27">
        <v>5872946</v>
      </c>
      <c r="G1851" s="27">
        <v>0</v>
      </c>
      <c r="H1851" s="27">
        <v>0</v>
      </c>
      <c r="I1851" s="27">
        <v>0</v>
      </c>
      <c r="J1851" s="30">
        <f t="shared" si="84"/>
        <v>0</v>
      </c>
      <c r="K1851" s="30">
        <f t="shared" si="85"/>
        <v>0</v>
      </c>
      <c r="L1851" s="26">
        <f t="shared" si="86"/>
        <v>0</v>
      </c>
      <c r="M1851" s="26">
        <v>0</v>
      </c>
    </row>
    <row r="1852" spans="1:13" ht="15" customHeight="1">
      <c r="A1852" s="25">
        <v>1657409</v>
      </c>
      <c r="B1852" s="26" t="s">
        <v>5423</v>
      </c>
      <c r="C1852" s="26" t="s">
        <v>9739</v>
      </c>
      <c r="D1852" s="26" t="s">
        <v>9740</v>
      </c>
      <c r="E1852" s="26" t="s">
        <v>5455</v>
      </c>
      <c r="F1852" s="27">
        <v>5868276</v>
      </c>
      <c r="G1852" s="27">
        <v>1</v>
      </c>
      <c r="H1852" s="27">
        <v>0</v>
      </c>
      <c r="I1852" s="27">
        <v>1</v>
      </c>
      <c r="J1852" s="30">
        <f t="shared" si="84"/>
        <v>1</v>
      </c>
      <c r="K1852" s="30">
        <f t="shared" si="85"/>
        <v>0</v>
      </c>
      <c r="L1852" s="26">
        <f t="shared" si="86"/>
        <v>0</v>
      </c>
      <c r="M1852" s="26"/>
    </row>
    <row r="1853" spans="1:13" ht="15" customHeight="1">
      <c r="A1853" s="25">
        <v>1657441</v>
      </c>
      <c r="B1853" s="26" t="s">
        <v>5423</v>
      </c>
      <c r="C1853" s="26" t="s">
        <v>9741</v>
      </c>
      <c r="D1853" s="26" t="s">
        <v>9740</v>
      </c>
      <c r="E1853" s="26" t="s">
        <v>9527</v>
      </c>
      <c r="F1853" s="27">
        <v>5875266</v>
      </c>
      <c r="G1853" s="27">
        <v>0</v>
      </c>
      <c r="H1853" s="27">
        <v>0</v>
      </c>
      <c r="I1853" s="27">
        <v>0</v>
      </c>
      <c r="J1853" s="30">
        <f t="shared" si="84"/>
        <v>0</v>
      </c>
      <c r="K1853" s="30">
        <f t="shared" si="85"/>
        <v>0</v>
      </c>
      <c r="L1853" s="26">
        <f t="shared" si="86"/>
        <v>0</v>
      </c>
      <c r="M1853" s="26">
        <v>0</v>
      </c>
    </row>
    <row r="1854" spans="1:13" ht="15" customHeight="1">
      <c r="A1854" s="25">
        <v>1658336</v>
      </c>
      <c r="B1854" s="26" t="s">
        <v>5423</v>
      </c>
      <c r="C1854" s="26" t="s">
        <v>9742</v>
      </c>
      <c r="D1854" s="26" t="s">
        <v>9743</v>
      </c>
      <c r="E1854" s="26" t="s">
        <v>5475</v>
      </c>
      <c r="F1854" s="27">
        <v>5121790</v>
      </c>
      <c r="G1854" s="27">
        <v>0</v>
      </c>
      <c r="H1854" s="27">
        <v>0</v>
      </c>
      <c r="I1854" s="27">
        <v>0</v>
      </c>
      <c r="J1854" s="30">
        <f t="shared" si="84"/>
        <v>0</v>
      </c>
      <c r="K1854" s="30">
        <f t="shared" si="85"/>
        <v>0</v>
      </c>
      <c r="L1854" s="26">
        <f t="shared" si="86"/>
        <v>0</v>
      </c>
      <c r="M1854" s="26" t="s">
        <v>5557</v>
      </c>
    </row>
    <row r="1855" spans="1:13" ht="15" customHeight="1">
      <c r="A1855" s="25">
        <v>1658392</v>
      </c>
      <c r="B1855" s="26" t="s">
        <v>5427</v>
      </c>
      <c r="C1855" s="26" t="s">
        <v>9744</v>
      </c>
      <c r="D1855" s="26" t="s">
        <v>9743</v>
      </c>
      <c r="E1855" s="26" t="s">
        <v>5442</v>
      </c>
      <c r="F1855" s="27">
        <v>5858628</v>
      </c>
      <c r="G1855" s="27">
        <v>1</v>
      </c>
      <c r="H1855" s="27">
        <v>0</v>
      </c>
      <c r="I1855" s="27">
        <v>1</v>
      </c>
      <c r="J1855" s="30">
        <f t="shared" si="84"/>
        <v>1</v>
      </c>
      <c r="K1855" s="30">
        <f t="shared" si="85"/>
        <v>0</v>
      </c>
      <c r="L1855" s="26">
        <f t="shared" si="86"/>
        <v>0</v>
      </c>
      <c r="M1855" s="26"/>
    </row>
    <row r="1856" spans="1:13" ht="15" customHeight="1">
      <c r="A1856" s="25">
        <v>1658419</v>
      </c>
      <c r="B1856" s="26" t="s">
        <v>5423</v>
      </c>
      <c r="C1856" s="26" t="s">
        <v>9745</v>
      </c>
      <c r="D1856" s="26" t="s">
        <v>9746</v>
      </c>
      <c r="E1856" s="26" t="s">
        <v>5452</v>
      </c>
      <c r="F1856" s="27">
        <v>5874590</v>
      </c>
      <c r="G1856" s="27">
        <v>0</v>
      </c>
      <c r="H1856" s="27">
        <v>1</v>
      </c>
      <c r="I1856" s="27">
        <v>1</v>
      </c>
      <c r="J1856" s="30">
        <f t="shared" si="84"/>
        <v>0</v>
      </c>
      <c r="K1856" s="30">
        <f t="shared" si="85"/>
        <v>1</v>
      </c>
      <c r="L1856" s="26">
        <f t="shared" si="86"/>
        <v>0</v>
      </c>
      <c r="M1856" s="26"/>
    </row>
    <row r="1857" spans="1:13" ht="15" customHeight="1">
      <c r="A1857" s="25">
        <v>1658546</v>
      </c>
      <c r="B1857" s="26" t="s">
        <v>5423</v>
      </c>
      <c r="C1857" s="26" t="s">
        <v>9747</v>
      </c>
      <c r="D1857" s="26" t="s">
        <v>9746</v>
      </c>
      <c r="E1857" s="26" t="s">
        <v>5535</v>
      </c>
      <c r="F1857" s="27">
        <v>5877571</v>
      </c>
      <c r="G1857" s="27">
        <v>0</v>
      </c>
      <c r="H1857" s="27">
        <v>0</v>
      </c>
      <c r="I1857" s="27">
        <v>0</v>
      </c>
      <c r="J1857" s="30">
        <f t="shared" si="84"/>
        <v>0</v>
      </c>
      <c r="K1857" s="30">
        <f t="shared" si="85"/>
        <v>0</v>
      </c>
      <c r="L1857" s="26">
        <f t="shared" si="86"/>
        <v>0</v>
      </c>
      <c r="M1857" s="26">
        <v>0</v>
      </c>
    </row>
    <row r="1858" spans="1:13" ht="15" customHeight="1">
      <c r="A1858" s="25">
        <v>1658619</v>
      </c>
      <c r="B1858" s="26" t="s">
        <v>5423</v>
      </c>
      <c r="C1858" s="26" t="s">
        <v>9748</v>
      </c>
      <c r="D1858" s="26" t="s">
        <v>9749</v>
      </c>
      <c r="E1858" s="26" t="s">
        <v>5683</v>
      </c>
      <c r="F1858" s="27">
        <v>5881486</v>
      </c>
      <c r="G1858" s="27">
        <v>1</v>
      </c>
      <c r="H1858" s="27">
        <v>0</v>
      </c>
      <c r="I1858" s="27">
        <v>1</v>
      </c>
      <c r="J1858" s="30">
        <f t="shared" ref="J1858:J1921" si="87">IF(G1858&gt;0,1,0)</f>
        <v>1</v>
      </c>
      <c r="K1858" s="30">
        <f t="shared" ref="K1858:K1921" si="88">IF(H1858&gt;0,1,0)</f>
        <v>0</v>
      </c>
      <c r="L1858" s="26">
        <f t="shared" ref="L1858:L1921" si="89">IF(G1858&gt;0,IF(H1858&gt;0,1,0),0)</f>
        <v>0</v>
      </c>
      <c r="M1858" s="26"/>
    </row>
    <row r="1859" spans="1:13" ht="15" customHeight="1">
      <c r="A1859" s="25">
        <v>1658719</v>
      </c>
      <c r="B1859" s="26" t="s">
        <v>5423</v>
      </c>
      <c r="C1859" s="26" t="s">
        <v>9750</v>
      </c>
      <c r="D1859" s="26" t="s">
        <v>9746</v>
      </c>
      <c r="E1859" s="26" t="s">
        <v>5436</v>
      </c>
      <c r="F1859" s="27">
        <v>5880566</v>
      </c>
      <c r="G1859" s="27">
        <v>0</v>
      </c>
      <c r="H1859" s="27">
        <v>0</v>
      </c>
      <c r="I1859" s="27">
        <v>0</v>
      </c>
      <c r="J1859" s="30">
        <f t="shared" si="87"/>
        <v>0</v>
      </c>
      <c r="K1859" s="30">
        <f t="shared" si="88"/>
        <v>0</v>
      </c>
      <c r="L1859" s="26">
        <f t="shared" si="89"/>
        <v>0</v>
      </c>
      <c r="M1859" s="26">
        <v>0</v>
      </c>
    </row>
    <row r="1860" spans="1:13" ht="15" customHeight="1">
      <c r="A1860" s="25">
        <v>1658737</v>
      </c>
      <c r="B1860" s="26" t="s">
        <v>5423</v>
      </c>
      <c r="C1860" s="26" t="s">
        <v>9751</v>
      </c>
      <c r="D1860" s="26" t="s">
        <v>9749</v>
      </c>
      <c r="E1860" s="26" t="s">
        <v>5430</v>
      </c>
      <c r="F1860" s="27">
        <v>5129950</v>
      </c>
      <c r="G1860" s="27">
        <v>0</v>
      </c>
      <c r="H1860" s="27">
        <v>0</v>
      </c>
      <c r="I1860" s="27">
        <v>0</v>
      </c>
      <c r="J1860" s="30">
        <f t="shared" si="87"/>
        <v>0</v>
      </c>
      <c r="K1860" s="30">
        <f t="shared" si="88"/>
        <v>0</v>
      </c>
      <c r="L1860" s="26">
        <f t="shared" si="89"/>
        <v>0</v>
      </c>
      <c r="M1860" s="26" t="s">
        <v>5557</v>
      </c>
    </row>
    <row r="1861" spans="1:13" ht="15" customHeight="1">
      <c r="A1861" s="25">
        <v>1658810</v>
      </c>
      <c r="B1861" s="26" t="s">
        <v>5423</v>
      </c>
      <c r="C1861" s="26" t="s">
        <v>9752</v>
      </c>
      <c r="D1861" s="26" t="s">
        <v>9753</v>
      </c>
      <c r="E1861" s="26" t="s">
        <v>5535</v>
      </c>
      <c r="F1861" s="27">
        <v>5852313</v>
      </c>
      <c r="G1861" s="27">
        <v>1</v>
      </c>
      <c r="H1861" s="27">
        <v>0</v>
      </c>
      <c r="I1861" s="27">
        <v>1</v>
      </c>
      <c r="J1861" s="30">
        <f t="shared" si="87"/>
        <v>1</v>
      </c>
      <c r="K1861" s="30">
        <f t="shared" si="88"/>
        <v>0</v>
      </c>
      <c r="L1861" s="26">
        <f t="shared" si="89"/>
        <v>0</v>
      </c>
      <c r="M1861" s="26"/>
    </row>
    <row r="1862" spans="1:13" ht="15" customHeight="1">
      <c r="A1862" s="25">
        <v>1658861</v>
      </c>
      <c r="B1862" s="26" t="s">
        <v>5427</v>
      </c>
      <c r="C1862" s="26" t="s">
        <v>9754</v>
      </c>
      <c r="D1862" s="26" t="s">
        <v>9755</v>
      </c>
      <c r="E1862" s="26" t="s">
        <v>5442</v>
      </c>
      <c r="F1862" s="27">
        <v>4780446</v>
      </c>
      <c r="G1862" s="27">
        <v>1</v>
      </c>
      <c r="H1862" s="27">
        <v>1</v>
      </c>
      <c r="I1862" s="27">
        <v>1</v>
      </c>
      <c r="J1862" s="30">
        <f t="shared" si="87"/>
        <v>1</v>
      </c>
      <c r="K1862" s="30">
        <f t="shared" si="88"/>
        <v>1</v>
      </c>
      <c r="L1862" s="26">
        <f t="shared" si="89"/>
        <v>1</v>
      </c>
      <c r="M1862" s="26"/>
    </row>
    <row r="1863" spans="1:13" ht="15" customHeight="1">
      <c r="A1863" s="25">
        <v>1658868</v>
      </c>
      <c r="B1863" s="26" t="s">
        <v>5427</v>
      </c>
      <c r="C1863" s="26" t="s">
        <v>9756</v>
      </c>
      <c r="D1863" s="26" t="s">
        <v>9749</v>
      </c>
      <c r="E1863" s="26" t="s">
        <v>5507</v>
      </c>
      <c r="F1863" s="27">
        <v>5881715</v>
      </c>
      <c r="G1863" s="27">
        <v>1</v>
      </c>
      <c r="H1863" s="27">
        <v>1</v>
      </c>
      <c r="I1863" s="27">
        <v>1</v>
      </c>
      <c r="J1863" s="30">
        <f t="shared" si="87"/>
        <v>1</v>
      </c>
      <c r="K1863" s="30">
        <f t="shared" si="88"/>
        <v>1</v>
      </c>
      <c r="L1863" s="26">
        <f t="shared" si="89"/>
        <v>1</v>
      </c>
      <c r="M1863" s="26"/>
    </row>
    <row r="1864" spans="1:13" ht="15" customHeight="1">
      <c r="A1864" s="25">
        <v>1658947</v>
      </c>
      <c r="B1864" s="26" t="s">
        <v>5423</v>
      </c>
      <c r="C1864" s="26" t="s">
        <v>9757</v>
      </c>
      <c r="D1864" s="26" t="s">
        <v>9758</v>
      </c>
      <c r="E1864" s="26" t="s">
        <v>6123</v>
      </c>
      <c r="F1864" s="27">
        <v>5873323</v>
      </c>
      <c r="G1864" s="27">
        <v>0</v>
      </c>
      <c r="H1864" s="27">
        <v>1</v>
      </c>
      <c r="I1864" s="27">
        <v>1</v>
      </c>
      <c r="J1864" s="30">
        <f t="shared" si="87"/>
        <v>0</v>
      </c>
      <c r="K1864" s="30">
        <f t="shared" si="88"/>
        <v>1</v>
      </c>
      <c r="L1864" s="26">
        <f t="shared" si="89"/>
        <v>0</v>
      </c>
      <c r="M1864" s="26"/>
    </row>
    <row r="1865" spans="1:13" ht="15" customHeight="1">
      <c r="A1865" s="25">
        <v>1659005</v>
      </c>
      <c r="B1865" s="26" t="s">
        <v>5423</v>
      </c>
      <c r="C1865" s="26" t="s">
        <v>9759</v>
      </c>
      <c r="D1865" s="26" t="s">
        <v>9760</v>
      </c>
      <c r="E1865" s="26" t="s">
        <v>5707</v>
      </c>
      <c r="F1865" s="27">
        <v>5933423</v>
      </c>
      <c r="G1865" s="27">
        <v>0</v>
      </c>
      <c r="H1865" s="27">
        <v>0</v>
      </c>
      <c r="I1865" s="27">
        <v>0</v>
      </c>
      <c r="J1865" s="30">
        <f t="shared" si="87"/>
        <v>0</v>
      </c>
      <c r="K1865" s="30">
        <f t="shared" si="88"/>
        <v>0</v>
      </c>
      <c r="L1865" s="26">
        <f t="shared" si="89"/>
        <v>0</v>
      </c>
      <c r="M1865" s="26">
        <v>0</v>
      </c>
    </row>
    <row r="1866" spans="1:13" ht="15" customHeight="1">
      <c r="A1866" s="25">
        <v>1659140</v>
      </c>
      <c r="B1866" s="26" t="s">
        <v>5427</v>
      </c>
      <c r="C1866" s="26" t="s">
        <v>9761</v>
      </c>
      <c r="D1866" s="26" t="s">
        <v>9753</v>
      </c>
      <c r="E1866" s="26" t="s">
        <v>5436</v>
      </c>
      <c r="F1866" s="27">
        <v>5870193</v>
      </c>
      <c r="G1866" s="27">
        <v>1</v>
      </c>
      <c r="H1866" s="27">
        <v>0</v>
      </c>
      <c r="I1866" s="27">
        <v>1</v>
      </c>
      <c r="J1866" s="30">
        <f t="shared" si="87"/>
        <v>1</v>
      </c>
      <c r="K1866" s="30">
        <f t="shared" si="88"/>
        <v>0</v>
      </c>
      <c r="L1866" s="26">
        <f t="shared" si="89"/>
        <v>0</v>
      </c>
      <c r="M1866" s="26"/>
    </row>
    <row r="1867" spans="1:13" ht="15" customHeight="1">
      <c r="A1867" s="25">
        <v>1659655</v>
      </c>
      <c r="B1867" s="26" t="s">
        <v>5427</v>
      </c>
      <c r="C1867" s="26" t="s">
        <v>9762</v>
      </c>
      <c r="D1867" s="26" t="s">
        <v>9755</v>
      </c>
      <c r="E1867" s="26" t="s">
        <v>5683</v>
      </c>
      <c r="F1867" s="27">
        <v>5143310</v>
      </c>
      <c r="G1867" s="27">
        <v>0</v>
      </c>
      <c r="H1867" s="27">
        <v>0</v>
      </c>
      <c r="I1867" s="27">
        <v>0</v>
      </c>
      <c r="J1867" s="30">
        <f t="shared" si="87"/>
        <v>0</v>
      </c>
      <c r="K1867" s="30">
        <f t="shared" si="88"/>
        <v>0</v>
      </c>
      <c r="L1867" s="26">
        <f t="shared" si="89"/>
        <v>0</v>
      </c>
      <c r="M1867" s="26" t="s">
        <v>5557</v>
      </c>
    </row>
    <row r="1868" spans="1:13" ht="15" customHeight="1">
      <c r="A1868" s="25">
        <v>1659766</v>
      </c>
      <c r="B1868" s="26" t="s">
        <v>5423</v>
      </c>
      <c r="C1868" s="26" t="s">
        <v>9763</v>
      </c>
      <c r="D1868" s="26" t="s">
        <v>9764</v>
      </c>
      <c r="E1868" s="26" t="s">
        <v>5504</v>
      </c>
      <c r="F1868" s="27">
        <v>5207670</v>
      </c>
      <c r="G1868" s="27">
        <v>1</v>
      </c>
      <c r="H1868" s="27">
        <v>0</v>
      </c>
      <c r="I1868" s="27">
        <v>1</v>
      </c>
      <c r="J1868" s="30">
        <f t="shared" si="87"/>
        <v>1</v>
      </c>
      <c r="K1868" s="30">
        <f t="shared" si="88"/>
        <v>0</v>
      </c>
      <c r="L1868" s="26">
        <f t="shared" si="89"/>
        <v>0</v>
      </c>
      <c r="M1868" s="26"/>
    </row>
    <row r="1869" spans="1:13" ht="15" customHeight="1">
      <c r="A1869" s="25">
        <v>1659787</v>
      </c>
      <c r="B1869" s="26" t="s">
        <v>5423</v>
      </c>
      <c r="C1869" s="26" t="s">
        <v>9765</v>
      </c>
      <c r="D1869" s="26" t="s">
        <v>9766</v>
      </c>
      <c r="E1869" s="26" t="s">
        <v>5426</v>
      </c>
      <c r="F1869" s="27">
        <v>5866155</v>
      </c>
      <c r="G1869" s="27">
        <v>0</v>
      </c>
      <c r="H1869" s="27">
        <v>0</v>
      </c>
      <c r="I1869" s="27">
        <v>0</v>
      </c>
      <c r="J1869" s="30">
        <f t="shared" si="87"/>
        <v>0</v>
      </c>
      <c r="K1869" s="30">
        <f t="shared" si="88"/>
        <v>0</v>
      </c>
      <c r="L1869" s="26">
        <f t="shared" si="89"/>
        <v>0</v>
      </c>
      <c r="M1869" s="26" t="s">
        <v>9767</v>
      </c>
    </row>
    <row r="1870" spans="1:13" ht="15" customHeight="1">
      <c r="A1870" s="25">
        <v>1659988</v>
      </c>
      <c r="B1870" s="26" t="s">
        <v>5427</v>
      </c>
      <c r="C1870" s="26" t="s">
        <v>9768</v>
      </c>
      <c r="D1870" s="26" t="s">
        <v>9766</v>
      </c>
      <c r="E1870" s="26" t="s">
        <v>5968</v>
      </c>
      <c r="F1870" s="27">
        <v>5885532</v>
      </c>
      <c r="G1870" s="27">
        <v>1</v>
      </c>
      <c r="H1870" s="27">
        <v>1</v>
      </c>
      <c r="I1870" s="27">
        <v>1</v>
      </c>
      <c r="J1870" s="30">
        <f t="shared" si="87"/>
        <v>1</v>
      </c>
      <c r="K1870" s="30">
        <f t="shared" si="88"/>
        <v>1</v>
      </c>
      <c r="L1870" s="26">
        <f t="shared" si="89"/>
        <v>1</v>
      </c>
      <c r="M1870" s="26"/>
    </row>
    <row r="1871" spans="1:13" ht="15" customHeight="1">
      <c r="A1871" s="25">
        <v>1660105</v>
      </c>
      <c r="B1871" s="26" t="s">
        <v>5423</v>
      </c>
      <c r="C1871" s="26" t="s">
        <v>9769</v>
      </c>
      <c r="D1871" s="26" t="s">
        <v>9770</v>
      </c>
      <c r="E1871" s="26" t="s">
        <v>5707</v>
      </c>
      <c r="F1871" s="27">
        <v>5885671</v>
      </c>
      <c r="G1871" s="27">
        <v>0</v>
      </c>
      <c r="H1871" s="27">
        <v>1</v>
      </c>
      <c r="I1871" s="27">
        <v>1</v>
      </c>
      <c r="J1871" s="30">
        <f t="shared" si="87"/>
        <v>0</v>
      </c>
      <c r="K1871" s="30">
        <f t="shared" si="88"/>
        <v>1</v>
      </c>
      <c r="L1871" s="26">
        <f t="shared" si="89"/>
        <v>0</v>
      </c>
      <c r="M1871" s="26"/>
    </row>
    <row r="1872" spans="1:13" ht="15" customHeight="1">
      <c r="A1872" s="25">
        <v>1660137</v>
      </c>
      <c r="B1872" s="26" t="s">
        <v>5423</v>
      </c>
      <c r="C1872" s="26" t="s">
        <v>9771</v>
      </c>
      <c r="D1872" s="26" t="s">
        <v>9766</v>
      </c>
      <c r="E1872" s="26" t="s">
        <v>5442</v>
      </c>
      <c r="F1872" s="27">
        <v>5881641</v>
      </c>
      <c r="G1872" s="27">
        <v>1</v>
      </c>
      <c r="H1872" s="27">
        <v>0</v>
      </c>
      <c r="I1872" s="27">
        <v>1</v>
      </c>
      <c r="J1872" s="30">
        <f t="shared" si="87"/>
        <v>1</v>
      </c>
      <c r="K1872" s="30">
        <f t="shared" si="88"/>
        <v>0</v>
      </c>
      <c r="L1872" s="26">
        <f t="shared" si="89"/>
        <v>0</v>
      </c>
      <c r="M1872" s="26"/>
    </row>
    <row r="1873" spans="1:13" ht="15" customHeight="1">
      <c r="A1873" s="25">
        <v>1660465</v>
      </c>
      <c r="B1873" s="26" t="s">
        <v>5427</v>
      </c>
      <c r="C1873" s="26" t="s">
        <v>9772</v>
      </c>
      <c r="D1873" s="26" t="s">
        <v>9773</v>
      </c>
      <c r="E1873" s="26" t="s">
        <v>5718</v>
      </c>
      <c r="F1873" s="27">
        <v>5873143</v>
      </c>
      <c r="G1873" s="27">
        <v>1</v>
      </c>
      <c r="H1873" s="27">
        <v>0</v>
      </c>
      <c r="I1873" s="27">
        <v>1</v>
      </c>
      <c r="J1873" s="30">
        <f t="shared" si="87"/>
        <v>1</v>
      </c>
      <c r="K1873" s="30">
        <f t="shared" si="88"/>
        <v>0</v>
      </c>
      <c r="L1873" s="26">
        <f t="shared" si="89"/>
        <v>0</v>
      </c>
      <c r="M1873" s="26"/>
    </row>
    <row r="1874" spans="1:13" ht="15" customHeight="1">
      <c r="A1874" s="25">
        <v>1660671</v>
      </c>
      <c r="B1874" s="26" t="s">
        <v>5427</v>
      </c>
      <c r="C1874" s="26" t="s">
        <v>9774</v>
      </c>
      <c r="D1874" s="26" t="s">
        <v>9773</v>
      </c>
      <c r="E1874" s="26" t="s">
        <v>5447</v>
      </c>
      <c r="F1874" s="27">
        <v>5873707</v>
      </c>
      <c r="G1874" s="27">
        <v>0</v>
      </c>
      <c r="H1874" s="27">
        <v>0</v>
      </c>
      <c r="I1874" s="27">
        <v>0</v>
      </c>
      <c r="J1874" s="30">
        <f t="shared" si="87"/>
        <v>0</v>
      </c>
      <c r="K1874" s="30">
        <f t="shared" si="88"/>
        <v>0</v>
      </c>
      <c r="L1874" s="26">
        <f t="shared" si="89"/>
        <v>0</v>
      </c>
      <c r="M1874" s="26">
        <v>0</v>
      </c>
    </row>
    <row r="1875" spans="1:13" ht="15" customHeight="1">
      <c r="A1875" s="25">
        <v>1660729</v>
      </c>
      <c r="B1875" s="26" t="s">
        <v>5423</v>
      </c>
      <c r="C1875" s="26" t="s">
        <v>9775</v>
      </c>
      <c r="D1875" s="26" t="s">
        <v>9776</v>
      </c>
      <c r="E1875" s="26" t="s">
        <v>5545</v>
      </c>
      <c r="F1875" s="27">
        <v>5577460</v>
      </c>
      <c r="G1875" s="27">
        <v>1</v>
      </c>
      <c r="H1875" s="27">
        <v>1</v>
      </c>
      <c r="I1875" s="27">
        <v>1</v>
      </c>
      <c r="J1875" s="30">
        <f t="shared" si="87"/>
        <v>1</v>
      </c>
      <c r="K1875" s="30">
        <f t="shared" si="88"/>
        <v>1</v>
      </c>
      <c r="L1875" s="26">
        <f t="shared" si="89"/>
        <v>1</v>
      </c>
      <c r="M1875" s="26"/>
    </row>
    <row r="1876" spans="1:13" ht="15" customHeight="1">
      <c r="A1876" s="25">
        <v>1660795</v>
      </c>
      <c r="B1876" s="26" t="s">
        <v>5427</v>
      </c>
      <c r="C1876" s="26" t="s">
        <v>9777</v>
      </c>
      <c r="D1876" s="26" t="s">
        <v>9773</v>
      </c>
      <c r="E1876" s="26" t="s">
        <v>5891</v>
      </c>
      <c r="F1876" s="27">
        <v>5887618</v>
      </c>
      <c r="G1876" s="27">
        <v>1</v>
      </c>
      <c r="H1876" s="27">
        <v>0</v>
      </c>
      <c r="I1876" s="27">
        <v>1</v>
      </c>
      <c r="J1876" s="30">
        <f t="shared" si="87"/>
        <v>1</v>
      </c>
      <c r="K1876" s="30">
        <f t="shared" si="88"/>
        <v>0</v>
      </c>
      <c r="L1876" s="26">
        <f t="shared" si="89"/>
        <v>0</v>
      </c>
      <c r="M1876" s="26"/>
    </row>
    <row r="1877" spans="1:13" ht="15" customHeight="1">
      <c r="A1877" s="25">
        <v>1660933</v>
      </c>
      <c r="B1877" s="26" t="s">
        <v>5423</v>
      </c>
      <c r="C1877" s="26" t="s">
        <v>9778</v>
      </c>
      <c r="D1877" s="26" t="s">
        <v>9770</v>
      </c>
      <c r="E1877" s="26" t="s">
        <v>5430</v>
      </c>
      <c r="F1877" s="27">
        <v>5874430</v>
      </c>
      <c r="G1877" s="27">
        <v>1</v>
      </c>
      <c r="H1877" s="27">
        <v>0</v>
      </c>
      <c r="I1877" s="27">
        <v>1</v>
      </c>
      <c r="J1877" s="30">
        <f t="shared" si="87"/>
        <v>1</v>
      </c>
      <c r="K1877" s="30">
        <f t="shared" si="88"/>
        <v>0</v>
      </c>
      <c r="L1877" s="26">
        <f t="shared" si="89"/>
        <v>0</v>
      </c>
      <c r="M1877" s="26"/>
    </row>
    <row r="1878" spans="1:13" ht="15" customHeight="1">
      <c r="A1878" s="25">
        <v>1661119</v>
      </c>
      <c r="B1878" s="26" t="s">
        <v>5427</v>
      </c>
      <c r="C1878" s="26" t="s">
        <v>9779</v>
      </c>
      <c r="D1878" s="26" t="s">
        <v>9780</v>
      </c>
      <c r="E1878" s="26" t="s">
        <v>5781</v>
      </c>
      <c r="F1878" s="27">
        <v>5887294</v>
      </c>
      <c r="G1878" s="27">
        <v>0</v>
      </c>
      <c r="H1878" s="27">
        <v>0</v>
      </c>
      <c r="I1878" s="27">
        <v>0</v>
      </c>
      <c r="J1878" s="30">
        <f t="shared" si="87"/>
        <v>0</v>
      </c>
      <c r="K1878" s="30">
        <f t="shared" si="88"/>
        <v>0</v>
      </c>
      <c r="L1878" s="26">
        <f t="shared" si="89"/>
        <v>0</v>
      </c>
      <c r="M1878" s="26">
        <v>0</v>
      </c>
    </row>
    <row r="1879" spans="1:13" ht="15" customHeight="1">
      <c r="A1879" s="25">
        <v>1661172</v>
      </c>
      <c r="B1879" s="26" t="s">
        <v>5427</v>
      </c>
      <c r="C1879" s="26" t="s">
        <v>9781</v>
      </c>
      <c r="D1879" s="26" t="s">
        <v>9770</v>
      </c>
      <c r="E1879" s="26" t="s">
        <v>5517</v>
      </c>
      <c r="F1879" s="27">
        <v>5886947</v>
      </c>
      <c r="G1879" s="27">
        <v>1</v>
      </c>
      <c r="H1879" s="27">
        <v>0</v>
      </c>
      <c r="I1879" s="27">
        <v>1</v>
      </c>
      <c r="J1879" s="30">
        <f t="shared" si="87"/>
        <v>1</v>
      </c>
      <c r="K1879" s="30">
        <f t="shared" si="88"/>
        <v>0</v>
      </c>
      <c r="L1879" s="26">
        <f t="shared" si="89"/>
        <v>0</v>
      </c>
      <c r="M1879" s="26"/>
    </row>
    <row r="1880" spans="1:13" ht="15" customHeight="1">
      <c r="A1880" s="25">
        <v>1661505</v>
      </c>
      <c r="B1880" s="26" t="s">
        <v>5423</v>
      </c>
      <c r="C1880" s="26" t="s">
        <v>9782</v>
      </c>
      <c r="D1880" s="26" t="s">
        <v>9776</v>
      </c>
      <c r="E1880" s="26" t="s">
        <v>5781</v>
      </c>
      <c r="F1880" s="27">
        <v>5888032</v>
      </c>
      <c r="G1880" s="27">
        <v>1</v>
      </c>
      <c r="H1880" s="27">
        <v>0</v>
      </c>
      <c r="I1880" s="27">
        <v>1</v>
      </c>
      <c r="J1880" s="30">
        <f t="shared" si="87"/>
        <v>1</v>
      </c>
      <c r="K1880" s="30">
        <f t="shared" si="88"/>
        <v>0</v>
      </c>
      <c r="L1880" s="26">
        <f t="shared" si="89"/>
        <v>0</v>
      </c>
      <c r="M1880" s="26"/>
    </row>
    <row r="1881" spans="1:13" ht="15" customHeight="1">
      <c r="A1881" s="25">
        <v>1661597</v>
      </c>
      <c r="B1881" s="26" t="s">
        <v>5427</v>
      </c>
      <c r="C1881" s="26" t="s">
        <v>9783</v>
      </c>
      <c r="D1881" s="26" t="s">
        <v>9784</v>
      </c>
      <c r="E1881" s="26" t="s">
        <v>5545</v>
      </c>
      <c r="F1881" s="27"/>
      <c r="G1881" s="27">
        <v>0</v>
      </c>
      <c r="H1881" s="27">
        <v>0</v>
      </c>
      <c r="I1881" s="27">
        <v>0</v>
      </c>
      <c r="J1881" s="30">
        <f t="shared" si="87"/>
        <v>0</v>
      </c>
      <c r="K1881" s="30">
        <f t="shared" si="88"/>
        <v>0</v>
      </c>
      <c r="L1881" s="26">
        <f t="shared" si="89"/>
        <v>0</v>
      </c>
      <c r="M1881" s="26" t="s">
        <v>5557</v>
      </c>
    </row>
    <row r="1882" spans="1:13" ht="15" customHeight="1">
      <c r="A1882" s="25">
        <v>1661790</v>
      </c>
      <c r="B1882" s="26" t="s">
        <v>5427</v>
      </c>
      <c r="C1882" s="26" t="s">
        <v>9785</v>
      </c>
      <c r="D1882" s="26" t="s">
        <v>9786</v>
      </c>
      <c r="E1882" s="26" t="s">
        <v>5455</v>
      </c>
      <c r="F1882" s="27">
        <v>5856297</v>
      </c>
      <c r="G1882" s="27">
        <v>1</v>
      </c>
      <c r="H1882" s="27">
        <v>1</v>
      </c>
      <c r="I1882" s="27">
        <v>1</v>
      </c>
      <c r="J1882" s="30">
        <f t="shared" si="87"/>
        <v>1</v>
      </c>
      <c r="K1882" s="30">
        <f t="shared" si="88"/>
        <v>1</v>
      </c>
      <c r="L1882" s="26">
        <f t="shared" si="89"/>
        <v>1</v>
      </c>
      <c r="M1882" s="26"/>
    </row>
    <row r="1883" spans="1:13" ht="15" customHeight="1">
      <c r="A1883" s="25">
        <v>1661814</v>
      </c>
      <c r="B1883" s="26" t="s">
        <v>5427</v>
      </c>
      <c r="C1883" s="26" t="s">
        <v>9787</v>
      </c>
      <c r="D1883" s="26" t="s">
        <v>9788</v>
      </c>
      <c r="E1883" s="26" t="s">
        <v>5452</v>
      </c>
      <c r="F1883" s="27">
        <v>5532960</v>
      </c>
      <c r="G1883" s="27">
        <v>1</v>
      </c>
      <c r="H1883" s="27">
        <v>1</v>
      </c>
      <c r="I1883" s="27">
        <v>1</v>
      </c>
      <c r="J1883" s="30">
        <f t="shared" si="87"/>
        <v>1</v>
      </c>
      <c r="K1883" s="30">
        <f t="shared" si="88"/>
        <v>1</v>
      </c>
      <c r="L1883" s="26">
        <f t="shared" si="89"/>
        <v>1</v>
      </c>
      <c r="M1883" s="26"/>
    </row>
    <row r="1884" spans="1:13" ht="15" customHeight="1">
      <c r="A1884" s="25">
        <v>1661830</v>
      </c>
      <c r="B1884" s="26" t="s">
        <v>5423</v>
      </c>
      <c r="C1884" s="26" t="s">
        <v>9789</v>
      </c>
      <c r="D1884" s="26" t="s">
        <v>9790</v>
      </c>
      <c r="E1884" s="26" t="s">
        <v>5718</v>
      </c>
      <c r="F1884" s="27">
        <v>5889391</v>
      </c>
      <c r="G1884" s="27">
        <v>0</v>
      </c>
      <c r="H1884" s="27">
        <v>0</v>
      </c>
      <c r="I1884" s="27">
        <v>0</v>
      </c>
      <c r="J1884" s="30">
        <f t="shared" si="87"/>
        <v>0</v>
      </c>
      <c r="K1884" s="30">
        <f t="shared" si="88"/>
        <v>0</v>
      </c>
      <c r="L1884" s="26">
        <f t="shared" si="89"/>
        <v>0</v>
      </c>
      <c r="M1884" s="26">
        <v>0</v>
      </c>
    </row>
    <row r="1885" spans="1:13" ht="15" customHeight="1">
      <c r="A1885" s="25">
        <v>1661917</v>
      </c>
      <c r="B1885" s="26" t="s">
        <v>5423</v>
      </c>
      <c r="C1885" s="26" t="s">
        <v>9791</v>
      </c>
      <c r="D1885" s="26" t="s">
        <v>9786</v>
      </c>
      <c r="E1885" s="26" t="s">
        <v>5447</v>
      </c>
      <c r="F1885" s="27">
        <v>5361819</v>
      </c>
      <c r="G1885" s="27">
        <v>0</v>
      </c>
      <c r="H1885" s="27">
        <v>0</v>
      </c>
      <c r="I1885" s="27">
        <v>0</v>
      </c>
      <c r="J1885" s="30">
        <f t="shared" si="87"/>
        <v>0</v>
      </c>
      <c r="K1885" s="30">
        <f t="shared" si="88"/>
        <v>0</v>
      </c>
      <c r="L1885" s="26">
        <f t="shared" si="89"/>
        <v>0</v>
      </c>
      <c r="M1885" s="26" t="s">
        <v>5557</v>
      </c>
    </row>
    <row r="1886" spans="1:13" ht="15" customHeight="1">
      <c r="A1886" s="25">
        <v>1662128</v>
      </c>
      <c r="B1886" s="26" t="s">
        <v>5423</v>
      </c>
      <c r="C1886" s="26" t="s">
        <v>9792</v>
      </c>
      <c r="D1886" s="26" t="s">
        <v>9793</v>
      </c>
      <c r="E1886" s="26" t="s">
        <v>5522</v>
      </c>
      <c r="F1886" s="27">
        <v>5064619</v>
      </c>
      <c r="G1886" s="27">
        <v>1</v>
      </c>
      <c r="H1886" s="27">
        <v>0</v>
      </c>
      <c r="I1886" s="27">
        <v>1</v>
      </c>
      <c r="J1886" s="30">
        <f t="shared" si="87"/>
        <v>1</v>
      </c>
      <c r="K1886" s="30">
        <f t="shared" si="88"/>
        <v>0</v>
      </c>
      <c r="L1886" s="26">
        <f t="shared" si="89"/>
        <v>0</v>
      </c>
      <c r="M1886" s="26"/>
    </row>
    <row r="1887" spans="1:13" ht="15" customHeight="1">
      <c r="A1887" s="25">
        <v>1662197</v>
      </c>
      <c r="B1887" s="26" t="s">
        <v>5423</v>
      </c>
      <c r="C1887" s="26" t="s">
        <v>9794</v>
      </c>
      <c r="D1887" s="26" t="s">
        <v>9788</v>
      </c>
      <c r="E1887" s="26" t="s">
        <v>5455</v>
      </c>
      <c r="F1887" s="27">
        <v>5891769</v>
      </c>
      <c r="G1887" s="27">
        <v>0</v>
      </c>
      <c r="H1887" s="27">
        <v>1</v>
      </c>
      <c r="I1887" s="27">
        <v>1</v>
      </c>
      <c r="J1887" s="30">
        <f t="shared" si="87"/>
        <v>0</v>
      </c>
      <c r="K1887" s="30">
        <f t="shared" si="88"/>
        <v>1</v>
      </c>
      <c r="L1887" s="26">
        <f t="shared" si="89"/>
        <v>0</v>
      </c>
      <c r="M1887" s="26"/>
    </row>
    <row r="1888" spans="1:13" ht="15" customHeight="1">
      <c r="A1888" s="25">
        <v>1662510</v>
      </c>
      <c r="B1888" s="26" t="s">
        <v>5427</v>
      </c>
      <c r="C1888" s="26" t="s">
        <v>9795</v>
      </c>
      <c r="D1888" s="26" t="s">
        <v>9796</v>
      </c>
      <c r="E1888" s="26" t="s">
        <v>5488</v>
      </c>
      <c r="F1888" s="27"/>
      <c r="G1888" s="27">
        <v>0</v>
      </c>
      <c r="H1888" s="27">
        <v>0</v>
      </c>
      <c r="I1888" s="27">
        <v>0</v>
      </c>
      <c r="J1888" s="30">
        <f t="shared" si="87"/>
        <v>0</v>
      </c>
      <c r="K1888" s="30">
        <f t="shared" si="88"/>
        <v>0</v>
      </c>
      <c r="L1888" s="26">
        <f t="shared" si="89"/>
        <v>0</v>
      </c>
      <c r="M1888" s="26" t="s">
        <v>8216</v>
      </c>
    </row>
    <row r="1889" spans="1:13" ht="15" customHeight="1">
      <c r="A1889" s="25">
        <v>1662933</v>
      </c>
      <c r="B1889" s="26" t="s">
        <v>5427</v>
      </c>
      <c r="C1889" s="26" t="s">
        <v>9797</v>
      </c>
      <c r="D1889" s="26" t="s">
        <v>9798</v>
      </c>
      <c r="E1889" s="26" t="s">
        <v>7084</v>
      </c>
      <c r="F1889" s="27">
        <v>5848462</v>
      </c>
      <c r="G1889" s="27">
        <v>1</v>
      </c>
      <c r="H1889" s="27">
        <v>0</v>
      </c>
      <c r="I1889" s="27">
        <v>1</v>
      </c>
      <c r="J1889" s="30">
        <f t="shared" si="87"/>
        <v>1</v>
      </c>
      <c r="K1889" s="30">
        <f t="shared" si="88"/>
        <v>0</v>
      </c>
      <c r="L1889" s="26">
        <f t="shared" si="89"/>
        <v>0</v>
      </c>
      <c r="M1889" s="26"/>
    </row>
    <row r="1890" spans="1:13" ht="15" customHeight="1">
      <c r="A1890" s="25">
        <v>1662959</v>
      </c>
      <c r="B1890" s="26" t="s">
        <v>5427</v>
      </c>
      <c r="C1890" s="26" t="s">
        <v>9799</v>
      </c>
      <c r="D1890" s="26" t="s">
        <v>9798</v>
      </c>
      <c r="E1890" s="26" t="s">
        <v>5550</v>
      </c>
      <c r="F1890" s="27">
        <v>5879558</v>
      </c>
      <c r="G1890" s="27">
        <v>1</v>
      </c>
      <c r="H1890" s="27">
        <v>1</v>
      </c>
      <c r="I1890" s="27">
        <v>1</v>
      </c>
      <c r="J1890" s="30">
        <f t="shared" si="87"/>
        <v>1</v>
      </c>
      <c r="K1890" s="30">
        <f t="shared" si="88"/>
        <v>1</v>
      </c>
      <c r="L1890" s="26">
        <f t="shared" si="89"/>
        <v>1</v>
      </c>
      <c r="M1890" s="26"/>
    </row>
    <row r="1891" spans="1:13" ht="15" customHeight="1">
      <c r="A1891" s="25">
        <v>1663013</v>
      </c>
      <c r="B1891" s="26" t="s">
        <v>5427</v>
      </c>
      <c r="C1891" s="26" t="s">
        <v>9800</v>
      </c>
      <c r="D1891" s="26" t="s">
        <v>9790</v>
      </c>
      <c r="E1891" s="26" t="s">
        <v>6021</v>
      </c>
      <c r="F1891" s="27">
        <v>5884097</v>
      </c>
      <c r="G1891" s="27">
        <v>1</v>
      </c>
      <c r="H1891" s="27">
        <v>0</v>
      </c>
      <c r="I1891" s="27">
        <v>1</v>
      </c>
      <c r="J1891" s="30">
        <f t="shared" si="87"/>
        <v>1</v>
      </c>
      <c r="K1891" s="30">
        <f t="shared" si="88"/>
        <v>0</v>
      </c>
      <c r="L1891" s="26">
        <f t="shared" si="89"/>
        <v>0</v>
      </c>
      <c r="M1891" s="26"/>
    </row>
    <row r="1892" spans="1:13" ht="15" customHeight="1">
      <c r="A1892" s="25">
        <v>1663120</v>
      </c>
      <c r="B1892" s="26" t="s">
        <v>5423</v>
      </c>
      <c r="C1892" s="26" t="s">
        <v>9801</v>
      </c>
      <c r="D1892" s="26" t="s">
        <v>9802</v>
      </c>
      <c r="E1892" s="26" t="s">
        <v>5455</v>
      </c>
      <c r="F1892" s="27">
        <v>4883469</v>
      </c>
      <c r="G1892" s="27">
        <v>0</v>
      </c>
      <c r="H1892" s="27">
        <v>0</v>
      </c>
      <c r="I1892" s="27">
        <v>0</v>
      </c>
      <c r="J1892" s="30">
        <f t="shared" si="87"/>
        <v>0</v>
      </c>
      <c r="K1892" s="30">
        <f t="shared" si="88"/>
        <v>0</v>
      </c>
      <c r="L1892" s="26">
        <f t="shared" si="89"/>
        <v>0</v>
      </c>
      <c r="M1892" s="26" t="s">
        <v>5567</v>
      </c>
    </row>
    <row r="1893" spans="1:13" ht="15" customHeight="1">
      <c r="A1893" s="25">
        <v>1663290</v>
      </c>
      <c r="B1893" s="26" t="s">
        <v>5423</v>
      </c>
      <c r="C1893" s="26" t="s">
        <v>9803</v>
      </c>
      <c r="D1893" s="26" t="s">
        <v>9804</v>
      </c>
      <c r="E1893" s="26" t="s">
        <v>5430</v>
      </c>
      <c r="F1893" s="27">
        <v>5859189</v>
      </c>
      <c r="G1893" s="27">
        <v>1</v>
      </c>
      <c r="H1893" s="27">
        <v>1</v>
      </c>
      <c r="I1893" s="27">
        <v>1</v>
      </c>
      <c r="J1893" s="30">
        <f t="shared" si="87"/>
        <v>1</v>
      </c>
      <c r="K1893" s="30">
        <f t="shared" si="88"/>
        <v>1</v>
      </c>
      <c r="L1893" s="26">
        <f t="shared" si="89"/>
        <v>1</v>
      </c>
      <c r="M1893" s="26" t="s">
        <v>8169</v>
      </c>
    </row>
    <row r="1894" spans="1:13" ht="15" customHeight="1">
      <c r="A1894" s="25">
        <v>1663365</v>
      </c>
      <c r="B1894" s="26" t="s">
        <v>5423</v>
      </c>
      <c r="C1894" s="26" t="s">
        <v>9805</v>
      </c>
      <c r="D1894" s="26" t="s">
        <v>9806</v>
      </c>
      <c r="E1894" s="26" t="s">
        <v>5458</v>
      </c>
      <c r="F1894" s="27">
        <v>5885942</v>
      </c>
      <c r="G1894" s="27">
        <v>0</v>
      </c>
      <c r="H1894" s="27">
        <v>0</v>
      </c>
      <c r="I1894" s="27">
        <v>0</v>
      </c>
      <c r="J1894" s="30">
        <f t="shared" si="87"/>
        <v>0</v>
      </c>
      <c r="K1894" s="30">
        <f t="shared" si="88"/>
        <v>0</v>
      </c>
      <c r="L1894" s="26">
        <f t="shared" si="89"/>
        <v>0</v>
      </c>
      <c r="M1894" s="26" t="s">
        <v>5567</v>
      </c>
    </row>
    <row r="1895" spans="1:13" ht="15" customHeight="1">
      <c r="A1895" s="25">
        <v>1664144</v>
      </c>
      <c r="B1895" s="26" t="s">
        <v>5427</v>
      </c>
      <c r="C1895" s="26" t="s">
        <v>9807</v>
      </c>
      <c r="D1895" s="26" t="s">
        <v>9808</v>
      </c>
      <c r="E1895" s="26" t="s">
        <v>5452</v>
      </c>
      <c r="F1895" s="27">
        <v>5897373</v>
      </c>
      <c r="G1895" s="27">
        <v>0</v>
      </c>
      <c r="H1895" s="27">
        <v>0</v>
      </c>
      <c r="I1895" s="27">
        <v>0</v>
      </c>
      <c r="J1895" s="30">
        <f t="shared" si="87"/>
        <v>0</v>
      </c>
      <c r="K1895" s="30">
        <f t="shared" si="88"/>
        <v>0</v>
      </c>
      <c r="L1895" s="26">
        <f t="shared" si="89"/>
        <v>0</v>
      </c>
      <c r="M1895" s="26">
        <v>0</v>
      </c>
    </row>
    <row r="1896" spans="1:13" ht="15" customHeight="1">
      <c r="A1896" s="25">
        <v>1664222</v>
      </c>
      <c r="B1896" s="26" t="s">
        <v>5427</v>
      </c>
      <c r="C1896" s="26" t="s">
        <v>9809</v>
      </c>
      <c r="D1896" s="26" t="s">
        <v>9810</v>
      </c>
      <c r="E1896" s="26" t="s">
        <v>5501</v>
      </c>
      <c r="F1896" s="27">
        <v>1145330</v>
      </c>
      <c r="G1896" s="27">
        <v>0</v>
      </c>
      <c r="H1896" s="27">
        <v>0</v>
      </c>
      <c r="I1896" s="27">
        <v>0</v>
      </c>
      <c r="J1896" s="30">
        <f t="shared" si="87"/>
        <v>0</v>
      </c>
      <c r="K1896" s="30">
        <f t="shared" si="88"/>
        <v>0</v>
      </c>
      <c r="L1896" s="26">
        <f t="shared" si="89"/>
        <v>0</v>
      </c>
      <c r="M1896" s="26" t="s">
        <v>9811</v>
      </c>
    </row>
    <row r="1897" spans="1:13" ht="15" customHeight="1">
      <c r="A1897" s="25">
        <v>1664271</v>
      </c>
      <c r="B1897" s="26" t="s">
        <v>5427</v>
      </c>
      <c r="C1897" s="26" t="s">
        <v>9812</v>
      </c>
      <c r="D1897" s="26" t="s">
        <v>9813</v>
      </c>
      <c r="E1897" s="26" t="s">
        <v>5718</v>
      </c>
      <c r="F1897" s="27">
        <v>5887002</v>
      </c>
      <c r="G1897" s="27">
        <v>1</v>
      </c>
      <c r="H1897" s="27">
        <v>0</v>
      </c>
      <c r="I1897" s="27">
        <v>1</v>
      </c>
      <c r="J1897" s="30">
        <f t="shared" si="87"/>
        <v>1</v>
      </c>
      <c r="K1897" s="30">
        <f t="shared" si="88"/>
        <v>0</v>
      </c>
      <c r="L1897" s="26">
        <f t="shared" si="89"/>
        <v>0</v>
      </c>
      <c r="M1897" s="26"/>
    </row>
    <row r="1898" spans="1:13" ht="15" customHeight="1">
      <c r="A1898" s="25">
        <v>1664331</v>
      </c>
      <c r="B1898" s="26" t="s">
        <v>5423</v>
      </c>
      <c r="C1898" s="26" t="s">
        <v>9814</v>
      </c>
      <c r="D1898" s="26" t="s">
        <v>9808</v>
      </c>
      <c r="E1898" s="26" t="s">
        <v>5439</v>
      </c>
      <c r="F1898" s="27">
        <v>1286317</v>
      </c>
      <c r="G1898" s="27">
        <v>1</v>
      </c>
      <c r="H1898" s="27">
        <v>1</v>
      </c>
      <c r="I1898" s="27">
        <v>1</v>
      </c>
      <c r="J1898" s="30">
        <f t="shared" si="87"/>
        <v>1</v>
      </c>
      <c r="K1898" s="30">
        <f t="shared" si="88"/>
        <v>1</v>
      </c>
      <c r="L1898" s="26">
        <f t="shared" si="89"/>
        <v>1</v>
      </c>
      <c r="M1898" s="26"/>
    </row>
    <row r="1899" spans="1:13" ht="15" customHeight="1">
      <c r="A1899" s="25">
        <v>1664405</v>
      </c>
      <c r="B1899" s="26" t="s">
        <v>5423</v>
      </c>
      <c r="C1899" s="26" t="s">
        <v>9815</v>
      </c>
      <c r="D1899" s="26" t="s">
        <v>9804</v>
      </c>
      <c r="E1899" s="26" t="s">
        <v>5439</v>
      </c>
      <c r="F1899" s="27">
        <v>5887297</v>
      </c>
      <c r="G1899" s="27">
        <v>1</v>
      </c>
      <c r="H1899" s="27">
        <v>0</v>
      </c>
      <c r="I1899" s="27">
        <v>1</v>
      </c>
      <c r="J1899" s="30">
        <f t="shared" si="87"/>
        <v>1</v>
      </c>
      <c r="K1899" s="30">
        <f t="shared" si="88"/>
        <v>0</v>
      </c>
      <c r="L1899" s="26">
        <f t="shared" si="89"/>
        <v>0</v>
      </c>
      <c r="M1899" s="26"/>
    </row>
    <row r="1900" spans="1:13" ht="15" customHeight="1">
      <c r="A1900" s="25">
        <v>1664532</v>
      </c>
      <c r="B1900" s="26" t="s">
        <v>5427</v>
      </c>
      <c r="C1900" s="26" t="s">
        <v>9816</v>
      </c>
      <c r="D1900" s="26" t="s">
        <v>9813</v>
      </c>
      <c r="E1900" s="26" t="s">
        <v>5891</v>
      </c>
      <c r="F1900" s="27">
        <v>5825276</v>
      </c>
      <c r="G1900" s="27">
        <v>1</v>
      </c>
      <c r="H1900" s="27">
        <v>0</v>
      </c>
      <c r="I1900" s="27">
        <v>1</v>
      </c>
      <c r="J1900" s="30">
        <f t="shared" si="87"/>
        <v>1</v>
      </c>
      <c r="K1900" s="30">
        <f t="shared" si="88"/>
        <v>0</v>
      </c>
      <c r="L1900" s="26">
        <f t="shared" si="89"/>
        <v>0</v>
      </c>
      <c r="M1900" s="26"/>
    </row>
    <row r="1901" spans="1:13" ht="15" customHeight="1">
      <c r="A1901" s="25">
        <v>1664586</v>
      </c>
      <c r="B1901" s="26" t="s">
        <v>5423</v>
      </c>
      <c r="C1901" s="26" t="s">
        <v>9817</v>
      </c>
      <c r="D1901" s="26" t="s">
        <v>9818</v>
      </c>
      <c r="E1901" s="26" t="s">
        <v>5475</v>
      </c>
      <c r="F1901" s="27">
        <v>5898796</v>
      </c>
      <c r="G1901" s="27">
        <v>1</v>
      </c>
      <c r="H1901" s="27">
        <v>1</v>
      </c>
      <c r="I1901" s="27">
        <v>1</v>
      </c>
      <c r="J1901" s="30">
        <f t="shared" si="87"/>
        <v>1</v>
      </c>
      <c r="K1901" s="30">
        <f t="shared" si="88"/>
        <v>1</v>
      </c>
      <c r="L1901" s="26">
        <f t="shared" si="89"/>
        <v>1</v>
      </c>
      <c r="M1901" s="26"/>
    </row>
    <row r="1902" spans="1:13" ht="15" customHeight="1">
      <c r="A1902" s="25">
        <v>1664636</v>
      </c>
      <c r="B1902" s="26" t="s">
        <v>5423</v>
      </c>
      <c r="C1902" s="26" t="s">
        <v>9819</v>
      </c>
      <c r="D1902" s="26" t="s">
        <v>9818</v>
      </c>
      <c r="E1902" s="26" t="s">
        <v>5517</v>
      </c>
      <c r="F1902" s="27">
        <v>5674752</v>
      </c>
      <c r="G1902" s="27">
        <v>0</v>
      </c>
      <c r="H1902" s="27">
        <v>1</v>
      </c>
      <c r="I1902" s="27">
        <v>1</v>
      </c>
      <c r="J1902" s="30">
        <f t="shared" si="87"/>
        <v>0</v>
      </c>
      <c r="K1902" s="30">
        <f t="shared" si="88"/>
        <v>1</v>
      </c>
      <c r="L1902" s="26">
        <f t="shared" si="89"/>
        <v>0</v>
      </c>
      <c r="M1902" s="26"/>
    </row>
    <row r="1903" spans="1:13" ht="15" customHeight="1">
      <c r="A1903" s="25">
        <v>1664659</v>
      </c>
      <c r="B1903" s="26" t="s">
        <v>5423</v>
      </c>
      <c r="C1903" s="26" t="s">
        <v>9820</v>
      </c>
      <c r="D1903" s="26" t="s">
        <v>9818</v>
      </c>
      <c r="E1903" s="26" t="s">
        <v>5475</v>
      </c>
      <c r="F1903" s="27">
        <v>5852805</v>
      </c>
      <c r="G1903" s="27">
        <v>1</v>
      </c>
      <c r="H1903" s="27">
        <v>1</v>
      </c>
      <c r="I1903" s="27">
        <v>1</v>
      </c>
      <c r="J1903" s="30">
        <f t="shared" si="87"/>
        <v>1</v>
      </c>
      <c r="K1903" s="30">
        <f t="shared" si="88"/>
        <v>1</v>
      </c>
      <c r="L1903" s="26">
        <f t="shared" si="89"/>
        <v>1</v>
      </c>
      <c r="M1903" s="26"/>
    </row>
    <row r="1904" spans="1:13" ht="15" customHeight="1">
      <c r="A1904" s="25">
        <v>1664670</v>
      </c>
      <c r="B1904" s="26" t="s">
        <v>5423</v>
      </c>
      <c r="C1904" s="26" t="s">
        <v>9821</v>
      </c>
      <c r="D1904" s="26" t="s">
        <v>9822</v>
      </c>
      <c r="E1904" s="26" t="s">
        <v>5504</v>
      </c>
      <c r="F1904" s="27">
        <v>5535820</v>
      </c>
      <c r="G1904" s="27">
        <v>1</v>
      </c>
      <c r="H1904" s="27">
        <v>1</v>
      </c>
      <c r="I1904" s="27">
        <v>1</v>
      </c>
      <c r="J1904" s="30">
        <f t="shared" si="87"/>
        <v>1</v>
      </c>
      <c r="K1904" s="30">
        <f t="shared" si="88"/>
        <v>1</v>
      </c>
      <c r="L1904" s="26">
        <f t="shared" si="89"/>
        <v>1</v>
      </c>
      <c r="M1904" s="26"/>
    </row>
    <row r="1905" spans="1:13" ht="15" customHeight="1">
      <c r="A1905" s="25">
        <v>1665190</v>
      </c>
      <c r="B1905" s="26" t="s">
        <v>5427</v>
      </c>
      <c r="C1905" s="26" t="s">
        <v>9823</v>
      </c>
      <c r="D1905" s="26" t="s">
        <v>9824</v>
      </c>
      <c r="E1905" s="26" t="s">
        <v>5507</v>
      </c>
      <c r="F1905" s="27">
        <v>5144445</v>
      </c>
      <c r="G1905" s="27">
        <v>1</v>
      </c>
      <c r="H1905" s="27">
        <v>1</v>
      </c>
      <c r="I1905" s="27">
        <v>1</v>
      </c>
      <c r="J1905" s="30">
        <f t="shared" si="87"/>
        <v>1</v>
      </c>
      <c r="K1905" s="30">
        <f t="shared" si="88"/>
        <v>1</v>
      </c>
      <c r="L1905" s="26">
        <f t="shared" si="89"/>
        <v>1</v>
      </c>
      <c r="M1905" s="26"/>
    </row>
    <row r="1906" spans="1:13" ht="15" customHeight="1">
      <c r="A1906" s="25">
        <v>1665439</v>
      </c>
      <c r="B1906" s="26" t="s">
        <v>5427</v>
      </c>
      <c r="C1906" s="26" t="s">
        <v>9825</v>
      </c>
      <c r="D1906" s="26" t="s">
        <v>9824</v>
      </c>
      <c r="E1906" s="26" t="s">
        <v>5430</v>
      </c>
      <c r="F1906" s="27"/>
      <c r="G1906" s="27">
        <v>0</v>
      </c>
      <c r="H1906" s="27">
        <v>0</v>
      </c>
      <c r="I1906" s="27">
        <v>0</v>
      </c>
      <c r="J1906" s="30">
        <f t="shared" si="87"/>
        <v>0</v>
      </c>
      <c r="K1906" s="30">
        <f t="shared" si="88"/>
        <v>0</v>
      </c>
      <c r="L1906" s="26">
        <f t="shared" si="89"/>
        <v>0</v>
      </c>
      <c r="M1906" s="26" t="s">
        <v>5557</v>
      </c>
    </row>
    <row r="1907" spans="1:13" ht="15" customHeight="1">
      <c r="A1907" s="25">
        <v>1665463</v>
      </c>
      <c r="B1907" s="26" t="s">
        <v>5423</v>
      </c>
      <c r="C1907" s="26" t="s">
        <v>9826</v>
      </c>
      <c r="D1907" s="26" t="s">
        <v>9827</v>
      </c>
      <c r="E1907" s="26" t="s">
        <v>5517</v>
      </c>
      <c r="F1907" s="27">
        <v>5866081</v>
      </c>
      <c r="G1907" s="27">
        <v>1</v>
      </c>
      <c r="H1907" s="27">
        <v>1</v>
      </c>
      <c r="I1907" s="27">
        <v>1</v>
      </c>
      <c r="J1907" s="30">
        <f t="shared" si="87"/>
        <v>1</v>
      </c>
      <c r="K1907" s="30">
        <f t="shared" si="88"/>
        <v>1</v>
      </c>
      <c r="L1907" s="26">
        <f t="shared" si="89"/>
        <v>1</v>
      </c>
      <c r="M1907" s="26"/>
    </row>
    <row r="1908" spans="1:13" ht="15" customHeight="1">
      <c r="A1908" s="25">
        <v>1665678</v>
      </c>
      <c r="B1908" s="26" t="s">
        <v>5427</v>
      </c>
      <c r="C1908" s="26" t="s">
        <v>9828</v>
      </c>
      <c r="D1908" s="26" t="s">
        <v>9818</v>
      </c>
      <c r="E1908" s="26" t="s">
        <v>5507</v>
      </c>
      <c r="F1908" s="27">
        <v>5893992</v>
      </c>
      <c r="G1908" s="27">
        <v>0</v>
      </c>
      <c r="H1908" s="27">
        <v>0</v>
      </c>
      <c r="I1908" s="27">
        <v>0</v>
      </c>
      <c r="J1908" s="30">
        <f t="shared" si="87"/>
        <v>0</v>
      </c>
      <c r="K1908" s="30">
        <f t="shared" si="88"/>
        <v>0</v>
      </c>
      <c r="L1908" s="26">
        <f t="shared" si="89"/>
        <v>0</v>
      </c>
      <c r="M1908" s="26">
        <v>0</v>
      </c>
    </row>
    <row r="1909" spans="1:13" ht="15" customHeight="1">
      <c r="A1909" s="25">
        <v>1665693</v>
      </c>
      <c r="B1909" s="26" t="s">
        <v>5423</v>
      </c>
      <c r="C1909" s="26" t="s">
        <v>9829</v>
      </c>
      <c r="D1909" s="26" t="s">
        <v>9822</v>
      </c>
      <c r="E1909" s="26" t="s">
        <v>5504</v>
      </c>
      <c r="F1909" s="27">
        <v>5900712</v>
      </c>
      <c r="G1909" s="27">
        <v>0</v>
      </c>
      <c r="H1909" s="27">
        <v>0</v>
      </c>
      <c r="I1909" s="27">
        <v>0</v>
      </c>
      <c r="J1909" s="30">
        <f t="shared" si="87"/>
        <v>0</v>
      </c>
      <c r="K1909" s="30">
        <f t="shared" si="88"/>
        <v>0</v>
      </c>
      <c r="L1909" s="26">
        <f t="shared" si="89"/>
        <v>0</v>
      </c>
      <c r="M1909" s="26">
        <v>0</v>
      </c>
    </row>
    <row r="1910" spans="1:13" ht="15" customHeight="1">
      <c r="A1910" s="25">
        <v>1665760</v>
      </c>
      <c r="B1910" s="26" t="s">
        <v>5423</v>
      </c>
      <c r="C1910" s="26" t="s">
        <v>9830</v>
      </c>
      <c r="D1910" s="26" t="s">
        <v>9818</v>
      </c>
      <c r="E1910" s="26" t="s">
        <v>5468</v>
      </c>
      <c r="F1910" s="27">
        <v>5895719</v>
      </c>
      <c r="G1910" s="27">
        <v>1</v>
      </c>
      <c r="H1910" s="27">
        <v>0</v>
      </c>
      <c r="I1910" s="27">
        <v>1</v>
      </c>
      <c r="J1910" s="30">
        <f t="shared" si="87"/>
        <v>1</v>
      </c>
      <c r="K1910" s="30">
        <f t="shared" si="88"/>
        <v>0</v>
      </c>
      <c r="L1910" s="26">
        <f t="shared" si="89"/>
        <v>0</v>
      </c>
      <c r="M1910" s="26"/>
    </row>
    <row r="1911" spans="1:13" ht="15" customHeight="1">
      <c r="A1911" s="25">
        <v>1665780</v>
      </c>
      <c r="B1911" s="26" t="s">
        <v>5423</v>
      </c>
      <c r="C1911" s="26" t="s">
        <v>9831</v>
      </c>
      <c r="D1911" s="26" t="s">
        <v>9818</v>
      </c>
      <c r="E1911" s="26" t="s">
        <v>5522</v>
      </c>
      <c r="F1911" s="27">
        <v>5901847</v>
      </c>
      <c r="G1911" s="27">
        <v>0</v>
      </c>
      <c r="H1911" s="27">
        <v>0</v>
      </c>
      <c r="I1911" s="27">
        <v>0</v>
      </c>
      <c r="J1911" s="30">
        <f t="shared" si="87"/>
        <v>0</v>
      </c>
      <c r="K1911" s="30">
        <f t="shared" si="88"/>
        <v>0</v>
      </c>
      <c r="L1911" s="26">
        <f t="shared" si="89"/>
        <v>0</v>
      </c>
      <c r="M1911" s="26">
        <v>0</v>
      </c>
    </row>
    <row r="1912" spans="1:13" ht="15" customHeight="1">
      <c r="A1912" s="25">
        <v>1665816</v>
      </c>
      <c r="B1912" s="26" t="s">
        <v>5423</v>
      </c>
      <c r="C1912" s="26" t="s">
        <v>9832</v>
      </c>
      <c r="D1912" s="26" t="s">
        <v>9818</v>
      </c>
      <c r="E1912" s="26" t="s">
        <v>5540</v>
      </c>
      <c r="F1912" s="27">
        <v>5894506</v>
      </c>
      <c r="G1912" s="27">
        <v>1</v>
      </c>
      <c r="H1912" s="27">
        <v>0</v>
      </c>
      <c r="I1912" s="27">
        <v>1</v>
      </c>
      <c r="J1912" s="30">
        <f t="shared" si="87"/>
        <v>1</v>
      </c>
      <c r="K1912" s="30">
        <f t="shared" si="88"/>
        <v>0</v>
      </c>
      <c r="L1912" s="26">
        <f t="shared" si="89"/>
        <v>0</v>
      </c>
      <c r="M1912" s="26"/>
    </row>
    <row r="1913" spans="1:13" ht="15" customHeight="1">
      <c r="A1913" s="25">
        <v>1665876</v>
      </c>
      <c r="B1913" s="26" t="s">
        <v>5423</v>
      </c>
      <c r="C1913" s="26" t="s">
        <v>9833</v>
      </c>
      <c r="D1913" s="26" t="s">
        <v>9834</v>
      </c>
      <c r="E1913" s="26" t="s">
        <v>5522</v>
      </c>
      <c r="F1913" s="27">
        <v>5161003</v>
      </c>
      <c r="G1913" s="27">
        <v>0</v>
      </c>
      <c r="H1913" s="27">
        <v>0</v>
      </c>
      <c r="I1913" s="27">
        <v>0</v>
      </c>
      <c r="J1913" s="30">
        <f t="shared" si="87"/>
        <v>0</v>
      </c>
      <c r="K1913" s="30">
        <f t="shared" si="88"/>
        <v>0</v>
      </c>
      <c r="L1913" s="26">
        <f t="shared" si="89"/>
        <v>0</v>
      </c>
      <c r="M1913" s="26" t="s">
        <v>5557</v>
      </c>
    </row>
    <row r="1914" spans="1:13" ht="15" customHeight="1">
      <c r="A1914" s="25">
        <v>1666457</v>
      </c>
      <c r="B1914" s="26" t="s">
        <v>5427</v>
      </c>
      <c r="C1914" s="26" t="s">
        <v>9835</v>
      </c>
      <c r="D1914" s="26" t="s">
        <v>9836</v>
      </c>
      <c r="E1914" s="26" t="s">
        <v>5433</v>
      </c>
      <c r="F1914" s="27">
        <v>5734415</v>
      </c>
      <c r="G1914" s="27">
        <v>1</v>
      </c>
      <c r="H1914" s="27">
        <v>1</v>
      </c>
      <c r="I1914" s="27">
        <v>1</v>
      </c>
      <c r="J1914" s="30">
        <f t="shared" si="87"/>
        <v>1</v>
      </c>
      <c r="K1914" s="30">
        <f t="shared" si="88"/>
        <v>1</v>
      </c>
      <c r="L1914" s="26">
        <f t="shared" si="89"/>
        <v>1</v>
      </c>
      <c r="M1914" s="26" t="s">
        <v>8169</v>
      </c>
    </row>
    <row r="1915" spans="1:13" ht="15" customHeight="1">
      <c r="A1915" s="25">
        <v>1666758</v>
      </c>
      <c r="B1915" s="26" t="s">
        <v>5423</v>
      </c>
      <c r="C1915" s="26" t="s">
        <v>9837</v>
      </c>
      <c r="D1915" s="26" t="s">
        <v>9836</v>
      </c>
      <c r="E1915" s="26" t="s">
        <v>5718</v>
      </c>
      <c r="F1915" s="27">
        <v>5904375</v>
      </c>
      <c r="G1915" s="27">
        <v>0</v>
      </c>
      <c r="H1915" s="27">
        <v>0</v>
      </c>
      <c r="I1915" s="27">
        <v>0</v>
      </c>
      <c r="J1915" s="30">
        <f t="shared" si="87"/>
        <v>0</v>
      </c>
      <c r="K1915" s="30">
        <f t="shared" si="88"/>
        <v>0</v>
      </c>
      <c r="L1915" s="26">
        <f t="shared" si="89"/>
        <v>0</v>
      </c>
      <c r="M1915" s="26">
        <v>0</v>
      </c>
    </row>
    <row r="1916" spans="1:13" ht="15" customHeight="1">
      <c r="A1916" s="25">
        <v>1666776</v>
      </c>
      <c r="B1916" s="26" t="s">
        <v>5423</v>
      </c>
      <c r="C1916" s="26" t="s">
        <v>9838</v>
      </c>
      <c r="D1916" s="26" t="s">
        <v>9839</v>
      </c>
      <c r="E1916" s="26" t="s">
        <v>5575</v>
      </c>
      <c r="F1916" s="27">
        <v>5904757</v>
      </c>
      <c r="G1916" s="27">
        <v>1</v>
      </c>
      <c r="H1916" s="27">
        <v>1</v>
      </c>
      <c r="I1916" s="27">
        <v>1</v>
      </c>
      <c r="J1916" s="30">
        <f t="shared" si="87"/>
        <v>1</v>
      </c>
      <c r="K1916" s="30">
        <f t="shared" si="88"/>
        <v>1</v>
      </c>
      <c r="L1916" s="26">
        <f t="shared" si="89"/>
        <v>1</v>
      </c>
      <c r="M1916" s="26" t="s">
        <v>9595</v>
      </c>
    </row>
    <row r="1917" spans="1:13" ht="15" customHeight="1">
      <c r="A1917" s="25">
        <v>1666798</v>
      </c>
      <c r="B1917" s="26" t="s">
        <v>5423</v>
      </c>
      <c r="C1917" s="26" t="s">
        <v>9840</v>
      </c>
      <c r="D1917" s="26" t="s">
        <v>9836</v>
      </c>
      <c r="E1917" s="26" t="s">
        <v>5452</v>
      </c>
      <c r="F1917" s="27">
        <v>5889822</v>
      </c>
      <c r="G1917" s="27">
        <v>1</v>
      </c>
      <c r="H1917" s="27">
        <v>0</v>
      </c>
      <c r="I1917" s="27">
        <v>1</v>
      </c>
      <c r="J1917" s="30">
        <f t="shared" si="87"/>
        <v>1</v>
      </c>
      <c r="K1917" s="30">
        <f t="shared" si="88"/>
        <v>0</v>
      </c>
      <c r="L1917" s="26">
        <f t="shared" si="89"/>
        <v>0</v>
      </c>
      <c r="M1917" s="26"/>
    </row>
    <row r="1918" spans="1:13" ht="15" customHeight="1">
      <c r="A1918" s="25">
        <v>1667048</v>
      </c>
      <c r="B1918" s="26" t="s">
        <v>5423</v>
      </c>
      <c r="C1918" s="26" t="s">
        <v>9841</v>
      </c>
      <c r="D1918" s="26" t="s">
        <v>9842</v>
      </c>
      <c r="E1918" s="26" t="s">
        <v>5452</v>
      </c>
      <c r="F1918" s="27">
        <v>5905796</v>
      </c>
      <c r="G1918" s="27">
        <v>0</v>
      </c>
      <c r="H1918" s="27">
        <v>0</v>
      </c>
      <c r="I1918" s="27">
        <v>0</v>
      </c>
      <c r="J1918" s="30">
        <f t="shared" si="87"/>
        <v>0</v>
      </c>
      <c r="K1918" s="30">
        <f t="shared" si="88"/>
        <v>0</v>
      </c>
      <c r="L1918" s="26">
        <f t="shared" si="89"/>
        <v>0</v>
      </c>
      <c r="M1918" s="26">
        <v>0</v>
      </c>
    </row>
    <row r="1919" spans="1:13" ht="15" customHeight="1">
      <c r="A1919" s="25">
        <v>1667155</v>
      </c>
      <c r="B1919" s="26" t="s">
        <v>5423</v>
      </c>
      <c r="C1919" s="26" t="s">
        <v>9843</v>
      </c>
      <c r="D1919" s="26" t="s">
        <v>9844</v>
      </c>
      <c r="E1919" s="26" t="s">
        <v>5433</v>
      </c>
      <c r="F1919" s="27">
        <v>5904991</v>
      </c>
      <c r="G1919" s="27">
        <v>0</v>
      </c>
      <c r="H1919" s="27">
        <v>0</v>
      </c>
      <c r="I1919" s="27">
        <v>0</v>
      </c>
      <c r="J1919" s="30">
        <f t="shared" si="87"/>
        <v>0</v>
      </c>
      <c r="K1919" s="30">
        <f t="shared" si="88"/>
        <v>0</v>
      </c>
      <c r="L1919" s="26">
        <f t="shared" si="89"/>
        <v>0</v>
      </c>
      <c r="M1919" s="26">
        <v>0</v>
      </c>
    </row>
    <row r="1920" spans="1:13" ht="15" customHeight="1">
      <c r="A1920" s="25">
        <v>1667365</v>
      </c>
      <c r="B1920" s="26" t="s">
        <v>5427</v>
      </c>
      <c r="C1920" s="26" t="s">
        <v>9845</v>
      </c>
      <c r="D1920" s="26" t="s">
        <v>9846</v>
      </c>
      <c r="E1920" s="26" t="s">
        <v>5772</v>
      </c>
      <c r="F1920" s="27">
        <v>5905685</v>
      </c>
      <c r="G1920" s="27">
        <v>1</v>
      </c>
      <c r="H1920" s="27">
        <v>1</v>
      </c>
      <c r="I1920" s="27">
        <v>1</v>
      </c>
      <c r="J1920" s="30">
        <f t="shared" si="87"/>
        <v>1</v>
      </c>
      <c r="K1920" s="30">
        <f t="shared" si="88"/>
        <v>1</v>
      </c>
      <c r="L1920" s="26">
        <f t="shared" si="89"/>
        <v>1</v>
      </c>
      <c r="M1920" s="26"/>
    </row>
    <row r="1921" spans="1:13" ht="15" customHeight="1">
      <c r="A1921" s="25">
        <v>1667444</v>
      </c>
      <c r="B1921" s="26" t="s">
        <v>5423</v>
      </c>
      <c r="C1921" s="26" t="s">
        <v>9847</v>
      </c>
      <c r="D1921" s="26" t="s">
        <v>9846</v>
      </c>
      <c r="E1921" s="26" t="s">
        <v>5535</v>
      </c>
      <c r="F1921" s="27">
        <v>5905466</v>
      </c>
      <c r="G1921" s="27">
        <v>0</v>
      </c>
      <c r="H1921" s="27">
        <v>1</v>
      </c>
      <c r="I1921" s="27">
        <v>1</v>
      </c>
      <c r="J1921" s="30">
        <f t="shared" si="87"/>
        <v>0</v>
      </c>
      <c r="K1921" s="30">
        <f t="shared" si="88"/>
        <v>1</v>
      </c>
      <c r="L1921" s="26">
        <f t="shared" si="89"/>
        <v>0</v>
      </c>
      <c r="M1921" s="26"/>
    </row>
    <row r="1922" spans="1:13" ht="15" customHeight="1">
      <c r="A1922" s="25">
        <v>1667491</v>
      </c>
      <c r="B1922" s="26" t="s">
        <v>5427</v>
      </c>
      <c r="C1922" s="26" t="s">
        <v>9848</v>
      </c>
      <c r="D1922" s="26" t="s">
        <v>9844</v>
      </c>
      <c r="E1922" s="26" t="s">
        <v>5540</v>
      </c>
      <c r="F1922" s="27">
        <v>5222383</v>
      </c>
      <c r="G1922" s="27">
        <v>0</v>
      </c>
      <c r="H1922" s="27">
        <v>0</v>
      </c>
      <c r="I1922" s="27">
        <v>0</v>
      </c>
      <c r="J1922" s="30">
        <f t="shared" ref="J1922:J1985" si="90">IF(G1922&gt;0,1,0)</f>
        <v>0</v>
      </c>
      <c r="K1922" s="30">
        <f t="shared" ref="K1922:K1985" si="91">IF(H1922&gt;0,1,0)</f>
        <v>0</v>
      </c>
      <c r="L1922" s="26">
        <f t="shared" ref="L1922:L1985" si="92">IF(G1922&gt;0,IF(H1922&gt;0,1,0),0)</f>
        <v>0</v>
      </c>
      <c r="M1922" s="26" t="s">
        <v>5557</v>
      </c>
    </row>
    <row r="1923" spans="1:13" ht="15" customHeight="1">
      <c r="A1923" s="25">
        <v>1667655</v>
      </c>
      <c r="B1923" s="26" t="s">
        <v>5423</v>
      </c>
      <c r="C1923" s="26" t="s">
        <v>9849</v>
      </c>
      <c r="D1923" s="26" t="s">
        <v>9850</v>
      </c>
      <c r="E1923" s="26" t="s">
        <v>5468</v>
      </c>
      <c r="F1923" s="27">
        <v>5904577</v>
      </c>
      <c r="G1923" s="27">
        <v>0</v>
      </c>
      <c r="H1923" s="27">
        <v>0</v>
      </c>
      <c r="I1923" s="27">
        <v>0</v>
      </c>
      <c r="J1923" s="30">
        <f t="shared" si="90"/>
        <v>0</v>
      </c>
      <c r="K1923" s="30">
        <f t="shared" si="91"/>
        <v>0</v>
      </c>
      <c r="L1923" s="26">
        <f t="shared" si="92"/>
        <v>0</v>
      </c>
      <c r="M1923" s="26">
        <v>0</v>
      </c>
    </row>
    <row r="1924" spans="1:13" ht="15" customHeight="1">
      <c r="A1924" s="25">
        <v>1667690</v>
      </c>
      <c r="B1924" s="26" t="s">
        <v>5427</v>
      </c>
      <c r="C1924" s="26" t="s">
        <v>9851</v>
      </c>
      <c r="D1924" s="26" t="s">
        <v>9852</v>
      </c>
      <c r="E1924" s="26" t="s">
        <v>5452</v>
      </c>
      <c r="F1924" s="27">
        <v>5532960</v>
      </c>
      <c r="G1924" s="27">
        <v>0</v>
      </c>
      <c r="H1924" s="27">
        <v>0</v>
      </c>
      <c r="I1924" s="27">
        <v>0</v>
      </c>
      <c r="J1924" s="30">
        <f t="shared" si="90"/>
        <v>0</v>
      </c>
      <c r="K1924" s="30">
        <f t="shared" si="91"/>
        <v>0</v>
      </c>
      <c r="L1924" s="26">
        <f t="shared" si="92"/>
        <v>0</v>
      </c>
      <c r="M1924" s="26" t="s">
        <v>9853</v>
      </c>
    </row>
    <row r="1925" spans="1:13" ht="15" customHeight="1">
      <c r="A1925" s="25">
        <v>1667806</v>
      </c>
      <c r="B1925" s="26" t="s">
        <v>5423</v>
      </c>
      <c r="C1925" s="26" t="s">
        <v>9854</v>
      </c>
      <c r="D1925" s="26" t="s">
        <v>9839</v>
      </c>
      <c r="E1925" s="26" t="s">
        <v>5603</v>
      </c>
      <c r="F1925" s="27">
        <v>4750210</v>
      </c>
      <c r="G1925" s="27">
        <v>1</v>
      </c>
      <c r="H1925" s="27">
        <v>1</v>
      </c>
      <c r="I1925" s="27">
        <v>1</v>
      </c>
      <c r="J1925" s="30">
        <f t="shared" si="90"/>
        <v>1</v>
      </c>
      <c r="K1925" s="30">
        <f t="shared" si="91"/>
        <v>1</v>
      </c>
      <c r="L1925" s="26">
        <f t="shared" si="92"/>
        <v>1</v>
      </c>
      <c r="M1925" s="26"/>
    </row>
    <row r="1926" spans="1:13" ht="15" customHeight="1">
      <c r="A1926" s="25">
        <v>1667901</v>
      </c>
      <c r="B1926" s="26" t="s">
        <v>5423</v>
      </c>
      <c r="C1926" s="26" t="s">
        <v>9855</v>
      </c>
      <c r="D1926" s="26" t="s">
        <v>9844</v>
      </c>
      <c r="E1926" s="26" t="s">
        <v>5514</v>
      </c>
      <c r="F1926" s="27">
        <v>5905780</v>
      </c>
      <c r="G1926" s="27">
        <v>1</v>
      </c>
      <c r="H1926" s="27">
        <v>0</v>
      </c>
      <c r="I1926" s="27">
        <v>1</v>
      </c>
      <c r="J1926" s="30">
        <f t="shared" si="90"/>
        <v>1</v>
      </c>
      <c r="K1926" s="30">
        <f t="shared" si="91"/>
        <v>0</v>
      </c>
      <c r="L1926" s="26">
        <f t="shared" si="92"/>
        <v>0</v>
      </c>
      <c r="M1926" s="26"/>
    </row>
    <row r="1927" spans="1:13" ht="15" customHeight="1">
      <c r="A1927" s="25">
        <v>1668523</v>
      </c>
      <c r="B1927" s="26" t="s">
        <v>5423</v>
      </c>
      <c r="C1927" s="26" t="s">
        <v>9856</v>
      </c>
      <c r="D1927" s="26" t="s">
        <v>9839</v>
      </c>
      <c r="E1927" s="26" t="s">
        <v>5610</v>
      </c>
      <c r="F1927" s="27">
        <v>5884199</v>
      </c>
      <c r="G1927" s="27">
        <v>1</v>
      </c>
      <c r="H1927" s="27">
        <v>0</v>
      </c>
      <c r="I1927" s="27">
        <v>1</v>
      </c>
      <c r="J1927" s="30">
        <f t="shared" si="90"/>
        <v>1</v>
      </c>
      <c r="K1927" s="30">
        <f t="shared" si="91"/>
        <v>0</v>
      </c>
      <c r="L1927" s="26">
        <f t="shared" si="92"/>
        <v>0</v>
      </c>
      <c r="M1927" s="26"/>
    </row>
    <row r="1928" spans="1:13" ht="15" customHeight="1">
      <c r="A1928" s="25">
        <v>1668595</v>
      </c>
      <c r="B1928" s="26" t="s">
        <v>5423</v>
      </c>
      <c r="C1928" s="26" t="s">
        <v>9857</v>
      </c>
      <c r="D1928" s="26" t="s">
        <v>9858</v>
      </c>
      <c r="E1928" s="26" t="s">
        <v>5480</v>
      </c>
      <c r="F1928" s="27">
        <v>5894405</v>
      </c>
      <c r="G1928" s="27">
        <v>0</v>
      </c>
      <c r="H1928" s="27">
        <v>0</v>
      </c>
      <c r="I1928" s="27">
        <v>0</v>
      </c>
      <c r="J1928" s="30">
        <f t="shared" si="90"/>
        <v>0</v>
      </c>
      <c r="K1928" s="30">
        <f t="shared" si="91"/>
        <v>0</v>
      </c>
      <c r="L1928" s="26">
        <f t="shared" si="92"/>
        <v>0</v>
      </c>
      <c r="M1928" s="26">
        <v>0</v>
      </c>
    </row>
    <row r="1929" spans="1:13" ht="15" customHeight="1">
      <c r="A1929" s="25">
        <v>1668611</v>
      </c>
      <c r="B1929" s="26" t="s">
        <v>5423</v>
      </c>
      <c r="C1929" s="26" t="s">
        <v>9859</v>
      </c>
      <c r="D1929" s="26" t="s">
        <v>9839</v>
      </c>
      <c r="E1929" s="26" t="s">
        <v>5447</v>
      </c>
      <c r="F1929" s="27">
        <v>5908291</v>
      </c>
      <c r="G1929" s="27">
        <v>0</v>
      </c>
      <c r="H1929" s="27">
        <v>0</v>
      </c>
      <c r="I1929" s="27">
        <v>0</v>
      </c>
      <c r="J1929" s="30">
        <f t="shared" si="90"/>
        <v>0</v>
      </c>
      <c r="K1929" s="30">
        <f t="shared" si="91"/>
        <v>0</v>
      </c>
      <c r="L1929" s="26">
        <f t="shared" si="92"/>
        <v>0</v>
      </c>
      <c r="M1929" s="26">
        <v>0</v>
      </c>
    </row>
    <row r="1930" spans="1:13" ht="15" customHeight="1">
      <c r="A1930" s="25">
        <v>1668629</v>
      </c>
      <c r="B1930" s="26" t="s">
        <v>5423</v>
      </c>
      <c r="C1930" s="26" t="s">
        <v>9860</v>
      </c>
      <c r="D1930" s="26" t="s">
        <v>9858</v>
      </c>
      <c r="E1930" s="26" t="s">
        <v>5514</v>
      </c>
      <c r="F1930" s="27">
        <v>5901958</v>
      </c>
      <c r="G1930" s="27">
        <v>1</v>
      </c>
      <c r="H1930" s="27">
        <v>1</v>
      </c>
      <c r="I1930" s="27">
        <v>1</v>
      </c>
      <c r="J1930" s="30">
        <f t="shared" si="90"/>
        <v>1</v>
      </c>
      <c r="K1930" s="30">
        <f t="shared" si="91"/>
        <v>1</v>
      </c>
      <c r="L1930" s="26">
        <f t="shared" si="92"/>
        <v>1</v>
      </c>
      <c r="M1930" s="26"/>
    </row>
    <row r="1931" spans="1:13" ht="15" customHeight="1">
      <c r="A1931" s="25">
        <v>1668738</v>
      </c>
      <c r="B1931" s="26" t="s">
        <v>5423</v>
      </c>
      <c r="C1931" s="26" t="s">
        <v>9861</v>
      </c>
      <c r="D1931" s="26" t="s">
        <v>9862</v>
      </c>
      <c r="E1931" s="26" t="s">
        <v>5430</v>
      </c>
      <c r="F1931" s="27">
        <v>5909817</v>
      </c>
      <c r="G1931" s="27">
        <v>0</v>
      </c>
      <c r="H1931" s="27">
        <v>0</v>
      </c>
      <c r="I1931" s="27">
        <v>0</v>
      </c>
      <c r="J1931" s="30">
        <f t="shared" si="90"/>
        <v>0</v>
      </c>
      <c r="K1931" s="30">
        <f t="shared" si="91"/>
        <v>0</v>
      </c>
      <c r="L1931" s="26">
        <f t="shared" si="92"/>
        <v>0</v>
      </c>
      <c r="M1931" s="26" t="s">
        <v>8711</v>
      </c>
    </row>
    <row r="1932" spans="1:13" ht="15" customHeight="1">
      <c r="A1932" s="25">
        <v>1669037</v>
      </c>
      <c r="B1932" s="26" t="s">
        <v>5427</v>
      </c>
      <c r="C1932" s="26" t="s">
        <v>9863</v>
      </c>
      <c r="D1932" s="26" t="s">
        <v>9862</v>
      </c>
      <c r="E1932" s="26" t="s">
        <v>5491</v>
      </c>
      <c r="F1932" s="27">
        <v>5904034</v>
      </c>
      <c r="G1932" s="27">
        <v>0</v>
      </c>
      <c r="H1932" s="27">
        <v>0</v>
      </c>
      <c r="I1932" s="27">
        <v>0</v>
      </c>
      <c r="J1932" s="30">
        <f t="shared" si="90"/>
        <v>0</v>
      </c>
      <c r="K1932" s="30">
        <f t="shared" si="91"/>
        <v>0</v>
      </c>
      <c r="L1932" s="26">
        <f t="shared" si="92"/>
        <v>0</v>
      </c>
      <c r="M1932" s="26">
        <v>0</v>
      </c>
    </row>
    <row r="1933" spans="1:13" ht="15" customHeight="1">
      <c r="A1933" s="25">
        <v>1669082</v>
      </c>
      <c r="B1933" s="26" t="s">
        <v>5427</v>
      </c>
      <c r="C1933" s="26" t="s">
        <v>9864</v>
      </c>
      <c r="D1933" s="26" t="s">
        <v>9862</v>
      </c>
      <c r="E1933" s="26" t="s">
        <v>6123</v>
      </c>
      <c r="F1933" s="27">
        <v>5902292</v>
      </c>
      <c r="G1933" s="27">
        <v>1</v>
      </c>
      <c r="H1933" s="27">
        <v>0</v>
      </c>
      <c r="I1933" s="27">
        <v>1</v>
      </c>
      <c r="J1933" s="30">
        <f t="shared" si="90"/>
        <v>1</v>
      </c>
      <c r="K1933" s="30">
        <f t="shared" si="91"/>
        <v>0</v>
      </c>
      <c r="L1933" s="26">
        <f t="shared" si="92"/>
        <v>0</v>
      </c>
      <c r="M1933" s="26"/>
    </row>
    <row r="1934" spans="1:13" ht="15" customHeight="1">
      <c r="A1934" s="25">
        <v>1669376</v>
      </c>
      <c r="B1934" s="26" t="s">
        <v>5427</v>
      </c>
      <c r="C1934" s="26" t="s">
        <v>9865</v>
      </c>
      <c r="D1934" s="26" t="s">
        <v>9866</v>
      </c>
      <c r="E1934" s="26" t="s">
        <v>5683</v>
      </c>
      <c r="F1934" s="27">
        <v>5894643</v>
      </c>
      <c r="G1934" s="27">
        <v>1</v>
      </c>
      <c r="H1934" s="27">
        <v>1</v>
      </c>
      <c r="I1934" s="27">
        <v>1</v>
      </c>
      <c r="J1934" s="30">
        <f t="shared" si="90"/>
        <v>1</v>
      </c>
      <c r="K1934" s="30">
        <f t="shared" si="91"/>
        <v>1</v>
      </c>
      <c r="L1934" s="26">
        <f t="shared" si="92"/>
        <v>1</v>
      </c>
      <c r="M1934" s="26"/>
    </row>
    <row r="1935" spans="1:13" ht="15" customHeight="1">
      <c r="A1935" s="25">
        <v>1669402</v>
      </c>
      <c r="B1935" s="26" t="s">
        <v>5427</v>
      </c>
      <c r="C1935" s="26" t="s">
        <v>9867</v>
      </c>
      <c r="D1935" s="26" t="s">
        <v>9868</v>
      </c>
      <c r="E1935" s="26" t="s">
        <v>9527</v>
      </c>
      <c r="F1935" s="27">
        <v>5911306</v>
      </c>
      <c r="G1935" s="27">
        <v>0</v>
      </c>
      <c r="H1935" s="27">
        <v>0</v>
      </c>
      <c r="I1935" s="27">
        <v>0</v>
      </c>
      <c r="J1935" s="30">
        <f t="shared" si="90"/>
        <v>0</v>
      </c>
      <c r="K1935" s="30">
        <f t="shared" si="91"/>
        <v>0</v>
      </c>
      <c r="L1935" s="26">
        <f t="shared" si="92"/>
        <v>0</v>
      </c>
      <c r="M1935" s="26">
        <v>0</v>
      </c>
    </row>
    <row r="1936" spans="1:13" ht="15" customHeight="1">
      <c r="A1936" s="25">
        <v>1669531</v>
      </c>
      <c r="B1936" s="26" t="s">
        <v>5423</v>
      </c>
      <c r="C1936" s="26" t="s">
        <v>9869</v>
      </c>
      <c r="D1936" s="26" t="s">
        <v>9866</v>
      </c>
      <c r="E1936" s="26" t="s">
        <v>8392</v>
      </c>
      <c r="F1936" s="27">
        <v>5689886</v>
      </c>
      <c r="G1936" s="27">
        <v>0</v>
      </c>
      <c r="H1936" s="27">
        <v>0</v>
      </c>
      <c r="I1936" s="27">
        <v>0</v>
      </c>
      <c r="J1936" s="30">
        <f t="shared" si="90"/>
        <v>0</v>
      </c>
      <c r="K1936" s="30">
        <f t="shared" si="91"/>
        <v>0</v>
      </c>
      <c r="L1936" s="26">
        <f t="shared" si="92"/>
        <v>0</v>
      </c>
      <c r="M1936" s="26">
        <v>0</v>
      </c>
    </row>
    <row r="1937" spans="1:13" ht="15" customHeight="1">
      <c r="A1937" s="25">
        <v>1669568</v>
      </c>
      <c r="B1937" s="26" t="s">
        <v>5423</v>
      </c>
      <c r="C1937" s="26" t="s">
        <v>9870</v>
      </c>
      <c r="D1937" s="26" t="s">
        <v>9866</v>
      </c>
      <c r="E1937" s="26" t="s">
        <v>5436</v>
      </c>
      <c r="F1937" s="27">
        <v>5904371</v>
      </c>
      <c r="G1937" s="27">
        <v>1</v>
      </c>
      <c r="H1937" s="27">
        <v>0</v>
      </c>
      <c r="I1937" s="27">
        <v>1</v>
      </c>
      <c r="J1937" s="30">
        <f t="shared" si="90"/>
        <v>1</v>
      </c>
      <c r="K1937" s="30">
        <f t="shared" si="91"/>
        <v>0</v>
      </c>
      <c r="L1937" s="26">
        <f t="shared" si="92"/>
        <v>0</v>
      </c>
      <c r="M1937" s="26"/>
    </row>
    <row r="1938" spans="1:13" ht="15" customHeight="1">
      <c r="A1938" s="25">
        <v>1669576</v>
      </c>
      <c r="B1938" s="26" t="s">
        <v>5423</v>
      </c>
      <c r="C1938" s="26" t="s">
        <v>9871</v>
      </c>
      <c r="D1938" s="26" t="s">
        <v>9866</v>
      </c>
      <c r="E1938" s="26" t="s">
        <v>5447</v>
      </c>
      <c r="F1938" s="27">
        <v>5883510</v>
      </c>
      <c r="G1938" s="27">
        <v>1</v>
      </c>
      <c r="H1938" s="27">
        <v>0</v>
      </c>
      <c r="I1938" s="27">
        <v>1</v>
      </c>
      <c r="J1938" s="30">
        <f t="shared" si="90"/>
        <v>1</v>
      </c>
      <c r="K1938" s="30">
        <f t="shared" si="91"/>
        <v>0</v>
      </c>
      <c r="L1938" s="26">
        <f t="shared" si="92"/>
        <v>0</v>
      </c>
      <c r="M1938" s="26"/>
    </row>
    <row r="1939" spans="1:13" ht="15" customHeight="1">
      <c r="A1939" s="25">
        <v>1669584</v>
      </c>
      <c r="B1939" s="26" t="s">
        <v>5427</v>
      </c>
      <c r="C1939" s="26" t="s">
        <v>9872</v>
      </c>
      <c r="D1939" s="26" t="s">
        <v>9873</v>
      </c>
      <c r="E1939" s="26" t="s">
        <v>5517</v>
      </c>
      <c r="F1939" s="27">
        <v>5892852</v>
      </c>
      <c r="G1939" s="27">
        <v>1</v>
      </c>
      <c r="H1939" s="27">
        <v>0</v>
      </c>
      <c r="I1939" s="27">
        <v>1</v>
      </c>
      <c r="J1939" s="30">
        <f t="shared" si="90"/>
        <v>1</v>
      </c>
      <c r="K1939" s="30">
        <f t="shared" si="91"/>
        <v>0</v>
      </c>
      <c r="L1939" s="26">
        <f t="shared" si="92"/>
        <v>0</v>
      </c>
      <c r="M1939" s="26" t="s">
        <v>7910</v>
      </c>
    </row>
    <row r="1940" spans="1:13" ht="15" customHeight="1">
      <c r="A1940" s="25">
        <v>1669608</v>
      </c>
      <c r="B1940" s="26" t="s">
        <v>5427</v>
      </c>
      <c r="C1940" s="26" t="s">
        <v>9874</v>
      </c>
      <c r="D1940" s="26" t="s">
        <v>9866</v>
      </c>
      <c r="E1940" s="26" t="s">
        <v>5707</v>
      </c>
      <c r="F1940" s="27">
        <v>5800414</v>
      </c>
      <c r="G1940" s="27">
        <v>0</v>
      </c>
      <c r="H1940" s="27">
        <v>0</v>
      </c>
      <c r="I1940" s="27">
        <v>0</v>
      </c>
      <c r="J1940" s="30">
        <f t="shared" si="90"/>
        <v>0</v>
      </c>
      <c r="K1940" s="30">
        <f t="shared" si="91"/>
        <v>0</v>
      </c>
      <c r="L1940" s="26">
        <f t="shared" si="92"/>
        <v>0</v>
      </c>
      <c r="M1940" s="26">
        <v>0</v>
      </c>
    </row>
    <row r="1941" spans="1:13" ht="15" customHeight="1">
      <c r="A1941" s="25">
        <v>1669691</v>
      </c>
      <c r="B1941" s="26" t="s">
        <v>5423</v>
      </c>
      <c r="C1941" s="26" t="s">
        <v>9875</v>
      </c>
      <c r="D1941" s="26" t="s">
        <v>9873</v>
      </c>
      <c r="E1941" s="26" t="s">
        <v>5968</v>
      </c>
      <c r="F1941" s="27">
        <v>5912860</v>
      </c>
      <c r="G1941" s="27">
        <v>1</v>
      </c>
      <c r="H1941" s="27">
        <v>0</v>
      </c>
      <c r="I1941" s="27">
        <v>1</v>
      </c>
      <c r="J1941" s="30">
        <f t="shared" si="90"/>
        <v>1</v>
      </c>
      <c r="K1941" s="30">
        <f t="shared" si="91"/>
        <v>0</v>
      </c>
      <c r="L1941" s="26">
        <f t="shared" si="92"/>
        <v>0</v>
      </c>
      <c r="M1941" s="26"/>
    </row>
    <row r="1942" spans="1:13" ht="15" customHeight="1">
      <c r="A1942" s="25">
        <v>1669811</v>
      </c>
      <c r="B1942" s="26" t="s">
        <v>5423</v>
      </c>
      <c r="C1942" s="26" t="s">
        <v>9876</v>
      </c>
      <c r="D1942" s="26" t="s">
        <v>9877</v>
      </c>
      <c r="E1942" s="26" t="s">
        <v>5442</v>
      </c>
      <c r="F1942" s="27">
        <v>5905931</v>
      </c>
      <c r="G1942" s="27">
        <v>0</v>
      </c>
      <c r="H1942" s="27">
        <v>0</v>
      </c>
      <c r="I1942" s="27">
        <v>0</v>
      </c>
      <c r="J1942" s="30">
        <f t="shared" si="90"/>
        <v>0</v>
      </c>
      <c r="K1942" s="30">
        <f t="shared" si="91"/>
        <v>0</v>
      </c>
      <c r="L1942" s="26">
        <f t="shared" si="92"/>
        <v>0</v>
      </c>
      <c r="M1942" s="26">
        <v>0</v>
      </c>
    </row>
    <row r="1943" spans="1:13" ht="15" customHeight="1">
      <c r="A1943" s="25">
        <v>1669829</v>
      </c>
      <c r="B1943" s="26" t="s">
        <v>5427</v>
      </c>
      <c r="C1943" s="26" t="s">
        <v>9878</v>
      </c>
      <c r="D1943" s="26" t="s">
        <v>9879</v>
      </c>
      <c r="E1943" s="26" t="s">
        <v>5442</v>
      </c>
      <c r="F1943" s="27">
        <v>5871617</v>
      </c>
      <c r="G1943" s="27">
        <v>1</v>
      </c>
      <c r="H1943" s="27">
        <v>0</v>
      </c>
      <c r="I1943" s="27">
        <v>1</v>
      </c>
      <c r="J1943" s="30">
        <f t="shared" si="90"/>
        <v>1</v>
      </c>
      <c r="K1943" s="30">
        <f t="shared" si="91"/>
        <v>0</v>
      </c>
      <c r="L1943" s="26">
        <f t="shared" si="92"/>
        <v>0</v>
      </c>
      <c r="M1943" s="26"/>
    </row>
    <row r="1944" spans="1:13" ht="15" customHeight="1">
      <c r="A1944" s="25">
        <v>1670000</v>
      </c>
      <c r="B1944" s="26" t="s">
        <v>5423</v>
      </c>
      <c r="C1944" s="26" t="s">
        <v>9880</v>
      </c>
      <c r="D1944" s="26" t="s">
        <v>9879</v>
      </c>
      <c r="E1944" s="26" t="s">
        <v>5458</v>
      </c>
      <c r="F1944" s="27">
        <v>5913489</v>
      </c>
      <c r="G1944" s="27">
        <v>1</v>
      </c>
      <c r="H1944" s="27">
        <v>0</v>
      </c>
      <c r="I1944" s="27">
        <v>1</v>
      </c>
      <c r="J1944" s="30">
        <f t="shared" si="90"/>
        <v>1</v>
      </c>
      <c r="K1944" s="30">
        <f t="shared" si="91"/>
        <v>0</v>
      </c>
      <c r="L1944" s="26">
        <f t="shared" si="92"/>
        <v>0</v>
      </c>
      <c r="M1944" s="26"/>
    </row>
    <row r="1945" spans="1:13" ht="15" customHeight="1">
      <c r="A1945" s="25">
        <v>1670232</v>
      </c>
      <c r="B1945" s="26" t="s">
        <v>5427</v>
      </c>
      <c r="C1945" s="26" t="s">
        <v>9881</v>
      </c>
      <c r="D1945" s="26" t="s">
        <v>9882</v>
      </c>
      <c r="E1945" s="26" t="s">
        <v>5560</v>
      </c>
      <c r="F1945" s="27">
        <v>5913830</v>
      </c>
      <c r="G1945" s="27">
        <v>1</v>
      </c>
      <c r="H1945" s="27">
        <v>1</v>
      </c>
      <c r="I1945" s="27">
        <v>1</v>
      </c>
      <c r="J1945" s="30">
        <f t="shared" si="90"/>
        <v>1</v>
      </c>
      <c r="K1945" s="30">
        <f t="shared" si="91"/>
        <v>1</v>
      </c>
      <c r="L1945" s="26">
        <f t="shared" si="92"/>
        <v>1</v>
      </c>
      <c r="M1945" s="26"/>
    </row>
    <row r="1946" spans="1:13" ht="15" customHeight="1">
      <c r="A1946" s="25">
        <v>1670346</v>
      </c>
      <c r="B1946" s="26" t="s">
        <v>5423</v>
      </c>
      <c r="C1946" s="26" t="s">
        <v>9883</v>
      </c>
      <c r="D1946" s="26" t="s">
        <v>9884</v>
      </c>
      <c r="E1946" s="26" t="s">
        <v>5560</v>
      </c>
      <c r="F1946" s="27">
        <v>5567796</v>
      </c>
      <c r="G1946" s="27">
        <v>1</v>
      </c>
      <c r="H1946" s="27">
        <v>1</v>
      </c>
      <c r="I1946" s="27">
        <v>1</v>
      </c>
      <c r="J1946" s="30">
        <f t="shared" si="90"/>
        <v>1</v>
      </c>
      <c r="K1946" s="30">
        <f t="shared" si="91"/>
        <v>1</v>
      </c>
      <c r="L1946" s="26">
        <f t="shared" si="92"/>
        <v>1</v>
      </c>
      <c r="M1946" s="26"/>
    </row>
    <row r="1947" spans="1:13" ht="15" customHeight="1">
      <c r="A1947" s="25">
        <v>1670364</v>
      </c>
      <c r="B1947" s="26" t="s">
        <v>5427</v>
      </c>
      <c r="C1947" s="26" t="s">
        <v>9885</v>
      </c>
      <c r="D1947" s="26" t="s">
        <v>9879</v>
      </c>
      <c r="E1947" s="26" t="s">
        <v>5485</v>
      </c>
      <c r="F1947" s="27"/>
      <c r="G1947" s="27">
        <v>0</v>
      </c>
      <c r="H1947" s="27">
        <v>0</v>
      </c>
      <c r="I1947" s="27">
        <v>0</v>
      </c>
      <c r="J1947" s="30">
        <f t="shared" si="90"/>
        <v>0</v>
      </c>
      <c r="K1947" s="30">
        <f t="shared" si="91"/>
        <v>0</v>
      </c>
      <c r="L1947" s="26">
        <f t="shared" si="92"/>
        <v>0</v>
      </c>
      <c r="M1947" s="26" t="s">
        <v>5557</v>
      </c>
    </row>
    <row r="1948" spans="1:13" ht="15" customHeight="1">
      <c r="A1948" s="25">
        <v>1670384</v>
      </c>
      <c r="B1948" s="26" t="s">
        <v>5423</v>
      </c>
      <c r="C1948" s="26" t="s">
        <v>9886</v>
      </c>
      <c r="D1948" s="26" t="s">
        <v>9887</v>
      </c>
      <c r="E1948" s="26" t="s">
        <v>5485</v>
      </c>
      <c r="F1948" s="27">
        <v>5913678</v>
      </c>
      <c r="G1948" s="27">
        <v>1</v>
      </c>
      <c r="H1948" s="27">
        <v>1</v>
      </c>
      <c r="I1948" s="27">
        <v>1</v>
      </c>
      <c r="J1948" s="30">
        <f t="shared" si="90"/>
        <v>1</v>
      </c>
      <c r="K1948" s="30">
        <f t="shared" si="91"/>
        <v>1</v>
      </c>
      <c r="L1948" s="26">
        <f t="shared" si="92"/>
        <v>1</v>
      </c>
      <c r="M1948" s="26"/>
    </row>
    <row r="1949" spans="1:13" ht="15" customHeight="1">
      <c r="A1949" s="25">
        <v>1670392</v>
      </c>
      <c r="B1949" s="26" t="s">
        <v>5427</v>
      </c>
      <c r="C1949" s="26" t="s">
        <v>9888</v>
      </c>
      <c r="D1949" s="26" t="s">
        <v>9882</v>
      </c>
      <c r="E1949" s="26" t="s">
        <v>5463</v>
      </c>
      <c r="F1949" s="27">
        <v>5914837</v>
      </c>
      <c r="G1949" s="27">
        <v>1</v>
      </c>
      <c r="H1949" s="27">
        <v>1</v>
      </c>
      <c r="I1949" s="27">
        <v>1</v>
      </c>
      <c r="J1949" s="30">
        <f t="shared" si="90"/>
        <v>1</v>
      </c>
      <c r="K1949" s="30">
        <f t="shared" si="91"/>
        <v>1</v>
      </c>
      <c r="L1949" s="26">
        <f t="shared" si="92"/>
        <v>1</v>
      </c>
      <c r="M1949" s="26"/>
    </row>
    <row r="1950" spans="1:13" ht="15" customHeight="1">
      <c r="A1950" s="25">
        <v>1670506</v>
      </c>
      <c r="B1950" s="26" t="s">
        <v>5427</v>
      </c>
      <c r="C1950" s="26" t="s">
        <v>9889</v>
      </c>
      <c r="D1950" s="26" t="s">
        <v>9890</v>
      </c>
      <c r="E1950" s="26" t="s">
        <v>5455</v>
      </c>
      <c r="F1950" s="27">
        <v>5772064</v>
      </c>
      <c r="G1950" s="27">
        <v>0</v>
      </c>
      <c r="H1950" s="27">
        <v>0</v>
      </c>
      <c r="I1950" s="27">
        <v>0</v>
      </c>
      <c r="J1950" s="30">
        <f t="shared" si="90"/>
        <v>0</v>
      </c>
      <c r="K1950" s="30">
        <f t="shared" si="91"/>
        <v>0</v>
      </c>
      <c r="L1950" s="26">
        <f t="shared" si="92"/>
        <v>0</v>
      </c>
      <c r="M1950" s="26" t="s">
        <v>8017</v>
      </c>
    </row>
    <row r="1951" spans="1:13" ht="15" customHeight="1">
      <c r="A1951" s="25">
        <v>1670611</v>
      </c>
      <c r="B1951" s="26" t="s">
        <v>5427</v>
      </c>
      <c r="C1951" s="26" t="s">
        <v>9891</v>
      </c>
      <c r="D1951" s="26" t="s">
        <v>9884</v>
      </c>
      <c r="E1951" s="26" t="s">
        <v>5545</v>
      </c>
      <c r="F1951" s="27">
        <v>5810678</v>
      </c>
      <c r="G1951" s="27">
        <v>1</v>
      </c>
      <c r="H1951" s="27">
        <v>0</v>
      </c>
      <c r="I1951" s="27">
        <v>1</v>
      </c>
      <c r="J1951" s="30">
        <f t="shared" si="90"/>
        <v>1</v>
      </c>
      <c r="K1951" s="30">
        <f t="shared" si="91"/>
        <v>0</v>
      </c>
      <c r="L1951" s="26">
        <f t="shared" si="92"/>
        <v>0</v>
      </c>
      <c r="M1951" s="26"/>
    </row>
    <row r="1952" spans="1:13" ht="15" customHeight="1">
      <c r="A1952" s="25">
        <v>1671654</v>
      </c>
      <c r="B1952" s="26" t="s">
        <v>5423</v>
      </c>
      <c r="C1952" s="26" t="s">
        <v>9892</v>
      </c>
      <c r="D1952" s="26" t="s">
        <v>9890</v>
      </c>
      <c r="E1952" s="26" t="s">
        <v>5452</v>
      </c>
      <c r="F1952" s="27">
        <v>5912884</v>
      </c>
      <c r="G1952" s="27">
        <v>0</v>
      </c>
      <c r="H1952" s="27">
        <v>1</v>
      </c>
      <c r="I1952" s="27">
        <v>1</v>
      </c>
      <c r="J1952" s="30">
        <f t="shared" si="90"/>
        <v>0</v>
      </c>
      <c r="K1952" s="30">
        <f t="shared" si="91"/>
        <v>1</v>
      </c>
      <c r="L1952" s="26">
        <f t="shared" si="92"/>
        <v>0</v>
      </c>
      <c r="M1952" s="26"/>
    </row>
    <row r="1953" spans="1:13" ht="15" customHeight="1">
      <c r="A1953" s="25">
        <v>1671659</v>
      </c>
      <c r="B1953" s="26" t="s">
        <v>5423</v>
      </c>
      <c r="C1953" s="26" t="s">
        <v>9893</v>
      </c>
      <c r="D1953" s="26" t="s">
        <v>9894</v>
      </c>
      <c r="E1953" s="26" t="s">
        <v>5430</v>
      </c>
      <c r="F1953" s="27">
        <v>5871488</v>
      </c>
      <c r="G1953" s="27">
        <v>1</v>
      </c>
      <c r="H1953" s="27">
        <v>1</v>
      </c>
      <c r="I1953" s="27">
        <v>1</v>
      </c>
      <c r="J1953" s="30">
        <f t="shared" si="90"/>
        <v>1</v>
      </c>
      <c r="K1953" s="30">
        <f t="shared" si="91"/>
        <v>1</v>
      </c>
      <c r="L1953" s="26">
        <f t="shared" si="92"/>
        <v>1</v>
      </c>
      <c r="M1953" s="26"/>
    </row>
    <row r="1954" spans="1:13" ht="15" customHeight="1">
      <c r="A1954" s="25">
        <v>1671827</v>
      </c>
      <c r="B1954" s="26" t="s">
        <v>5423</v>
      </c>
      <c r="C1954" s="26" t="s">
        <v>9895</v>
      </c>
      <c r="D1954" s="26" t="s">
        <v>9894</v>
      </c>
      <c r="E1954" s="26" t="s">
        <v>5439</v>
      </c>
      <c r="F1954" s="27">
        <v>5910867</v>
      </c>
      <c r="G1954" s="27">
        <v>0</v>
      </c>
      <c r="H1954" s="27">
        <v>1</v>
      </c>
      <c r="I1954" s="27">
        <v>1</v>
      </c>
      <c r="J1954" s="30">
        <f t="shared" si="90"/>
        <v>0</v>
      </c>
      <c r="K1954" s="30">
        <f t="shared" si="91"/>
        <v>1</v>
      </c>
      <c r="L1954" s="26">
        <f t="shared" si="92"/>
        <v>0</v>
      </c>
      <c r="M1954" s="26"/>
    </row>
    <row r="1955" spans="1:13" ht="15" customHeight="1">
      <c r="A1955" s="25">
        <v>1671914</v>
      </c>
      <c r="B1955" s="26" t="s">
        <v>5423</v>
      </c>
      <c r="C1955" s="26" t="s">
        <v>9896</v>
      </c>
      <c r="D1955" s="26" t="s">
        <v>9890</v>
      </c>
      <c r="E1955" s="26" t="s">
        <v>5433</v>
      </c>
      <c r="F1955" s="27">
        <v>5915644</v>
      </c>
      <c r="G1955" s="27">
        <v>0</v>
      </c>
      <c r="H1955" s="27">
        <v>1</v>
      </c>
      <c r="I1955" s="27">
        <v>1</v>
      </c>
      <c r="J1955" s="30">
        <f t="shared" si="90"/>
        <v>0</v>
      </c>
      <c r="K1955" s="30">
        <f t="shared" si="91"/>
        <v>1</v>
      </c>
      <c r="L1955" s="26">
        <f t="shared" si="92"/>
        <v>0</v>
      </c>
      <c r="M1955" s="26"/>
    </row>
    <row r="1956" spans="1:13" ht="15" customHeight="1">
      <c r="A1956" s="25">
        <v>1671918</v>
      </c>
      <c r="B1956" s="26" t="s">
        <v>5423</v>
      </c>
      <c r="C1956" s="26" t="s">
        <v>9897</v>
      </c>
      <c r="D1956" s="26" t="s">
        <v>9890</v>
      </c>
      <c r="E1956" s="26" t="s">
        <v>5532</v>
      </c>
      <c r="F1956" s="27">
        <v>5919691</v>
      </c>
      <c r="G1956" s="27">
        <v>1</v>
      </c>
      <c r="H1956" s="27">
        <v>1</v>
      </c>
      <c r="I1956" s="27">
        <v>1</v>
      </c>
      <c r="J1956" s="30">
        <f t="shared" si="90"/>
        <v>1</v>
      </c>
      <c r="K1956" s="30">
        <f t="shared" si="91"/>
        <v>1</v>
      </c>
      <c r="L1956" s="26">
        <f t="shared" si="92"/>
        <v>1</v>
      </c>
      <c r="M1956" s="26"/>
    </row>
    <row r="1957" spans="1:13" ht="15" customHeight="1">
      <c r="A1957" s="25">
        <v>1672018</v>
      </c>
      <c r="B1957" s="26" t="s">
        <v>5423</v>
      </c>
      <c r="C1957" s="26" t="s">
        <v>9898</v>
      </c>
      <c r="D1957" s="26" t="s">
        <v>9887</v>
      </c>
      <c r="E1957" s="26" t="s">
        <v>5452</v>
      </c>
      <c r="F1957" s="27"/>
      <c r="G1957" s="27">
        <v>0</v>
      </c>
      <c r="H1957" s="27">
        <v>0</v>
      </c>
      <c r="I1957" s="27">
        <v>0</v>
      </c>
      <c r="J1957" s="30">
        <f t="shared" si="90"/>
        <v>0</v>
      </c>
      <c r="K1957" s="30">
        <f t="shared" si="91"/>
        <v>0</v>
      </c>
      <c r="L1957" s="26">
        <f t="shared" si="92"/>
        <v>0</v>
      </c>
      <c r="M1957" s="26" t="s">
        <v>8017</v>
      </c>
    </row>
    <row r="1958" spans="1:13" ht="15" customHeight="1">
      <c r="A1958" s="25">
        <v>1672378</v>
      </c>
      <c r="B1958" s="26" t="s">
        <v>5427</v>
      </c>
      <c r="C1958" s="26" t="s">
        <v>9899</v>
      </c>
      <c r="D1958" s="26" t="s">
        <v>9900</v>
      </c>
      <c r="E1958" s="26" t="s">
        <v>5488</v>
      </c>
      <c r="F1958" s="27">
        <v>5919287</v>
      </c>
      <c r="G1958" s="27">
        <v>0</v>
      </c>
      <c r="H1958" s="27">
        <v>0</v>
      </c>
      <c r="I1958" s="27">
        <v>0</v>
      </c>
      <c r="J1958" s="30">
        <f t="shared" si="90"/>
        <v>0</v>
      </c>
      <c r="K1958" s="30">
        <f t="shared" si="91"/>
        <v>0</v>
      </c>
      <c r="L1958" s="26">
        <f t="shared" si="92"/>
        <v>0</v>
      </c>
      <c r="M1958" s="26">
        <v>0</v>
      </c>
    </row>
    <row r="1959" spans="1:13" ht="15" customHeight="1">
      <c r="A1959" s="25">
        <v>1672417</v>
      </c>
      <c r="B1959" s="26" t="s">
        <v>5423</v>
      </c>
      <c r="C1959" s="26" t="s">
        <v>9901</v>
      </c>
      <c r="D1959" s="26" t="s">
        <v>9887</v>
      </c>
      <c r="E1959" s="26" t="s">
        <v>5891</v>
      </c>
      <c r="F1959" s="27">
        <v>5137066</v>
      </c>
      <c r="G1959" s="27">
        <v>0</v>
      </c>
      <c r="H1959" s="27">
        <v>0</v>
      </c>
      <c r="I1959" s="27">
        <v>0</v>
      </c>
      <c r="J1959" s="30">
        <f t="shared" si="90"/>
        <v>0</v>
      </c>
      <c r="K1959" s="30">
        <f t="shared" si="91"/>
        <v>0</v>
      </c>
      <c r="L1959" s="26">
        <f t="shared" si="92"/>
        <v>0</v>
      </c>
      <c r="M1959" s="26" t="s">
        <v>5557</v>
      </c>
    </row>
    <row r="1960" spans="1:13" ht="15" customHeight="1">
      <c r="A1960" s="25">
        <v>1672733</v>
      </c>
      <c r="B1960" s="26" t="s">
        <v>5427</v>
      </c>
      <c r="C1960" s="26" t="s">
        <v>9902</v>
      </c>
      <c r="D1960" s="26" t="s">
        <v>9903</v>
      </c>
      <c r="E1960" s="26" t="s">
        <v>5475</v>
      </c>
      <c r="F1960" s="27">
        <v>5909968</v>
      </c>
      <c r="G1960" s="27">
        <v>1</v>
      </c>
      <c r="H1960" s="27">
        <v>1</v>
      </c>
      <c r="I1960" s="27">
        <v>1</v>
      </c>
      <c r="J1960" s="30">
        <f t="shared" si="90"/>
        <v>1</v>
      </c>
      <c r="K1960" s="30">
        <f t="shared" si="91"/>
        <v>1</v>
      </c>
      <c r="L1960" s="26">
        <f t="shared" si="92"/>
        <v>1</v>
      </c>
      <c r="M1960" s="26"/>
    </row>
    <row r="1961" spans="1:13" ht="15" customHeight="1">
      <c r="A1961" s="25">
        <v>1672839</v>
      </c>
      <c r="B1961" s="26" t="s">
        <v>5423</v>
      </c>
      <c r="C1961" s="26" t="s">
        <v>9904</v>
      </c>
      <c r="D1961" s="26" t="s">
        <v>9905</v>
      </c>
      <c r="E1961" s="26" t="s">
        <v>5491</v>
      </c>
      <c r="F1961" s="27">
        <v>5402597</v>
      </c>
      <c r="G1961" s="27">
        <v>0</v>
      </c>
      <c r="H1961" s="27">
        <v>0</v>
      </c>
      <c r="I1961" s="27">
        <v>0</v>
      </c>
      <c r="J1961" s="30">
        <f t="shared" si="90"/>
        <v>0</v>
      </c>
      <c r="K1961" s="30">
        <f t="shared" si="91"/>
        <v>0</v>
      </c>
      <c r="L1961" s="26">
        <f t="shared" si="92"/>
        <v>0</v>
      </c>
      <c r="M1961" s="26" t="s">
        <v>5557</v>
      </c>
    </row>
    <row r="1962" spans="1:13" ht="15" customHeight="1">
      <c r="A1962" s="25">
        <v>1672852</v>
      </c>
      <c r="B1962" s="26" t="s">
        <v>5423</v>
      </c>
      <c r="C1962" s="26" t="s">
        <v>9906</v>
      </c>
      <c r="D1962" s="26" t="s">
        <v>9907</v>
      </c>
      <c r="E1962" s="26" t="s">
        <v>5540</v>
      </c>
      <c r="F1962" s="27">
        <v>5911660</v>
      </c>
      <c r="G1962" s="27">
        <v>0</v>
      </c>
      <c r="H1962" s="27">
        <v>1</v>
      </c>
      <c r="I1962" s="27">
        <v>1</v>
      </c>
      <c r="J1962" s="30">
        <f t="shared" si="90"/>
        <v>0</v>
      </c>
      <c r="K1962" s="30">
        <f t="shared" si="91"/>
        <v>1</v>
      </c>
      <c r="L1962" s="26">
        <f t="shared" si="92"/>
        <v>0</v>
      </c>
      <c r="M1962" s="26" t="s">
        <v>8169</v>
      </c>
    </row>
    <row r="1963" spans="1:13" ht="15" customHeight="1">
      <c r="A1963" s="25">
        <v>1673179</v>
      </c>
      <c r="B1963" s="26" t="s">
        <v>5427</v>
      </c>
      <c r="C1963" s="26" t="s">
        <v>9908</v>
      </c>
      <c r="D1963" s="26" t="s">
        <v>9909</v>
      </c>
      <c r="E1963" s="26" t="s">
        <v>5468</v>
      </c>
      <c r="F1963" s="27">
        <v>5906756</v>
      </c>
      <c r="G1963" s="27">
        <v>1</v>
      </c>
      <c r="H1963" s="27">
        <v>1</v>
      </c>
      <c r="I1963" s="27">
        <v>1</v>
      </c>
      <c r="J1963" s="30">
        <f t="shared" si="90"/>
        <v>1</v>
      </c>
      <c r="K1963" s="30">
        <f t="shared" si="91"/>
        <v>1</v>
      </c>
      <c r="L1963" s="26">
        <f t="shared" si="92"/>
        <v>1</v>
      </c>
      <c r="M1963" s="26"/>
    </row>
    <row r="1964" spans="1:13" ht="15" customHeight="1">
      <c r="A1964" s="25">
        <v>1673337</v>
      </c>
      <c r="B1964" s="26" t="s">
        <v>5423</v>
      </c>
      <c r="C1964" s="26" t="s">
        <v>9910</v>
      </c>
      <c r="D1964" s="26" t="s">
        <v>9907</v>
      </c>
      <c r="E1964" s="26" t="s">
        <v>5439</v>
      </c>
      <c r="F1964" s="27"/>
      <c r="G1964" s="27">
        <v>0</v>
      </c>
      <c r="H1964" s="27">
        <v>0</v>
      </c>
      <c r="I1964" s="27">
        <v>0</v>
      </c>
      <c r="J1964" s="30">
        <f t="shared" si="90"/>
        <v>0</v>
      </c>
      <c r="K1964" s="30">
        <f t="shared" si="91"/>
        <v>0</v>
      </c>
      <c r="L1964" s="26">
        <f t="shared" si="92"/>
        <v>0</v>
      </c>
      <c r="M1964" s="26" t="s">
        <v>5557</v>
      </c>
    </row>
    <row r="1965" spans="1:13" ht="15" customHeight="1">
      <c r="A1965" s="25">
        <v>1673414</v>
      </c>
      <c r="B1965" s="26" t="s">
        <v>5423</v>
      </c>
      <c r="C1965" s="26" t="s">
        <v>9911</v>
      </c>
      <c r="D1965" s="26" t="s">
        <v>9912</v>
      </c>
      <c r="E1965" s="26" t="s">
        <v>5430</v>
      </c>
      <c r="F1965" s="27">
        <v>5922100</v>
      </c>
      <c r="G1965" s="27">
        <v>0</v>
      </c>
      <c r="H1965" s="27">
        <v>1</v>
      </c>
      <c r="I1965" s="27">
        <v>1</v>
      </c>
      <c r="J1965" s="30">
        <f t="shared" si="90"/>
        <v>0</v>
      </c>
      <c r="K1965" s="30">
        <f t="shared" si="91"/>
        <v>1</v>
      </c>
      <c r="L1965" s="26">
        <f t="shared" si="92"/>
        <v>0</v>
      </c>
      <c r="M1965" s="26" t="s">
        <v>7910</v>
      </c>
    </row>
    <row r="1966" spans="1:13" ht="15" customHeight="1">
      <c r="A1966" s="25">
        <v>1673415</v>
      </c>
      <c r="B1966" s="26" t="s">
        <v>5423</v>
      </c>
      <c r="C1966" s="26" t="s">
        <v>9913</v>
      </c>
      <c r="D1966" s="26" t="s">
        <v>9907</v>
      </c>
      <c r="E1966" s="26" t="s">
        <v>5480</v>
      </c>
      <c r="F1966" s="27">
        <v>5896488</v>
      </c>
      <c r="G1966" s="27">
        <v>1</v>
      </c>
      <c r="H1966" s="27">
        <v>0</v>
      </c>
      <c r="I1966" s="27">
        <v>1</v>
      </c>
      <c r="J1966" s="30">
        <f t="shared" si="90"/>
        <v>1</v>
      </c>
      <c r="K1966" s="30">
        <f t="shared" si="91"/>
        <v>0</v>
      </c>
      <c r="L1966" s="26">
        <f t="shared" si="92"/>
        <v>0</v>
      </c>
      <c r="M1966" s="26"/>
    </row>
    <row r="1967" spans="1:13" ht="15" customHeight="1">
      <c r="A1967" s="25">
        <v>1673424</v>
      </c>
      <c r="B1967" s="26" t="s">
        <v>5423</v>
      </c>
      <c r="C1967" s="26" t="s">
        <v>9914</v>
      </c>
      <c r="D1967" s="26" t="s">
        <v>9915</v>
      </c>
      <c r="E1967" s="26" t="s">
        <v>5504</v>
      </c>
      <c r="F1967" s="27">
        <v>5922437</v>
      </c>
      <c r="G1967" s="27">
        <v>0</v>
      </c>
      <c r="H1967" s="27">
        <v>0</v>
      </c>
      <c r="I1967" s="27">
        <v>0</v>
      </c>
      <c r="J1967" s="30">
        <f t="shared" si="90"/>
        <v>0</v>
      </c>
      <c r="K1967" s="30">
        <f t="shared" si="91"/>
        <v>0</v>
      </c>
      <c r="L1967" s="26">
        <f t="shared" si="92"/>
        <v>0</v>
      </c>
      <c r="M1967" s="26">
        <v>0</v>
      </c>
    </row>
    <row r="1968" spans="1:13" ht="15" customHeight="1">
      <c r="A1968" s="25">
        <v>1673428</v>
      </c>
      <c r="B1968" s="26" t="s">
        <v>5423</v>
      </c>
      <c r="C1968" s="26" t="s">
        <v>9916</v>
      </c>
      <c r="D1968" s="26" t="s">
        <v>9903</v>
      </c>
      <c r="E1968" s="26" t="s">
        <v>5426</v>
      </c>
      <c r="F1968" s="27">
        <v>4988239</v>
      </c>
      <c r="G1968" s="27">
        <v>0</v>
      </c>
      <c r="H1968" s="27">
        <v>0</v>
      </c>
      <c r="I1968" s="27">
        <v>0</v>
      </c>
      <c r="J1968" s="30">
        <f t="shared" si="90"/>
        <v>0</v>
      </c>
      <c r="K1968" s="30">
        <f t="shared" si="91"/>
        <v>0</v>
      </c>
      <c r="L1968" s="26">
        <f t="shared" si="92"/>
        <v>0</v>
      </c>
      <c r="M1968" s="26" t="s">
        <v>5557</v>
      </c>
    </row>
    <row r="1969" spans="1:13" ht="15" customHeight="1">
      <c r="A1969" s="25">
        <v>1673436</v>
      </c>
      <c r="B1969" s="26" t="s">
        <v>5423</v>
      </c>
      <c r="C1969" s="26" t="s">
        <v>9917</v>
      </c>
      <c r="D1969" s="26" t="s">
        <v>9918</v>
      </c>
      <c r="E1969" s="26" t="s">
        <v>5488</v>
      </c>
      <c r="F1969" s="27">
        <v>5919180</v>
      </c>
      <c r="G1969" s="27">
        <v>0</v>
      </c>
      <c r="H1969" s="27">
        <v>0</v>
      </c>
      <c r="I1969" s="27">
        <v>0</v>
      </c>
      <c r="J1969" s="30">
        <f t="shared" si="90"/>
        <v>0</v>
      </c>
      <c r="K1969" s="30">
        <f t="shared" si="91"/>
        <v>0</v>
      </c>
      <c r="L1969" s="26">
        <f t="shared" si="92"/>
        <v>0</v>
      </c>
      <c r="M1969" s="26">
        <v>0</v>
      </c>
    </row>
    <row r="1970" spans="1:13" ht="15" customHeight="1">
      <c r="A1970" s="25">
        <v>1673439</v>
      </c>
      <c r="B1970" s="26" t="s">
        <v>5423</v>
      </c>
      <c r="C1970" s="26" t="s">
        <v>9919</v>
      </c>
      <c r="D1970" s="26" t="s">
        <v>9918</v>
      </c>
      <c r="E1970" s="26" t="s">
        <v>5488</v>
      </c>
      <c r="F1970" s="27">
        <v>5696430</v>
      </c>
      <c r="G1970" s="27">
        <v>1</v>
      </c>
      <c r="H1970" s="27">
        <v>0</v>
      </c>
      <c r="I1970" s="27">
        <v>1</v>
      </c>
      <c r="J1970" s="30">
        <f t="shared" si="90"/>
        <v>1</v>
      </c>
      <c r="K1970" s="30">
        <f t="shared" si="91"/>
        <v>0</v>
      </c>
      <c r="L1970" s="26">
        <f t="shared" si="92"/>
        <v>0</v>
      </c>
      <c r="M1970" s="26"/>
    </row>
    <row r="1971" spans="1:13" ht="15" customHeight="1">
      <c r="A1971" s="25">
        <v>1673800</v>
      </c>
      <c r="B1971" s="26" t="s">
        <v>5423</v>
      </c>
      <c r="C1971" s="26" t="s">
        <v>9920</v>
      </c>
      <c r="D1971" s="26" t="s">
        <v>9907</v>
      </c>
      <c r="E1971" s="26" t="s">
        <v>5488</v>
      </c>
      <c r="F1971" s="27">
        <v>5925041</v>
      </c>
      <c r="G1971" s="27">
        <v>0</v>
      </c>
      <c r="H1971" s="27">
        <v>0</v>
      </c>
      <c r="I1971" s="27">
        <v>0</v>
      </c>
      <c r="J1971" s="30">
        <f t="shared" si="90"/>
        <v>0</v>
      </c>
      <c r="K1971" s="30">
        <f t="shared" si="91"/>
        <v>0</v>
      </c>
      <c r="L1971" s="26">
        <f t="shared" si="92"/>
        <v>0</v>
      </c>
      <c r="M1971" s="26">
        <v>0</v>
      </c>
    </row>
    <row r="1972" spans="1:13" ht="15" customHeight="1">
      <c r="A1972" s="25">
        <v>1673842</v>
      </c>
      <c r="B1972" s="26" t="s">
        <v>5427</v>
      </c>
      <c r="C1972" s="26" t="s">
        <v>9921</v>
      </c>
      <c r="D1972" s="26" t="s">
        <v>9915</v>
      </c>
      <c r="E1972" s="26" t="s">
        <v>5763</v>
      </c>
      <c r="F1972" s="27">
        <v>5212510</v>
      </c>
      <c r="G1972" s="27">
        <v>1</v>
      </c>
      <c r="H1972" s="27">
        <v>0</v>
      </c>
      <c r="I1972" s="27">
        <v>1</v>
      </c>
      <c r="J1972" s="30">
        <f t="shared" si="90"/>
        <v>1</v>
      </c>
      <c r="K1972" s="30">
        <f t="shared" si="91"/>
        <v>0</v>
      </c>
      <c r="L1972" s="26">
        <f t="shared" si="92"/>
        <v>0</v>
      </c>
      <c r="M1972" s="26"/>
    </row>
    <row r="1973" spans="1:13" ht="15" customHeight="1">
      <c r="A1973" s="25">
        <v>1674348</v>
      </c>
      <c r="B1973" s="26" t="s">
        <v>5423</v>
      </c>
      <c r="C1973" s="26" t="s">
        <v>9922</v>
      </c>
      <c r="D1973" s="26" t="s">
        <v>9923</v>
      </c>
      <c r="E1973" s="26" t="s">
        <v>5458</v>
      </c>
      <c r="F1973" s="27">
        <v>5041244</v>
      </c>
      <c r="G1973" s="27">
        <v>1</v>
      </c>
      <c r="H1973" s="27">
        <v>0</v>
      </c>
      <c r="I1973" s="27">
        <v>1</v>
      </c>
      <c r="J1973" s="30">
        <f t="shared" si="90"/>
        <v>1</v>
      </c>
      <c r="K1973" s="30">
        <f t="shared" si="91"/>
        <v>0</v>
      </c>
      <c r="L1973" s="26">
        <f t="shared" si="92"/>
        <v>0</v>
      </c>
      <c r="M1973" s="26"/>
    </row>
    <row r="1974" spans="1:13" ht="15" customHeight="1">
      <c r="A1974" s="25">
        <v>1674371</v>
      </c>
      <c r="B1974" s="26" t="s">
        <v>5427</v>
      </c>
      <c r="C1974" s="26" t="s">
        <v>9924</v>
      </c>
      <c r="D1974" s="26" t="s">
        <v>9907</v>
      </c>
      <c r="E1974" s="26" t="s">
        <v>5436</v>
      </c>
      <c r="F1974" s="27"/>
      <c r="G1974" s="27">
        <v>0</v>
      </c>
      <c r="H1974" s="27">
        <v>0</v>
      </c>
      <c r="I1974" s="27">
        <v>0</v>
      </c>
      <c r="J1974" s="30">
        <f t="shared" si="90"/>
        <v>0</v>
      </c>
      <c r="K1974" s="30">
        <f t="shared" si="91"/>
        <v>0</v>
      </c>
      <c r="L1974" s="26">
        <f t="shared" si="92"/>
        <v>0</v>
      </c>
      <c r="M1974" s="26" t="s">
        <v>5557</v>
      </c>
    </row>
    <row r="1975" spans="1:13" ht="15" customHeight="1">
      <c r="A1975" s="25">
        <v>1674792</v>
      </c>
      <c r="B1975" s="26" t="s">
        <v>5427</v>
      </c>
      <c r="C1975" s="26" t="s">
        <v>9925</v>
      </c>
      <c r="D1975" s="26" t="s">
        <v>9926</v>
      </c>
      <c r="E1975" s="26" t="s">
        <v>5560</v>
      </c>
      <c r="F1975" s="27">
        <v>5927053</v>
      </c>
      <c r="G1975" s="27">
        <v>1</v>
      </c>
      <c r="H1975" s="27">
        <v>1</v>
      </c>
      <c r="I1975" s="27">
        <v>1</v>
      </c>
      <c r="J1975" s="30">
        <f t="shared" si="90"/>
        <v>1</v>
      </c>
      <c r="K1975" s="30">
        <f t="shared" si="91"/>
        <v>1</v>
      </c>
      <c r="L1975" s="26">
        <f t="shared" si="92"/>
        <v>1</v>
      </c>
      <c r="M1975" s="26"/>
    </row>
    <row r="1976" spans="1:13" ht="15" customHeight="1">
      <c r="A1976" s="25">
        <v>1674808</v>
      </c>
      <c r="B1976" s="26" t="s">
        <v>5427</v>
      </c>
      <c r="C1976" s="26" t="s">
        <v>9927</v>
      </c>
      <c r="D1976" s="26" t="s">
        <v>9928</v>
      </c>
      <c r="E1976" s="26" t="s">
        <v>5545</v>
      </c>
      <c r="F1976" s="27">
        <v>5929005</v>
      </c>
      <c r="G1976" s="27">
        <v>1</v>
      </c>
      <c r="H1976" s="27">
        <v>1</v>
      </c>
      <c r="I1976" s="27">
        <v>1</v>
      </c>
      <c r="J1976" s="30">
        <f t="shared" si="90"/>
        <v>1</v>
      </c>
      <c r="K1976" s="30">
        <f t="shared" si="91"/>
        <v>1</v>
      </c>
      <c r="L1976" s="26">
        <f t="shared" si="92"/>
        <v>1</v>
      </c>
      <c r="M1976" s="26"/>
    </row>
    <row r="1977" spans="1:13" ht="15" customHeight="1">
      <c r="A1977" s="25">
        <v>1675032</v>
      </c>
      <c r="B1977" s="26" t="s">
        <v>5423</v>
      </c>
      <c r="C1977" s="26" t="s">
        <v>9929</v>
      </c>
      <c r="D1977" s="26" t="s">
        <v>9930</v>
      </c>
      <c r="E1977" s="26" t="s">
        <v>5586</v>
      </c>
      <c r="F1977" s="27">
        <v>5927633</v>
      </c>
      <c r="G1977" s="27">
        <v>0</v>
      </c>
      <c r="H1977" s="27">
        <v>0</v>
      </c>
      <c r="I1977" s="27">
        <v>0</v>
      </c>
      <c r="J1977" s="30">
        <f t="shared" si="90"/>
        <v>0</v>
      </c>
      <c r="K1977" s="30">
        <f t="shared" si="91"/>
        <v>0</v>
      </c>
      <c r="L1977" s="26">
        <f t="shared" si="92"/>
        <v>0</v>
      </c>
      <c r="M1977" s="26" t="s">
        <v>5557</v>
      </c>
    </row>
    <row r="1978" spans="1:13" ht="15" customHeight="1">
      <c r="A1978" s="25">
        <v>1675035</v>
      </c>
      <c r="B1978" s="26" t="s">
        <v>5423</v>
      </c>
      <c r="C1978" s="26" t="s">
        <v>9931</v>
      </c>
      <c r="D1978" s="26" t="s">
        <v>9930</v>
      </c>
      <c r="E1978" s="26" t="s">
        <v>5718</v>
      </c>
      <c r="F1978" s="27">
        <v>5920418</v>
      </c>
      <c r="G1978" s="27">
        <v>1</v>
      </c>
      <c r="H1978" s="27">
        <v>1</v>
      </c>
      <c r="I1978" s="27">
        <v>1</v>
      </c>
      <c r="J1978" s="30">
        <f t="shared" si="90"/>
        <v>1</v>
      </c>
      <c r="K1978" s="30">
        <f t="shared" si="91"/>
        <v>1</v>
      </c>
      <c r="L1978" s="26">
        <f t="shared" si="92"/>
        <v>1</v>
      </c>
      <c r="M1978" s="26"/>
    </row>
    <row r="1979" spans="1:13" ht="15" customHeight="1">
      <c r="A1979" s="25">
        <v>1675094</v>
      </c>
      <c r="B1979" s="26" t="s">
        <v>5427</v>
      </c>
      <c r="C1979" s="26" t="s">
        <v>9932</v>
      </c>
      <c r="D1979" s="26" t="s">
        <v>9928</v>
      </c>
      <c r="E1979" s="26" t="s">
        <v>5718</v>
      </c>
      <c r="F1979" s="27"/>
      <c r="G1979" s="27">
        <v>0</v>
      </c>
      <c r="H1979" s="27">
        <v>0</v>
      </c>
      <c r="I1979" s="27">
        <v>0</v>
      </c>
      <c r="J1979" s="30">
        <f t="shared" si="90"/>
        <v>0</v>
      </c>
      <c r="K1979" s="30">
        <f t="shared" si="91"/>
        <v>0</v>
      </c>
      <c r="L1979" s="26">
        <f t="shared" si="92"/>
        <v>0</v>
      </c>
      <c r="M1979" s="26" t="s">
        <v>5557</v>
      </c>
    </row>
    <row r="1980" spans="1:13" ht="15" customHeight="1">
      <c r="A1980" s="25">
        <v>1675157</v>
      </c>
      <c r="B1980" s="26" t="s">
        <v>5427</v>
      </c>
      <c r="C1980" s="26" t="s">
        <v>9933</v>
      </c>
      <c r="D1980" s="26" t="s">
        <v>9928</v>
      </c>
      <c r="E1980" s="26" t="s">
        <v>5529</v>
      </c>
      <c r="F1980" s="27">
        <v>5928009</v>
      </c>
      <c r="G1980" s="27">
        <v>0</v>
      </c>
      <c r="H1980" s="27">
        <v>0</v>
      </c>
      <c r="I1980" s="27">
        <v>0</v>
      </c>
      <c r="J1980" s="30">
        <f t="shared" si="90"/>
        <v>0</v>
      </c>
      <c r="K1980" s="30">
        <f t="shared" si="91"/>
        <v>0</v>
      </c>
      <c r="L1980" s="26">
        <f t="shared" si="92"/>
        <v>0</v>
      </c>
      <c r="M1980" s="26">
        <v>0</v>
      </c>
    </row>
    <row r="1981" spans="1:13" ht="15" customHeight="1">
      <c r="A1981" s="25" t="s">
        <v>9934</v>
      </c>
      <c r="B1981" s="26" t="s">
        <v>5423</v>
      </c>
      <c r="C1981" s="26" t="s">
        <v>9935</v>
      </c>
      <c r="D1981" s="26" t="s">
        <v>9930</v>
      </c>
      <c r="E1981" s="26" t="s">
        <v>5452</v>
      </c>
      <c r="F1981" s="27"/>
      <c r="G1981" s="27">
        <v>1</v>
      </c>
      <c r="H1981" s="27">
        <v>0</v>
      </c>
      <c r="I1981" s="27">
        <v>1</v>
      </c>
      <c r="J1981" s="30">
        <f t="shared" si="90"/>
        <v>1</v>
      </c>
      <c r="K1981" s="30">
        <f t="shared" si="91"/>
        <v>0</v>
      </c>
      <c r="L1981" s="26">
        <f t="shared" si="92"/>
        <v>0</v>
      </c>
      <c r="M1981" s="26"/>
    </row>
    <row r="1982" spans="1:13" ht="15" customHeight="1">
      <c r="A1982" s="25">
        <v>1675303</v>
      </c>
      <c r="B1982" s="26" t="s">
        <v>5423</v>
      </c>
      <c r="C1982" s="26" t="s">
        <v>9936</v>
      </c>
      <c r="D1982" s="26" t="s">
        <v>9937</v>
      </c>
      <c r="E1982" s="26" t="s">
        <v>5447</v>
      </c>
      <c r="F1982" s="27">
        <v>5907346</v>
      </c>
      <c r="G1982" s="27">
        <v>1</v>
      </c>
      <c r="H1982" s="27">
        <v>1</v>
      </c>
      <c r="I1982" s="27">
        <v>1</v>
      </c>
      <c r="J1982" s="30">
        <f t="shared" si="90"/>
        <v>1</v>
      </c>
      <c r="K1982" s="30">
        <f t="shared" si="91"/>
        <v>1</v>
      </c>
      <c r="L1982" s="26">
        <f t="shared" si="92"/>
        <v>1</v>
      </c>
      <c r="M1982" s="26"/>
    </row>
    <row r="1983" spans="1:13" ht="15" customHeight="1">
      <c r="A1983" s="25">
        <v>1675691</v>
      </c>
      <c r="B1983" s="26" t="s">
        <v>5423</v>
      </c>
      <c r="C1983" s="26" t="s">
        <v>9938</v>
      </c>
      <c r="D1983" s="26" t="s">
        <v>9939</v>
      </c>
      <c r="E1983" s="26" t="s">
        <v>5718</v>
      </c>
      <c r="F1983" s="27">
        <v>5923387</v>
      </c>
      <c r="G1983" s="27">
        <v>1</v>
      </c>
      <c r="H1983" s="27">
        <v>0</v>
      </c>
      <c r="I1983" s="27">
        <v>1</v>
      </c>
      <c r="J1983" s="30">
        <f t="shared" si="90"/>
        <v>1</v>
      </c>
      <c r="K1983" s="30">
        <f t="shared" si="91"/>
        <v>0</v>
      </c>
      <c r="L1983" s="26">
        <f t="shared" si="92"/>
        <v>0</v>
      </c>
      <c r="M1983" s="26"/>
    </row>
    <row r="1984" spans="1:13" ht="15" customHeight="1">
      <c r="A1984" s="25">
        <v>1675808</v>
      </c>
      <c r="B1984" s="26" t="s">
        <v>5423</v>
      </c>
      <c r="C1984" s="26" t="s">
        <v>9940</v>
      </c>
      <c r="D1984" s="26" t="s">
        <v>9941</v>
      </c>
      <c r="E1984" s="26" t="s">
        <v>5507</v>
      </c>
      <c r="F1984" s="27">
        <v>5931104</v>
      </c>
      <c r="G1984" s="27">
        <v>1</v>
      </c>
      <c r="H1984" s="27">
        <v>1</v>
      </c>
      <c r="I1984" s="27">
        <v>1</v>
      </c>
      <c r="J1984" s="30">
        <f t="shared" si="90"/>
        <v>1</v>
      </c>
      <c r="K1984" s="30">
        <f t="shared" si="91"/>
        <v>1</v>
      </c>
      <c r="L1984" s="26">
        <f t="shared" si="92"/>
        <v>1</v>
      </c>
      <c r="M1984" s="26"/>
    </row>
    <row r="1985" spans="1:13" ht="15" customHeight="1">
      <c r="A1985" s="25">
        <v>1675841</v>
      </c>
      <c r="B1985" s="26" t="s">
        <v>5423</v>
      </c>
      <c r="C1985" s="26" t="s">
        <v>9942</v>
      </c>
      <c r="D1985" s="26" t="s">
        <v>9943</v>
      </c>
      <c r="E1985" s="26" t="s">
        <v>5475</v>
      </c>
      <c r="F1985" s="27">
        <v>5442760</v>
      </c>
      <c r="G1985" s="27">
        <v>0</v>
      </c>
      <c r="H1985" s="27">
        <v>0</v>
      </c>
      <c r="I1985" s="27">
        <v>0</v>
      </c>
      <c r="J1985" s="30">
        <f t="shared" si="90"/>
        <v>0</v>
      </c>
      <c r="K1985" s="30">
        <f t="shared" si="91"/>
        <v>0</v>
      </c>
      <c r="L1985" s="26">
        <f t="shared" si="92"/>
        <v>0</v>
      </c>
      <c r="M1985" s="26" t="s">
        <v>5557</v>
      </c>
    </row>
    <row r="1986" spans="1:13" ht="15" customHeight="1">
      <c r="A1986" s="25">
        <v>1675854</v>
      </c>
      <c r="B1986" s="26" t="s">
        <v>5427</v>
      </c>
      <c r="C1986" s="26" t="s">
        <v>9944</v>
      </c>
      <c r="D1986" s="26" t="s">
        <v>9945</v>
      </c>
      <c r="E1986" s="26" t="s">
        <v>5439</v>
      </c>
      <c r="F1986" s="27">
        <v>5780960</v>
      </c>
      <c r="G1986" s="27">
        <v>1</v>
      </c>
      <c r="H1986" s="27">
        <v>1</v>
      </c>
      <c r="I1986" s="27">
        <v>1</v>
      </c>
      <c r="J1986" s="30">
        <f t="shared" ref="J1986:J2049" si="93">IF(G1986&gt;0,1,0)</f>
        <v>1</v>
      </c>
      <c r="K1986" s="30">
        <f t="shared" ref="K1986:K2049" si="94">IF(H1986&gt;0,1,0)</f>
        <v>1</v>
      </c>
      <c r="L1986" s="26">
        <f t="shared" ref="L1986:L2049" si="95">IF(G1986&gt;0,IF(H1986&gt;0,1,0),0)</f>
        <v>1</v>
      </c>
      <c r="M1986" s="26" t="s">
        <v>9946</v>
      </c>
    </row>
    <row r="1987" spans="1:13" ht="15" customHeight="1">
      <c r="A1987" s="25">
        <v>1675862</v>
      </c>
      <c r="B1987" s="26" t="s">
        <v>5423</v>
      </c>
      <c r="C1987" s="26" t="s">
        <v>9947</v>
      </c>
      <c r="D1987" s="26" t="s">
        <v>9941</v>
      </c>
      <c r="E1987" s="26" t="s">
        <v>5535</v>
      </c>
      <c r="F1987" s="27">
        <v>5884541</v>
      </c>
      <c r="G1987" s="27">
        <v>0</v>
      </c>
      <c r="H1987" s="27">
        <v>1</v>
      </c>
      <c r="I1987" s="27">
        <v>1</v>
      </c>
      <c r="J1987" s="30">
        <f t="shared" si="93"/>
        <v>0</v>
      </c>
      <c r="K1987" s="30">
        <f t="shared" si="94"/>
        <v>1</v>
      </c>
      <c r="L1987" s="26">
        <f t="shared" si="95"/>
        <v>0</v>
      </c>
      <c r="M1987" s="26"/>
    </row>
    <row r="1988" spans="1:13" ht="15" customHeight="1">
      <c r="A1988" s="25">
        <v>1675973</v>
      </c>
      <c r="B1988" s="26" t="s">
        <v>5427</v>
      </c>
      <c r="C1988" s="26" t="s">
        <v>9948</v>
      </c>
      <c r="D1988" s="26" t="s">
        <v>9949</v>
      </c>
      <c r="E1988" s="26" t="s">
        <v>5610</v>
      </c>
      <c r="F1988" s="27">
        <v>4946573</v>
      </c>
      <c r="G1988" s="27">
        <v>0</v>
      </c>
      <c r="H1988" s="27">
        <v>0</v>
      </c>
      <c r="I1988" s="27">
        <v>0</v>
      </c>
      <c r="J1988" s="30">
        <f t="shared" si="93"/>
        <v>0</v>
      </c>
      <c r="K1988" s="30">
        <f t="shared" si="94"/>
        <v>0</v>
      </c>
      <c r="L1988" s="26">
        <f t="shared" si="95"/>
        <v>0</v>
      </c>
      <c r="M1988" s="26" t="s">
        <v>5557</v>
      </c>
    </row>
    <row r="1989" spans="1:13" ht="15" customHeight="1">
      <c r="A1989" s="25">
        <v>1676156</v>
      </c>
      <c r="B1989" s="26" t="s">
        <v>5423</v>
      </c>
      <c r="C1989" s="26" t="s">
        <v>9950</v>
      </c>
      <c r="D1989" s="26" t="s">
        <v>9951</v>
      </c>
      <c r="E1989" s="26" t="s">
        <v>5455</v>
      </c>
      <c r="F1989" s="27">
        <v>5922135</v>
      </c>
      <c r="G1989" s="27">
        <v>1</v>
      </c>
      <c r="H1989" s="27">
        <v>0</v>
      </c>
      <c r="I1989" s="27">
        <v>1</v>
      </c>
      <c r="J1989" s="30">
        <f t="shared" si="93"/>
        <v>1</v>
      </c>
      <c r="K1989" s="30">
        <f t="shared" si="94"/>
        <v>0</v>
      </c>
      <c r="L1989" s="26">
        <f t="shared" si="95"/>
        <v>0</v>
      </c>
      <c r="M1989" s="26"/>
    </row>
    <row r="1990" spans="1:13" ht="15" customHeight="1">
      <c r="A1990" s="25" t="s">
        <v>9952</v>
      </c>
      <c r="B1990" s="26" t="s">
        <v>5423</v>
      </c>
      <c r="C1990" s="26" t="s">
        <v>9953</v>
      </c>
      <c r="D1990" s="26" t="s">
        <v>9954</v>
      </c>
      <c r="E1990" s="26" t="s">
        <v>5426</v>
      </c>
      <c r="F1990" s="27">
        <v>5921145</v>
      </c>
      <c r="G1990" s="27">
        <v>1</v>
      </c>
      <c r="H1990" s="27">
        <v>1</v>
      </c>
      <c r="I1990" s="27">
        <v>1</v>
      </c>
      <c r="J1990" s="30">
        <f t="shared" si="93"/>
        <v>1</v>
      </c>
      <c r="K1990" s="30">
        <f t="shared" si="94"/>
        <v>1</v>
      </c>
      <c r="L1990" s="26">
        <f t="shared" si="95"/>
        <v>1</v>
      </c>
      <c r="M1990" s="26"/>
    </row>
    <row r="1991" spans="1:13" ht="15" customHeight="1">
      <c r="A1991" s="25">
        <v>1676196</v>
      </c>
      <c r="B1991" s="26" t="s">
        <v>5427</v>
      </c>
      <c r="C1991" s="26" t="s">
        <v>9955</v>
      </c>
      <c r="D1991" s="26" t="s">
        <v>9954</v>
      </c>
      <c r="E1991" s="26" t="s">
        <v>5430</v>
      </c>
      <c r="F1991" s="27">
        <v>5781073</v>
      </c>
      <c r="G1991" s="27">
        <v>0</v>
      </c>
      <c r="H1991" s="27">
        <v>0</v>
      </c>
      <c r="I1991" s="27">
        <v>0</v>
      </c>
      <c r="J1991" s="30">
        <f t="shared" si="93"/>
        <v>0</v>
      </c>
      <c r="K1991" s="30">
        <f t="shared" si="94"/>
        <v>0</v>
      </c>
      <c r="L1991" s="26">
        <f t="shared" si="95"/>
        <v>0</v>
      </c>
      <c r="M1991" s="26" t="s">
        <v>9956</v>
      </c>
    </row>
    <row r="1992" spans="1:13" ht="15" customHeight="1">
      <c r="A1992" s="25">
        <v>1676418</v>
      </c>
      <c r="B1992" s="26" t="s">
        <v>5427</v>
      </c>
      <c r="C1992" s="26" t="s">
        <v>9957</v>
      </c>
      <c r="D1992" s="26" t="s">
        <v>9945</v>
      </c>
      <c r="E1992" s="26" t="s">
        <v>5532</v>
      </c>
      <c r="F1992" s="27">
        <v>5330051</v>
      </c>
      <c r="G1992" s="27">
        <v>0</v>
      </c>
      <c r="H1992" s="27">
        <v>0</v>
      </c>
      <c r="I1992" s="27">
        <v>0</v>
      </c>
      <c r="J1992" s="30">
        <f t="shared" si="93"/>
        <v>0</v>
      </c>
      <c r="K1992" s="30">
        <f t="shared" si="94"/>
        <v>0</v>
      </c>
      <c r="L1992" s="26">
        <f t="shared" si="95"/>
        <v>0</v>
      </c>
      <c r="M1992" s="26" t="s">
        <v>5876</v>
      </c>
    </row>
    <row r="1993" spans="1:13" ht="15" customHeight="1">
      <c r="A1993" s="25">
        <v>1676513</v>
      </c>
      <c r="B1993" s="26" t="s">
        <v>5427</v>
      </c>
      <c r="C1993" s="26" t="s">
        <v>9958</v>
      </c>
      <c r="D1993" s="26" t="s">
        <v>9959</v>
      </c>
      <c r="E1993" s="26" t="s">
        <v>5781</v>
      </c>
      <c r="F1993" s="27">
        <v>5927786</v>
      </c>
      <c r="G1993" s="27">
        <v>1</v>
      </c>
      <c r="H1993" s="27">
        <v>1</v>
      </c>
      <c r="I1993" s="27">
        <v>1</v>
      </c>
      <c r="J1993" s="30">
        <f t="shared" si="93"/>
        <v>1</v>
      </c>
      <c r="K1993" s="30">
        <f t="shared" si="94"/>
        <v>1</v>
      </c>
      <c r="L1993" s="26">
        <f t="shared" si="95"/>
        <v>1</v>
      </c>
      <c r="M1993" s="26"/>
    </row>
    <row r="1994" spans="1:13" ht="15" customHeight="1">
      <c r="A1994" s="25">
        <v>1676663</v>
      </c>
      <c r="B1994" s="26" t="s">
        <v>5423</v>
      </c>
      <c r="C1994" s="26" t="s">
        <v>9960</v>
      </c>
      <c r="D1994" s="26" t="s">
        <v>9961</v>
      </c>
      <c r="E1994" s="26" t="s">
        <v>9962</v>
      </c>
      <c r="F1994" s="27">
        <v>5933601</v>
      </c>
      <c r="G1994" s="27">
        <v>0</v>
      </c>
      <c r="H1994" s="27">
        <v>0</v>
      </c>
      <c r="I1994" s="27">
        <v>0</v>
      </c>
      <c r="J1994" s="30">
        <f t="shared" si="93"/>
        <v>0</v>
      </c>
      <c r="K1994" s="30">
        <f t="shared" si="94"/>
        <v>0</v>
      </c>
      <c r="L1994" s="26">
        <f t="shared" si="95"/>
        <v>0</v>
      </c>
      <c r="M1994" s="26">
        <v>0</v>
      </c>
    </row>
    <row r="1995" spans="1:13" ht="15" customHeight="1">
      <c r="A1995" s="25">
        <v>1677121</v>
      </c>
      <c r="B1995" s="26" t="s">
        <v>5423</v>
      </c>
      <c r="C1995" s="26" t="s">
        <v>9963</v>
      </c>
      <c r="D1995" s="26" t="s">
        <v>9954</v>
      </c>
      <c r="E1995" s="26" t="s">
        <v>5763</v>
      </c>
      <c r="F1995" s="27">
        <v>5921847</v>
      </c>
      <c r="G1995" s="27">
        <v>1</v>
      </c>
      <c r="H1995" s="27">
        <v>0</v>
      </c>
      <c r="I1995" s="27">
        <v>1</v>
      </c>
      <c r="J1995" s="30">
        <f t="shared" si="93"/>
        <v>1</v>
      </c>
      <c r="K1995" s="30">
        <f t="shared" si="94"/>
        <v>0</v>
      </c>
      <c r="L1995" s="26">
        <f t="shared" si="95"/>
        <v>0</v>
      </c>
      <c r="M1995" s="26"/>
    </row>
    <row r="1996" spans="1:13" ht="15" customHeight="1">
      <c r="A1996" s="25">
        <v>1677136</v>
      </c>
      <c r="B1996" s="26" t="s">
        <v>5423</v>
      </c>
      <c r="C1996" s="26" t="s">
        <v>9964</v>
      </c>
      <c r="D1996" s="26" t="s">
        <v>9965</v>
      </c>
      <c r="E1996" s="26" t="s">
        <v>5485</v>
      </c>
      <c r="F1996" s="27">
        <v>5933937</v>
      </c>
      <c r="G1996" s="27">
        <v>0</v>
      </c>
      <c r="H1996" s="27">
        <v>1</v>
      </c>
      <c r="I1996" s="27">
        <v>1</v>
      </c>
      <c r="J1996" s="30">
        <f t="shared" si="93"/>
        <v>0</v>
      </c>
      <c r="K1996" s="30">
        <f t="shared" si="94"/>
        <v>1</v>
      </c>
      <c r="L1996" s="26">
        <f t="shared" si="95"/>
        <v>0</v>
      </c>
      <c r="M1996" s="26"/>
    </row>
    <row r="1997" spans="1:13" ht="15" customHeight="1">
      <c r="A1997" s="25">
        <v>1677578</v>
      </c>
      <c r="B1997" s="26" t="s">
        <v>5423</v>
      </c>
      <c r="C1997" s="26" t="s">
        <v>9966</v>
      </c>
      <c r="D1997" s="26" t="s">
        <v>9965</v>
      </c>
      <c r="E1997" s="26" t="s">
        <v>5504</v>
      </c>
      <c r="F1997" s="27">
        <v>5213411</v>
      </c>
      <c r="G1997" s="27">
        <v>0</v>
      </c>
      <c r="H1997" s="27">
        <v>0</v>
      </c>
      <c r="I1997" s="27">
        <v>0</v>
      </c>
      <c r="J1997" s="30">
        <f t="shared" si="93"/>
        <v>0</v>
      </c>
      <c r="K1997" s="30">
        <f t="shared" si="94"/>
        <v>0</v>
      </c>
      <c r="L1997" s="26">
        <f t="shared" si="95"/>
        <v>0</v>
      </c>
      <c r="M1997" s="26" t="s">
        <v>5557</v>
      </c>
    </row>
    <row r="1998" spans="1:13" ht="15" customHeight="1">
      <c r="A1998" s="25">
        <v>1677673</v>
      </c>
      <c r="B1998" s="26" t="s">
        <v>5427</v>
      </c>
      <c r="C1998" s="26" t="s">
        <v>9967</v>
      </c>
      <c r="D1998" s="26" t="s">
        <v>9965</v>
      </c>
      <c r="E1998" s="26" t="s">
        <v>5535</v>
      </c>
      <c r="F1998" s="27">
        <v>5927967</v>
      </c>
      <c r="G1998" s="27">
        <v>1</v>
      </c>
      <c r="H1998" s="27">
        <v>1</v>
      </c>
      <c r="I1998" s="27">
        <v>1</v>
      </c>
      <c r="J1998" s="30">
        <f t="shared" si="93"/>
        <v>1</v>
      </c>
      <c r="K1998" s="30">
        <f t="shared" si="94"/>
        <v>1</v>
      </c>
      <c r="L1998" s="26">
        <f t="shared" si="95"/>
        <v>1</v>
      </c>
      <c r="M1998" s="26"/>
    </row>
    <row r="1999" spans="1:13" ht="15" customHeight="1">
      <c r="A1999" s="25">
        <v>1677695</v>
      </c>
      <c r="B1999" s="26" t="s">
        <v>5423</v>
      </c>
      <c r="C1999" s="26" t="s">
        <v>9968</v>
      </c>
      <c r="D1999" s="26" t="s">
        <v>9969</v>
      </c>
      <c r="E1999" s="26" t="s">
        <v>5540</v>
      </c>
      <c r="F1999" s="27">
        <v>5934654</v>
      </c>
      <c r="G1999" s="27">
        <v>1</v>
      </c>
      <c r="H1999" s="27">
        <v>0</v>
      </c>
      <c r="I1999" s="27">
        <v>1</v>
      </c>
      <c r="J1999" s="30">
        <f t="shared" si="93"/>
        <v>1</v>
      </c>
      <c r="K1999" s="30">
        <f t="shared" si="94"/>
        <v>0</v>
      </c>
      <c r="L1999" s="26">
        <f t="shared" si="95"/>
        <v>0</v>
      </c>
      <c r="M1999" s="26" t="s">
        <v>8045</v>
      </c>
    </row>
    <row r="2000" spans="1:13" ht="15" customHeight="1">
      <c r="A2000" s="25">
        <v>1677715</v>
      </c>
      <c r="B2000" s="26" t="s">
        <v>5423</v>
      </c>
      <c r="C2000" s="26" t="s">
        <v>9970</v>
      </c>
      <c r="D2000" s="26" t="s">
        <v>9969</v>
      </c>
      <c r="E2000" s="26" t="s">
        <v>5504</v>
      </c>
      <c r="F2000" s="27">
        <v>5935199</v>
      </c>
      <c r="G2000" s="27">
        <v>1</v>
      </c>
      <c r="H2000" s="27">
        <v>0</v>
      </c>
      <c r="I2000" s="27">
        <v>1</v>
      </c>
      <c r="J2000" s="30">
        <f t="shared" si="93"/>
        <v>1</v>
      </c>
      <c r="K2000" s="30">
        <f t="shared" si="94"/>
        <v>0</v>
      </c>
      <c r="L2000" s="26">
        <f t="shared" si="95"/>
        <v>0</v>
      </c>
      <c r="M2000" s="26"/>
    </row>
    <row r="2001" spans="1:13" ht="15" customHeight="1">
      <c r="A2001" s="25">
        <v>1678518</v>
      </c>
      <c r="B2001" s="26" t="s">
        <v>5427</v>
      </c>
      <c r="C2001" s="26" t="s">
        <v>9971</v>
      </c>
      <c r="D2001" s="26" t="s">
        <v>9912</v>
      </c>
      <c r="E2001" s="26" t="s">
        <v>5426</v>
      </c>
      <c r="F2001" s="27">
        <v>5938791</v>
      </c>
      <c r="G2001" s="27">
        <v>0</v>
      </c>
      <c r="H2001" s="27">
        <v>0</v>
      </c>
      <c r="I2001" s="27">
        <v>0</v>
      </c>
      <c r="J2001" s="30">
        <f t="shared" si="93"/>
        <v>0</v>
      </c>
      <c r="K2001" s="30">
        <f t="shared" si="94"/>
        <v>0</v>
      </c>
      <c r="L2001" s="26">
        <f t="shared" si="95"/>
        <v>0</v>
      </c>
      <c r="M2001" s="26">
        <v>0</v>
      </c>
    </row>
    <row r="2002" spans="1:13" ht="15" customHeight="1">
      <c r="A2002" s="25">
        <v>1678682</v>
      </c>
      <c r="B2002" s="26" t="s">
        <v>5427</v>
      </c>
      <c r="C2002" s="26" t="s">
        <v>9972</v>
      </c>
      <c r="D2002" s="26" t="s">
        <v>9973</v>
      </c>
      <c r="E2002" s="26" t="s">
        <v>5475</v>
      </c>
      <c r="F2002" s="27">
        <v>4962357</v>
      </c>
      <c r="G2002" s="27">
        <v>0</v>
      </c>
      <c r="H2002" s="27">
        <v>0</v>
      </c>
      <c r="I2002" s="27">
        <v>0</v>
      </c>
      <c r="J2002" s="30">
        <f t="shared" si="93"/>
        <v>0</v>
      </c>
      <c r="K2002" s="30">
        <f t="shared" si="94"/>
        <v>0</v>
      </c>
      <c r="L2002" s="26">
        <f t="shared" si="95"/>
        <v>0</v>
      </c>
      <c r="M2002" s="26" t="s">
        <v>5557</v>
      </c>
    </row>
    <row r="2003" spans="1:13" ht="15" customHeight="1">
      <c r="A2003" s="25">
        <v>1678686</v>
      </c>
      <c r="B2003" s="26" t="s">
        <v>5423</v>
      </c>
      <c r="C2003" s="26" t="s">
        <v>9974</v>
      </c>
      <c r="D2003" s="26" t="s">
        <v>9852</v>
      </c>
      <c r="E2003" s="26" t="s">
        <v>5540</v>
      </c>
      <c r="F2003" s="27">
        <v>5938677</v>
      </c>
      <c r="G2003" s="27">
        <v>0</v>
      </c>
      <c r="H2003" s="27">
        <v>0</v>
      </c>
      <c r="I2003" s="27">
        <v>0</v>
      </c>
      <c r="J2003" s="30">
        <f t="shared" si="93"/>
        <v>0</v>
      </c>
      <c r="K2003" s="30">
        <f t="shared" si="94"/>
        <v>0</v>
      </c>
      <c r="L2003" s="26">
        <f t="shared" si="95"/>
        <v>0</v>
      </c>
      <c r="M2003" s="26" t="s">
        <v>8147</v>
      </c>
    </row>
    <row r="2004" spans="1:13" ht="15" customHeight="1">
      <c r="A2004" s="25">
        <v>1678689</v>
      </c>
      <c r="B2004" s="26" t="s">
        <v>5423</v>
      </c>
      <c r="C2004" s="26" t="s">
        <v>9975</v>
      </c>
      <c r="D2004" s="26" t="s">
        <v>9973</v>
      </c>
      <c r="E2004" s="26" t="s">
        <v>5504</v>
      </c>
      <c r="F2004" s="27">
        <v>5939757</v>
      </c>
      <c r="G2004" s="27">
        <v>0</v>
      </c>
      <c r="H2004" s="27">
        <v>0</v>
      </c>
      <c r="I2004" s="27">
        <v>0</v>
      </c>
      <c r="J2004" s="30">
        <f t="shared" si="93"/>
        <v>0</v>
      </c>
      <c r="K2004" s="30">
        <f t="shared" si="94"/>
        <v>0</v>
      </c>
      <c r="L2004" s="26">
        <f t="shared" si="95"/>
        <v>0</v>
      </c>
      <c r="M2004" s="26">
        <v>0</v>
      </c>
    </row>
    <row r="2005" spans="1:13" ht="15" customHeight="1">
      <c r="A2005" s="25">
        <v>1678716</v>
      </c>
      <c r="B2005" s="26" t="s">
        <v>5423</v>
      </c>
      <c r="C2005" s="26" t="s">
        <v>9976</v>
      </c>
      <c r="D2005" s="26" t="s">
        <v>9977</v>
      </c>
      <c r="E2005" s="26" t="s">
        <v>5532</v>
      </c>
      <c r="F2005" s="27">
        <v>5939747</v>
      </c>
      <c r="G2005" s="27">
        <v>0</v>
      </c>
      <c r="H2005" s="27">
        <v>0</v>
      </c>
      <c r="I2005" s="27">
        <v>0</v>
      </c>
      <c r="J2005" s="30">
        <f t="shared" si="93"/>
        <v>0</v>
      </c>
      <c r="K2005" s="30">
        <f t="shared" si="94"/>
        <v>0</v>
      </c>
      <c r="L2005" s="26">
        <f t="shared" si="95"/>
        <v>0</v>
      </c>
      <c r="M2005" s="26">
        <v>0</v>
      </c>
    </row>
    <row r="2006" spans="1:13" ht="15" customHeight="1">
      <c r="A2006" s="25">
        <v>1678721</v>
      </c>
      <c r="B2006" s="26" t="s">
        <v>5427</v>
      </c>
      <c r="C2006" s="26" t="s">
        <v>9978</v>
      </c>
      <c r="D2006" s="26" t="s">
        <v>9973</v>
      </c>
      <c r="E2006" s="26" t="s">
        <v>5545</v>
      </c>
      <c r="F2006" s="27">
        <v>5938801</v>
      </c>
      <c r="G2006" s="27">
        <v>1</v>
      </c>
      <c r="H2006" s="27">
        <v>1</v>
      </c>
      <c r="I2006" s="27">
        <v>1</v>
      </c>
      <c r="J2006" s="30">
        <f t="shared" si="93"/>
        <v>1</v>
      </c>
      <c r="K2006" s="30">
        <f t="shared" si="94"/>
        <v>1</v>
      </c>
      <c r="L2006" s="26">
        <f t="shared" si="95"/>
        <v>1</v>
      </c>
      <c r="M2006" s="26"/>
    </row>
    <row r="2007" spans="1:13" ht="15" customHeight="1">
      <c r="A2007" s="25">
        <v>1678743</v>
      </c>
      <c r="B2007" s="26" t="s">
        <v>5427</v>
      </c>
      <c r="C2007" s="26" t="s">
        <v>9979</v>
      </c>
      <c r="D2007" s="26" t="s">
        <v>9980</v>
      </c>
      <c r="E2007" s="26" t="s">
        <v>5540</v>
      </c>
      <c r="F2007" s="27">
        <v>5938778</v>
      </c>
      <c r="G2007" s="27">
        <v>1</v>
      </c>
      <c r="H2007" s="27">
        <v>1</v>
      </c>
      <c r="I2007" s="27">
        <v>1</v>
      </c>
      <c r="J2007" s="30">
        <f t="shared" si="93"/>
        <v>1</v>
      </c>
      <c r="K2007" s="30">
        <f t="shared" si="94"/>
        <v>1</v>
      </c>
      <c r="L2007" s="26">
        <f t="shared" si="95"/>
        <v>1</v>
      </c>
      <c r="M2007" s="26"/>
    </row>
    <row r="2008" spans="1:13" ht="15" customHeight="1">
      <c r="A2008" s="25">
        <v>1678809</v>
      </c>
      <c r="B2008" s="26" t="s">
        <v>5423</v>
      </c>
      <c r="C2008" s="26" t="s">
        <v>9981</v>
      </c>
      <c r="D2008" s="26" t="s">
        <v>9980</v>
      </c>
      <c r="E2008" s="26" t="s">
        <v>5504</v>
      </c>
      <c r="F2008" s="27">
        <v>5942115</v>
      </c>
      <c r="G2008" s="27">
        <v>0</v>
      </c>
      <c r="H2008" s="27">
        <v>1</v>
      </c>
      <c r="I2008" s="27">
        <v>1</v>
      </c>
      <c r="J2008" s="30">
        <f t="shared" si="93"/>
        <v>0</v>
      </c>
      <c r="K2008" s="30">
        <f t="shared" si="94"/>
        <v>1</v>
      </c>
      <c r="L2008" s="26">
        <f t="shared" si="95"/>
        <v>0</v>
      </c>
      <c r="M2008" s="26"/>
    </row>
    <row r="2009" spans="1:13" ht="15" customHeight="1">
      <c r="A2009" s="25">
        <v>1678822</v>
      </c>
      <c r="B2009" s="26" t="s">
        <v>5423</v>
      </c>
      <c r="C2009" s="26" t="s">
        <v>9982</v>
      </c>
      <c r="D2009" s="26" t="s">
        <v>9983</v>
      </c>
      <c r="E2009" s="26" t="s">
        <v>5439</v>
      </c>
      <c r="F2009" s="27">
        <v>5306230</v>
      </c>
      <c r="G2009" s="27">
        <v>0</v>
      </c>
      <c r="H2009" s="27">
        <v>0</v>
      </c>
      <c r="I2009" s="27">
        <v>0</v>
      </c>
      <c r="J2009" s="30">
        <f t="shared" si="93"/>
        <v>0</v>
      </c>
      <c r="K2009" s="30">
        <f t="shared" si="94"/>
        <v>0</v>
      </c>
      <c r="L2009" s="26">
        <f t="shared" si="95"/>
        <v>0</v>
      </c>
      <c r="M2009" s="26" t="s">
        <v>5557</v>
      </c>
    </row>
    <row r="2010" spans="1:13" ht="15" customHeight="1">
      <c r="A2010" s="25">
        <v>1678963</v>
      </c>
      <c r="B2010" s="26" t="s">
        <v>5423</v>
      </c>
      <c r="C2010" s="26" t="s">
        <v>9984</v>
      </c>
      <c r="D2010" s="26" t="s">
        <v>9985</v>
      </c>
      <c r="E2010" s="26" t="s">
        <v>5522</v>
      </c>
      <c r="F2010" s="27">
        <v>5867636</v>
      </c>
      <c r="G2010" s="27">
        <v>1</v>
      </c>
      <c r="H2010" s="27">
        <v>0</v>
      </c>
      <c r="I2010" s="27">
        <v>1</v>
      </c>
      <c r="J2010" s="30">
        <f t="shared" si="93"/>
        <v>1</v>
      </c>
      <c r="K2010" s="30">
        <f t="shared" si="94"/>
        <v>0</v>
      </c>
      <c r="L2010" s="26">
        <f t="shared" si="95"/>
        <v>0</v>
      </c>
      <c r="M2010" s="26"/>
    </row>
    <row r="2011" spans="1:13" ht="15" customHeight="1">
      <c r="A2011" s="25">
        <v>1678997</v>
      </c>
      <c r="B2011" s="26" t="s">
        <v>5427</v>
      </c>
      <c r="C2011" s="26" t="s">
        <v>9986</v>
      </c>
      <c r="D2011" s="26" t="s">
        <v>9987</v>
      </c>
      <c r="E2011" s="26" t="s">
        <v>5488</v>
      </c>
      <c r="F2011" s="27">
        <v>5930970</v>
      </c>
      <c r="G2011" s="27">
        <v>1</v>
      </c>
      <c r="H2011" s="27">
        <v>1</v>
      </c>
      <c r="I2011" s="27">
        <v>1</v>
      </c>
      <c r="J2011" s="30">
        <f t="shared" si="93"/>
        <v>1</v>
      </c>
      <c r="K2011" s="30">
        <f t="shared" si="94"/>
        <v>1</v>
      </c>
      <c r="L2011" s="26">
        <f t="shared" si="95"/>
        <v>1</v>
      </c>
      <c r="M2011" s="26"/>
    </row>
    <row r="2012" spans="1:13" ht="15" customHeight="1">
      <c r="A2012" s="25">
        <v>1679015</v>
      </c>
      <c r="B2012" s="26" t="s">
        <v>5423</v>
      </c>
      <c r="C2012" s="26" t="s">
        <v>9988</v>
      </c>
      <c r="D2012" s="26" t="s">
        <v>9985</v>
      </c>
      <c r="E2012" s="26" t="s">
        <v>5610</v>
      </c>
      <c r="F2012" s="27">
        <v>5887351</v>
      </c>
      <c r="G2012" s="27">
        <v>1</v>
      </c>
      <c r="H2012" s="27">
        <v>0</v>
      </c>
      <c r="I2012" s="27">
        <v>1</v>
      </c>
      <c r="J2012" s="30">
        <f t="shared" si="93"/>
        <v>1</v>
      </c>
      <c r="K2012" s="30">
        <f t="shared" si="94"/>
        <v>0</v>
      </c>
      <c r="L2012" s="26">
        <f t="shared" si="95"/>
        <v>0</v>
      </c>
      <c r="M2012" s="26"/>
    </row>
    <row r="2013" spans="1:13" ht="15" customHeight="1">
      <c r="A2013" s="25">
        <v>1679034</v>
      </c>
      <c r="B2013" s="26" t="s">
        <v>5427</v>
      </c>
      <c r="C2013" s="26" t="s">
        <v>9989</v>
      </c>
      <c r="D2013" s="26" t="s">
        <v>9985</v>
      </c>
      <c r="E2013" s="26" t="s">
        <v>5442</v>
      </c>
      <c r="F2013" s="27">
        <v>5935875</v>
      </c>
      <c r="G2013" s="27">
        <v>1</v>
      </c>
      <c r="H2013" s="27">
        <v>1</v>
      </c>
      <c r="I2013" s="27">
        <v>1</v>
      </c>
      <c r="J2013" s="30">
        <f t="shared" si="93"/>
        <v>1</v>
      </c>
      <c r="K2013" s="30">
        <f t="shared" si="94"/>
        <v>1</v>
      </c>
      <c r="L2013" s="26">
        <f t="shared" si="95"/>
        <v>1</v>
      </c>
      <c r="M2013" s="26" t="s">
        <v>9990</v>
      </c>
    </row>
    <row r="2014" spans="1:13" ht="15" customHeight="1">
      <c r="A2014" s="25">
        <v>1679210</v>
      </c>
      <c r="B2014" s="26" t="s">
        <v>5423</v>
      </c>
      <c r="C2014" s="26" t="s">
        <v>9991</v>
      </c>
      <c r="D2014" s="26" t="s">
        <v>9992</v>
      </c>
      <c r="E2014" s="26" t="s">
        <v>5718</v>
      </c>
      <c r="F2014" s="27">
        <v>5936344</v>
      </c>
      <c r="G2014" s="27">
        <v>1</v>
      </c>
      <c r="H2014" s="27">
        <v>1</v>
      </c>
      <c r="I2014" s="27">
        <v>1</v>
      </c>
      <c r="J2014" s="30">
        <f t="shared" si="93"/>
        <v>1</v>
      </c>
      <c r="K2014" s="30">
        <f t="shared" si="94"/>
        <v>1</v>
      </c>
      <c r="L2014" s="26">
        <f t="shared" si="95"/>
        <v>1</v>
      </c>
      <c r="M2014" s="26"/>
    </row>
    <row r="2015" spans="1:13" ht="15" customHeight="1">
      <c r="A2015" s="25">
        <v>1679404</v>
      </c>
      <c r="B2015" s="26" t="s">
        <v>5423</v>
      </c>
      <c r="C2015" s="26" t="s">
        <v>9993</v>
      </c>
      <c r="D2015" s="26" t="s">
        <v>9994</v>
      </c>
      <c r="E2015" s="26" t="s">
        <v>8392</v>
      </c>
      <c r="F2015" s="27">
        <v>5934731</v>
      </c>
      <c r="G2015" s="27">
        <v>1</v>
      </c>
      <c r="H2015" s="27">
        <v>1</v>
      </c>
      <c r="I2015" s="27">
        <v>1</v>
      </c>
      <c r="J2015" s="30">
        <f t="shared" si="93"/>
        <v>1</v>
      </c>
      <c r="K2015" s="30">
        <f t="shared" si="94"/>
        <v>1</v>
      </c>
      <c r="L2015" s="26">
        <f t="shared" si="95"/>
        <v>1</v>
      </c>
      <c r="M2015" s="26"/>
    </row>
    <row r="2016" spans="1:13" ht="15" customHeight="1">
      <c r="A2016" s="25">
        <v>1679430</v>
      </c>
      <c r="B2016" s="26" t="s">
        <v>5423</v>
      </c>
      <c r="C2016" s="26" t="s">
        <v>9995</v>
      </c>
      <c r="D2016" s="26" t="s">
        <v>9977</v>
      </c>
      <c r="E2016" s="26" t="s">
        <v>5426</v>
      </c>
      <c r="F2016" s="27">
        <v>5933239</v>
      </c>
      <c r="G2016" s="27">
        <v>1</v>
      </c>
      <c r="H2016" s="27">
        <v>0</v>
      </c>
      <c r="I2016" s="27">
        <v>1</v>
      </c>
      <c r="J2016" s="30">
        <f t="shared" si="93"/>
        <v>1</v>
      </c>
      <c r="K2016" s="30">
        <f t="shared" si="94"/>
        <v>0</v>
      </c>
      <c r="L2016" s="26">
        <f t="shared" si="95"/>
        <v>0</v>
      </c>
      <c r="M2016" s="26"/>
    </row>
    <row r="2017" spans="1:13" ht="15" customHeight="1">
      <c r="A2017" s="25">
        <v>1679459</v>
      </c>
      <c r="B2017" s="26" t="s">
        <v>5423</v>
      </c>
      <c r="C2017" s="26" t="s">
        <v>9996</v>
      </c>
      <c r="D2017" s="26" t="s">
        <v>9994</v>
      </c>
      <c r="E2017" s="26" t="s">
        <v>5535</v>
      </c>
      <c r="F2017" s="27">
        <v>5936415</v>
      </c>
      <c r="G2017" s="27">
        <v>0</v>
      </c>
      <c r="H2017" s="27">
        <v>0</v>
      </c>
      <c r="I2017" s="27">
        <v>0</v>
      </c>
      <c r="J2017" s="30">
        <f t="shared" si="93"/>
        <v>0</v>
      </c>
      <c r="K2017" s="30">
        <f t="shared" si="94"/>
        <v>0</v>
      </c>
      <c r="L2017" s="26">
        <f t="shared" si="95"/>
        <v>0</v>
      </c>
      <c r="M2017" s="26">
        <v>0</v>
      </c>
    </row>
    <row r="2018" spans="1:13" ht="15" customHeight="1">
      <c r="A2018" s="25">
        <v>1679462</v>
      </c>
      <c r="B2018" s="26" t="s">
        <v>5423</v>
      </c>
      <c r="C2018" s="26" t="s">
        <v>9997</v>
      </c>
      <c r="D2018" s="26" t="s">
        <v>9977</v>
      </c>
      <c r="E2018" s="26" t="s">
        <v>5491</v>
      </c>
      <c r="F2018" s="27">
        <v>5935990</v>
      </c>
      <c r="G2018" s="27">
        <v>1</v>
      </c>
      <c r="H2018" s="27">
        <v>0</v>
      </c>
      <c r="I2018" s="27">
        <v>1</v>
      </c>
      <c r="J2018" s="30">
        <f t="shared" si="93"/>
        <v>1</v>
      </c>
      <c r="K2018" s="30">
        <f t="shared" si="94"/>
        <v>0</v>
      </c>
      <c r="L2018" s="26">
        <f t="shared" si="95"/>
        <v>0</v>
      </c>
      <c r="M2018" s="26"/>
    </row>
    <row r="2019" spans="1:13" ht="15" customHeight="1">
      <c r="A2019" s="25">
        <v>1679855</v>
      </c>
      <c r="B2019" s="26" t="s">
        <v>5423</v>
      </c>
      <c r="C2019" s="26" t="s">
        <v>9998</v>
      </c>
      <c r="D2019" s="26" t="s">
        <v>9999</v>
      </c>
      <c r="E2019" s="26" t="s">
        <v>5485</v>
      </c>
      <c r="F2019" s="27">
        <v>5911930</v>
      </c>
      <c r="G2019" s="27">
        <v>1</v>
      </c>
      <c r="H2019" s="27">
        <v>1</v>
      </c>
      <c r="I2019" s="27">
        <v>1</v>
      </c>
      <c r="J2019" s="30">
        <f t="shared" si="93"/>
        <v>1</v>
      </c>
      <c r="K2019" s="30">
        <f t="shared" si="94"/>
        <v>1</v>
      </c>
      <c r="L2019" s="26">
        <f t="shared" si="95"/>
        <v>1</v>
      </c>
      <c r="M2019" s="26" t="s">
        <v>7910</v>
      </c>
    </row>
    <row r="2020" spans="1:13" ht="15" customHeight="1">
      <c r="A2020" s="25">
        <v>1680171</v>
      </c>
      <c r="B2020" s="26" t="s">
        <v>5423</v>
      </c>
      <c r="C2020" s="26" t="s">
        <v>10000</v>
      </c>
      <c r="D2020" s="26" t="s">
        <v>10001</v>
      </c>
      <c r="E2020" s="26" t="s">
        <v>5452</v>
      </c>
      <c r="F2020" s="27"/>
      <c r="G2020" s="27">
        <v>0</v>
      </c>
      <c r="H2020" s="27">
        <v>0</v>
      </c>
      <c r="I2020" s="27">
        <v>0</v>
      </c>
      <c r="J2020" s="30">
        <f t="shared" si="93"/>
        <v>0</v>
      </c>
      <c r="K2020" s="30">
        <f t="shared" si="94"/>
        <v>0</v>
      </c>
      <c r="L2020" s="26">
        <f t="shared" si="95"/>
        <v>0</v>
      </c>
      <c r="M2020" s="26" t="s">
        <v>10002</v>
      </c>
    </row>
    <row r="2021" spans="1:13" ht="15" customHeight="1">
      <c r="A2021" s="25">
        <v>1680541</v>
      </c>
      <c r="B2021" s="26" t="s">
        <v>5423</v>
      </c>
      <c r="C2021" s="26" t="s">
        <v>10003</v>
      </c>
      <c r="D2021" s="26" t="s">
        <v>10004</v>
      </c>
      <c r="E2021" s="26" t="s">
        <v>5491</v>
      </c>
      <c r="F2021" s="27"/>
      <c r="G2021" s="27">
        <v>0</v>
      </c>
      <c r="H2021" s="27">
        <v>0</v>
      </c>
      <c r="I2021" s="27">
        <v>0</v>
      </c>
      <c r="J2021" s="30">
        <f t="shared" si="93"/>
        <v>0</v>
      </c>
      <c r="K2021" s="30">
        <f t="shared" si="94"/>
        <v>0</v>
      </c>
      <c r="L2021" s="26">
        <f t="shared" si="95"/>
        <v>0</v>
      </c>
      <c r="M2021" s="26" t="s">
        <v>5557</v>
      </c>
    </row>
    <row r="2022" spans="1:13" ht="15" customHeight="1">
      <c r="A2022" s="25">
        <v>1680624</v>
      </c>
      <c r="B2022" s="26" t="s">
        <v>5423</v>
      </c>
      <c r="C2022" s="26" t="s">
        <v>10005</v>
      </c>
      <c r="D2022" s="26" t="s">
        <v>10004</v>
      </c>
      <c r="E2022" s="26" t="s">
        <v>5891</v>
      </c>
      <c r="F2022" s="27">
        <v>5934763</v>
      </c>
      <c r="G2022" s="27">
        <v>1</v>
      </c>
      <c r="H2022" s="27">
        <v>0</v>
      </c>
      <c r="I2022" s="27">
        <v>1</v>
      </c>
      <c r="J2022" s="30">
        <f t="shared" si="93"/>
        <v>1</v>
      </c>
      <c r="K2022" s="30">
        <f t="shared" si="94"/>
        <v>0</v>
      </c>
      <c r="L2022" s="26">
        <f t="shared" si="95"/>
        <v>0</v>
      </c>
      <c r="M2022" s="26"/>
    </row>
    <row r="2023" spans="1:13" ht="15" customHeight="1">
      <c r="A2023" s="25">
        <v>1680711</v>
      </c>
      <c r="B2023" s="26" t="s">
        <v>5423</v>
      </c>
      <c r="C2023" s="26" t="s">
        <v>10006</v>
      </c>
      <c r="D2023" s="26" t="s">
        <v>9980</v>
      </c>
      <c r="E2023" s="26" t="s">
        <v>5439</v>
      </c>
      <c r="F2023" s="27"/>
      <c r="G2023" s="27">
        <v>0</v>
      </c>
      <c r="H2023" s="27">
        <v>0</v>
      </c>
      <c r="I2023" s="27">
        <v>0</v>
      </c>
      <c r="J2023" s="30">
        <f t="shared" si="93"/>
        <v>0</v>
      </c>
      <c r="K2023" s="30">
        <f t="shared" si="94"/>
        <v>0</v>
      </c>
      <c r="L2023" s="26">
        <f t="shared" si="95"/>
        <v>0</v>
      </c>
      <c r="M2023" s="26" t="s">
        <v>5557</v>
      </c>
    </row>
    <row r="2024" spans="1:13" ht="15" customHeight="1">
      <c r="A2024" s="25">
        <v>1680713</v>
      </c>
      <c r="B2024" s="26" t="s">
        <v>5423</v>
      </c>
      <c r="C2024" s="26" t="s">
        <v>10007</v>
      </c>
      <c r="D2024" s="26" t="s">
        <v>10008</v>
      </c>
      <c r="E2024" s="26" t="s">
        <v>5475</v>
      </c>
      <c r="F2024" s="27">
        <v>5157040</v>
      </c>
      <c r="G2024" s="27">
        <v>0</v>
      </c>
      <c r="H2024" s="27">
        <v>0</v>
      </c>
      <c r="I2024" s="27">
        <v>0</v>
      </c>
      <c r="J2024" s="30">
        <f t="shared" si="93"/>
        <v>0</v>
      </c>
      <c r="K2024" s="30">
        <f t="shared" si="94"/>
        <v>0</v>
      </c>
      <c r="L2024" s="26">
        <f t="shared" si="95"/>
        <v>0</v>
      </c>
      <c r="M2024" s="26" t="s">
        <v>5557</v>
      </c>
    </row>
    <row r="2025" spans="1:13" ht="15" customHeight="1">
      <c r="A2025" s="25">
        <v>1680721</v>
      </c>
      <c r="B2025" s="26" t="s">
        <v>5423</v>
      </c>
      <c r="C2025" s="26" t="s">
        <v>10009</v>
      </c>
      <c r="D2025" s="26" t="s">
        <v>10010</v>
      </c>
      <c r="E2025" s="26" t="s">
        <v>5683</v>
      </c>
      <c r="F2025" s="27">
        <v>5930543</v>
      </c>
      <c r="G2025" s="27">
        <v>1</v>
      </c>
      <c r="H2025" s="27">
        <v>0</v>
      </c>
      <c r="I2025" s="27">
        <v>1</v>
      </c>
      <c r="J2025" s="30">
        <f t="shared" si="93"/>
        <v>1</v>
      </c>
      <c r="K2025" s="30">
        <f t="shared" si="94"/>
        <v>0</v>
      </c>
      <c r="L2025" s="26">
        <f t="shared" si="95"/>
        <v>0</v>
      </c>
      <c r="M2025" s="26"/>
    </row>
    <row r="2026" spans="1:13" ht="15" customHeight="1">
      <c r="A2026" s="25">
        <v>1680724</v>
      </c>
      <c r="B2026" s="26" t="s">
        <v>5423</v>
      </c>
      <c r="C2026" s="26" t="s">
        <v>10011</v>
      </c>
      <c r="D2026" s="26" t="s">
        <v>10012</v>
      </c>
      <c r="E2026" s="26" t="s">
        <v>5763</v>
      </c>
      <c r="F2026" s="27">
        <v>5944073</v>
      </c>
      <c r="G2026" s="27">
        <v>1</v>
      </c>
      <c r="H2026" s="27">
        <v>1</v>
      </c>
      <c r="I2026" s="27">
        <v>1</v>
      </c>
      <c r="J2026" s="30">
        <f t="shared" si="93"/>
        <v>1</v>
      </c>
      <c r="K2026" s="30">
        <f t="shared" si="94"/>
        <v>1</v>
      </c>
      <c r="L2026" s="26">
        <f t="shared" si="95"/>
        <v>1</v>
      </c>
      <c r="M2026" s="26" t="s">
        <v>8461</v>
      </c>
    </row>
    <row r="2027" spans="1:13" ht="15" customHeight="1">
      <c r="A2027" s="25">
        <v>1680758</v>
      </c>
      <c r="B2027" s="26" t="s">
        <v>5423</v>
      </c>
      <c r="C2027" s="26" t="s">
        <v>10013</v>
      </c>
      <c r="D2027" s="26" t="s">
        <v>10004</v>
      </c>
      <c r="E2027" s="26" t="s">
        <v>5426</v>
      </c>
      <c r="F2027" s="27">
        <v>5945693</v>
      </c>
      <c r="G2027" s="27">
        <v>0</v>
      </c>
      <c r="H2027" s="27">
        <v>0</v>
      </c>
      <c r="I2027" s="27">
        <v>0</v>
      </c>
      <c r="J2027" s="30">
        <f t="shared" si="93"/>
        <v>0</v>
      </c>
      <c r="K2027" s="30">
        <f t="shared" si="94"/>
        <v>0</v>
      </c>
      <c r="L2027" s="26">
        <f t="shared" si="95"/>
        <v>0</v>
      </c>
      <c r="M2027" s="26">
        <v>0</v>
      </c>
    </row>
    <row r="2028" spans="1:13" ht="15" customHeight="1">
      <c r="A2028" s="25">
        <v>1681013</v>
      </c>
      <c r="B2028" s="26" t="s">
        <v>5423</v>
      </c>
      <c r="C2028" s="26" t="s">
        <v>10014</v>
      </c>
      <c r="D2028" s="26" t="s">
        <v>10015</v>
      </c>
      <c r="E2028" s="26" t="s">
        <v>5540</v>
      </c>
      <c r="F2028" s="27">
        <v>4600521</v>
      </c>
      <c r="G2028" s="27">
        <v>1</v>
      </c>
      <c r="H2028" s="27">
        <v>1</v>
      </c>
      <c r="I2028" s="27">
        <v>1</v>
      </c>
      <c r="J2028" s="30">
        <f t="shared" si="93"/>
        <v>1</v>
      </c>
      <c r="K2028" s="30">
        <f t="shared" si="94"/>
        <v>1</v>
      </c>
      <c r="L2028" s="26">
        <f t="shared" si="95"/>
        <v>1</v>
      </c>
      <c r="M2028" s="26"/>
    </row>
    <row r="2029" spans="1:13" ht="15" customHeight="1">
      <c r="A2029" s="25">
        <v>1681195</v>
      </c>
      <c r="B2029" s="26" t="s">
        <v>5427</v>
      </c>
      <c r="C2029" s="26" t="s">
        <v>10016</v>
      </c>
      <c r="D2029" s="26" t="s">
        <v>10015</v>
      </c>
      <c r="E2029" s="26" t="s">
        <v>5491</v>
      </c>
      <c r="F2029" s="27">
        <v>5925757</v>
      </c>
      <c r="G2029" s="27">
        <v>0</v>
      </c>
      <c r="H2029" s="27">
        <v>0</v>
      </c>
      <c r="I2029" s="27">
        <v>0</v>
      </c>
      <c r="J2029" s="30">
        <f t="shared" si="93"/>
        <v>0</v>
      </c>
      <c r="K2029" s="30">
        <f t="shared" si="94"/>
        <v>0</v>
      </c>
      <c r="L2029" s="26">
        <f t="shared" si="95"/>
        <v>0</v>
      </c>
      <c r="M2029" s="26">
        <v>0</v>
      </c>
    </row>
    <row r="2030" spans="1:13" ht="15" customHeight="1">
      <c r="A2030" s="25">
        <v>1681278</v>
      </c>
      <c r="B2030" s="26" t="s">
        <v>5423</v>
      </c>
      <c r="C2030" s="26" t="s">
        <v>10017</v>
      </c>
      <c r="D2030" s="26" t="s">
        <v>10018</v>
      </c>
      <c r="E2030" s="26" t="s">
        <v>5517</v>
      </c>
      <c r="F2030" s="27">
        <v>3004431</v>
      </c>
      <c r="G2030" s="27">
        <v>0</v>
      </c>
      <c r="H2030" s="27">
        <v>0</v>
      </c>
      <c r="I2030" s="27">
        <v>0</v>
      </c>
      <c r="J2030" s="30">
        <f t="shared" si="93"/>
        <v>0</v>
      </c>
      <c r="K2030" s="30">
        <f t="shared" si="94"/>
        <v>0</v>
      </c>
      <c r="L2030" s="26">
        <f t="shared" si="95"/>
        <v>0</v>
      </c>
      <c r="M2030" s="26" t="s">
        <v>5567</v>
      </c>
    </row>
    <row r="2031" spans="1:13" ht="15" customHeight="1">
      <c r="A2031" s="25">
        <v>1681335</v>
      </c>
      <c r="B2031" s="26" t="s">
        <v>5423</v>
      </c>
      <c r="C2031" s="26" t="s">
        <v>10019</v>
      </c>
      <c r="D2031" s="26" t="s">
        <v>10020</v>
      </c>
      <c r="E2031" s="26" t="s">
        <v>5436</v>
      </c>
      <c r="F2031" s="27">
        <v>5942307</v>
      </c>
      <c r="G2031" s="27">
        <v>1</v>
      </c>
      <c r="H2031" s="27">
        <v>0</v>
      </c>
      <c r="I2031" s="27">
        <v>1</v>
      </c>
      <c r="J2031" s="30">
        <f t="shared" si="93"/>
        <v>1</v>
      </c>
      <c r="K2031" s="30">
        <f t="shared" si="94"/>
        <v>0</v>
      </c>
      <c r="L2031" s="26">
        <f t="shared" si="95"/>
        <v>0</v>
      </c>
      <c r="M2031" s="26" t="s">
        <v>8169</v>
      </c>
    </row>
    <row r="2032" spans="1:13" ht="15" customHeight="1">
      <c r="A2032" s="25">
        <v>1681384</v>
      </c>
      <c r="B2032" s="26" t="s">
        <v>5427</v>
      </c>
      <c r="C2032" s="26" t="s">
        <v>10021</v>
      </c>
      <c r="D2032" s="26" t="s">
        <v>10018</v>
      </c>
      <c r="E2032" s="26" t="s">
        <v>5683</v>
      </c>
      <c r="F2032" s="27">
        <v>5863049</v>
      </c>
      <c r="G2032" s="27">
        <v>1</v>
      </c>
      <c r="H2032" s="27">
        <v>1</v>
      </c>
      <c r="I2032" s="27">
        <v>1</v>
      </c>
      <c r="J2032" s="30">
        <f t="shared" si="93"/>
        <v>1</v>
      </c>
      <c r="K2032" s="30">
        <f t="shared" si="94"/>
        <v>1</v>
      </c>
      <c r="L2032" s="26">
        <f t="shared" si="95"/>
        <v>1</v>
      </c>
      <c r="M2032" s="26"/>
    </row>
    <row r="2033" spans="1:13" ht="15" customHeight="1">
      <c r="A2033" s="25">
        <v>1681411</v>
      </c>
      <c r="B2033" s="26" t="s">
        <v>5423</v>
      </c>
      <c r="C2033" s="26" t="s">
        <v>10022</v>
      </c>
      <c r="D2033" s="26" t="s">
        <v>10018</v>
      </c>
      <c r="E2033" s="26" t="s">
        <v>5522</v>
      </c>
      <c r="F2033" s="27">
        <v>5658260</v>
      </c>
      <c r="G2033" s="27">
        <v>1</v>
      </c>
      <c r="H2033" s="27">
        <v>1</v>
      </c>
      <c r="I2033" s="27">
        <v>1</v>
      </c>
      <c r="J2033" s="30">
        <f t="shared" si="93"/>
        <v>1</v>
      </c>
      <c r="K2033" s="30">
        <f t="shared" si="94"/>
        <v>1</v>
      </c>
      <c r="L2033" s="26">
        <f t="shared" si="95"/>
        <v>1</v>
      </c>
      <c r="M2033" s="26"/>
    </row>
    <row r="2034" spans="1:13" ht="15" customHeight="1">
      <c r="A2034" s="25">
        <v>1681424</v>
      </c>
      <c r="B2034" s="26" t="s">
        <v>5423</v>
      </c>
      <c r="C2034" s="26" t="s">
        <v>10023</v>
      </c>
      <c r="D2034" s="26" t="s">
        <v>10024</v>
      </c>
      <c r="E2034" s="26" t="s">
        <v>5532</v>
      </c>
      <c r="F2034" s="27"/>
      <c r="G2034" s="27">
        <v>0</v>
      </c>
      <c r="H2034" s="27">
        <v>0</v>
      </c>
      <c r="I2034" s="27">
        <v>0</v>
      </c>
      <c r="J2034" s="30">
        <f t="shared" si="93"/>
        <v>0</v>
      </c>
      <c r="K2034" s="30">
        <f t="shared" si="94"/>
        <v>0</v>
      </c>
      <c r="L2034" s="26">
        <f t="shared" si="95"/>
        <v>0</v>
      </c>
      <c r="M2034" s="26" t="s">
        <v>5557</v>
      </c>
    </row>
    <row r="2035" spans="1:13" ht="15" customHeight="1">
      <c r="A2035" s="25">
        <v>1681650</v>
      </c>
      <c r="B2035" s="26" t="s">
        <v>5427</v>
      </c>
      <c r="C2035" s="26" t="s">
        <v>10025</v>
      </c>
      <c r="D2035" s="26" t="s">
        <v>10020</v>
      </c>
      <c r="E2035" s="26" t="s">
        <v>5532</v>
      </c>
      <c r="F2035" s="27">
        <v>5936832</v>
      </c>
      <c r="G2035" s="27">
        <v>0</v>
      </c>
      <c r="H2035" s="27">
        <v>0</v>
      </c>
      <c r="I2035" s="27">
        <v>0</v>
      </c>
      <c r="J2035" s="30">
        <f t="shared" si="93"/>
        <v>0</v>
      </c>
      <c r="K2035" s="30">
        <f t="shared" si="94"/>
        <v>0</v>
      </c>
      <c r="L2035" s="26">
        <f t="shared" si="95"/>
        <v>0</v>
      </c>
      <c r="M2035" s="26">
        <v>0</v>
      </c>
    </row>
    <row r="2036" spans="1:13" ht="15" customHeight="1">
      <c r="A2036" s="25">
        <v>1681701</v>
      </c>
      <c r="B2036" s="26" t="s">
        <v>5427</v>
      </c>
      <c r="C2036" s="26" t="s">
        <v>10026</v>
      </c>
      <c r="D2036" s="26" t="s">
        <v>10018</v>
      </c>
      <c r="E2036" s="26" t="s">
        <v>5683</v>
      </c>
      <c r="F2036" s="27">
        <v>5947185</v>
      </c>
      <c r="G2036" s="27">
        <v>0</v>
      </c>
      <c r="H2036" s="27">
        <v>0</v>
      </c>
      <c r="I2036" s="27">
        <v>0</v>
      </c>
      <c r="J2036" s="30">
        <f t="shared" si="93"/>
        <v>0</v>
      </c>
      <c r="K2036" s="30">
        <f t="shared" si="94"/>
        <v>0</v>
      </c>
      <c r="L2036" s="26">
        <f t="shared" si="95"/>
        <v>0</v>
      </c>
      <c r="M2036" s="26" t="s">
        <v>5567</v>
      </c>
    </row>
    <row r="2037" spans="1:13" ht="15" customHeight="1">
      <c r="A2037" s="25">
        <v>1681707</v>
      </c>
      <c r="B2037" s="26" t="s">
        <v>5423</v>
      </c>
      <c r="C2037" s="26" t="s">
        <v>10027</v>
      </c>
      <c r="D2037" s="26" t="s">
        <v>10028</v>
      </c>
      <c r="E2037" s="26" t="s">
        <v>5522</v>
      </c>
      <c r="F2037" s="27">
        <v>5942273</v>
      </c>
      <c r="G2037" s="27">
        <v>1</v>
      </c>
      <c r="H2037" s="27">
        <v>1</v>
      </c>
      <c r="I2037" s="27">
        <v>1</v>
      </c>
      <c r="J2037" s="30">
        <f t="shared" si="93"/>
        <v>1</v>
      </c>
      <c r="K2037" s="30">
        <f t="shared" si="94"/>
        <v>1</v>
      </c>
      <c r="L2037" s="26">
        <f t="shared" si="95"/>
        <v>1</v>
      </c>
      <c r="M2037" s="26"/>
    </row>
    <row r="2038" spans="1:13" ht="15" customHeight="1">
      <c r="A2038" s="25">
        <v>1681970</v>
      </c>
      <c r="B2038" s="26" t="s">
        <v>5423</v>
      </c>
      <c r="C2038" s="26" t="s">
        <v>10029</v>
      </c>
      <c r="D2038" s="26" t="s">
        <v>10030</v>
      </c>
      <c r="E2038" s="26" t="s">
        <v>5522</v>
      </c>
      <c r="F2038" s="27">
        <v>5949038</v>
      </c>
      <c r="G2038" s="27">
        <v>0</v>
      </c>
      <c r="H2038" s="27">
        <v>0</v>
      </c>
      <c r="I2038" s="27">
        <v>0</v>
      </c>
      <c r="J2038" s="30">
        <f t="shared" si="93"/>
        <v>0</v>
      </c>
      <c r="K2038" s="30">
        <f t="shared" si="94"/>
        <v>0</v>
      </c>
      <c r="L2038" s="26">
        <f t="shared" si="95"/>
        <v>0</v>
      </c>
      <c r="M2038" s="26">
        <v>0</v>
      </c>
    </row>
    <row r="2039" spans="1:13" ht="15" customHeight="1">
      <c r="A2039" s="25">
        <v>1681982</v>
      </c>
      <c r="B2039" s="26" t="s">
        <v>5423</v>
      </c>
      <c r="C2039" s="26" t="s">
        <v>10031</v>
      </c>
      <c r="D2039" s="26" t="s">
        <v>10018</v>
      </c>
      <c r="E2039" s="26" t="s">
        <v>10032</v>
      </c>
      <c r="F2039" s="27">
        <v>5924181</v>
      </c>
      <c r="G2039" s="27">
        <v>1</v>
      </c>
      <c r="H2039" s="27">
        <v>1</v>
      </c>
      <c r="I2039" s="27">
        <v>1</v>
      </c>
      <c r="J2039" s="30">
        <f t="shared" si="93"/>
        <v>1</v>
      </c>
      <c r="K2039" s="30">
        <f t="shared" si="94"/>
        <v>1</v>
      </c>
      <c r="L2039" s="26">
        <f t="shared" si="95"/>
        <v>1</v>
      </c>
      <c r="M2039" s="26"/>
    </row>
    <row r="2040" spans="1:13" ht="15" customHeight="1">
      <c r="A2040" s="25">
        <v>1682116</v>
      </c>
      <c r="B2040" s="26" t="s">
        <v>5423</v>
      </c>
      <c r="C2040" s="26" t="s">
        <v>10033</v>
      </c>
      <c r="D2040" s="26" t="s">
        <v>10028</v>
      </c>
      <c r="E2040" s="26" t="s">
        <v>5683</v>
      </c>
      <c r="F2040" s="27">
        <v>5948627</v>
      </c>
      <c r="G2040" s="27">
        <v>0</v>
      </c>
      <c r="H2040" s="27">
        <v>1</v>
      </c>
      <c r="I2040" s="27">
        <v>1</v>
      </c>
      <c r="J2040" s="30">
        <f t="shared" si="93"/>
        <v>0</v>
      </c>
      <c r="K2040" s="30">
        <f t="shared" si="94"/>
        <v>1</v>
      </c>
      <c r="L2040" s="26">
        <f t="shared" si="95"/>
        <v>0</v>
      </c>
      <c r="M2040" s="26"/>
    </row>
    <row r="2041" spans="1:13" ht="15" customHeight="1">
      <c r="A2041" s="25">
        <v>1682210</v>
      </c>
      <c r="B2041" s="26" t="s">
        <v>5427</v>
      </c>
      <c r="C2041" s="26" t="s">
        <v>10034</v>
      </c>
      <c r="D2041" s="26" t="s">
        <v>10035</v>
      </c>
      <c r="E2041" s="26" t="s">
        <v>5504</v>
      </c>
      <c r="F2041" s="27">
        <v>5949214</v>
      </c>
      <c r="G2041" s="27">
        <v>0</v>
      </c>
      <c r="H2041" s="27">
        <v>0</v>
      </c>
      <c r="I2041" s="27">
        <v>0</v>
      </c>
      <c r="J2041" s="30">
        <f t="shared" si="93"/>
        <v>0</v>
      </c>
      <c r="K2041" s="30">
        <f t="shared" si="94"/>
        <v>0</v>
      </c>
      <c r="L2041" s="26">
        <f t="shared" si="95"/>
        <v>0</v>
      </c>
      <c r="M2041" s="26">
        <v>0</v>
      </c>
    </row>
    <row r="2042" spans="1:13" ht="15" customHeight="1">
      <c r="A2042" s="25">
        <v>1682352</v>
      </c>
      <c r="B2042" s="26" t="s">
        <v>5423</v>
      </c>
      <c r="C2042" s="26" t="s">
        <v>10036</v>
      </c>
      <c r="D2042" s="26" t="s">
        <v>10037</v>
      </c>
      <c r="E2042" s="26" t="s">
        <v>5540</v>
      </c>
      <c r="F2042" s="27">
        <v>5946913</v>
      </c>
      <c r="G2042" s="27">
        <v>0</v>
      </c>
      <c r="H2042" s="27">
        <v>1</v>
      </c>
      <c r="I2042" s="27">
        <v>1</v>
      </c>
      <c r="J2042" s="30">
        <f t="shared" si="93"/>
        <v>0</v>
      </c>
      <c r="K2042" s="30">
        <f t="shared" si="94"/>
        <v>1</v>
      </c>
      <c r="L2042" s="26">
        <f t="shared" si="95"/>
        <v>0</v>
      </c>
      <c r="M2042" s="26" t="s">
        <v>8169</v>
      </c>
    </row>
    <row r="2043" spans="1:13" ht="15" customHeight="1">
      <c r="A2043" s="25">
        <v>1682751</v>
      </c>
      <c r="B2043" s="26" t="s">
        <v>5423</v>
      </c>
      <c r="C2043" s="26" t="s">
        <v>10038</v>
      </c>
      <c r="D2043" s="26" t="s">
        <v>10039</v>
      </c>
      <c r="E2043" s="26" t="s">
        <v>5560</v>
      </c>
      <c r="F2043" s="27"/>
      <c r="G2043" s="27">
        <v>0</v>
      </c>
      <c r="H2043" s="27">
        <v>0</v>
      </c>
      <c r="I2043" s="27">
        <v>0</v>
      </c>
      <c r="J2043" s="30">
        <f t="shared" si="93"/>
        <v>0</v>
      </c>
      <c r="K2043" s="30">
        <f t="shared" si="94"/>
        <v>0</v>
      </c>
      <c r="L2043" s="26">
        <f t="shared" si="95"/>
        <v>0</v>
      </c>
      <c r="M2043" s="26">
        <v>0</v>
      </c>
    </row>
    <row r="2044" spans="1:13" ht="15" customHeight="1">
      <c r="A2044" s="25" t="s">
        <v>10040</v>
      </c>
      <c r="B2044" s="26" t="s">
        <v>5423</v>
      </c>
      <c r="C2044" s="26" t="s">
        <v>10041</v>
      </c>
      <c r="D2044" s="26" t="s">
        <v>10028</v>
      </c>
      <c r="E2044" s="26" t="s">
        <v>5603</v>
      </c>
      <c r="F2044" s="27">
        <v>5122371</v>
      </c>
      <c r="G2044" s="27">
        <v>1</v>
      </c>
      <c r="H2044" s="27">
        <v>0</v>
      </c>
      <c r="I2044" s="27">
        <v>1</v>
      </c>
      <c r="J2044" s="30">
        <f t="shared" si="93"/>
        <v>1</v>
      </c>
      <c r="K2044" s="30">
        <f t="shared" si="94"/>
        <v>0</v>
      </c>
      <c r="L2044" s="26">
        <f t="shared" si="95"/>
        <v>0</v>
      </c>
      <c r="M2044" s="26"/>
    </row>
    <row r="2045" spans="1:13" ht="15" customHeight="1">
      <c r="A2045" s="25">
        <v>1682967</v>
      </c>
      <c r="B2045" s="26" t="s">
        <v>5423</v>
      </c>
      <c r="C2045" s="26" t="s">
        <v>10042</v>
      </c>
      <c r="D2045" s="26" t="s">
        <v>10028</v>
      </c>
      <c r="E2045" s="26" t="s">
        <v>5540</v>
      </c>
      <c r="F2045" s="27">
        <v>5882526</v>
      </c>
      <c r="G2045" s="27">
        <v>1</v>
      </c>
      <c r="H2045" s="27">
        <v>0</v>
      </c>
      <c r="I2045" s="27">
        <v>1</v>
      </c>
      <c r="J2045" s="30">
        <f t="shared" si="93"/>
        <v>1</v>
      </c>
      <c r="K2045" s="30">
        <f t="shared" si="94"/>
        <v>0</v>
      </c>
      <c r="L2045" s="26">
        <f t="shared" si="95"/>
        <v>0</v>
      </c>
      <c r="M2045" s="26"/>
    </row>
    <row r="2046" spans="1:13" ht="15" customHeight="1">
      <c r="A2046" s="25">
        <v>1683041</v>
      </c>
      <c r="B2046" s="26" t="s">
        <v>5423</v>
      </c>
      <c r="C2046" s="26" t="s">
        <v>10043</v>
      </c>
      <c r="D2046" s="26" t="s">
        <v>10028</v>
      </c>
      <c r="E2046" s="26" t="s">
        <v>5522</v>
      </c>
      <c r="F2046" s="27">
        <v>4479325</v>
      </c>
      <c r="G2046" s="27">
        <v>1</v>
      </c>
      <c r="H2046" s="27">
        <v>0</v>
      </c>
      <c r="I2046" s="27">
        <v>1</v>
      </c>
      <c r="J2046" s="30">
        <f t="shared" si="93"/>
        <v>1</v>
      </c>
      <c r="K2046" s="30">
        <f t="shared" si="94"/>
        <v>0</v>
      </c>
      <c r="L2046" s="26">
        <f t="shared" si="95"/>
        <v>0</v>
      </c>
      <c r="M2046" s="26"/>
    </row>
    <row r="2047" spans="1:13" ht="15" customHeight="1">
      <c r="A2047" s="25">
        <v>1683170</v>
      </c>
      <c r="B2047" s="26" t="s">
        <v>5427</v>
      </c>
      <c r="C2047" s="26" t="s">
        <v>10044</v>
      </c>
      <c r="D2047" s="26" t="s">
        <v>10035</v>
      </c>
      <c r="E2047" s="26" t="s">
        <v>5532</v>
      </c>
      <c r="F2047" s="27">
        <v>5174737</v>
      </c>
      <c r="G2047" s="27">
        <v>1</v>
      </c>
      <c r="H2047" s="27">
        <v>1</v>
      </c>
      <c r="I2047" s="27">
        <v>1</v>
      </c>
      <c r="J2047" s="30">
        <f t="shared" si="93"/>
        <v>1</v>
      </c>
      <c r="K2047" s="30">
        <f t="shared" si="94"/>
        <v>1</v>
      </c>
      <c r="L2047" s="26">
        <f t="shared" si="95"/>
        <v>1</v>
      </c>
      <c r="M2047" s="26" t="s">
        <v>7910</v>
      </c>
    </row>
    <row r="2048" spans="1:13" ht="15" customHeight="1">
      <c r="A2048" s="25">
        <v>1683204</v>
      </c>
      <c r="B2048" s="26" t="s">
        <v>5423</v>
      </c>
      <c r="C2048" s="26" t="s">
        <v>10045</v>
      </c>
      <c r="D2048" s="26" t="s">
        <v>10037</v>
      </c>
      <c r="E2048" s="26" t="s">
        <v>5433</v>
      </c>
      <c r="F2048" s="27">
        <v>5951982</v>
      </c>
      <c r="G2048" s="27">
        <v>0</v>
      </c>
      <c r="H2048" s="27">
        <v>0</v>
      </c>
      <c r="I2048" s="27">
        <v>0</v>
      </c>
      <c r="J2048" s="30">
        <f t="shared" si="93"/>
        <v>0</v>
      </c>
      <c r="K2048" s="30">
        <f t="shared" si="94"/>
        <v>0</v>
      </c>
      <c r="L2048" s="26">
        <f t="shared" si="95"/>
        <v>0</v>
      </c>
      <c r="M2048" s="26">
        <v>0</v>
      </c>
    </row>
    <row r="2049" spans="1:13" ht="15" customHeight="1">
      <c r="A2049" s="25">
        <v>1683254</v>
      </c>
      <c r="B2049" s="26" t="s">
        <v>5423</v>
      </c>
      <c r="C2049" s="26" t="s">
        <v>10046</v>
      </c>
      <c r="D2049" s="26" t="s">
        <v>10047</v>
      </c>
      <c r="E2049" s="26" t="s">
        <v>5447</v>
      </c>
      <c r="F2049" s="27">
        <v>5950139</v>
      </c>
      <c r="G2049" s="27">
        <v>0</v>
      </c>
      <c r="H2049" s="27">
        <v>0</v>
      </c>
      <c r="I2049" s="27">
        <v>0</v>
      </c>
      <c r="J2049" s="30">
        <f t="shared" si="93"/>
        <v>0</v>
      </c>
      <c r="K2049" s="30">
        <f t="shared" si="94"/>
        <v>0</v>
      </c>
      <c r="L2049" s="26">
        <f t="shared" si="95"/>
        <v>0</v>
      </c>
      <c r="M2049" s="26">
        <v>0</v>
      </c>
    </row>
    <row r="2050" spans="1:13" ht="15" customHeight="1">
      <c r="A2050" s="25">
        <v>1683585</v>
      </c>
      <c r="B2050" s="26" t="s">
        <v>5427</v>
      </c>
      <c r="C2050" s="26" t="s">
        <v>10048</v>
      </c>
      <c r="D2050" s="26" t="s">
        <v>10049</v>
      </c>
      <c r="E2050" s="26" t="s">
        <v>5586</v>
      </c>
      <c r="F2050" s="27">
        <v>5872703</v>
      </c>
      <c r="G2050" s="27">
        <v>0</v>
      </c>
      <c r="H2050" s="27">
        <v>0</v>
      </c>
      <c r="I2050" s="27">
        <v>0</v>
      </c>
      <c r="J2050" s="30">
        <f t="shared" ref="J2050:J2113" si="96">IF(G2050&gt;0,1,0)</f>
        <v>0</v>
      </c>
      <c r="K2050" s="30">
        <f t="shared" ref="K2050:K2113" si="97">IF(H2050&gt;0,1,0)</f>
        <v>0</v>
      </c>
      <c r="L2050" s="26">
        <f t="shared" ref="L2050:L2113" si="98">IF(G2050&gt;0,IF(H2050&gt;0,1,0),0)</f>
        <v>0</v>
      </c>
      <c r="M2050" s="26">
        <v>0</v>
      </c>
    </row>
    <row r="2051" spans="1:13" ht="15" customHeight="1">
      <c r="A2051" s="25">
        <v>1683817</v>
      </c>
      <c r="B2051" s="26" t="s">
        <v>5427</v>
      </c>
      <c r="C2051" s="26" t="s">
        <v>10050</v>
      </c>
      <c r="D2051" s="26" t="s">
        <v>10051</v>
      </c>
      <c r="E2051" s="26" t="s">
        <v>5763</v>
      </c>
      <c r="F2051" s="27">
        <v>5769530</v>
      </c>
      <c r="G2051" s="27">
        <v>1</v>
      </c>
      <c r="H2051" s="27">
        <v>1</v>
      </c>
      <c r="I2051" s="27">
        <v>1</v>
      </c>
      <c r="J2051" s="30">
        <f t="shared" si="96"/>
        <v>1</v>
      </c>
      <c r="K2051" s="30">
        <f t="shared" si="97"/>
        <v>1</v>
      </c>
      <c r="L2051" s="26">
        <f t="shared" si="98"/>
        <v>1</v>
      </c>
      <c r="M2051" s="26"/>
    </row>
    <row r="2052" spans="1:13" ht="15" customHeight="1">
      <c r="A2052" s="25">
        <v>1683858</v>
      </c>
      <c r="B2052" s="26" t="s">
        <v>5427</v>
      </c>
      <c r="C2052" s="26" t="s">
        <v>10052</v>
      </c>
      <c r="D2052" s="26" t="s">
        <v>10053</v>
      </c>
      <c r="E2052" s="26" t="s">
        <v>6423</v>
      </c>
      <c r="F2052" s="27">
        <v>5941631</v>
      </c>
      <c r="G2052" s="27">
        <v>0</v>
      </c>
      <c r="H2052" s="27">
        <v>1</v>
      </c>
      <c r="I2052" s="27">
        <v>1</v>
      </c>
      <c r="J2052" s="30">
        <f t="shared" si="96"/>
        <v>0</v>
      </c>
      <c r="K2052" s="30">
        <f t="shared" si="97"/>
        <v>1</v>
      </c>
      <c r="L2052" s="26">
        <f t="shared" si="98"/>
        <v>0</v>
      </c>
      <c r="M2052" s="26"/>
    </row>
    <row r="2053" spans="1:13" ht="15" customHeight="1">
      <c r="A2053" s="25">
        <v>1683862</v>
      </c>
      <c r="B2053" s="26" t="s">
        <v>5423</v>
      </c>
      <c r="C2053" s="26" t="s">
        <v>10054</v>
      </c>
      <c r="D2053" s="26" t="s">
        <v>10051</v>
      </c>
      <c r="E2053" s="26" t="s">
        <v>5535</v>
      </c>
      <c r="F2053" s="27">
        <v>5341654</v>
      </c>
      <c r="G2053" s="27">
        <v>0</v>
      </c>
      <c r="H2053" s="27">
        <v>0</v>
      </c>
      <c r="I2053" s="27">
        <v>0</v>
      </c>
      <c r="J2053" s="30">
        <f t="shared" si="96"/>
        <v>0</v>
      </c>
      <c r="K2053" s="30">
        <f t="shared" si="97"/>
        <v>0</v>
      </c>
      <c r="L2053" s="26">
        <f t="shared" si="98"/>
        <v>0</v>
      </c>
      <c r="M2053" s="26" t="s">
        <v>8017</v>
      </c>
    </row>
    <row r="2054" spans="1:13" ht="15" customHeight="1">
      <c r="A2054" s="25">
        <v>1683888</v>
      </c>
      <c r="B2054" s="26" t="s">
        <v>5423</v>
      </c>
      <c r="C2054" s="26" t="s">
        <v>10055</v>
      </c>
      <c r="D2054" s="26" t="s">
        <v>10056</v>
      </c>
      <c r="E2054" s="26" t="s">
        <v>5488</v>
      </c>
      <c r="F2054" s="27">
        <v>5900846</v>
      </c>
      <c r="G2054" s="27">
        <v>1</v>
      </c>
      <c r="H2054" s="27">
        <v>1</v>
      </c>
      <c r="I2054" s="27">
        <v>1</v>
      </c>
      <c r="J2054" s="30">
        <f t="shared" si="96"/>
        <v>1</v>
      </c>
      <c r="K2054" s="30">
        <f t="shared" si="97"/>
        <v>1</v>
      </c>
      <c r="L2054" s="26">
        <f t="shared" si="98"/>
        <v>1</v>
      </c>
      <c r="M2054" s="26"/>
    </row>
    <row r="2055" spans="1:13" ht="15" customHeight="1">
      <c r="A2055" s="25">
        <v>1683890</v>
      </c>
      <c r="B2055" s="26" t="s">
        <v>5423</v>
      </c>
      <c r="C2055" s="26" t="s">
        <v>10057</v>
      </c>
      <c r="D2055" s="26" t="s">
        <v>10049</v>
      </c>
      <c r="E2055" s="26" t="s">
        <v>5532</v>
      </c>
      <c r="F2055" s="27">
        <v>5200055</v>
      </c>
      <c r="G2055" s="27">
        <v>0</v>
      </c>
      <c r="H2055" s="27">
        <v>0</v>
      </c>
      <c r="I2055" s="27">
        <v>0</v>
      </c>
      <c r="J2055" s="30">
        <f t="shared" si="96"/>
        <v>0</v>
      </c>
      <c r="K2055" s="30">
        <f t="shared" si="97"/>
        <v>0</v>
      </c>
      <c r="L2055" s="26">
        <f t="shared" si="98"/>
        <v>0</v>
      </c>
      <c r="M2055" s="26" t="s">
        <v>5557</v>
      </c>
    </row>
    <row r="2056" spans="1:13" ht="15" customHeight="1">
      <c r="A2056" s="25">
        <v>1683911</v>
      </c>
      <c r="B2056" s="26" t="s">
        <v>5423</v>
      </c>
      <c r="C2056" s="26" t="s">
        <v>10058</v>
      </c>
      <c r="D2056" s="26" t="s">
        <v>10051</v>
      </c>
      <c r="E2056" s="26" t="s">
        <v>5545</v>
      </c>
      <c r="F2056" s="27">
        <v>5952593</v>
      </c>
      <c r="G2056" s="27">
        <v>0</v>
      </c>
      <c r="H2056" s="27">
        <v>1</v>
      </c>
      <c r="I2056" s="27">
        <v>1</v>
      </c>
      <c r="J2056" s="30">
        <f t="shared" si="96"/>
        <v>0</v>
      </c>
      <c r="K2056" s="30">
        <f t="shared" si="97"/>
        <v>1</v>
      </c>
      <c r="L2056" s="26">
        <f t="shared" si="98"/>
        <v>0</v>
      </c>
      <c r="M2056" s="26"/>
    </row>
    <row r="2057" spans="1:13" ht="15" customHeight="1">
      <c r="A2057" s="25">
        <v>1683916</v>
      </c>
      <c r="B2057" s="26" t="s">
        <v>5423</v>
      </c>
      <c r="C2057" s="26" t="s">
        <v>10059</v>
      </c>
      <c r="D2057" s="26" t="s">
        <v>10060</v>
      </c>
      <c r="E2057" s="26" t="s">
        <v>5532</v>
      </c>
      <c r="F2057" s="27">
        <v>5953247</v>
      </c>
      <c r="G2057" s="27">
        <v>1</v>
      </c>
      <c r="H2057" s="27">
        <v>1</v>
      </c>
      <c r="I2057" s="27">
        <v>1</v>
      </c>
      <c r="J2057" s="30">
        <f t="shared" si="96"/>
        <v>1</v>
      </c>
      <c r="K2057" s="30">
        <f t="shared" si="97"/>
        <v>1</v>
      </c>
      <c r="L2057" s="26">
        <f t="shared" si="98"/>
        <v>1</v>
      </c>
      <c r="M2057" s="26"/>
    </row>
    <row r="2058" spans="1:13" ht="15" customHeight="1">
      <c r="A2058" s="25">
        <v>1683926</v>
      </c>
      <c r="B2058" s="26" t="s">
        <v>5427</v>
      </c>
      <c r="C2058" s="26" t="s">
        <v>10061</v>
      </c>
      <c r="D2058" s="26" t="s">
        <v>10053</v>
      </c>
      <c r="E2058" s="26" t="s">
        <v>5540</v>
      </c>
      <c r="F2058" s="27">
        <v>5953183</v>
      </c>
      <c r="G2058" s="27">
        <v>1</v>
      </c>
      <c r="H2058" s="27">
        <v>1</v>
      </c>
      <c r="I2058" s="27">
        <v>1</v>
      </c>
      <c r="J2058" s="30">
        <f t="shared" si="96"/>
        <v>1</v>
      </c>
      <c r="K2058" s="30">
        <f t="shared" si="97"/>
        <v>1</v>
      </c>
      <c r="L2058" s="26">
        <f t="shared" si="98"/>
        <v>1</v>
      </c>
      <c r="M2058" s="26"/>
    </row>
    <row r="2059" spans="1:13" ht="15" customHeight="1">
      <c r="A2059" s="25">
        <v>1683971</v>
      </c>
      <c r="B2059" s="26" t="s">
        <v>5423</v>
      </c>
      <c r="C2059" s="26" t="s">
        <v>10062</v>
      </c>
      <c r="D2059" s="26" t="s">
        <v>10051</v>
      </c>
      <c r="E2059" s="26" t="s">
        <v>5458</v>
      </c>
      <c r="F2059" s="27">
        <v>5953405</v>
      </c>
      <c r="G2059" s="27">
        <v>0</v>
      </c>
      <c r="H2059" s="27">
        <v>0</v>
      </c>
      <c r="I2059" s="27">
        <v>0</v>
      </c>
      <c r="J2059" s="30">
        <f t="shared" si="96"/>
        <v>0</v>
      </c>
      <c r="K2059" s="30">
        <f t="shared" si="97"/>
        <v>0</v>
      </c>
      <c r="L2059" s="26">
        <f t="shared" si="98"/>
        <v>0</v>
      </c>
      <c r="M2059" s="26">
        <v>0</v>
      </c>
    </row>
    <row r="2060" spans="1:13" ht="15" customHeight="1">
      <c r="A2060" s="25">
        <v>1683980</v>
      </c>
      <c r="B2060" s="26" t="s">
        <v>5423</v>
      </c>
      <c r="C2060" s="26" t="s">
        <v>10063</v>
      </c>
      <c r="D2060" s="26" t="s">
        <v>10053</v>
      </c>
      <c r="E2060" s="26" t="s">
        <v>5522</v>
      </c>
      <c r="F2060" s="27">
        <v>5954840</v>
      </c>
      <c r="G2060" s="27">
        <v>1</v>
      </c>
      <c r="H2060" s="27">
        <v>1</v>
      </c>
      <c r="I2060" s="27">
        <v>1</v>
      </c>
      <c r="J2060" s="30">
        <f t="shared" si="96"/>
        <v>1</v>
      </c>
      <c r="K2060" s="30">
        <f t="shared" si="97"/>
        <v>1</v>
      </c>
      <c r="L2060" s="26">
        <f t="shared" si="98"/>
        <v>1</v>
      </c>
      <c r="M2060" s="26"/>
    </row>
    <row r="2061" spans="1:13" ht="15" customHeight="1">
      <c r="A2061" s="25">
        <v>1684033</v>
      </c>
      <c r="B2061" s="26" t="s">
        <v>5423</v>
      </c>
      <c r="C2061" s="26" t="s">
        <v>10064</v>
      </c>
      <c r="D2061" s="26" t="s">
        <v>10049</v>
      </c>
      <c r="E2061" s="26" t="s">
        <v>5475</v>
      </c>
      <c r="F2061" s="27">
        <v>5741105</v>
      </c>
      <c r="G2061" s="27">
        <v>1</v>
      </c>
      <c r="H2061" s="27">
        <v>1</v>
      </c>
      <c r="I2061" s="27">
        <v>1</v>
      </c>
      <c r="J2061" s="30">
        <f t="shared" si="96"/>
        <v>1</v>
      </c>
      <c r="K2061" s="30">
        <f t="shared" si="97"/>
        <v>1</v>
      </c>
      <c r="L2061" s="26">
        <f t="shared" si="98"/>
        <v>1</v>
      </c>
      <c r="M2061" s="26"/>
    </row>
    <row r="2062" spans="1:13" ht="15" customHeight="1">
      <c r="A2062" s="25">
        <v>1684149</v>
      </c>
      <c r="B2062" s="26" t="s">
        <v>5427</v>
      </c>
      <c r="C2062" s="26" t="s">
        <v>10065</v>
      </c>
      <c r="D2062" s="26" t="s">
        <v>10066</v>
      </c>
      <c r="E2062" s="26" t="s">
        <v>7130</v>
      </c>
      <c r="F2062" s="27">
        <v>5369423</v>
      </c>
      <c r="G2062" s="27">
        <v>1</v>
      </c>
      <c r="H2062" s="27">
        <v>0</v>
      </c>
      <c r="I2062" s="27">
        <v>1</v>
      </c>
      <c r="J2062" s="30">
        <f t="shared" si="96"/>
        <v>1</v>
      </c>
      <c r="K2062" s="30">
        <f t="shared" si="97"/>
        <v>0</v>
      </c>
      <c r="L2062" s="26">
        <f t="shared" si="98"/>
        <v>0</v>
      </c>
      <c r="M2062" s="26"/>
    </row>
    <row r="2063" spans="1:13" ht="15" customHeight="1">
      <c r="A2063" s="25">
        <v>1684158</v>
      </c>
      <c r="B2063" s="26" t="s">
        <v>5423</v>
      </c>
      <c r="C2063" s="26" t="s">
        <v>10067</v>
      </c>
      <c r="D2063" s="26" t="s">
        <v>10049</v>
      </c>
      <c r="E2063" s="26" t="s">
        <v>5439</v>
      </c>
      <c r="F2063" s="27"/>
      <c r="G2063" s="27">
        <v>0</v>
      </c>
      <c r="H2063" s="27">
        <v>0</v>
      </c>
      <c r="I2063" s="27">
        <v>0</v>
      </c>
      <c r="J2063" s="30">
        <f t="shared" si="96"/>
        <v>0</v>
      </c>
      <c r="K2063" s="30">
        <f t="shared" si="97"/>
        <v>0</v>
      </c>
      <c r="L2063" s="26">
        <f t="shared" si="98"/>
        <v>0</v>
      </c>
      <c r="M2063" s="26" t="s">
        <v>5557</v>
      </c>
    </row>
    <row r="2064" spans="1:13" ht="15" customHeight="1">
      <c r="A2064" s="25">
        <v>1684246</v>
      </c>
      <c r="B2064" s="26" t="s">
        <v>5427</v>
      </c>
      <c r="C2064" s="26" t="s">
        <v>10068</v>
      </c>
      <c r="D2064" s="26" t="s">
        <v>10049</v>
      </c>
      <c r="E2064" s="26" t="s">
        <v>5532</v>
      </c>
      <c r="F2064" s="27">
        <v>5174737</v>
      </c>
      <c r="G2064" s="27">
        <v>0</v>
      </c>
      <c r="H2064" s="27">
        <v>0</v>
      </c>
      <c r="I2064" s="27">
        <v>0</v>
      </c>
      <c r="J2064" s="30">
        <f t="shared" si="96"/>
        <v>0</v>
      </c>
      <c r="K2064" s="30">
        <f t="shared" si="97"/>
        <v>0</v>
      </c>
      <c r="L2064" s="26">
        <f t="shared" si="98"/>
        <v>0</v>
      </c>
      <c r="M2064" s="26">
        <v>0</v>
      </c>
    </row>
    <row r="2065" spans="1:13" ht="15" customHeight="1">
      <c r="A2065" s="25">
        <v>1684561</v>
      </c>
      <c r="B2065" s="26" t="s">
        <v>5427</v>
      </c>
      <c r="C2065" s="26" t="s">
        <v>10069</v>
      </c>
      <c r="D2065" s="26" t="s">
        <v>10060</v>
      </c>
      <c r="E2065" s="26" t="s">
        <v>5447</v>
      </c>
      <c r="F2065" s="27">
        <v>5955669</v>
      </c>
      <c r="G2065" s="27">
        <v>1</v>
      </c>
      <c r="H2065" s="27">
        <v>0</v>
      </c>
      <c r="I2065" s="27">
        <v>1</v>
      </c>
      <c r="J2065" s="30">
        <f t="shared" si="96"/>
        <v>1</v>
      </c>
      <c r="K2065" s="30">
        <f t="shared" si="97"/>
        <v>0</v>
      </c>
      <c r="L2065" s="26">
        <f t="shared" si="98"/>
        <v>0</v>
      </c>
      <c r="M2065" s="26"/>
    </row>
    <row r="2066" spans="1:13" ht="15" customHeight="1">
      <c r="A2066" s="25">
        <v>1684565</v>
      </c>
      <c r="B2066" s="26" t="s">
        <v>5423</v>
      </c>
      <c r="C2066" s="26" t="s">
        <v>10070</v>
      </c>
      <c r="D2066" s="26" t="s">
        <v>10049</v>
      </c>
      <c r="E2066" s="26" t="s">
        <v>5488</v>
      </c>
      <c r="F2066" s="27">
        <v>5927403</v>
      </c>
      <c r="G2066" s="27">
        <v>1</v>
      </c>
      <c r="H2066" s="27">
        <v>1</v>
      </c>
      <c r="I2066" s="27">
        <v>1</v>
      </c>
      <c r="J2066" s="30">
        <f t="shared" si="96"/>
        <v>1</v>
      </c>
      <c r="K2066" s="30">
        <f t="shared" si="97"/>
        <v>1</v>
      </c>
      <c r="L2066" s="26">
        <f t="shared" si="98"/>
        <v>1</v>
      </c>
      <c r="M2066" s="26"/>
    </row>
    <row r="2067" spans="1:13" ht="15" customHeight="1">
      <c r="A2067" s="25">
        <v>1684583</v>
      </c>
      <c r="B2067" s="26" t="s">
        <v>5423</v>
      </c>
      <c r="C2067" s="26" t="s">
        <v>10071</v>
      </c>
      <c r="D2067" s="26" t="s">
        <v>10051</v>
      </c>
      <c r="E2067" s="26" t="s">
        <v>5430</v>
      </c>
      <c r="F2067" s="27">
        <v>5909817</v>
      </c>
      <c r="G2067" s="27">
        <v>1</v>
      </c>
      <c r="H2067" s="27">
        <v>1</v>
      </c>
      <c r="I2067" s="27">
        <v>1</v>
      </c>
      <c r="J2067" s="30">
        <f t="shared" si="96"/>
        <v>1</v>
      </c>
      <c r="K2067" s="30">
        <f t="shared" si="97"/>
        <v>1</v>
      </c>
      <c r="L2067" s="26">
        <f t="shared" si="98"/>
        <v>1</v>
      </c>
      <c r="M2067" s="26"/>
    </row>
    <row r="2068" spans="1:13" ht="15" customHeight="1">
      <c r="A2068" s="25">
        <v>1685111</v>
      </c>
      <c r="B2068" s="26" t="s">
        <v>5423</v>
      </c>
      <c r="C2068" s="26" t="s">
        <v>10072</v>
      </c>
      <c r="D2068" s="26" t="s">
        <v>10073</v>
      </c>
      <c r="E2068" s="26" t="s">
        <v>5540</v>
      </c>
      <c r="F2068" s="27">
        <v>5956637</v>
      </c>
      <c r="G2068" s="27">
        <v>0</v>
      </c>
      <c r="H2068" s="27">
        <v>0</v>
      </c>
      <c r="I2068" s="27">
        <v>0</v>
      </c>
      <c r="J2068" s="30">
        <f t="shared" si="96"/>
        <v>0</v>
      </c>
      <c r="K2068" s="30">
        <f t="shared" si="97"/>
        <v>0</v>
      </c>
      <c r="L2068" s="26">
        <f t="shared" si="98"/>
        <v>0</v>
      </c>
      <c r="M2068" s="26">
        <v>0</v>
      </c>
    </row>
    <row r="2069" spans="1:13" ht="15" customHeight="1">
      <c r="A2069" s="25">
        <v>1685115</v>
      </c>
      <c r="B2069" s="26" t="s">
        <v>5423</v>
      </c>
      <c r="C2069" s="26" t="s">
        <v>10074</v>
      </c>
      <c r="D2069" s="26" t="s">
        <v>10073</v>
      </c>
      <c r="E2069" s="26" t="s">
        <v>5442</v>
      </c>
      <c r="F2069" s="27">
        <v>5950115</v>
      </c>
      <c r="G2069" s="27">
        <v>1</v>
      </c>
      <c r="H2069" s="27">
        <v>0</v>
      </c>
      <c r="I2069" s="27">
        <v>1</v>
      </c>
      <c r="J2069" s="30">
        <f t="shared" si="96"/>
        <v>1</v>
      </c>
      <c r="K2069" s="30">
        <f t="shared" si="97"/>
        <v>0</v>
      </c>
      <c r="L2069" s="26">
        <f t="shared" si="98"/>
        <v>0</v>
      </c>
      <c r="M2069" s="26"/>
    </row>
    <row r="2070" spans="1:13" ht="15" customHeight="1">
      <c r="A2070" s="25">
        <v>1685240</v>
      </c>
      <c r="B2070" s="26" t="s">
        <v>5423</v>
      </c>
      <c r="C2070" s="26" t="s">
        <v>10075</v>
      </c>
      <c r="D2070" s="26" t="s">
        <v>10076</v>
      </c>
      <c r="E2070" s="26" t="s">
        <v>5458</v>
      </c>
      <c r="F2070" s="27"/>
      <c r="G2070" s="27">
        <v>0</v>
      </c>
      <c r="H2070" s="27">
        <v>0</v>
      </c>
      <c r="I2070" s="27">
        <v>0</v>
      </c>
      <c r="J2070" s="30">
        <f t="shared" si="96"/>
        <v>0</v>
      </c>
      <c r="K2070" s="30">
        <f t="shared" si="97"/>
        <v>0</v>
      </c>
      <c r="L2070" s="26">
        <f t="shared" si="98"/>
        <v>0</v>
      </c>
      <c r="M2070" s="26" t="s">
        <v>5557</v>
      </c>
    </row>
    <row r="2071" spans="1:13" ht="15" customHeight="1">
      <c r="A2071" s="25">
        <v>1685335</v>
      </c>
      <c r="B2071" s="26" t="s">
        <v>5423</v>
      </c>
      <c r="C2071" s="26" t="s">
        <v>10077</v>
      </c>
      <c r="D2071" s="26" t="s">
        <v>10078</v>
      </c>
      <c r="E2071" s="26" t="s">
        <v>5535</v>
      </c>
      <c r="F2071" s="27">
        <v>5951068</v>
      </c>
      <c r="G2071" s="27">
        <v>0</v>
      </c>
      <c r="H2071" s="27">
        <v>0</v>
      </c>
      <c r="I2071" s="27">
        <v>0</v>
      </c>
      <c r="J2071" s="30">
        <f t="shared" si="96"/>
        <v>0</v>
      </c>
      <c r="K2071" s="30">
        <f t="shared" si="97"/>
        <v>0</v>
      </c>
      <c r="L2071" s="26">
        <f t="shared" si="98"/>
        <v>0</v>
      </c>
      <c r="M2071" s="26">
        <v>0</v>
      </c>
    </row>
    <row r="2072" spans="1:13" ht="15" customHeight="1">
      <c r="A2072" s="25">
        <v>1685386</v>
      </c>
      <c r="B2072" s="26" t="s">
        <v>5423</v>
      </c>
      <c r="C2072" s="26" t="s">
        <v>10079</v>
      </c>
      <c r="D2072" s="26" t="s">
        <v>10076</v>
      </c>
      <c r="E2072" s="26" t="s">
        <v>5458</v>
      </c>
      <c r="F2072" s="27"/>
      <c r="G2072" s="27">
        <v>0</v>
      </c>
      <c r="H2072" s="27">
        <v>0</v>
      </c>
      <c r="I2072" s="27">
        <v>0</v>
      </c>
      <c r="J2072" s="30">
        <f t="shared" si="96"/>
        <v>0</v>
      </c>
      <c r="K2072" s="30">
        <f t="shared" si="97"/>
        <v>0</v>
      </c>
      <c r="L2072" s="26">
        <f t="shared" si="98"/>
        <v>0</v>
      </c>
      <c r="M2072" s="26" t="s">
        <v>5557</v>
      </c>
    </row>
    <row r="2073" spans="1:13" ht="15" customHeight="1">
      <c r="A2073" s="25">
        <v>1685399</v>
      </c>
      <c r="B2073" s="26" t="s">
        <v>5423</v>
      </c>
      <c r="C2073" s="26" t="s">
        <v>10080</v>
      </c>
      <c r="D2073" s="26" t="s">
        <v>10076</v>
      </c>
      <c r="E2073" s="26" t="s">
        <v>5535</v>
      </c>
      <c r="F2073" s="27">
        <v>5148246</v>
      </c>
      <c r="G2073" s="27">
        <v>0</v>
      </c>
      <c r="H2073" s="27">
        <v>0</v>
      </c>
      <c r="I2073" s="27">
        <v>0</v>
      </c>
      <c r="J2073" s="30">
        <f t="shared" si="96"/>
        <v>0</v>
      </c>
      <c r="K2073" s="30">
        <f t="shared" si="97"/>
        <v>0</v>
      </c>
      <c r="L2073" s="26">
        <f t="shared" si="98"/>
        <v>0</v>
      </c>
      <c r="M2073" s="26" t="s">
        <v>5557</v>
      </c>
    </row>
    <row r="2074" spans="1:13" ht="15" customHeight="1">
      <c r="A2074" s="25">
        <v>1685431</v>
      </c>
      <c r="B2074" s="26" t="s">
        <v>5423</v>
      </c>
      <c r="C2074" s="26" t="s">
        <v>10081</v>
      </c>
      <c r="D2074" s="26" t="s">
        <v>10082</v>
      </c>
      <c r="E2074" s="26" t="s">
        <v>5504</v>
      </c>
      <c r="F2074" s="27">
        <v>5951347</v>
      </c>
      <c r="G2074" s="27">
        <v>1</v>
      </c>
      <c r="H2074" s="27">
        <v>0</v>
      </c>
      <c r="I2074" s="27">
        <v>1</v>
      </c>
      <c r="J2074" s="30">
        <f t="shared" si="96"/>
        <v>1</v>
      </c>
      <c r="K2074" s="30">
        <f t="shared" si="97"/>
        <v>0</v>
      </c>
      <c r="L2074" s="26">
        <f t="shared" si="98"/>
        <v>0</v>
      </c>
      <c r="M2074" s="26"/>
    </row>
    <row r="2075" spans="1:13" ht="15" customHeight="1">
      <c r="A2075" s="25">
        <v>1685666</v>
      </c>
      <c r="B2075" s="26" t="s">
        <v>5423</v>
      </c>
      <c r="C2075" s="26" t="s">
        <v>10083</v>
      </c>
      <c r="D2075" s="26" t="s">
        <v>10073</v>
      </c>
      <c r="E2075" s="26" t="s">
        <v>5532</v>
      </c>
      <c r="F2075" s="27"/>
      <c r="G2075" s="27">
        <v>0</v>
      </c>
      <c r="H2075" s="27">
        <v>0</v>
      </c>
      <c r="I2075" s="27">
        <v>0</v>
      </c>
      <c r="J2075" s="30">
        <f t="shared" si="96"/>
        <v>0</v>
      </c>
      <c r="K2075" s="30">
        <f t="shared" si="97"/>
        <v>0</v>
      </c>
      <c r="L2075" s="26">
        <f t="shared" si="98"/>
        <v>0</v>
      </c>
      <c r="M2075" s="26">
        <v>0</v>
      </c>
    </row>
    <row r="2076" spans="1:13" ht="15" customHeight="1">
      <c r="A2076" s="25">
        <v>1685738</v>
      </c>
      <c r="B2076" s="26" t="s">
        <v>5423</v>
      </c>
      <c r="C2076" s="26" t="s">
        <v>10084</v>
      </c>
      <c r="D2076" s="26" t="s">
        <v>10085</v>
      </c>
      <c r="E2076" s="26" t="s">
        <v>5436</v>
      </c>
      <c r="F2076" s="27">
        <v>5934265</v>
      </c>
      <c r="G2076" s="27">
        <v>0</v>
      </c>
      <c r="H2076" s="27">
        <v>0</v>
      </c>
      <c r="I2076" s="27">
        <v>0</v>
      </c>
      <c r="J2076" s="30">
        <f t="shared" si="96"/>
        <v>0</v>
      </c>
      <c r="K2076" s="30">
        <f t="shared" si="97"/>
        <v>0</v>
      </c>
      <c r="L2076" s="26">
        <f t="shared" si="98"/>
        <v>0</v>
      </c>
      <c r="M2076" s="26" t="s">
        <v>8147</v>
      </c>
    </row>
    <row r="2077" spans="1:13" ht="15" customHeight="1">
      <c r="A2077" s="25">
        <v>1685823</v>
      </c>
      <c r="B2077" s="26" t="s">
        <v>5423</v>
      </c>
      <c r="C2077" s="26" t="s">
        <v>10086</v>
      </c>
      <c r="D2077" s="26" t="s">
        <v>10073</v>
      </c>
      <c r="E2077" s="26" t="s">
        <v>7084</v>
      </c>
      <c r="F2077" s="27">
        <v>5957071</v>
      </c>
      <c r="G2077" s="27">
        <v>0</v>
      </c>
      <c r="H2077" s="27">
        <v>0</v>
      </c>
      <c r="I2077" s="27">
        <v>0</v>
      </c>
      <c r="J2077" s="30">
        <f t="shared" si="96"/>
        <v>0</v>
      </c>
      <c r="K2077" s="30">
        <f t="shared" si="97"/>
        <v>0</v>
      </c>
      <c r="L2077" s="26">
        <f t="shared" si="98"/>
        <v>0</v>
      </c>
      <c r="M2077" s="26" t="s">
        <v>8711</v>
      </c>
    </row>
    <row r="2078" spans="1:13" ht="15" customHeight="1">
      <c r="A2078" s="25">
        <v>1685840</v>
      </c>
      <c r="B2078" s="26" t="s">
        <v>5423</v>
      </c>
      <c r="C2078" s="26" t="s">
        <v>10087</v>
      </c>
      <c r="D2078" s="26" t="s">
        <v>10073</v>
      </c>
      <c r="E2078" s="26" t="s">
        <v>5540</v>
      </c>
      <c r="F2078" s="27">
        <v>5953327</v>
      </c>
      <c r="G2078" s="27">
        <v>1</v>
      </c>
      <c r="H2078" s="27">
        <v>0</v>
      </c>
      <c r="I2078" s="27">
        <v>1</v>
      </c>
      <c r="J2078" s="30">
        <f t="shared" si="96"/>
        <v>1</v>
      </c>
      <c r="K2078" s="30">
        <f t="shared" si="97"/>
        <v>0</v>
      </c>
      <c r="L2078" s="26">
        <f t="shared" si="98"/>
        <v>0</v>
      </c>
      <c r="M2078" s="26"/>
    </row>
    <row r="2079" spans="1:13" ht="15" customHeight="1">
      <c r="A2079" s="25">
        <v>1685871</v>
      </c>
      <c r="B2079" s="26" t="s">
        <v>5423</v>
      </c>
      <c r="C2079" s="26" t="s">
        <v>10088</v>
      </c>
      <c r="D2079" s="26" t="s">
        <v>10073</v>
      </c>
      <c r="E2079" s="26" t="s">
        <v>5426</v>
      </c>
      <c r="F2079" s="27"/>
      <c r="G2079" s="27">
        <v>0</v>
      </c>
      <c r="H2079" s="27">
        <v>0</v>
      </c>
      <c r="I2079" s="27">
        <v>0</v>
      </c>
      <c r="J2079" s="30">
        <f t="shared" si="96"/>
        <v>0</v>
      </c>
      <c r="K2079" s="30">
        <f t="shared" si="97"/>
        <v>0</v>
      </c>
      <c r="L2079" s="26">
        <f t="shared" si="98"/>
        <v>0</v>
      </c>
      <c r="M2079" s="26" t="s">
        <v>5557</v>
      </c>
    </row>
    <row r="2080" spans="1:13" ht="15" customHeight="1">
      <c r="A2080" s="25">
        <v>1686015</v>
      </c>
      <c r="B2080" s="26" t="s">
        <v>5423</v>
      </c>
      <c r="C2080" s="26" t="s">
        <v>10089</v>
      </c>
      <c r="D2080" s="26" t="s">
        <v>10073</v>
      </c>
      <c r="E2080" s="26" t="s">
        <v>5455</v>
      </c>
      <c r="F2080" s="27">
        <v>5956876</v>
      </c>
      <c r="G2080" s="27">
        <v>0</v>
      </c>
      <c r="H2080" s="27">
        <v>0</v>
      </c>
      <c r="I2080" s="27">
        <v>0</v>
      </c>
      <c r="J2080" s="30">
        <f t="shared" si="96"/>
        <v>0</v>
      </c>
      <c r="K2080" s="30">
        <f t="shared" si="97"/>
        <v>0</v>
      </c>
      <c r="L2080" s="26">
        <f t="shared" si="98"/>
        <v>0</v>
      </c>
      <c r="M2080" s="26">
        <v>0</v>
      </c>
    </row>
    <row r="2081" spans="1:13" ht="15" customHeight="1">
      <c r="A2081" s="25">
        <v>1686063</v>
      </c>
      <c r="B2081" s="26" t="s">
        <v>5423</v>
      </c>
      <c r="C2081" s="26" t="s">
        <v>10090</v>
      </c>
      <c r="D2081" s="26" t="s">
        <v>10091</v>
      </c>
      <c r="E2081" s="26" t="s">
        <v>5522</v>
      </c>
      <c r="F2081" s="27">
        <v>4479325</v>
      </c>
      <c r="G2081" s="27">
        <v>1</v>
      </c>
      <c r="H2081" s="27">
        <v>0</v>
      </c>
      <c r="I2081" s="27">
        <v>1</v>
      </c>
      <c r="J2081" s="30">
        <f t="shared" si="96"/>
        <v>1</v>
      </c>
      <c r="K2081" s="30">
        <f t="shared" si="97"/>
        <v>0</v>
      </c>
      <c r="L2081" s="26">
        <f t="shared" si="98"/>
        <v>0</v>
      </c>
      <c r="M2081" s="26"/>
    </row>
    <row r="2082" spans="1:13" ht="15" customHeight="1">
      <c r="A2082" s="25">
        <v>1686097</v>
      </c>
      <c r="B2082" s="26" t="s">
        <v>5423</v>
      </c>
      <c r="C2082" s="26" t="s">
        <v>10092</v>
      </c>
      <c r="D2082" s="26" t="s">
        <v>10091</v>
      </c>
      <c r="E2082" s="26" t="s">
        <v>5540</v>
      </c>
      <c r="F2082" s="27">
        <v>5949055</v>
      </c>
      <c r="G2082" s="27">
        <v>1</v>
      </c>
      <c r="H2082" s="27">
        <v>0</v>
      </c>
      <c r="I2082" s="27">
        <v>1</v>
      </c>
      <c r="J2082" s="30">
        <f t="shared" si="96"/>
        <v>1</v>
      </c>
      <c r="K2082" s="30">
        <f t="shared" si="97"/>
        <v>0</v>
      </c>
      <c r="L2082" s="26">
        <f t="shared" si="98"/>
        <v>0</v>
      </c>
      <c r="M2082" s="26"/>
    </row>
    <row r="2083" spans="1:13" ht="15" customHeight="1">
      <c r="A2083" s="25">
        <v>1686257</v>
      </c>
      <c r="B2083" s="26" t="s">
        <v>5423</v>
      </c>
      <c r="C2083" s="26" t="s">
        <v>10093</v>
      </c>
      <c r="D2083" s="26" t="s">
        <v>10078</v>
      </c>
      <c r="E2083" s="26" t="s">
        <v>5463</v>
      </c>
      <c r="F2083" s="27">
        <v>5958692</v>
      </c>
      <c r="G2083" s="27">
        <v>1</v>
      </c>
      <c r="H2083" s="27">
        <v>1</v>
      </c>
      <c r="I2083" s="27">
        <v>1</v>
      </c>
      <c r="J2083" s="30">
        <f t="shared" si="96"/>
        <v>1</v>
      </c>
      <c r="K2083" s="30">
        <f t="shared" si="97"/>
        <v>1</v>
      </c>
      <c r="L2083" s="26">
        <f t="shared" si="98"/>
        <v>1</v>
      </c>
      <c r="M2083" s="26"/>
    </row>
    <row r="2084" spans="1:13" ht="15" customHeight="1">
      <c r="A2084" s="25">
        <v>1686259</v>
      </c>
      <c r="B2084" s="26" t="s">
        <v>5423</v>
      </c>
      <c r="C2084" s="26" t="s">
        <v>10094</v>
      </c>
      <c r="D2084" s="26" t="s">
        <v>10095</v>
      </c>
      <c r="E2084" s="26" t="s">
        <v>5439</v>
      </c>
      <c r="F2084" s="27">
        <v>5958703</v>
      </c>
      <c r="G2084" s="27">
        <v>0</v>
      </c>
      <c r="H2084" s="27">
        <v>0</v>
      </c>
      <c r="I2084" s="27">
        <v>0</v>
      </c>
      <c r="J2084" s="30">
        <f t="shared" si="96"/>
        <v>0</v>
      </c>
      <c r="K2084" s="30">
        <f t="shared" si="97"/>
        <v>0</v>
      </c>
      <c r="L2084" s="26">
        <f t="shared" si="98"/>
        <v>0</v>
      </c>
      <c r="M2084" s="26" t="s">
        <v>5567</v>
      </c>
    </row>
    <row r="2085" spans="1:13" ht="15" customHeight="1">
      <c r="A2085" s="25">
        <v>1686309</v>
      </c>
      <c r="B2085" s="26" t="s">
        <v>5423</v>
      </c>
      <c r="C2085" s="26" t="s">
        <v>10096</v>
      </c>
      <c r="D2085" s="26" t="s">
        <v>10097</v>
      </c>
      <c r="E2085" s="26" t="s">
        <v>5488</v>
      </c>
      <c r="F2085" s="27">
        <v>5959451</v>
      </c>
      <c r="G2085" s="27">
        <v>1</v>
      </c>
      <c r="H2085" s="27">
        <v>1</v>
      </c>
      <c r="I2085" s="27">
        <v>1</v>
      </c>
      <c r="J2085" s="30">
        <f t="shared" si="96"/>
        <v>1</v>
      </c>
      <c r="K2085" s="30">
        <f t="shared" si="97"/>
        <v>1</v>
      </c>
      <c r="L2085" s="26">
        <f t="shared" si="98"/>
        <v>1</v>
      </c>
      <c r="M2085" s="26"/>
    </row>
    <row r="2086" spans="1:13" ht="15" customHeight="1">
      <c r="A2086" s="25">
        <v>1686432</v>
      </c>
      <c r="B2086" s="26" t="s">
        <v>5427</v>
      </c>
      <c r="C2086" s="26" t="s">
        <v>10098</v>
      </c>
      <c r="D2086" s="26" t="s">
        <v>10099</v>
      </c>
      <c r="E2086" s="26" t="s">
        <v>8392</v>
      </c>
      <c r="F2086" s="27">
        <v>5764287</v>
      </c>
      <c r="G2086" s="27">
        <v>1</v>
      </c>
      <c r="H2086" s="27">
        <v>0</v>
      </c>
      <c r="I2086" s="27">
        <v>1</v>
      </c>
      <c r="J2086" s="30">
        <f t="shared" si="96"/>
        <v>1</v>
      </c>
      <c r="K2086" s="30">
        <f t="shared" si="97"/>
        <v>0</v>
      </c>
      <c r="L2086" s="26">
        <f t="shared" si="98"/>
        <v>0</v>
      </c>
      <c r="M2086" s="26"/>
    </row>
    <row r="2087" spans="1:13" ht="15" customHeight="1">
      <c r="A2087" s="25">
        <v>1686438</v>
      </c>
      <c r="B2087" s="26" t="s">
        <v>5423</v>
      </c>
      <c r="C2087" s="26" t="s">
        <v>10100</v>
      </c>
      <c r="D2087" s="26" t="s">
        <v>10097</v>
      </c>
      <c r="E2087" s="26" t="s">
        <v>5522</v>
      </c>
      <c r="F2087" s="27">
        <v>5656064</v>
      </c>
      <c r="G2087" s="27">
        <v>1</v>
      </c>
      <c r="H2087" s="27">
        <v>0</v>
      </c>
      <c r="I2087" s="27">
        <v>1</v>
      </c>
      <c r="J2087" s="30">
        <f t="shared" si="96"/>
        <v>1</v>
      </c>
      <c r="K2087" s="30">
        <f t="shared" si="97"/>
        <v>0</v>
      </c>
      <c r="L2087" s="26">
        <f t="shared" si="98"/>
        <v>0</v>
      </c>
      <c r="M2087" s="26"/>
    </row>
    <row r="2088" spans="1:13" ht="15" customHeight="1">
      <c r="A2088" s="25">
        <v>1686461</v>
      </c>
      <c r="B2088" s="26" t="s">
        <v>5427</v>
      </c>
      <c r="C2088" s="26" t="s">
        <v>10101</v>
      </c>
      <c r="D2088" s="26" t="s">
        <v>10073</v>
      </c>
      <c r="E2088" s="26" t="s">
        <v>5522</v>
      </c>
      <c r="F2088" s="27">
        <v>5957823</v>
      </c>
      <c r="G2088" s="27">
        <v>1</v>
      </c>
      <c r="H2088" s="27">
        <v>1</v>
      </c>
      <c r="I2088" s="27">
        <v>1</v>
      </c>
      <c r="J2088" s="30">
        <f t="shared" si="96"/>
        <v>1</v>
      </c>
      <c r="K2088" s="30">
        <f t="shared" si="97"/>
        <v>1</v>
      </c>
      <c r="L2088" s="26">
        <f t="shared" si="98"/>
        <v>1</v>
      </c>
      <c r="M2088" s="26"/>
    </row>
    <row r="2089" spans="1:13" ht="15" customHeight="1">
      <c r="A2089" s="25">
        <v>1686474</v>
      </c>
      <c r="B2089" s="26" t="s">
        <v>5427</v>
      </c>
      <c r="C2089" s="26" t="s">
        <v>10102</v>
      </c>
      <c r="D2089" s="26" t="s">
        <v>10097</v>
      </c>
      <c r="E2089" s="26" t="s">
        <v>5442</v>
      </c>
      <c r="F2089" s="27">
        <v>5912026</v>
      </c>
      <c r="G2089" s="27">
        <v>1</v>
      </c>
      <c r="H2089" s="27">
        <v>1</v>
      </c>
      <c r="I2089" s="27">
        <v>1</v>
      </c>
      <c r="J2089" s="30">
        <f t="shared" si="96"/>
        <v>1</v>
      </c>
      <c r="K2089" s="30">
        <f t="shared" si="97"/>
        <v>1</v>
      </c>
      <c r="L2089" s="26">
        <f t="shared" si="98"/>
        <v>1</v>
      </c>
      <c r="M2089" s="26"/>
    </row>
    <row r="2090" spans="1:13" ht="15" customHeight="1">
      <c r="A2090" s="25">
        <v>1686672</v>
      </c>
      <c r="B2090" s="26" t="s">
        <v>5423</v>
      </c>
      <c r="C2090" s="26" t="s">
        <v>10103</v>
      </c>
      <c r="D2090" s="26" t="s">
        <v>10104</v>
      </c>
      <c r="E2090" s="26" t="s">
        <v>5439</v>
      </c>
      <c r="F2090" s="27"/>
      <c r="G2090" s="27">
        <v>0</v>
      </c>
      <c r="H2090" s="27">
        <v>0</v>
      </c>
      <c r="I2090" s="27">
        <v>0</v>
      </c>
      <c r="J2090" s="30">
        <f t="shared" si="96"/>
        <v>0</v>
      </c>
      <c r="K2090" s="30">
        <f t="shared" si="97"/>
        <v>0</v>
      </c>
      <c r="L2090" s="26">
        <f t="shared" si="98"/>
        <v>0</v>
      </c>
      <c r="M2090" s="26" t="s">
        <v>5557</v>
      </c>
    </row>
    <row r="2091" spans="1:13" ht="15" customHeight="1">
      <c r="A2091" s="25">
        <v>1686847</v>
      </c>
      <c r="B2091" s="26" t="s">
        <v>5427</v>
      </c>
      <c r="C2091" s="26" t="s">
        <v>10105</v>
      </c>
      <c r="D2091" s="26" t="s">
        <v>10106</v>
      </c>
      <c r="E2091" s="26" t="s">
        <v>5491</v>
      </c>
      <c r="F2091" s="27">
        <v>5949295</v>
      </c>
      <c r="G2091" s="27">
        <v>1</v>
      </c>
      <c r="H2091" s="27">
        <v>0</v>
      </c>
      <c r="I2091" s="27">
        <v>1</v>
      </c>
      <c r="J2091" s="30">
        <f t="shared" si="96"/>
        <v>1</v>
      </c>
      <c r="K2091" s="30">
        <f t="shared" si="97"/>
        <v>0</v>
      </c>
      <c r="L2091" s="26">
        <f t="shared" si="98"/>
        <v>0</v>
      </c>
      <c r="M2091" s="26"/>
    </row>
    <row r="2092" spans="1:13" ht="15" customHeight="1">
      <c r="A2092" s="25">
        <v>1688155</v>
      </c>
      <c r="B2092" s="26" t="s">
        <v>5423</v>
      </c>
      <c r="C2092" s="26" t="s">
        <v>10107</v>
      </c>
      <c r="D2092" s="26" t="s">
        <v>10108</v>
      </c>
      <c r="E2092" s="26" t="s">
        <v>5540</v>
      </c>
      <c r="F2092" s="27"/>
      <c r="G2092" s="27">
        <v>0</v>
      </c>
      <c r="H2092" s="27">
        <v>0</v>
      </c>
      <c r="I2092" s="27">
        <v>0</v>
      </c>
      <c r="J2092" s="30">
        <f t="shared" si="96"/>
        <v>0</v>
      </c>
      <c r="K2092" s="30">
        <f t="shared" si="97"/>
        <v>0</v>
      </c>
      <c r="L2092" s="26">
        <f t="shared" si="98"/>
        <v>0</v>
      </c>
      <c r="M2092" s="26" t="s">
        <v>7846</v>
      </c>
    </row>
    <row r="2093" spans="1:13" ht="15" customHeight="1">
      <c r="A2093" s="25">
        <v>1688451</v>
      </c>
      <c r="B2093" s="26" t="s">
        <v>5423</v>
      </c>
      <c r="C2093" s="26" t="s">
        <v>10109</v>
      </c>
      <c r="D2093" s="26" t="s">
        <v>10110</v>
      </c>
      <c r="E2093" s="26" t="s">
        <v>5535</v>
      </c>
      <c r="F2093" s="27">
        <v>5968090</v>
      </c>
      <c r="G2093" s="27">
        <v>1</v>
      </c>
      <c r="H2093" s="27">
        <v>1</v>
      </c>
      <c r="I2093" s="27">
        <v>1</v>
      </c>
      <c r="J2093" s="30">
        <f t="shared" si="96"/>
        <v>1</v>
      </c>
      <c r="K2093" s="30">
        <f t="shared" si="97"/>
        <v>1</v>
      </c>
      <c r="L2093" s="26">
        <f t="shared" si="98"/>
        <v>1</v>
      </c>
      <c r="M2093" s="26"/>
    </row>
    <row r="2094" spans="1:13" ht="15" customHeight="1">
      <c r="A2094" s="25">
        <v>1688458</v>
      </c>
      <c r="B2094" s="26" t="s">
        <v>5423</v>
      </c>
      <c r="C2094" s="26" t="s">
        <v>10111</v>
      </c>
      <c r="D2094" s="26" t="s">
        <v>10112</v>
      </c>
      <c r="E2094" s="26" t="s">
        <v>5436</v>
      </c>
      <c r="F2094" s="27">
        <v>5934265</v>
      </c>
      <c r="G2094" s="27">
        <v>1</v>
      </c>
      <c r="H2094" s="27">
        <v>1</v>
      </c>
      <c r="I2094" s="27">
        <v>1</v>
      </c>
      <c r="J2094" s="30">
        <f t="shared" si="96"/>
        <v>1</v>
      </c>
      <c r="K2094" s="30">
        <f t="shared" si="97"/>
        <v>1</v>
      </c>
      <c r="L2094" s="26">
        <f t="shared" si="98"/>
        <v>1</v>
      </c>
      <c r="M2094" s="26" t="s">
        <v>9595</v>
      </c>
    </row>
    <row r="2095" spans="1:13" ht="15" customHeight="1">
      <c r="A2095" s="25">
        <v>1688481</v>
      </c>
      <c r="B2095" s="26" t="s">
        <v>5423</v>
      </c>
      <c r="C2095" s="26" t="s">
        <v>10113</v>
      </c>
      <c r="D2095" s="26" t="s">
        <v>10112</v>
      </c>
      <c r="E2095" s="26" t="s">
        <v>5480</v>
      </c>
      <c r="F2095" s="27">
        <v>5967166</v>
      </c>
      <c r="G2095" s="27">
        <v>1</v>
      </c>
      <c r="H2095" s="27">
        <v>1</v>
      </c>
      <c r="I2095" s="27">
        <v>1</v>
      </c>
      <c r="J2095" s="30">
        <f t="shared" si="96"/>
        <v>1</v>
      </c>
      <c r="K2095" s="30">
        <f t="shared" si="97"/>
        <v>1</v>
      </c>
      <c r="L2095" s="26">
        <f t="shared" si="98"/>
        <v>1</v>
      </c>
      <c r="M2095" s="26"/>
    </row>
    <row r="2096" spans="1:13" ht="15" customHeight="1">
      <c r="A2096" s="25">
        <v>1688498</v>
      </c>
      <c r="B2096" s="26" t="s">
        <v>5423</v>
      </c>
      <c r="C2096" s="26" t="s">
        <v>10114</v>
      </c>
      <c r="D2096" s="26" t="s">
        <v>10115</v>
      </c>
      <c r="E2096" s="26" t="s">
        <v>5463</v>
      </c>
      <c r="F2096" s="27">
        <v>5937516</v>
      </c>
      <c r="G2096" s="27">
        <v>1</v>
      </c>
      <c r="H2096" s="27">
        <v>1</v>
      </c>
      <c r="I2096" s="27">
        <v>1</v>
      </c>
      <c r="J2096" s="30">
        <f t="shared" si="96"/>
        <v>1</v>
      </c>
      <c r="K2096" s="30">
        <f t="shared" si="97"/>
        <v>1</v>
      </c>
      <c r="L2096" s="26">
        <f t="shared" si="98"/>
        <v>1</v>
      </c>
      <c r="M2096" s="26"/>
    </row>
    <row r="2097" spans="1:13" ht="15" customHeight="1">
      <c r="A2097" s="25">
        <v>1688504</v>
      </c>
      <c r="B2097" s="26" t="s">
        <v>5427</v>
      </c>
      <c r="C2097" s="26" t="s">
        <v>10116</v>
      </c>
      <c r="D2097" s="26" t="s">
        <v>10112</v>
      </c>
      <c r="E2097" s="26" t="s">
        <v>5683</v>
      </c>
      <c r="F2097" s="27">
        <v>5967270</v>
      </c>
      <c r="G2097" s="27">
        <v>0</v>
      </c>
      <c r="H2097" s="27">
        <v>0</v>
      </c>
      <c r="I2097" s="27">
        <v>0</v>
      </c>
      <c r="J2097" s="30">
        <f t="shared" si="96"/>
        <v>0</v>
      </c>
      <c r="K2097" s="30">
        <f t="shared" si="97"/>
        <v>0</v>
      </c>
      <c r="L2097" s="26">
        <f t="shared" si="98"/>
        <v>0</v>
      </c>
      <c r="M2097" s="26" t="s">
        <v>5567</v>
      </c>
    </row>
    <row r="2098" spans="1:13" ht="15" customHeight="1">
      <c r="A2098" s="25">
        <v>1688512</v>
      </c>
      <c r="B2098" s="26" t="s">
        <v>5423</v>
      </c>
      <c r="C2098" s="26" t="s">
        <v>10117</v>
      </c>
      <c r="D2098" s="26" t="s">
        <v>10118</v>
      </c>
      <c r="E2098" s="26" t="s">
        <v>5540</v>
      </c>
      <c r="F2098" s="27">
        <v>5944239</v>
      </c>
      <c r="G2098" s="27">
        <v>0</v>
      </c>
      <c r="H2098" s="27">
        <v>0</v>
      </c>
      <c r="I2098" s="27">
        <v>0</v>
      </c>
      <c r="J2098" s="30">
        <f t="shared" si="96"/>
        <v>0</v>
      </c>
      <c r="K2098" s="30">
        <f t="shared" si="97"/>
        <v>0</v>
      </c>
      <c r="L2098" s="26">
        <f t="shared" si="98"/>
        <v>0</v>
      </c>
      <c r="M2098" s="26">
        <v>0</v>
      </c>
    </row>
    <row r="2099" spans="1:13" ht="15" customHeight="1">
      <c r="A2099" s="25">
        <v>1688518</v>
      </c>
      <c r="B2099" s="26" t="s">
        <v>5427</v>
      </c>
      <c r="C2099" s="26" t="s">
        <v>10119</v>
      </c>
      <c r="D2099" s="26" t="s">
        <v>10112</v>
      </c>
      <c r="E2099" s="26" t="s">
        <v>5514</v>
      </c>
      <c r="F2099" s="27">
        <v>5967181</v>
      </c>
      <c r="G2099" s="27">
        <v>1</v>
      </c>
      <c r="H2099" s="27">
        <v>1</v>
      </c>
      <c r="I2099" s="27">
        <v>1</v>
      </c>
      <c r="J2099" s="30">
        <f t="shared" si="96"/>
        <v>1</v>
      </c>
      <c r="K2099" s="30">
        <f t="shared" si="97"/>
        <v>1</v>
      </c>
      <c r="L2099" s="26">
        <f t="shared" si="98"/>
        <v>1</v>
      </c>
      <c r="M2099" s="26"/>
    </row>
    <row r="2100" spans="1:13" ht="15" customHeight="1">
      <c r="A2100" s="25">
        <v>1688830</v>
      </c>
      <c r="B2100" s="26" t="s">
        <v>5427</v>
      </c>
      <c r="C2100" s="26" t="s">
        <v>10120</v>
      </c>
      <c r="D2100" s="26" t="s">
        <v>10121</v>
      </c>
      <c r="E2100" s="26" t="s">
        <v>5491</v>
      </c>
      <c r="F2100" s="27">
        <v>5272648</v>
      </c>
      <c r="G2100" s="27">
        <v>1</v>
      </c>
      <c r="H2100" s="27">
        <v>0</v>
      </c>
      <c r="I2100" s="27">
        <v>1</v>
      </c>
      <c r="J2100" s="30">
        <f t="shared" si="96"/>
        <v>1</v>
      </c>
      <c r="K2100" s="30">
        <f t="shared" si="97"/>
        <v>0</v>
      </c>
      <c r="L2100" s="26">
        <f t="shared" si="98"/>
        <v>0</v>
      </c>
      <c r="M2100" s="26"/>
    </row>
    <row r="2101" spans="1:13" ht="15" customHeight="1">
      <c r="A2101" s="25">
        <v>1688902</v>
      </c>
      <c r="B2101" s="26" t="s">
        <v>5423</v>
      </c>
      <c r="C2101" s="26" t="s">
        <v>10122</v>
      </c>
      <c r="D2101" s="26" t="s">
        <v>10110</v>
      </c>
      <c r="E2101" s="26" t="s">
        <v>5529</v>
      </c>
      <c r="F2101" s="27">
        <v>5306671</v>
      </c>
      <c r="G2101" s="27">
        <v>0</v>
      </c>
      <c r="H2101" s="27">
        <v>0</v>
      </c>
      <c r="I2101" s="27">
        <v>0</v>
      </c>
      <c r="J2101" s="30">
        <f t="shared" si="96"/>
        <v>0</v>
      </c>
      <c r="K2101" s="30">
        <f t="shared" si="97"/>
        <v>0</v>
      </c>
      <c r="L2101" s="26">
        <f t="shared" si="98"/>
        <v>0</v>
      </c>
      <c r="M2101" s="26" t="s">
        <v>5557</v>
      </c>
    </row>
    <row r="2102" spans="1:13" ht="15" customHeight="1">
      <c r="A2102" s="25">
        <v>1688959</v>
      </c>
      <c r="B2102" s="26" t="s">
        <v>5423</v>
      </c>
      <c r="C2102" s="26" t="s">
        <v>10123</v>
      </c>
      <c r="D2102" s="26" t="s">
        <v>10121</v>
      </c>
      <c r="E2102" s="26" t="s">
        <v>5455</v>
      </c>
      <c r="F2102" s="27">
        <v>5956876</v>
      </c>
      <c r="G2102" s="27">
        <v>0</v>
      </c>
      <c r="H2102" s="27">
        <v>0</v>
      </c>
      <c r="I2102" s="27">
        <v>0</v>
      </c>
      <c r="J2102" s="30">
        <f t="shared" si="96"/>
        <v>0</v>
      </c>
      <c r="K2102" s="30">
        <f t="shared" si="97"/>
        <v>0</v>
      </c>
      <c r="L2102" s="26">
        <f t="shared" si="98"/>
        <v>0</v>
      </c>
      <c r="M2102" s="26">
        <v>0</v>
      </c>
    </row>
    <row r="2103" spans="1:13" ht="15" customHeight="1">
      <c r="A2103" s="25">
        <v>1689005</v>
      </c>
      <c r="B2103" s="26" t="s">
        <v>5423</v>
      </c>
      <c r="C2103" s="26" t="s">
        <v>10124</v>
      </c>
      <c r="D2103" s="26" t="s">
        <v>10121</v>
      </c>
      <c r="E2103" s="26" t="s">
        <v>5504</v>
      </c>
      <c r="F2103" s="27">
        <v>5696702</v>
      </c>
      <c r="G2103" s="27">
        <v>1</v>
      </c>
      <c r="H2103" s="27">
        <v>1</v>
      </c>
      <c r="I2103" s="27">
        <v>1</v>
      </c>
      <c r="J2103" s="30">
        <f t="shared" si="96"/>
        <v>1</v>
      </c>
      <c r="K2103" s="30">
        <f t="shared" si="97"/>
        <v>1</v>
      </c>
      <c r="L2103" s="26">
        <f t="shared" si="98"/>
        <v>1</v>
      </c>
      <c r="M2103" s="26"/>
    </row>
    <row r="2104" spans="1:13" ht="15" customHeight="1">
      <c r="A2104" s="25">
        <v>1689009</v>
      </c>
      <c r="B2104" s="26" t="s">
        <v>5427</v>
      </c>
      <c r="C2104" s="26" t="s">
        <v>10125</v>
      </c>
      <c r="D2104" s="26" t="s">
        <v>10112</v>
      </c>
      <c r="E2104" s="26" t="s">
        <v>5535</v>
      </c>
      <c r="F2104" s="27">
        <v>5019640</v>
      </c>
      <c r="G2104" s="27">
        <v>0</v>
      </c>
      <c r="H2104" s="27">
        <v>0</v>
      </c>
      <c r="I2104" s="27">
        <v>0</v>
      </c>
      <c r="J2104" s="30">
        <f t="shared" si="96"/>
        <v>0</v>
      </c>
      <c r="K2104" s="30">
        <f t="shared" si="97"/>
        <v>0</v>
      </c>
      <c r="L2104" s="26">
        <f t="shared" si="98"/>
        <v>0</v>
      </c>
      <c r="M2104" s="26" t="s">
        <v>5557</v>
      </c>
    </row>
    <row r="2105" spans="1:13" ht="15" customHeight="1">
      <c r="A2105" s="25">
        <v>1689050</v>
      </c>
      <c r="B2105" s="26" t="s">
        <v>5427</v>
      </c>
      <c r="C2105" s="26" t="s">
        <v>10126</v>
      </c>
      <c r="D2105" s="26" t="s">
        <v>10121</v>
      </c>
      <c r="E2105" s="26" t="s">
        <v>5522</v>
      </c>
      <c r="F2105" s="27"/>
      <c r="G2105" s="27">
        <v>0</v>
      </c>
      <c r="H2105" s="27">
        <v>0</v>
      </c>
      <c r="I2105" s="27">
        <v>0</v>
      </c>
      <c r="J2105" s="30">
        <f t="shared" si="96"/>
        <v>0</v>
      </c>
      <c r="K2105" s="30">
        <f t="shared" si="97"/>
        <v>0</v>
      </c>
      <c r="L2105" s="26">
        <f t="shared" si="98"/>
        <v>0</v>
      </c>
      <c r="M2105" s="26" t="s">
        <v>5557</v>
      </c>
    </row>
    <row r="2106" spans="1:13" ht="15" customHeight="1">
      <c r="A2106" s="25">
        <v>1689363</v>
      </c>
      <c r="B2106" s="26" t="s">
        <v>5427</v>
      </c>
      <c r="C2106" s="26" t="s">
        <v>10127</v>
      </c>
      <c r="D2106" s="26" t="s">
        <v>10110</v>
      </c>
      <c r="E2106" s="26" t="s">
        <v>5485</v>
      </c>
      <c r="F2106" s="27">
        <v>5927726</v>
      </c>
      <c r="G2106" s="27">
        <v>0</v>
      </c>
      <c r="H2106" s="27">
        <v>0</v>
      </c>
      <c r="I2106" s="27">
        <v>0</v>
      </c>
      <c r="J2106" s="30">
        <f t="shared" si="96"/>
        <v>0</v>
      </c>
      <c r="K2106" s="30">
        <f t="shared" si="97"/>
        <v>0</v>
      </c>
      <c r="L2106" s="26">
        <f t="shared" si="98"/>
        <v>0</v>
      </c>
      <c r="M2106" s="26">
        <v>0</v>
      </c>
    </row>
    <row r="2107" spans="1:13" ht="15" customHeight="1">
      <c r="A2107" s="25">
        <v>1689382</v>
      </c>
      <c r="B2107" s="26" t="s">
        <v>5423</v>
      </c>
      <c r="C2107" s="26" t="s">
        <v>10128</v>
      </c>
      <c r="D2107" s="26" t="s">
        <v>10129</v>
      </c>
      <c r="E2107" s="26" t="s">
        <v>5436</v>
      </c>
      <c r="F2107" s="27">
        <v>5966623</v>
      </c>
      <c r="G2107" s="27">
        <v>0</v>
      </c>
      <c r="H2107" s="27">
        <v>0</v>
      </c>
      <c r="I2107" s="27">
        <v>0</v>
      </c>
      <c r="J2107" s="30">
        <f t="shared" si="96"/>
        <v>0</v>
      </c>
      <c r="K2107" s="30">
        <f t="shared" si="97"/>
        <v>0</v>
      </c>
      <c r="L2107" s="26">
        <f t="shared" si="98"/>
        <v>0</v>
      </c>
      <c r="M2107" s="26" t="s">
        <v>8216</v>
      </c>
    </row>
    <row r="2108" spans="1:13" ht="15" customHeight="1">
      <c r="A2108" s="25">
        <v>1689401</v>
      </c>
      <c r="B2108" s="26" t="s">
        <v>5427</v>
      </c>
      <c r="C2108" s="26" t="s">
        <v>10130</v>
      </c>
      <c r="D2108" s="26" t="s">
        <v>10131</v>
      </c>
      <c r="E2108" s="26" t="s">
        <v>5488</v>
      </c>
      <c r="F2108" s="27">
        <v>5958559</v>
      </c>
      <c r="G2108" s="27">
        <v>0</v>
      </c>
      <c r="H2108" s="27">
        <v>1</v>
      </c>
      <c r="I2108" s="27">
        <v>1</v>
      </c>
      <c r="J2108" s="30">
        <f t="shared" si="96"/>
        <v>0</v>
      </c>
      <c r="K2108" s="30">
        <f t="shared" si="97"/>
        <v>1</v>
      </c>
      <c r="L2108" s="26">
        <f t="shared" si="98"/>
        <v>0</v>
      </c>
      <c r="M2108" s="26" t="s">
        <v>8169</v>
      </c>
    </row>
    <row r="2109" spans="1:13" ht="15" customHeight="1">
      <c r="A2109" s="25">
        <v>1689404</v>
      </c>
      <c r="B2109" s="26" t="s">
        <v>5423</v>
      </c>
      <c r="C2109" s="26" t="s">
        <v>10132</v>
      </c>
      <c r="D2109" s="26" t="s">
        <v>10110</v>
      </c>
      <c r="E2109" s="26" t="s">
        <v>5439</v>
      </c>
      <c r="F2109" s="27">
        <v>5954883</v>
      </c>
      <c r="G2109" s="27">
        <v>1</v>
      </c>
      <c r="H2109" s="27">
        <v>0</v>
      </c>
      <c r="I2109" s="27">
        <v>1</v>
      </c>
      <c r="J2109" s="30">
        <f t="shared" si="96"/>
        <v>1</v>
      </c>
      <c r="K2109" s="30">
        <f t="shared" si="97"/>
        <v>0</v>
      </c>
      <c r="L2109" s="26">
        <f t="shared" si="98"/>
        <v>0</v>
      </c>
      <c r="M2109" s="26"/>
    </row>
    <row r="2110" spans="1:13" ht="15" customHeight="1">
      <c r="A2110" s="25">
        <v>1689561</v>
      </c>
      <c r="B2110" s="26" t="s">
        <v>5423</v>
      </c>
      <c r="C2110" s="26" t="s">
        <v>10133</v>
      </c>
      <c r="D2110" s="26" t="s">
        <v>10134</v>
      </c>
      <c r="E2110" s="26" t="s">
        <v>5455</v>
      </c>
      <c r="F2110" s="27">
        <v>5965533</v>
      </c>
      <c r="G2110" s="27">
        <v>1</v>
      </c>
      <c r="H2110" s="27">
        <v>1</v>
      </c>
      <c r="I2110" s="27">
        <v>1</v>
      </c>
      <c r="J2110" s="30">
        <f t="shared" si="96"/>
        <v>1</v>
      </c>
      <c r="K2110" s="30">
        <f t="shared" si="97"/>
        <v>1</v>
      </c>
      <c r="L2110" s="26">
        <f t="shared" si="98"/>
        <v>1</v>
      </c>
      <c r="M2110" s="26"/>
    </row>
    <row r="2111" spans="1:13" ht="15" customHeight="1">
      <c r="A2111" s="25">
        <v>1689623</v>
      </c>
      <c r="B2111" s="26" t="s">
        <v>5427</v>
      </c>
      <c r="C2111" s="26" t="s">
        <v>10135</v>
      </c>
      <c r="D2111" s="26" t="s">
        <v>10110</v>
      </c>
      <c r="E2111" s="26" t="s">
        <v>5529</v>
      </c>
      <c r="F2111" s="27">
        <v>5170464</v>
      </c>
      <c r="G2111" s="27">
        <v>0</v>
      </c>
      <c r="H2111" s="27">
        <v>0</v>
      </c>
      <c r="I2111" s="27">
        <v>0</v>
      </c>
      <c r="J2111" s="30">
        <f t="shared" si="96"/>
        <v>0</v>
      </c>
      <c r="K2111" s="30">
        <f t="shared" si="97"/>
        <v>0</v>
      </c>
      <c r="L2111" s="26">
        <f t="shared" si="98"/>
        <v>0</v>
      </c>
      <c r="M2111" s="26" t="s">
        <v>5557</v>
      </c>
    </row>
    <row r="2112" spans="1:13" ht="15" customHeight="1">
      <c r="A2112" s="25">
        <v>1690049</v>
      </c>
      <c r="B2112" s="26" t="s">
        <v>5423</v>
      </c>
      <c r="C2112" s="26" t="s">
        <v>10136</v>
      </c>
      <c r="D2112" s="26" t="s">
        <v>10134</v>
      </c>
      <c r="E2112" s="26" t="s">
        <v>5475</v>
      </c>
      <c r="F2112" s="27">
        <v>5952739</v>
      </c>
      <c r="G2112" s="27">
        <v>1</v>
      </c>
      <c r="H2112" s="27">
        <v>0</v>
      </c>
      <c r="I2112" s="27">
        <v>1</v>
      </c>
      <c r="J2112" s="30">
        <f t="shared" si="96"/>
        <v>1</v>
      </c>
      <c r="K2112" s="30">
        <f t="shared" si="97"/>
        <v>0</v>
      </c>
      <c r="L2112" s="26">
        <f t="shared" si="98"/>
        <v>0</v>
      </c>
      <c r="M2112" s="26"/>
    </row>
    <row r="2113" spans="1:13" ht="15" customHeight="1">
      <c r="A2113" s="25" t="s">
        <v>10137</v>
      </c>
      <c r="B2113" s="26" t="s">
        <v>5423</v>
      </c>
      <c r="C2113" s="26" t="s">
        <v>10138</v>
      </c>
      <c r="D2113" s="26" t="s">
        <v>10134</v>
      </c>
      <c r="E2113" s="26" t="s">
        <v>5433</v>
      </c>
      <c r="F2113" s="27">
        <v>5938713</v>
      </c>
      <c r="G2113" s="27">
        <v>1</v>
      </c>
      <c r="H2113" s="27">
        <v>0</v>
      </c>
      <c r="I2113" s="27">
        <v>1</v>
      </c>
      <c r="J2113" s="30">
        <f t="shared" si="96"/>
        <v>1</v>
      </c>
      <c r="K2113" s="30">
        <f t="shared" si="97"/>
        <v>0</v>
      </c>
      <c r="L2113" s="26">
        <f t="shared" si="98"/>
        <v>0</v>
      </c>
      <c r="M2113" s="26"/>
    </row>
    <row r="2114" spans="1:13" ht="15" customHeight="1">
      <c r="A2114" s="25">
        <v>1690190</v>
      </c>
      <c r="B2114" s="26" t="s">
        <v>5423</v>
      </c>
      <c r="C2114" s="26" t="s">
        <v>10139</v>
      </c>
      <c r="D2114" s="26" t="s">
        <v>10140</v>
      </c>
      <c r="E2114" s="26" t="s">
        <v>5463</v>
      </c>
      <c r="F2114" s="27">
        <v>5958692</v>
      </c>
      <c r="G2114" s="27">
        <v>1</v>
      </c>
      <c r="H2114" s="27">
        <v>1</v>
      </c>
      <c r="I2114" s="27">
        <v>1</v>
      </c>
      <c r="J2114" s="30">
        <f t="shared" ref="J2114:J2177" si="99">IF(G2114&gt;0,1,0)</f>
        <v>1</v>
      </c>
      <c r="K2114" s="30">
        <f t="shared" ref="K2114:K2177" si="100">IF(H2114&gt;0,1,0)</f>
        <v>1</v>
      </c>
      <c r="L2114" s="26">
        <f t="shared" ref="L2114:L2177" si="101">IF(G2114&gt;0,IF(H2114&gt;0,1,0),0)</f>
        <v>1</v>
      </c>
      <c r="M2114" s="26"/>
    </row>
    <row r="2115" spans="1:13" ht="15" customHeight="1">
      <c r="A2115" s="25">
        <v>1690224</v>
      </c>
      <c r="B2115" s="26" t="s">
        <v>5423</v>
      </c>
      <c r="C2115" s="26" t="s">
        <v>10141</v>
      </c>
      <c r="D2115" s="26" t="s">
        <v>10142</v>
      </c>
      <c r="E2115" s="26" t="s">
        <v>5480</v>
      </c>
      <c r="F2115" s="27">
        <v>5974042</v>
      </c>
      <c r="G2115" s="27">
        <v>1</v>
      </c>
      <c r="H2115" s="27">
        <v>1</v>
      </c>
      <c r="I2115" s="27">
        <v>1</v>
      </c>
      <c r="J2115" s="30">
        <f t="shared" si="99"/>
        <v>1</v>
      </c>
      <c r="K2115" s="30">
        <f t="shared" si="100"/>
        <v>1</v>
      </c>
      <c r="L2115" s="26">
        <f t="shared" si="101"/>
        <v>1</v>
      </c>
      <c r="M2115" s="26"/>
    </row>
    <row r="2116" spans="1:13" ht="15" customHeight="1">
      <c r="A2116" s="25">
        <v>1690229</v>
      </c>
      <c r="B2116" s="26" t="s">
        <v>5423</v>
      </c>
      <c r="C2116" s="26" t="s">
        <v>10143</v>
      </c>
      <c r="D2116" s="26" t="s">
        <v>10142</v>
      </c>
      <c r="E2116" s="26" t="s">
        <v>5463</v>
      </c>
      <c r="F2116" s="27">
        <v>5869993</v>
      </c>
      <c r="G2116" s="27">
        <v>1</v>
      </c>
      <c r="H2116" s="27">
        <v>1</v>
      </c>
      <c r="I2116" s="27">
        <v>1</v>
      </c>
      <c r="J2116" s="30">
        <f t="shared" si="99"/>
        <v>1</v>
      </c>
      <c r="K2116" s="30">
        <f t="shared" si="100"/>
        <v>1</v>
      </c>
      <c r="L2116" s="26">
        <f t="shared" si="101"/>
        <v>1</v>
      </c>
      <c r="M2116" s="26"/>
    </row>
    <row r="2117" spans="1:13" ht="15" customHeight="1">
      <c r="A2117" s="25">
        <v>1690254</v>
      </c>
      <c r="B2117" s="26" t="s">
        <v>5423</v>
      </c>
      <c r="C2117" s="26" t="s">
        <v>10144</v>
      </c>
      <c r="D2117" s="26" t="s">
        <v>10145</v>
      </c>
      <c r="E2117" s="26" t="s">
        <v>5707</v>
      </c>
      <c r="F2117" s="27">
        <v>5967084</v>
      </c>
      <c r="G2117" s="27">
        <v>1</v>
      </c>
      <c r="H2117" s="27">
        <v>1</v>
      </c>
      <c r="I2117" s="27">
        <v>1</v>
      </c>
      <c r="J2117" s="30">
        <f t="shared" si="99"/>
        <v>1</v>
      </c>
      <c r="K2117" s="30">
        <f t="shared" si="100"/>
        <v>1</v>
      </c>
      <c r="L2117" s="26">
        <f t="shared" si="101"/>
        <v>1</v>
      </c>
      <c r="M2117" s="26"/>
    </row>
    <row r="2118" spans="1:13" ht="15" customHeight="1">
      <c r="A2118" s="25">
        <v>1690275</v>
      </c>
      <c r="B2118" s="26" t="s">
        <v>5423</v>
      </c>
      <c r="C2118" s="26" t="s">
        <v>10146</v>
      </c>
      <c r="D2118" s="26" t="s">
        <v>10140</v>
      </c>
      <c r="E2118" s="26" t="s">
        <v>5430</v>
      </c>
      <c r="F2118" s="27">
        <v>5644980</v>
      </c>
      <c r="G2118" s="27">
        <v>0</v>
      </c>
      <c r="H2118" s="27">
        <v>0</v>
      </c>
      <c r="I2118" s="27">
        <v>0</v>
      </c>
      <c r="J2118" s="30">
        <f t="shared" si="99"/>
        <v>0</v>
      </c>
      <c r="K2118" s="30">
        <f t="shared" si="100"/>
        <v>0</v>
      </c>
      <c r="L2118" s="26">
        <f t="shared" si="101"/>
        <v>0</v>
      </c>
      <c r="M2118" s="26" t="s">
        <v>5557</v>
      </c>
    </row>
    <row r="2119" spans="1:13" ht="15" customHeight="1">
      <c r="A2119" s="25">
        <v>1690276</v>
      </c>
      <c r="B2119" s="26" t="s">
        <v>5423</v>
      </c>
      <c r="C2119" s="26" t="s">
        <v>10147</v>
      </c>
      <c r="D2119" s="26" t="s">
        <v>10148</v>
      </c>
      <c r="E2119" s="26" t="s">
        <v>5436</v>
      </c>
      <c r="F2119" s="27">
        <v>5824131</v>
      </c>
      <c r="G2119" s="27">
        <v>1</v>
      </c>
      <c r="H2119" s="27">
        <v>1</v>
      </c>
      <c r="I2119" s="27">
        <v>1</v>
      </c>
      <c r="J2119" s="30">
        <f t="shared" si="99"/>
        <v>1</v>
      </c>
      <c r="K2119" s="30">
        <f t="shared" si="100"/>
        <v>1</v>
      </c>
      <c r="L2119" s="26">
        <f t="shared" si="101"/>
        <v>1</v>
      </c>
      <c r="M2119" s="26"/>
    </row>
    <row r="2120" spans="1:13" ht="15" customHeight="1">
      <c r="A2120" s="25">
        <v>1690445</v>
      </c>
      <c r="B2120" s="26" t="s">
        <v>5423</v>
      </c>
      <c r="C2120" s="26" t="s">
        <v>10149</v>
      </c>
      <c r="D2120" s="26" t="s">
        <v>10150</v>
      </c>
      <c r="E2120" s="26" t="s">
        <v>5458</v>
      </c>
      <c r="F2120" s="27">
        <v>5970994</v>
      </c>
      <c r="G2120" s="27">
        <v>1</v>
      </c>
      <c r="H2120" s="27">
        <v>0</v>
      </c>
      <c r="I2120" s="27">
        <v>1</v>
      </c>
      <c r="J2120" s="30">
        <f t="shared" si="99"/>
        <v>1</v>
      </c>
      <c r="K2120" s="30">
        <f t="shared" si="100"/>
        <v>0</v>
      </c>
      <c r="L2120" s="26">
        <f t="shared" si="101"/>
        <v>0</v>
      </c>
      <c r="M2120" s="26"/>
    </row>
    <row r="2121" spans="1:13" ht="15" customHeight="1">
      <c r="A2121" s="25">
        <v>1690482</v>
      </c>
      <c r="B2121" s="26" t="s">
        <v>5427</v>
      </c>
      <c r="C2121" s="26" t="s">
        <v>10151</v>
      </c>
      <c r="D2121" s="26" t="s">
        <v>10108</v>
      </c>
      <c r="E2121" s="26" t="s">
        <v>5535</v>
      </c>
      <c r="F2121" s="27">
        <v>5976931</v>
      </c>
      <c r="G2121" s="27">
        <v>0</v>
      </c>
      <c r="H2121" s="27">
        <v>0</v>
      </c>
      <c r="I2121" s="27">
        <v>0</v>
      </c>
      <c r="J2121" s="30">
        <f t="shared" si="99"/>
        <v>0</v>
      </c>
      <c r="K2121" s="30">
        <f t="shared" si="100"/>
        <v>0</v>
      </c>
      <c r="L2121" s="26">
        <f t="shared" si="101"/>
        <v>0</v>
      </c>
      <c r="M2121" s="26">
        <v>0</v>
      </c>
    </row>
    <row r="2122" spans="1:13" ht="15" customHeight="1">
      <c r="A2122" s="25">
        <v>1690964</v>
      </c>
      <c r="B2122" s="26" t="s">
        <v>5423</v>
      </c>
      <c r="C2122" s="26" t="s">
        <v>10152</v>
      </c>
      <c r="D2122" s="26" t="s">
        <v>10153</v>
      </c>
      <c r="E2122" s="26" t="s">
        <v>5480</v>
      </c>
      <c r="F2122" s="27">
        <v>5978759</v>
      </c>
      <c r="G2122" s="27">
        <v>1</v>
      </c>
      <c r="H2122" s="27">
        <v>1</v>
      </c>
      <c r="I2122" s="27">
        <v>1</v>
      </c>
      <c r="J2122" s="30">
        <f t="shared" si="99"/>
        <v>1</v>
      </c>
      <c r="K2122" s="30">
        <f t="shared" si="100"/>
        <v>1</v>
      </c>
      <c r="L2122" s="26">
        <f t="shared" si="101"/>
        <v>1</v>
      </c>
      <c r="M2122" s="26"/>
    </row>
    <row r="2123" spans="1:13" ht="15" customHeight="1">
      <c r="A2123" s="25">
        <v>1691008</v>
      </c>
      <c r="B2123" s="26" t="s">
        <v>5427</v>
      </c>
      <c r="C2123" s="26" t="s">
        <v>10154</v>
      </c>
      <c r="D2123" s="26" t="s">
        <v>10155</v>
      </c>
      <c r="E2123" s="26" t="s">
        <v>5707</v>
      </c>
      <c r="F2123" s="27">
        <v>5967408</v>
      </c>
      <c r="G2123" s="27">
        <v>1</v>
      </c>
      <c r="H2123" s="27">
        <v>1</v>
      </c>
      <c r="I2123" s="27">
        <v>1</v>
      </c>
      <c r="J2123" s="30">
        <f t="shared" si="99"/>
        <v>1</v>
      </c>
      <c r="K2123" s="30">
        <f t="shared" si="100"/>
        <v>1</v>
      </c>
      <c r="L2123" s="26">
        <f t="shared" si="101"/>
        <v>1</v>
      </c>
      <c r="M2123" s="26"/>
    </row>
    <row r="2124" spans="1:13" ht="15" customHeight="1">
      <c r="A2124" s="25">
        <v>1691433</v>
      </c>
      <c r="B2124" s="26" t="s">
        <v>5423</v>
      </c>
      <c r="C2124" s="26" t="s">
        <v>10156</v>
      </c>
      <c r="D2124" s="26" t="s">
        <v>10108</v>
      </c>
      <c r="E2124" s="26" t="s">
        <v>5455</v>
      </c>
      <c r="F2124" s="27">
        <v>5955349</v>
      </c>
      <c r="G2124" s="27">
        <v>1</v>
      </c>
      <c r="H2124" s="27">
        <v>0</v>
      </c>
      <c r="I2124" s="27">
        <v>1</v>
      </c>
      <c r="J2124" s="30">
        <f t="shared" si="99"/>
        <v>1</v>
      </c>
      <c r="K2124" s="30">
        <f t="shared" si="100"/>
        <v>0</v>
      </c>
      <c r="L2124" s="26">
        <f t="shared" si="101"/>
        <v>0</v>
      </c>
      <c r="M2124" s="26"/>
    </row>
    <row r="2125" spans="1:13" ht="15" customHeight="1">
      <c r="A2125" s="25">
        <v>1691480</v>
      </c>
      <c r="B2125" s="26" t="s">
        <v>5423</v>
      </c>
      <c r="C2125" s="26" t="s">
        <v>10157</v>
      </c>
      <c r="D2125" s="26" t="s">
        <v>10108</v>
      </c>
      <c r="E2125" s="26" t="s">
        <v>5436</v>
      </c>
      <c r="F2125" s="27">
        <v>5160497</v>
      </c>
      <c r="G2125" s="27">
        <v>1</v>
      </c>
      <c r="H2125" s="27">
        <v>0</v>
      </c>
      <c r="I2125" s="27">
        <v>1</v>
      </c>
      <c r="J2125" s="30">
        <f t="shared" si="99"/>
        <v>1</v>
      </c>
      <c r="K2125" s="30">
        <f t="shared" si="100"/>
        <v>0</v>
      </c>
      <c r="L2125" s="26">
        <f t="shared" si="101"/>
        <v>0</v>
      </c>
      <c r="M2125" s="26"/>
    </row>
    <row r="2126" spans="1:13" ht="15" customHeight="1">
      <c r="A2126" s="25">
        <v>1691885</v>
      </c>
      <c r="B2126" s="26" t="s">
        <v>5427</v>
      </c>
      <c r="C2126" s="26" t="s">
        <v>10158</v>
      </c>
      <c r="D2126" s="26" t="s">
        <v>10159</v>
      </c>
      <c r="E2126" s="26" t="s">
        <v>5586</v>
      </c>
      <c r="F2126" s="27">
        <v>2353075</v>
      </c>
      <c r="G2126" s="27">
        <v>1</v>
      </c>
      <c r="H2126" s="27">
        <v>1</v>
      </c>
      <c r="I2126" s="27">
        <v>1</v>
      </c>
      <c r="J2126" s="30">
        <f t="shared" si="99"/>
        <v>1</v>
      </c>
      <c r="K2126" s="30">
        <f t="shared" si="100"/>
        <v>1</v>
      </c>
      <c r="L2126" s="26">
        <f t="shared" si="101"/>
        <v>1</v>
      </c>
      <c r="M2126" s="26"/>
    </row>
    <row r="2127" spans="1:13" ht="15" customHeight="1">
      <c r="A2127" s="25">
        <v>1691912</v>
      </c>
      <c r="B2127" s="26" t="s">
        <v>5423</v>
      </c>
      <c r="C2127" s="26" t="s">
        <v>10160</v>
      </c>
      <c r="D2127" s="26" t="s">
        <v>10161</v>
      </c>
      <c r="E2127" s="26" t="s">
        <v>5458</v>
      </c>
      <c r="F2127" s="27">
        <v>5971629</v>
      </c>
      <c r="G2127" s="27">
        <v>1</v>
      </c>
      <c r="H2127" s="27">
        <v>0</v>
      </c>
      <c r="I2127" s="27">
        <v>1</v>
      </c>
      <c r="J2127" s="30">
        <f t="shared" si="99"/>
        <v>1</v>
      </c>
      <c r="K2127" s="30">
        <f t="shared" si="100"/>
        <v>0</v>
      </c>
      <c r="L2127" s="26">
        <f t="shared" si="101"/>
        <v>0</v>
      </c>
      <c r="M2127" s="26"/>
    </row>
    <row r="2128" spans="1:13" ht="15" customHeight="1">
      <c r="A2128" s="25">
        <v>1692021</v>
      </c>
      <c r="B2128" s="26" t="s">
        <v>5427</v>
      </c>
      <c r="C2128" s="26" t="s">
        <v>10162</v>
      </c>
      <c r="D2128" s="26" t="s">
        <v>10163</v>
      </c>
      <c r="E2128" s="26" t="s">
        <v>5485</v>
      </c>
      <c r="F2128" s="27">
        <v>5927726</v>
      </c>
      <c r="G2128" s="27">
        <v>1</v>
      </c>
      <c r="H2128" s="27">
        <v>0</v>
      </c>
      <c r="I2128" s="27">
        <v>1</v>
      </c>
      <c r="J2128" s="30">
        <f t="shared" si="99"/>
        <v>1</v>
      </c>
      <c r="K2128" s="30">
        <f t="shared" si="100"/>
        <v>0</v>
      </c>
      <c r="L2128" s="26">
        <f t="shared" si="101"/>
        <v>0</v>
      </c>
      <c r="M2128" s="26"/>
    </row>
    <row r="2129" spans="1:13" ht="15" customHeight="1">
      <c r="A2129" s="25">
        <v>1692206</v>
      </c>
      <c r="B2129" s="26" t="s">
        <v>5427</v>
      </c>
      <c r="C2129" s="26" t="s">
        <v>10164</v>
      </c>
      <c r="D2129" s="26" t="s">
        <v>10161</v>
      </c>
      <c r="E2129" s="26" t="s">
        <v>5458</v>
      </c>
      <c r="F2129" s="27">
        <v>5979212</v>
      </c>
      <c r="G2129" s="27">
        <v>1</v>
      </c>
      <c r="H2129" s="27">
        <v>0</v>
      </c>
      <c r="I2129" s="27">
        <v>1</v>
      </c>
      <c r="J2129" s="30">
        <f t="shared" si="99"/>
        <v>1</v>
      </c>
      <c r="K2129" s="30">
        <f t="shared" si="100"/>
        <v>0</v>
      </c>
      <c r="L2129" s="26">
        <f t="shared" si="101"/>
        <v>0</v>
      </c>
      <c r="M2129" s="26"/>
    </row>
    <row r="2130" spans="1:13" ht="15" customHeight="1">
      <c r="A2130" s="25">
        <v>1692261</v>
      </c>
      <c r="B2130" s="26" t="s">
        <v>5423</v>
      </c>
      <c r="C2130" s="26" t="s">
        <v>10165</v>
      </c>
      <c r="D2130" s="26" t="s">
        <v>10166</v>
      </c>
      <c r="E2130" s="26" t="s">
        <v>5575</v>
      </c>
      <c r="F2130" s="27">
        <v>5962905</v>
      </c>
      <c r="G2130" s="27">
        <v>1</v>
      </c>
      <c r="H2130" s="27">
        <v>0</v>
      </c>
      <c r="I2130" s="27">
        <v>1</v>
      </c>
      <c r="J2130" s="30">
        <f t="shared" si="99"/>
        <v>1</v>
      </c>
      <c r="K2130" s="30">
        <f t="shared" si="100"/>
        <v>0</v>
      </c>
      <c r="L2130" s="26">
        <f t="shared" si="101"/>
        <v>0</v>
      </c>
      <c r="M2130" s="26"/>
    </row>
    <row r="2131" spans="1:13" ht="15" customHeight="1">
      <c r="A2131" s="25">
        <v>1692272</v>
      </c>
      <c r="B2131" s="26" t="s">
        <v>5427</v>
      </c>
      <c r="C2131" s="26" t="s">
        <v>10167</v>
      </c>
      <c r="D2131" s="26" t="s">
        <v>10166</v>
      </c>
      <c r="E2131" s="26" t="s">
        <v>5455</v>
      </c>
      <c r="F2131" s="27">
        <v>5982651</v>
      </c>
      <c r="G2131" s="27">
        <v>0</v>
      </c>
      <c r="H2131" s="27">
        <v>0</v>
      </c>
      <c r="I2131" s="27">
        <v>0</v>
      </c>
      <c r="J2131" s="30">
        <f t="shared" si="99"/>
        <v>0</v>
      </c>
      <c r="K2131" s="30">
        <f t="shared" si="100"/>
        <v>0</v>
      </c>
      <c r="L2131" s="26">
        <f t="shared" si="101"/>
        <v>0</v>
      </c>
      <c r="M2131" s="26">
        <v>0</v>
      </c>
    </row>
    <row r="2132" spans="1:13" ht="15" customHeight="1">
      <c r="A2132" s="25">
        <v>1692398</v>
      </c>
      <c r="B2132" s="26" t="s">
        <v>5427</v>
      </c>
      <c r="C2132" s="26" t="s">
        <v>10168</v>
      </c>
      <c r="D2132" s="26" t="s">
        <v>10169</v>
      </c>
      <c r="E2132" s="26" t="s">
        <v>5707</v>
      </c>
      <c r="F2132" s="27">
        <v>5982682</v>
      </c>
      <c r="G2132" s="27">
        <v>0</v>
      </c>
      <c r="H2132" s="27">
        <v>0</v>
      </c>
      <c r="I2132" s="27">
        <v>0</v>
      </c>
      <c r="J2132" s="30">
        <f t="shared" si="99"/>
        <v>0</v>
      </c>
      <c r="K2132" s="30">
        <f t="shared" si="100"/>
        <v>0</v>
      </c>
      <c r="L2132" s="26">
        <f t="shared" si="101"/>
        <v>0</v>
      </c>
      <c r="M2132" s="26" t="s">
        <v>5557</v>
      </c>
    </row>
    <row r="2133" spans="1:13" ht="15" customHeight="1">
      <c r="A2133" s="25">
        <v>1692478</v>
      </c>
      <c r="B2133" s="26" t="s">
        <v>5423</v>
      </c>
      <c r="C2133" s="26" t="s">
        <v>10170</v>
      </c>
      <c r="D2133" s="26" t="s">
        <v>10171</v>
      </c>
      <c r="E2133" s="26" t="s">
        <v>5540</v>
      </c>
      <c r="F2133" s="27">
        <v>5980131</v>
      </c>
      <c r="G2133" s="27">
        <v>0</v>
      </c>
      <c r="H2133" s="27">
        <v>0</v>
      </c>
      <c r="I2133" s="27">
        <v>0</v>
      </c>
      <c r="J2133" s="30">
        <f t="shared" si="99"/>
        <v>0</v>
      </c>
      <c r="K2133" s="30">
        <f t="shared" si="100"/>
        <v>0</v>
      </c>
      <c r="L2133" s="26">
        <f t="shared" si="101"/>
        <v>0</v>
      </c>
      <c r="M2133" s="26">
        <v>0</v>
      </c>
    </row>
    <row r="2134" spans="1:13" ht="15" customHeight="1">
      <c r="A2134" s="25">
        <v>1692500</v>
      </c>
      <c r="B2134" s="26" t="s">
        <v>5423</v>
      </c>
      <c r="C2134" s="26" t="s">
        <v>10172</v>
      </c>
      <c r="D2134" s="26" t="s">
        <v>10171</v>
      </c>
      <c r="E2134" s="26" t="s">
        <v>5452</v>
      </c>
      <c r="F2134" s="27">
        <v>5899116</v>
      </c>
      <c r="G2134" s="27">
        <v>1</v>
      </c>
      <c r="H2134" s="27">
        <v>0</v>
      </c>
      <c r="I2134" s="27">
        <v>1</v>
      </c>
      <c r="J2134" s="30">
        <f t="shared" si="99"/>
        <v>1</v>
      </c>
      <c r="K2134" s="30">
        <f t="shared" si="100"/>
        <v>0</v>
      </c>
      <c r="L2134" s="26">
        <f t="shared" si="101"/>
        <v>0</v>
      </c>
      <c r="M2134" s="26"/>
    </row>
    <row r="2135" spans="1:13" ht="15" customHeight="1">
      <c r="A2135" s="25">
        <v>1692519</v>
      </c>
      <c r="B2135" s="26" t="s">
        <v>5423</v>
      </c>
      <c r="C2135" s="26" t="s">
        <v>10173</v>
      </c>
      <c r="D2135" s="26" t="s">
        <v>10174</v>
      </c>
      <c r="E2135" s="26" t="s">
        <v>8392</v>
      </c>
      <c r="F2135" s="27">
        <v>5875680</v>
      </c>
      <c r="G2135" s="27">
        <v>1</v>
      </c>
      <c r="H2135" s="27">
        <v>0</v>
      </c>
      <c r="I2135" s="27">
        <v>1</v>
      </c>
      <c r="J2135" s="30">
        <f t="shared" si="99"/>
        <v>1</v>
      </c>
      <c r="K2135" s="30">
        <f t="shared" si="100"/>
        <v>0</v>
      </c>
      <c r="L2135" s="26">
        <f t="shared" si="101"/>
        <v>0</v>
      </c>
      <c r="M2135" s="26" t="s">
        <v>10175</v>
      </c>
    </row>
    <row r="2136" spans="1:13" ht="15" customHeight="1">
      <c r="A2136" s="25">
        <v>1692562</v>
      </c>
      <c r="B2136" s="26" t="s">
        <v>5427</v>
      </c>
      <c r="C2136" s="26" t="s">
        <v>10176</v>
      </c>
      <c r="D2136" s="26" t="s">
        <v>10171</v>
      </c>
      <c r="E2136" s="26" t="s">
        <v>5468</v>
      </c>
      <c r="F2136" s="27">
        <v>5979317</v>
      </c>
      <c r="G2136" s="27">
        <v>1</v>
      </c>
      <c r="H2136" s="27">
        <v>0</v>
      </c>
      <c r="I2136" s="27">
        <v>1</v>
      </c>
      <c r="J2136" s="30">
        <f t="shared" si="99"/>
        <v>1</v>
      </c>
      <c r="K2136" s="30">
        <f t="shared" si="100"/>
        <v>0</v>
      </c>
      <c r="L2136" s="26">
        <f t="shared" si="101"/>
        <v>0</v>
      </c>
      <c r="M2136" s="26"/>
    </row>
    <row r="2137" spans="1:13" ht="15" customHeight="1">
      <c r="A2137" s="25">
        <v>1692585</v>
      </c>
      <c r="B2137" s="26" t="s">
        <v>5423</v>
      </c>
      <c r="C2137" s="26" t="s">
        <v>10177</v>
      </c>
      <c r="D2137" s="26" t="s">
        <v>10171</v>
      </c>
      <c r="E2137" s="26" t="s">
        <v>5452</v>
      </c>
      <c r="F2137" s="27">
        <v>5980195</v>
      </c>
      <c r="G2137" s="27">
        <v>0</v>
      </c>
      <c r="H2137" s="27">
        <v>0</v>
      </c>
      <c r="I2137" s="27">
        <v>0</v>
      </c>
      <c r="J2137" s="30">
        <f t="shared" si="99"/>
        <v>0</v>
      </c>
      <c r="K2137" s="30">
        <f t="shared" si="100"/>
        <v>0</v>
      </c>
      <c r="L2137" s="26">
        <f t="shared" si="101"/>
        <v>0</v>
      </c>
      <c r="M2137" s="26">
        <v>0</v>
      </c>
    </row>
    <row r="2138" spans="1:13" ht="15" customHeight="1">
      <c r="A2138" s="25">
        <v>1692599</v>
      </c>
      <c r="B2138" s="26" t="s">
        <v>5427</v>
      </c>
      <c r="C2138" s="26" t="s">
        <v>10178</v>
      </c>
      <c r="D2138" s="26" t="s">
        <v>10166</v>
      </c>
      <c r="E2138" s="26" t="s">
        <v>5452</v>
      </c>
      <c r="F2138" s="27"/>
      <c r="G2138" s="27">
        <v>0</v>
      </c>
      <c r="H2138" s="27">
        <v>0</v>
      </c>
      <c r="I2138" s="27">
        <v>0</v>
      </c>
      <c r="J2138" s="30">
        <f t="shared" si="99"/>
        <v>0</v>
      </c>
      <c r="K2138" s="30">
        <f t="shared" si="100"/>
        <v>0</v>
      </c>
      <c r="L2138" s="26">
        <f t="shared" si="101"/>
        <v>0</v>
      </c>
      <c r="M2138" s="26" t="s">
        <v>5557</v>
      </c>
    </row>
    <row r="2139" spans="1:13" ht="15" customHeight="1">
      <c r="A2139" s="25">
        <v>1692606</v>
      </c>
      <c r="B2139" s="26" t="s">
        <v>5427</v>
      </c>
      <c r="C2139" s="26" t="s">
        <v>10179</v>
      </c>
      <c r="D2139" s="26" t="s">
        <v>10166</v>
      </c>
      <c r="E2139" s="26" t="s">
        <v>5485</v>
      </c>
      <c r="F2139" s="27">
        <v>5253108</v>
      </c>
      <c r="G2139" s="27">
        <v>0</v>
      </c>
      <c r="H2139" s="27">
        <v>0</v>
      </c>
      <c r="I2139" s="27">
        <v>0</v>
      </c>
      <c r="J2139" s="30">
        <f t="shared" si="99"/>
        <v>0</v>
      </c>
      <c r="K2139" s="30">
        <f t="shared" si="100"/>
        <v>0</v>
      </c>
      <c r="L2139" s="26">
        <f t="shared" si="101"/>
        <v>0</v>
      </c>
      <c r="M2139" s="26" t="s">
        <v>5557</v>
      </c>
    </row>
    <row r="2140" spans="1:13" ht="15" customHeight="1">
      <c r="A2140" s="25">
        <v>1692747</v>
      </c>
      <c r="B2140" s="26" t="s">
        <v>5427</v>
      </c>
      <c r="C2140" s="26" t="s">
        <v>10180</v>
      </c>
      <c r="D2140" s="26" t="s">
        <v>10181</v>
      </c>
      <c r="E2140" s="26" t="s">
        <v>5504</v>
      </c>
      <c r="F2140" s="27">
        <v>6001290</v>
      </c>
      <c r="G2140" s="27">
        <v>1</v>
      </c>
      <c r="H2140" s="27">
        <v>0</v>
      </c>
      <c r="I2140" s="27">
        <v>1</v>
      </c>
      <c r="J2140" s="30">
        <f t="shared" si="99"/>
        <v>1</v>
      </c>
      <c r="K2140" s="30">
        <f t="shared" si="100"/>
        <v>0</v>
      </c>
      <c r="L2140" s="26">
        <f t="shared" si="101"/>
        <v>0</v>
      </c>
      <c r="M2140" s="26"/>
    </row>
    <row r="2141" spans="1:13" ht="15" customHeight="1">
      <c r="A2141" s="25">
        <v>1692819</v>
      </c>
      <c r="B2141" s="26" t="s">
        <v>5423</v>
      </c>
      <c r="C2141" s="26" t="s">
        <v>10182</v>
      </c>
      <c r="D2141" s="26" t="s">
        <v>10166</v>
      </c>
      <c r="E2141" s="26" t="s">
        <v>5468</v>
      </c>
      <c r="F2141" s="27">
        <v>4988238</v>
      </c>
      <c r="G2141" s="27">
        <v>0</v>
      </c>
      <c r="H2141" s="27">
        <v>0</v>
      </c>
      <c r="I2141" s="27">
        <v>0</v>
      </c>
      <c r="J2141" s="30">
        <f t="shared" si="99"/>
        <v>0</v>
      </c>
      <c r="K2141" s="30">
        <f t="shared" si="100"/>
        <v>0</v>
      </c>
      <c r="L2141" s="26">
        <f t="shared" si="101"/>
        <v>0</v>
      </c>
      <c r="M2141" s="26" t="s">
        <v>5557</v>
      </c>
    </row>
    <row r="2142" spans="1:13" ht="15" customHeight="1">
      <c r="A2142" s="25">
        <v>1692906</v>
      </c>
      <c r="B2142" s="26" t="s">
        <v>5423</v>
      </c>
      <c r="C2142" s="26" t="s">
        <v>10183</v>
      </c>
      <c r="D2142" s="26" t="s">
        <v>10184</v>
      </c>
      <c r="E2142" s="26" t="s">
        <v>5458</v>
      </c>
      <c r="F2142" s="27">
        <v>5117839</v>
      </c>
      <c r="G2142" s="27">
        <v>0</v>
      </c>
      <c r="H2142" s="27">
        <v>0</v>
      </c>
      <c r="I2142" s="27">
        <v>0</v>
      </c>
      <c r="J2142" s="30">
        <f t="shared" si="99"/>
        <v>0</v>
      </c>
      <c r="K2142" s="30">
        <f t="shared" si="100"/>
        <v>0</v>
      </c>
      <c r="L2142" s="26">
        <f t="shared" si="101"/>
        <v>0</v>
      </c>
      <c r="M2142" s="26" t="s">
        <v>5557</v>
      </c>
    </row>
    <row r="2143" spans="1:13" ht="15" customHeight="1">
      <c r="A2143" s="25">
        <v>1693178</v>
      </c>
      <c r="B2143" s="26" t="s">
        <v>5427</v>
      </c>
      <c r="C2143" s="26" t="s">
        <v>10185</v>
      </c>
      <c r="D2143" s="26" t="s">
        <v>10186</v>
      </c>
      <c r="E2143" s="26" t="s">
        <v>5968</v>
      </c>
      <c r="F2143" s="27">
        <v>5985106</v>
      </c>
      <c r="G2143" s="27">
        <v>1</v>
      </c>
      <c r="H2143" s="27">
        <v>0</v>
      </c>
      <c r="I2143" s="27">
        <v>1</v>
      </c>
      <c r="J2143" s="30">
        <f t="shared" si="99"/>
        <v>1</v>
      </c>
      <c r="K2143" s="30">
        <f t="shared" si="100"/>
        <v>0</v>
      </c>
      <c r="L2143" s="26">
        <f t="shared" si="101"/>
        <v>0</v>
      </c>
      <c r="M2143" s="26"/>
    </row>
    <row r="2144" spans="1:13" ht="15" customHeight="1">
      <c r="A2144" s="25">
        <v>1694435</v>
      </c>
      <c r="B2144" s="26" t="s">
        <v>5427</v>
      </c>
      <c r="C2144" s="26" t="s">
        <v>10187</v>
      </c>
      <c r="D2144" s="26" t="s">
        <v>10188</v>
      </c>
      <c r="E2144" s="26" t="s">
        <v>5514</v>
      </c>
      <c r="F2144" s="27">
        <v>5981140</v>
      </c>
      <c r="G2144" s="27">
        <v>1</v>
      </c>
      <c r="H2144" s="27">
        <v>0</v>
      </c>
      <c r="I2144" s="27">
        <v>1</v>
      </c>
      <c r="J2144" s="30">
        <f t="shared" si="99"/>
        <v>1</v>
      </c>
      <c r="K2144" s="30">
        <f t="shared" si="100"/>
        <v>0</v>
      </c>
      <c r="L2144" s="26">
        <f t="shared" si="101"/>
        <v>0</v>
      </c>
      <c r="M2144" s="26"/>
    </row>
    <row r="2145" spans="1:13" ht="15" customHeight="1">
      <c r="A2145" s="25">
        <v>1694712</v>
      </c>
      <c r="B2145" s="26" t="s">
        <v>5423</v>
      </c>
      <c r="C2145" s="26" t="s">
        <v>10189</v>
      </c>
      <c r="D2145" s="26" t="s">
        <v>10190</v>
      </c>
      <c r="E2145" s="26" t="s">
        <v>5463</v>
      </c>
      <c r="F2145" s="27">
        <v>5989966</v>
      </c>
      <c r="G2145" s="27">
        <v>1</v>
      </c>
      <c r="H2145" s="27">
        <v>1</v>
      </c>
      <c r="I2145" s="27">
        <v>1</v>
      </c>
      <c r="J2145" s="30">
        <f t="shared" si="99"/>
        <v>1</v>
      </c>
      <c r="K2145" s="30">
        <f t="shared" si="100"/>
        <v>1</v>
      </c>
      <c r="L2145" s="26">
        <f t="shared" si="101"/>
        <v>1</v>
      </c>
      <c r="M2145" s="26"/>
    </row>
    <row r="2146" spans="1:13" ht="15" customHeight="1">
      <c r="A2146" s="25">
        <v>1694807</v>
      </c>
      <c r="B2146" s="26" t="s">
        <v>5427</v>
      </c>
      <c r="C2146" s="26" t="s">
        <v>10191</v>
      </c>
      <c r="D2146" s="26" t="s">
        <v>10192</v>
      </c>
      <c r="E2146" s="26" t="s">
        <v>5891</v>
      </c>
      <c r="F2146" s="27">
        <v>5825276</v>
      </c>
      <c r="G2146" s="27">
        <v>0</v>
      </c>
      <c r="H2146" s="27">
        <v>0</v>
      </c>
      <c r="I2146" s="27">
        <v>0</v>
      </c>
      <c r="J2146" s="30">
        <f t="shared" si="99"/>
        <v>0</v>
      </c>
      <c r="K2146" s="30">
        <f t="shared" si="100"/>
        <v>0</v>
      </c>
      <c r="L2146" s="26">
        <f t="shared" si="101"/>
        <v>0</v>
      </c>
      <c r="M2146" s="26">
        <v>0</v>
      </c>
    </row>
    <row r="2147" spans="1:13" ht="15" customHeight="1">
      <c r="A2147" s="25" t="s">
        <v>10193</v>
      </c>
      <c r="B2147" s="26" t="s">
        <v>5427</v>
      </c>
      <c r="C2147" s="26" t="s">
        <v>10194</v>
      </c>
      <c r="D2147" s="26" t="s">
        <v>10195</v>
      </c>
      <c r="E2147" s="26" t="s">
        <v>6075</v>
      </c>
      <c r="F2147" s="27">
        <v>4467366</v>
      </c>
      <c r="G2147" s="27">
        <v>2</v>
      </c>
      <c r="H2147" s="27">
        <v>1</v>
      </c>
      <c r="I2147" s="27">
        <v>1</v>
      </c>
      <c r="J2147" s="30">
        <f t="shared" si="99"/>
        <v>1</v>
      </c>
      <c r="K2147" s="30">
        <f t="shared" si="100"/>
        <v>1</v>
      </c>
      <c r="L2147" s="26">
        <f t="shared" si="101"/>
        <v>1</v>
      </c>
      <c r="M2147" s="26" t="s">
        <v>10196</v>
      </c>
    </row>
    <row r="2148" spans="1:13" ht="15" customHeight="1">
      <c r="A2148" s="25">
        <v>1695070</v>
      </c>
      <c r="B2148" s="26" t="s">
        <v>5423</v>
      </c>
      <c r="C2148" s="26" t="s">
        <v>10197</v>
      </c>
      <c r="D2148" s="26" t="s">
        <v>10198</v>
      </c>
      <c r="E2148" s="26" t="s">
        <v>5560</v>
      </c>
      <c r="F2148" s="27">
        <v>5848660</v>
      </c>
      <c r="G2148" s="27">
        <v>1</v>
      </c>
      <c r="H2148" s="27">
        <v>0</v>
      </c>
      <c r="I2148" s="27">
        <v>1</v>
      </c>
      <c r="J2148" s="30">
        <f t="shared" si="99"/>
        <v>1</v>
      </c>
      <c r="K2148" s="30">
        <f t="shared" si="100"/>
        <v>0</v>
      </c>
      <c r="L2148" s="26">
        <f t="shared" si="101"/>
        <v>0</v>
      </c>
      <c r="M2148" s="26"/>
    </row>
    <row r="2149" spans="1:13" ht="15" customHeight="1">
      <c r="A2149" s="25">
        <v>1695524</v>
      </c>
      <c r="B2149" s="26" t="s">
        <v>5423</v>
      </c>
      <c r="C2149" s="26" t="s">
        <v>10199</v>
      </c>
      <c r="D2149" s="26" t="s">
        <v>10200</v>
      </c>
      <c r="E2149" s="26" t="s">
        <v>5475</v>
      </c>
      <c r="F2149" s="27">
        <v>5921207</v>
      </c>
      <c r="G2149" s="27">
        <v>1</v>
      </c>
      <c r="H2149" s="27">
        <v>1</v>
      </c>
      <c r="I2149" s="27">
        <v>1</v>
      </c>
      <c r="J2149" s="30">
        <f t="shared" si="99"/>
        <v>1</v>
      </c>
      <c r="K2149" s="30">
        <f t="shared" si="100"/>
        <v>1</v>
      </c>
      <c r="L2149" s="26">
        <f t="shared" si="101"/>
        <v>1</v>
      </c>
      <c r="M2149" s="26"/>
    </row>
    <row r="2150" spans="1:13" ht="15" customHeight="1">
      <c r="A2150" s="25">
        <v>1695670</v>
      </c>
      <c r="B2150" s="26" t="s">
        <v>5423</v>
      </c>
      <c r="C2150" s="26" t="s">
        <v>10201</v>
      </c>
      <c r="D2150" s="26" t="s">
        <v>10190</v>
      </c>
      <c r="E2150" s="26" t="s">
        <v>5439</v>
      </c>
      <c r="F2150" s="27">
        <v>5979574</v>
      </c>
      <c r="G2150" s="27">
        <v>1</v>
      </c>
      <c r="H2150" s="27">
        <v>0</v>
      </c>
      <c r="I2150" s="27">
        <v>1</v>
      </c>
      <c r="J2150" s="30">
        <f t="shared" si="99"/>
        <v>1</v>
      </c>
      <c r="K2150" s="30">
        <f t="shared" si="100"/>
        <v>0</v>
      </c>
      <c r="L2150" s="26">
        <f t="shared" si="101"/>
        <v>0</v>
      </c>
      <c r="M2150" s="26"/>
    </row>
    <row r="2151" spans="1:13" ht="15" customHeight="1">
      <c r="A2151" s="25">
        <v>1695680</v>
      </c>
      <c r="B2151" s="26" t="s">
        <v>5427</v>
      </c>
      <c r="C2151" s="26" t="s">
        <v>10202</v>
      </c>
      <c r="D2151" s="26" t="s">
        <v>10203</v>
      </c>
      <c r="E2151" s="26" t="s">
        <v>5491</v>
      </c>
      <c r="F2151" s="27">
        <v>5961181</v>
      </c>
      <c r="G2151" s="27">
        <v>1</v>
      </c>
      <c r="H2151" s="27">
        <v>1</v>
      </c>
      <c r="I2151" s="27">
        <v>1</v>
      </c>
      <c r="J2151" s="30">
        <f t="shared" si="99"/>
        <v>1</v>
      </c>
      <c r="K2151" s="30">
        <f t="shared" si="100"/>
        <v>1</v>
      </c>
      <c r="L2151" s="26">
        <f t="shared" si="101"/>
        <v>1</v>
      </c>
      <c r="M2151" s="26"/>
    </row>
    <row r="2152" spans="1:13" ht="15" customHeight="1">
      <c r="A2152" s="25">
        <v>1695688</v>
      </c>
      <c r="B2152" s="26" t="s">
        <v>5427</v>
      </c>
      <c r="C2152" s="26" t="s">
        <v>10204</v>
      </c>
      <c r="D2152" s="26" t="s">
        <v>10205</v>
      </c>
      <c r="E2152" s="26" t="s">
        <v>5439</v>
      </c>
      <c r="F2152" s="27">
        <v>5116173</v>
      </c>
      <c r="G2152" s="27">
        <v>0</v>
      </c>
      <c r="H2152" s="27">
        <v>0</v>
      </c>
      <c r="I2152" s="27">
        <v>0</v>
      </c>
      <c r="J2152" s="30">
        <f t="shared" si="99"/>
        <v>0</v>
      </c>
      <c r="K2152" s="30">
        <f t="shared" si="100"/>
        <v>0</v>
      </c>
      <c r="L2152" s="26">
        <f t="shared" si="101"/>
        <v>0</v>
      </c>
      <c r="M2152" s="26" t="s">
        <v>5557</v>
      </c>
    </row>
    <row r="2153" spans="1:13" ht="15" customHeight="1">
      <c r="A2153" s="25">
        <v>1695735</v>
      </c>
      <c r="B2153" s="26" t="s">
        <v>5423</v>
      </c>
      <c r="C2153" s="26" t="s">
        <v>10206</v>
      </c>
      <c r="D2153" s="26" t="s">
        <v>10207</v>
      </c>
      <c r="E2153" s="26" t="s">
        <v>5603</v>
      </c>
      <c r="F2153" s="27">
        <v>5977631</v>
      </c>
      <c r="G2153" s="27">
        <v>1</v>
      </c>
      <c r="H2153" s="27">
        <v>1</v>
      </c>
      <c r="I2153" s="27">
        <v>1</v>
      </c>
      <c r="J2153" s="30">
        <f t="shared" si="99"/>
        <v>1</v>
      </c>
      <c r="K2153" s="30">
        <f t="shared" si="100"/>
        <v>1</v>
      </c>
      <c r="L2153" s="26">
        <f t="shared" si="101"/>
        <v>1</v>
      </c>
      <c r="M2153" s="26"/>
    </row>
    <row r="2154" spans="1:13" ht="15" customHeight="1">
      <c r="A2154" s="25">
        <v>1696071</v>
      </c>
      <c r="B2154" s="26" t="s">
        <v>5427</v>
      </c>
      <c r="C2154" s="26" t="s">
        <v>10208</v>
      </c>
      <c r="D2154" s="26" t="s">
        <v>10198</v>
      </c>
      <c r="E2154" s="26" t="s">
        <v>8392</v>
      </c>
      <c r="F2154" s="27">
        <v>5979529</v>
      </c>
      <c r="G2154" s="27">
        <v>1</v>
      </c>
      <c r="H2154" s="27">
        <v>0</v>
      </c>
      <c r="I2154" s="27">
        <v>1</v>
      </c>
      <c r="J2154" s="30">
        <f t="shared" si="99"/>
        <v>1</v>
      </c>
      <c r="K2154" s="30">
        <f t="shared" si="100"/>
        <v>0</v>
      </c>
      <c r="L2154" s="26">
        <f t="shared" si="101"/>
        <v>0</v>
      </c>
      <c r="M2154" s="26"/>
    </row>
    <row r="2155" spans="1:13" ht="15" customHeight="1">
      <c r="A2155" s="25">
        <v>1696211</v>
      </c>
      <c r="B2155" s="26" t="s">
        <v>5423</v>
      </c>
      <c r="C2155" s="26" t="s">
        <v>10209</v>
      </c>
      <c r="D2155" s="26" t="s">
        <v>10210</v>
      </c>
      <c r="E2155" s="26" t="s">
        <v>5436</v>
      </c>
      <c r="F2155" s="27">
        <v>5994550</v>
      </c>
      <c r="G2155" s="27">
        <v>1</v>
      </c>
      <c r="H2155" s="27">
        <v>0</v>
      </c>
      <c r="I2155" s="27">
        <v>1</v>
      </c>
      <c r="J2155" s="30">
        <f t="shared" si="99"/>
        <v>1</v>
      </c>
      <c r="K2155" s="30">
        <f t="shared" si="100"/>
        <v>0</v>
      </c>
      <c r="L2155" s="26">
        <f t="shared" si="101"/>
        <v>0</v>
      </c>
      <c r="M2155" s="26"/>
    </row>
    <row r="2156" spans="1:13" ht="15" customHeight="1">
      <c r="A2156" s="25">
        <v>1696518</v>
      </c>
      <c r="B2156" s="26" t="s">
        <v>5423</v>
      </c>
      <c r="C2156" s="26" t="s">
        <v>10211</v>
      </c>
      <c r="D2156" s="26" t="s">
        <v>10212</v>
      </c>
      <c r="E2156" s="26" t="s">
        <v>5436</v>
      </c>
      <c r="F2156" s="27">
        <v>5160497</v>
      </c>
      <c r="G2156" s="27">
        <v>0</v>
      </c>
      <c r="H2156" s="27">
        <v>0</v>
      </c>
      <c r="I2156" s="27">
        <v>0</v>
      </c>
      <c r="J2156" s="30">
        <f t="shared" si="99"/>
        <v>0</v>
      </c>
      <c r="K2156" s="30">
        <f t="shared" si="100"/>
        <v>0</v>
      </c>
      <c r="L2156" s="26">
        <f t="shared" si="101"/>
        <v>0</v>
      </c>
      <c r="M2156" s="26" t="s">
        <v>8216</v>
      </c>
    </row>
    <row r="2157" spans="1:13" ht="15" customHeight="1">
      <c r="A2157" s="25">
        <v>1696550</v>
      </c>
      <c r="B2157" s="26" t="s">
        <v>5423</v>
      </c>
      <c r="C2157" s="26" t="s">
        <v>10213</v>
      </c>
      <c r="D2157" s="26" t="s">
        <v>10214</v>
      </c>
      <c r="E2157" s="26" t="s">
        <v>5480</v>
      </c>
      <c r="F2157" s="27">
        <v>5995044</v>
      </c>
      <c r="G2157" s="27">
        <v>0</v>
      </c>
      <c r="H2157" s="27">
        <v>1</v>
      </c>
      <c r="I2157" s="27">
        <v>1</v>
      </c>
      <c r="J2157" s="30">
        <f t="shared" si="99"/>
        <v>0</v>
      </c>
      <c r="K2157" s="30">
        <f t="shared" si="100"/>
        <v>1</v>
      </c>
      <c r="L2157" s="26">
        <f t="shared" si="101"/>
        <v>0</v>
      </c>
      <c r="M2157" s="26"/>
    </row>
    <row r="2158" spans="1:13" ht="15" customHeight="1">
      <c r="A2158" s="25">
        <v>1696564</v>
      </c>
      <c r="B2158" s="26" t="s">
        <v>5423</v>
      </c>
      <c r="C2158" s="26" t="s">
        <v>10215</v>
      </c>
      <c r="D2158" s="26" t="s">
        <v>10216</v>
      </c>
      <c r="E2158" s="26" t="s">
        <v>5772</v>
      </c>
      <c r="F2158" s="27">
        <v>5994080</v>
      </c>
      <c r="G2158" s="27">
        <v>1</v>
      </c>
      <c r="H2158" s="27">
        <v>0</v>
      </c>
      <c r="I2158" s="27">
        <v>1</v>
      </c>
      <c r="J2158" s="30">
        <f t="shared" si="99"/>
        <v>1</v>
      </c>
      <c r="K2158" s="30">
        <f t="shared" si="100"/>
        <v>0</v>
      </c>
      <c r="L2158" s="26">
        <f t="shared" si="101"/>
        <v>0</v>
      </c>
      <c r="M2158" s="26"/>
    </row>
    <row r="2159" spans="1:13" ht="15" customHeight="1">
      <c r="A2159" s="25">
        <v>1696636</v>
      </c>
      <c r="B2159" s="26" t="s">
        <v>5423</v>
      </c>
      <c r="C2159" s="26" t="s">
        <v>10217</v>
      </c>
      <c r="D2159" s="26" t="s">
        <v>10218</v>
      </c>
      <c r="E2159" s="26" t="s">
        <v>5430</v>
      </c>
      <c r="F2159" s="27"/>
      <c r="G2159" s="27">
        <v>0</v>
      </c>
      <c r="H2159" s="27">
        <v>0</v>
      </c>
      <c r="I2159" s="27">
        <v>0</v>
      </c>
      <c r="J2159" s="30">
        <f t="shared" si="99"/>
        <v>0</v>
      </c>
      <c r="K2159" s="30">
        <f t="shared" si="100"/>
        <v>0</v>
      </c>
      <c r="L2159" s="26">
        <f t="shared" si="101"/>
        <v>0</v>
      </c>
      <c r="M2159" s="26">
        <v>0</v>
      </c>
    </row>
    <row r="2160" spans="1:13" ht="15" customHeight="1">
      <c r="A2160" s="25">
        <v>1696799</v>
      </c>
      <c r="B2160" s="26" t="s">
        <v>5423</v>
      </c>
      <c r="C2160" s="26" t="s">
        <v>10219</v>
      </c>
      <c r="D2160" s="26" t="s">
        <v>10216</v>
      </c>
      <c r="E2160" s="26" t="s">
        <v>8392</v>
      </c>
      <c r="F2160" s="27">
        <v>5995946</v>
      </c>
      <c r="G2160" s="27">
        <v>1</v>
      </c>
      <c r="H2160" s="27">
        <v>0</v>
      </c>
      <c r="I2160" s="27">
        <v>1</v>
      </c>
      <c r="J2160" s="30">
        <f t="shared" si="99"/>
        <v>1</v>
      </c>
      <c r="K2160" s="30">
        <f t="shared" si="100"/>
        <v>0</v>
      </c>
      <c r="L2160" s="26">
        <f t="shared" si="101"/>
        <v>0</v>
      </c>
      <c r="M2160" s="26"/>
    </row>
    <row r="2161" spans="1:13" ht="15" customHeight="1">
      <c r="A2161" s="25">
        <v>1696921</v>
      </c>
      <c r="B2161" s="26" t="s">
        <v>5423</v>
      </c>
      <c r="C2161" s="26" t="s">
        <v>10220</v>
      </c>
      <c r="D2161" s="26" t="s">
        <v>10207</v>
      </c>
      <c r="E2161" s="26" t="s">
        <v>5718</v>
      </c>
      <c r="F2161" s="27">
        <v>5125817</v>
      </c>
      <c r="G2161" s="27">
        <v>0</v>
      </c>
      <c r="H2161" s="27">
        <v>0</v>
      </c>
      <c r="I2161" s="27">
        <v>0</v>
      </c>
      <c r="J2161" s="30">
        <f t="shared" si="99"/>
        <v>0</v>
      </c>
      <c r="K2161" s="30">
        <f t="shared" si="100"/>
        <v>0</v>
      </c>
      <c r="L2161" s="26">
        <f t="shared" si="101"/>
        <v>0</v>
      </c>
      <c r="M2161" s="26">
        <v>0</v>
      </c>
    </row>
    <row r="2162" spans="1:13" ht="15" customHeight="1">
      <c r="A2162" s="25">
        <v>1696964</v>
      </c>
      <c r="B2162" s="26" t="s">
        <v>5427</v>
      </c>
      <c r="C2162" s="26" t="s">
        <v>10221</v>
      </c>
      <c r="D2162" s="26" t="s">
        <v>10222</v>
      </c>
      <c r="E2162" s="26" t="s">
        <v>5488</v>
      </c>
      <c r="F2162" s="27">
        <v>5995542</v>
      </c>
      <c r="G2162" s="27">
        <v>0</v>
      </c>
      <c r="H2162" s="27">
        <v>0</v>
      </c>
      <c r="I2162" s="27">
        <v>0</v>
      </c>
      <c r="J2162" s="30">
        <f t="shared" si="99"/>
        <v>0</v>
      </c>
      <c r="K2162" s="30">
        <f t="shared" si="100"/>
        <v>0</v>
      </c>
      <c r="L2162" s="26">
        <f t="shared" si="101"/>
        <v>0</v>
      </c>
      <c r="M2162" s="26">
        <v>0</v>
      </c>
    </row>
    <row r="2163" spans="1:13" ht="15" customHeight="1">
      <c r="A2163" s="25">
        <v>1697013</v>
      </c>
      <c r="B2163" s="26" t="s">
        <v>5423</v>
      </c>
      <c r="C2163" s="26" t="s">
        <v>10223</v>
      </c>
      <c r="D2163" s="26" t="s">
        <v>10207</v>
      </c>
      <c r="E2163" s="26" t="s">
        <v>5517</v>
      </c>
      <c r="F2163" s="27">
        <v>5927975</v>
      </c>
      <c r="G2163" s="27">
        <v>1</v>
      </c>
      <c r="H2163" s="27">
        <v>0</v>
      </c>
      <c r="I2163" s="27">
        <v>1</v>
      </c>
      <c r="J2163" s="30">
        <f t="shared" si="99"/>
        <v>1</v>
      </c>
      <c r="K2163" s="30">
        <f t="shared" si="100"/>
        <v>0</v>
      </c>
      <c r="L2163" s="26">
        <f t="shared" si="101"/>
        <v>0</v>
      </c>
      <c r="M2163" s="26"/>
    </row>
    <row r="2164" spans="1:13" ht="15" customHeight="1">
      <c r="A2164" s="25">
        <v>1697436</v>
      </c>
      <c r="B2164" s="26" t="s">
        <v>5423</v>
      </c>
      <c r="C2164" s="26" t="s">
        <v>10224</v>
      </c>
      <c r="D2164" s="26" t="s">
        <v>10207</v>
      </c>
      <c r="E2164" s="26" t="s">
        <v>5475</v>
      </c>
      <c r="F2164" s="27">
        <v>5414685</v>
      </c>
      <c r="G2164" s="27">
        <v>0</v>
      </c>
      <c r="H2164" s="27">
        <v>0</v>
      </c>
      <c r="I2164" s="27">
        <v>0</v>
      </c>
      <c r="J2164" s="30">
        <f t="shared" si="99"/>
        <v>0</v>
      </c>
      <c r="K2164" s="30">
        <f t="shared" si="100"/>
        <v>0</v>
      </c>
      <c r="L2164" s="26">
        <f t="shared" si="101"/>
        <v>0</v>
      </c>
      <c r="M2164" s="26" t="s">
        <v>5557</v>
      </c>
    </row>
    <row r="2165" spans="1:13" ht="15" customHeight="1">
      <c r="A2165" s="25">
        <v>1697564</v>
      </c>
      <c r="B2165" s="26" t="s">
        <v>5427</v>
      </c>
      <c r="C2165" s="26" t="s">
        <v>10225</v>
      </c>
      <c r="D2165" s="26" t="s">
        <v>10226</v>
      </c>
      <c r="E2165" s="26" t="s">
        <v>5522</v>
      </c>
      <c r="F2165" s="27">
        <v>5993713</v>
      </c>
      <c r="G2165" s="27">
        <v>1</v>
      </c>
      <c r="H2165" s="27">
        <v>0</v>
      </c>
      <c r="I2165" s="27">
        <v>1</v>
      </c>
      <c r="J2165" s="30">
        <f t="shared" si="99"/>
        <v>1</v>
      </c>
      <c r="K2165" s="30">
        <f t="shared" si="100"/>
        <v>0</v>
      </c>
      <c r="L2165" s="26">
        <f t="shared" si="101"/>
        <v>0</v>
      </c>
      <c r="M2165" s="26"/>
    </row>
    <row r="2166" spans="1:13" ht="15" customHeight="1">
      <c r="A2166" s="25">
        <v>1697752</v>
      </c>
      <c r="B2166" s="26" t="s">
        <v>5423</v>
      </c>
      <c r="C2166" s="26" t="s">
        <v>10227</v>
      </c>
      <c r="D2166" s="26" t="s">
        <v>10228</v>
      </c>
      <c r="E2166" s="26" t="s">
        <v>5436</v>
      </c>
      <c r="F2166" s="27">
        <v>5997921</v>
      </c>
      <c r="G2166" s="27">
        <v>1</v>
      </c>
      <c r="H2166" s="27">
        <v>1</v>
      </c>
      <c r="I2166" s="27">
        <v>1</v>
      </c>
      <c r="J2166" s="30">
        <f t="shared" si="99"/>
        <v>1</v>
      </c>
      <c r="K2166" s="30">
        <f t="shared" si="100"/>
        <v>1</v>
      </c>
      <c r="L2166" s="26">
        <f t="shared" si="101"/>
        <v>1</v>
      </c>
      <c r="M2166" s="26"/>
    </row>
    <row r="2167" spans="1:13" ht="15" customHeight="1">
      <c r="A2167" s="25">
        <v>1697948</v>
      </c>
      <c r="B2167" s="26" t="s">
        <v>5423</v>
      </c>
      <c r="C2167" s="26" t="s">
        <v>10229</v>
      </c>
      <c r="D2167" s="26" t="s">
        <v>10230</v>
      </c>
      <c r="E2167" s="26" t="s">
        <v>5610</v>
      </c>
      <c r="F2167" s="27">
        <v>5971427</v>
      </c>
      <c r="G2167" s="27">
        <v>1</v>
      </c>
      <c r="H2167" s="27">
        <v>1</v>
      </c>
      <c r="I2167" s="27">
        <v>1</v>
      </c>
      <c r="J2167" s="30">
        <f t="shared" si="99"/>
        <v>1</v>
      </c>
      <c r="K2167" s="30">
        <f t="shared" si="100"/>
        <v>1</v>
      </c>
      <c r="L2167" s="26">
        <f t="shared" si="101"/>
        <v>1</v>
      </c>
      <c r="M2167" s="26"/>
    </row>
    <row r="2168" spans="1:13" ht="15" customHeight="1">
      <c r="A2168" s="25">
        <v>1697969</v>
      </c>
      <c r="B2168" s="26" t="s">
        <v>5423</v>
      </c>
      <c r="C2168" s="26" t="s">
        <v>10231</v>
      </c>
      <c r="D2168" s="26" t="s">
        <v>10222</v>
      </c>
      <c r="E2168" s="26" t="s">
        <v>5436</v>
      </c>
      <c r="F2168" s="27">
        <v>5327647</v>
      </c>
      <c r="G2168" s="27">
        <v>0</v>
      </c>
      <c r="H2168" s="27">
        <v>0</v>
      </c>
      <c r="I2168" s="27">
        <v>0</v>
      </c>
      <c r="J2168" s="30">
        <f t="shared" si="99"/>
        <v>0</v>
      </c>
      <c r="K2168" s="30">
        <f t="shared" si="100"/>
        <v>0</v>
      </c>
      <c r="L2168" s="26">
        <f t="shared" si="101"/>
        <v>0</v>
      </c>
      <c r="M2168" s="26" t="s">
        <v>5557</v>
      </c>
    </row>
    <row r="2169" spans="1:13" ht="15" customHeight="1">
      <c r="A2169" s="25">
        <v>1698181</v>
      </c>
      <c r="B2169" s="26" t="s">
        <v>5427</v>
      </c>
      <c r="C2169" s="26" t="s">
        <v>10232</v>
      </c>
      <c r="D2169" s="26" t="s">
        <v>10222</v>
      </c>
      <c r="E2169" s="26" t="s">
        <v>5463</v>
      </c>
      <c r="F2169" s="27"/>
      <c r="G2169" s="27">
        <v>0</v>
      </c>
      <c r="H2169" s="27">
        <v>0</v>
      </c>
      <c r="I2169" s="27">
        <v>0</v>
      </c>
      <c r="J2169" s="30">
        <f t="shared" si="99"/>
        <v>0</v>
      </c>
      <c r="K2169" s="30">
        <f t="shared" si="100"/>
        <v>0</v>
      </c>
      <c r="L2169" s="26">
        <f t="shared" si="101"/>
        <v>0</v>
      </c>
      <c r="M2169" s="26" t="s">
        <v>5557</v>
      </c>
    </row>
    <row r="2170" spans="1:13" ht="15" customHeight="1">
      <c r="A2170" s="25">
        <v>1698298</v>
      </c>
      <c r="B2170" s="26" t="s">
        <v>5427</v>
      </c>
      <c r="C2170" s="26" t="s">
        <v>10233</v>
      </c>
      <c r="D2170" s="26" t="s">
        <v>10228</v>
      </c>
      <c r="E2170" s="26" t="s">
        <v>5504</v>
      </c>
      <c r="F2170" s="27">
        <v>6001290</v>
      </c>
      <c r="G2170" s="27">
        <v>1</v>
      </c>
      <c r="H2170" s="27">
        <v>0</v>
      </c>
      <c r="I2170" s="27">
        <v>1</v>
      </c>
      <c r="J2170" s="30">
        <f t="shared" si="99"/>
        <v>1</v>
      </c>
      <c r="K2170" s="30">
        <f t="shared" si="100"/>
        <v>0</v>
      </c>
      <c r="L2170" s="26">
        <f t="shared" si="101"/>
        <v>0</v>
      </c>
      <c r="M2170" s="26"/>
    </row>
    <row r="2171" spans="1:13" ht="15" customHeight="1">
      <c r="A2171" s="25">
        <v>1698481</v>
      </c>
      <c r="B2171" s="26" t="s">
        <v>5427</v>
      </c>
      <c r="C2171" s="26" t="s">
        <v>10234</v>
      </c>
      <c r="D2171" s="26" t="s">
        <v>10235</v>
      </c>
      <c r="E2171" s="26" t="s">
        <v>5535</v>
      </c>
      <c r="F2171" s="27">
        <v>6000578</v>
      </c>
      <c r="G2171" s="27">
        <v>1</v>
      </c>
      <c r="H2171" s="27">
        <v>1</v>
      </c>
      <c r="I2171" s="27">
        <v>1</v>
      </c>
      <c r="J2171" s="30">
        <f t="shared" si="99"/>
        <v>1</v>
      </c>
      <c r="K2171" s="30">
        <f t="shared" si="100"/>
        <v>1</v>
      </c>
      <c r="L2171" s="26">
        <f t="shared" si="101"/>
        <v>1</v>
      </c>
      <c r="M2171" s="26" t="s">
        <v>7910</v>
      </c>
    </row>
    <row r="2172" spans="1:13" ht="15" customHeight="1">
      <c r="A2172" s="25">
        <v>1698699</v>
      </c>
      <c r="B2172" s="26" t="s">
        <v>5423</v>
      </c>
      <c r="C2172" s="26" t="s">
        <v>10236</v>
      </c>
      <c r="D2172" s="26" t="s">
        <v>10237</v>
      </c>
      <c r="E2172" s="26" t="s">
        <v>5683</v>
      </c>
      <c r="F2172" s="27">
        <v>6003852</v>
      </c>
      <c r="G2172" s="27">
        <v>0</v>
      </c>
      <c r="H2172" s="27">
        <v>0</v>
      </c>
      <c r="I2172" s="27">
        <v>0</v>
      </c>
      <c r="J2172" s="30">
        <f t="shared" si="99"/>
        <v>0</v>
      </c>
      <c r="K2172" s="30">
        <f t="shared" si="100"/>
        <v>0</v>
      </c>
      <c r="L2172" s="26">
        <f t="shared" si="101"/>
        <v>0</v>
      </c>
      <c r="M2172" s="26">
        <v>0</v>
      </c>
    </row>
    <row r="2173" spans="1:13" ht="15" customHeight="1">
      <c r="A2173" s="25">
        <v>1698890</v>
      </c>
      <c r="B2173" s="26" t="s">
        <v>5423</v>
      </c>
      <c r="C2173" s="26" t="s">
        <v>10238</v>
      </c>
      <c r="D2173" s="26" t="s">
        <v>10237</v>
      </c>
      <c r="E2173" s="26" t="s">
        <v>5603</v>
      </c>
      <c r="F2173" s="27">
        <v>5796550</v>
      </c>
      <c r="G2173" s="27">
        <v>0</v>
      </c>
      <c r="H2173" s="27">
        <v>0</v>
      </c>
      <c r="I2173" s="27">
        <v>0</v>
      </c>
      <c r="J2173" s="30">
        <f t="shared" si="99"/>
        <v>0</v>
      </c>
      <c r="K2173" s="30">
        <f t="shared" si="100"/>
        <v>0</v>
      </c>
      <c r="L2173" s="26">
        <f t="shared" si="101"/>
        <v>0</v>
      </c>
      <c r="M2173" s="26" t="s">
        <v>8017</v>
      </c>
    </row>
    <row r="2174" spans="1:13" ht="15" customHeight="1">
      <c r="A2174" s="25">
        <v>1698972</v>
      </c>
      <c r="B2174" s="26" t="s">
        <v>5427</v>
      </c>
      <c r="C2174" s="26" t="s">
        <v>10239</v>
      </c>
      <c r="D2174" s="26" t="s">
        <v>10240</v>
      </c>
      <c r="E2174" s="26" t="s">
        <v>8392</v>
      </c>
      <c r="F2174" s="27">
        <v>6002451</v>
      </c>
      <c r="G2174" s="27">
        <v>0</v>
      </c>
      <c r="H2174" s="27">
        <v>0</v>
      </c>
      <c r="I2174" s="27">
        <v>0</v>
      </c>
      <c r="J2174" s="30">
        <f t="shared" si="99"/>
        <v>0</v>
      </c>
      <c r="K2174" s="30">
        <f t="shared" si="100"/>
        <v>0</v>
      </c>
      <c r="L2174" s="26">
        <f t="shared" si="101"/>
        <v>0</v>
      </c>
      <c r="M2174" s="26">
        <v>0</v>
      </c>
    </row>
    <row r="2175" spans="1:13" ht="15" customHeight="1">
      <c r="A2175" s="25">
        <v>1699065</v>
      </c>
      <c r="B2175" s="26" t="s">
        <v>5423</v>
      </c>
      <c r="C2175" s="26" t="s">
        <v>10241</v>
      </c>
      <c r="D2175" s="26" t="s">
        <v>10242</v>
      </c>
      <c r="E2175" s="26" t="s">
        <v>5480</v>
      </c>
      <c r="F2175" s="27">
        <v>6003217</v>
      </c>
      <c r="G2175" s="27">
        <v>1</v>
      </c>
      <c r="H2175" s="27">
        <v>1</v>
      </c>
      <c r="I2175" s="27">
        <v>1</v>
      </c>
      <c r="J2175" s="30">
        <f t="shared" si="99"/>
        <v>1</v>
      </c>
      <c r="K2175" s="30">
        <f t="shared" si="100"/>
        <v>1</v>
      </c>
      <c r="L2175" s="26">
        <f t="shared" si="101"/>
        <v>1</v>
      </c>
      <c r="M2175" s="26" t="s">
        <v>10243</v>
      </c>
    </row>
    <row r="2176" spans="1:13" ht="15" customHeight="1">
      <c r="A2176" s="25">
        <v>1699439</v>
      </c>
      <c r="B2176" s="26" t="s">
        <v>5423</v>
      </c>
      <c r="C2176" s="26" t="s">
        <v>10244</v>
      </c>
      <c r="D2176" s="26" t="s">
        <v>10245</v>
      </c>
      <c r="E2176" s="26" t="s">
        <v>5560</v>
      </c>
      <c r="F2176" s="27">
        <v>6002142</v>
      </c>
      <c r="G2176" s="27">
        <v>1</v>
      </c>
      <c r="H2176" s="27">
        <v>0</v>
      </c>
      <c r="I2176" s="27">
        <v>1</v>
      </c>
      <c r="J2176" s="30">
        <f t="shared" si="99"/>
        <v>1</v>
      </c>
      <c r="K2176" s="30">
        <f t="shared" si="100"/>
        <v>0</v>
      </c>
      <c r="L2176" s="26">
        <f t="shared" si="101"/>
        <v>0</v>
      </c>
      <c r="M2176" s="26"/>
    </row>
    <row r="2177" spans="1:13" ht="15" customHeight="1">
      <c r="A2177" s="25">
        <v>1699461</v>
      </c>
      <c r="B2177" s="26" t="s">
        <v>5427</v>
      </c>
      <c r="C2177" s="26" t="s">
        <v>10246</v>
      </c>
      <c r="D2177" s="26" t="s">
        <v>10240</v>
      </c>
      <c r="E2177" s="26" t="s">
        <v>6123</v>
      </c>
      <c r="F2177" s="27">
        <v>6004103</v>
      </c>
      <c r="G2177" s="27">
        <v>1</v>
      </c>
      <c r="H2177" s="27">
        <v>1</v>
      </c>
      <c r="I2177" s="27">
        <v>1</v>
      </c>
      <c r="J2177" s="30">
        <f t="shared" si="99"/>
        <v>1</v>
      </c>
      <c r="K2177" s="30">
        <f t="shared" si="100"/>
        <v>1</v>
      </c>
      <c r="L2177" s="26">
        <f t="shared" si="101"/>
        <v>1</v>
      </c>
      <c r="M2177" s="26" t="s">
        <v>10175</v>
      </c>
    </row>
    <row r="2178" spans="1:13" ht="15" customHeight="1">
      <c r="A2178" s="25">
        <v>1699477</v>
      </c>
      <c r="B2178" s="26" t="s">
        <v>5427</v>
      </c>
      <c r="C2178" s="26" t="s">
        <v>10247</v>
      </c>
      <c r="D2178" s="26" t="s">
        <v>10248</v>
      </c>
      <c r="E2178" s="26" t="s">
        <v>5491</v>
      </c>
      <c r="F2178" s="27">
        <v>5450750</v>
      </c>
      <c r="G2178" s="27">
        <v>0</v>
      </c>
      <c r="H2178" s="27">
        <v>0</v>
      </c>
      <c r="I2178" s="27">
        <v>0</v>
      </c>
      <c r="J2178" s="30">
        <f t="shared" ref="J2178:J2241" si="102">IF(G2178&gt;0,1,0)</f>
        <v>0</v>
      </c>
      <c r="K2178" s="30">
        <f t="shared" ref="K2178:K2241" si="103">IF(H2178&gt;0,1,0)</f>
        <v>0</v>
      </c>
      <c r="L2178" s="26">
        <f t="shared" ref="L2178:L2241" si="104">IF(G2178&gt;0,IF(H2178&gt;0,1,0),0)</f>
        <v>0</v>
      </c>
      <c r="M2178" s="26" t="s">
        <v>5557</v>
      </c>
    </row>
    <row r="2179" spans="1:13" ht="15" customHeight="1">
      <c r="A2179" s="25">
        <v>1699960</v>
      </c>
      <c r="B2179" s="26" t="s">
        <v>5427</v>
      </c>
      <c r="C2179" s="26" t="s">
        <v>10249</v>
      </c>
      <c r="D2179" s="26" t="s">
        <v>10250</v>
      </c>
      <c r="E2179" s="26" t="s">
        <v>5442</v>
      </c>
      <c r="F2179" s="27">
        <v>5995243</v>
      </c>
      <c r="G2179" s="27">
        <v>1</v>
      </c>
      <c r="H2179" s="27">
        <v>0</v>
      </c>
      <c r="I2179" s="27">
        <v>1</v>
      </c>
      <c r="J2179" s="30">
        <f t="shared" si="102"/>
        <v>1</v>
      </c>
      <c r="K2179" s="30">
        <f t="shared" si="103"/>
        <v>0</v>
      </c>
      <c r="L2179" s="26">
        <f t="shared" si="104"/>
        <v>0</v>
      </c>
      <c r="M2179" s="26"/>
    </row>
    <row r="2180" spans="1:13" ht="15" customHeight="1">
      <c r="A2180" s="25">
        <v>1700876</v>
      </c>
      <c r="B2180" s="26" t="s">
        <v>5423</v>
      </c>
      <c r="C2180" s="26" t="s">
        <v>10251</v>
      </c>
      <c r="D2180" s="26" t="s">
        <v>10252</v>
      </c>
      <c r="E2180" s="26" t="s">
        <v>5718</v>
      </c>
      <c r="F2180" s="27">
        <v>5986104</v>
      </c>
      <c r="G2180" s="27">
        <v>1</v>
      </c>
      <c r="H2180" s="27">
        <v>0</v>
      </c>
      <c r="I2180" s="27">
        <v>1</v>
      </c>
      <c r="J2180" s="30">
        <f t="shared" si="102"/>
        <v>1</v>
      </c>
      <c r="K2180" s="30">
        <f t="shared" si="103"/>
        <v>0</v>
      </c>
      <c r="L2180" s="26">
        <f t="shared" si="104"/>
        <v>0</v>
      </c>
      <c r="M2180" s="26"/>
    </row>
    <row r="2181" spans="1:13" ht="15" customHeight="1">
      <c r="A2181" s="25">
        <v>1700883</v>
      </c>
      <c r="B2181" s="26" t="s">
        <v>5427</v>
      </c>
      <c r="C2181" s="26" t="s">
        <v>10253</v>
      </c>
      <c r="D2181" s="26" t="s">
        <v>10254</v>
      </c>
      <c r="E2181" s="26" t="s">
        <v>5532</v>
      </c>
      <c r="F2181" s="27">
        <v>5281344</v>
      </c>
      <c r="G2181" s="27">
        <v>0</v>
      </c>
      <c r="H2181" s="27">
        <v>0</v>
      </c>
      <c r="I2181" s="27">
        <v>0</v>
      </c>
      <c r="J2181" s="30">
        <f t="shared" si="102"/>
        <v>0</v>
      </c>
      <c r="K2181" s="30">
        <f t="shared" si="103"/>
        <v>0</v>
      </c>
      <c r="L2181" s="26">
        <f t="shared" si="104"/>
        <v>0</v>
      </c>
      <c r="M2181" s="26" t="s">
        <v>5557</v>
      </c>
    </row>
    <row r="2182" spans="1:13" ht="15" customHeight="1">
      <c r="A2182" s="25">
        <v>1700932</v>
      </c>
      <c r="B2182" s="26" t="s">
        <v>5423</v>
      </c>
      <c r="C2182" s="26" t="s">
        <v>10255</v>
      </c>
      <c r="D2182" s="26" t="s">
        <v>10256</v>
      </c>
      <c r="E2182" s="26" t="s">
        <v>5480</v>
      </c>
      <c r="F2182" s="27">
        <v>6008694</v>
      </c>
      <c r="G2182" s="27">
        <v>0</v>
      </c>
      <c r="H2182" s="27">
        <v>0</v>
      </c>
      <c r="I2182" s="27">
        <v>0</v>
      </c>
      <c r="J2182" s="30">
        <f t="shared" si="102"/>
        <v>0</v>
      </c>
      <c r="K2182" s="30">
        <f t="shared" si="103"/>
        <v>0</v>
      </c>
      <c r="L2182" s="26">
        <f t="shared" si="104"/>
        <v>0</v>
      </c>
      <c r="M2182" s="26">
        <v>0</v>
      </c>
    </row>
    <row r="2183" spans="1:13" ht="15" customHeight="1">
      <c r="A2183" s="25">
        <v>1700947</v>
      </c>
      <c r="B2183" s="26" t="s">
        <v>5423</v>
      </c>
      <c r="C2183" s="26" t="s">
        <v>10257</v>
      </c>
      <c r="D2183" s="26" t="s">
        <v>10258</v>
      </c>
      <c r="E2183" s="26" t="s">
        <v>5458</v>
      </c>
      <c r="F2183" s="27">
        <v>6008695</v>
      </c>
      <c r="G2183" s="27">
        <v>0</v>
      </c>
      <c r="H2183" s="27">
        <v>0</v>
      </c>
      <c r="I2183" s="27">
        <v>0</v>
      </c>
      <c r="J2183" s="30">
        <f t="shared" si="102"/>
        <v>0</v>
      </c>
      <c r="K2183" s="30">
        <f t="shared" si="103"/>
        <v>0</v>
      </c>
      <c r="L2183" s="26">
        <f t="shared" si="104"/>
        <v>0</v>
      </c>
      <c r="M2183" s="26">
        <v>0</v>
      </c>
    </row>
    <row r="2184" spans="1:13" ht="15" customHeight="1">
      <c r="A2184" s="25">
        <v>1700967</v>
      </c>
      <c r="B2184" s="26" t="s">
        <v>5423</v>
      </c>
      <c r="C2184" s="26" t="s">
        <v>10259</v>
      </c>
      <c r="D2184" s="26" t="s">
        <v>10252</v>
      </c>
      <c r="E2184" s="26" t="s">
        <v>5491</v>
      </c>
      <c r="F2184" s="27">
        <v>5975089</v>
      </c>
      <c r="G2184" s="27">
        <v>1</v>
      </c>
      <c r="H2184" s="27">
        <v>0</v>
      </c>
      <c r="I2184" s="27">
        <v>1</v>
      </c>
      <c r="J2184" s="30">
        <f t="shared" si="102"/>
        <v>1</v>
      </c>
      <c r="K2184" s="30">
        <f t="shared" si="103"/>
        <v>0</v>
      </c>
      <c r="L2184" s="26">
        <f t="shared" si="104"/>
        <v>0</v>
      </c>
      <c r="M2184" s="26"/>
    </row>
    <row r="2185" spans="1:13" ht="15" customHeight="1">
      <c r="A2185" s="25">
        <v>1700978</v>
      </c>
      <c r="B2185" s="26" t="s">
        <v>5427</v>
      </c>
      <c r="C2185" s="26" t="s">
        <v>10260</v>
      </c>
      <c r="D2185" s="26" t="s">
        <v>10261</v>
      </c>
      <c r="E2185" s="26" t="s">
        <v>5683</v>
      </c>
      <c r="F2185" s="27">
        <v>6006496</v>
      </c>
      <c r="G2185" s="27">
        <v>0</v>
      </c>
      <c r="H2185" s="27">
        <v>0</v>
      </c>
      <c r="I2185" s="27">
        <v>0</v>
      </c>
      <c r="J2185" s="30">
        <f t="shared" si="102"/>
        <v>0</v>
      </c>
      <c r="K2185" s="30">
        <f t="shared" si="103"/>
        <v>0</v>
      </c>
      <c r="L2185" s="26">
        <f t="shared" si="104"/>
        <v>0</v>
      </c>
      <c r="M2185" s="26">
        <v>0</v>
      </c>
    </row>
    <row r="2186" spans="1:13" ht="15" customHeight="1">
      <c r="A2186" s="25">
        <v>1700985</v>
      </c>
      <c r="B2186" s="26" t="s">
        <v>5427</v>
      </c>
      <c r="C2186" s="26" t="s">
        <v>10262</v>
      </c>
      <c r="D2186" s="26" t="s">
        <v>10263</v>
      </c>
      <c r="E2186" s="26" t="s">
        <v>5891</v>
      </c>
      <c r="F2186" s="27">
        <v>6003806</v>
      </c>
      <c r="G2186" s="27">
        <v>0</v>
      </c>
      <c r="H2186" s="27">
        <v>0</v>
      </c>
      <c r="I2186" s="27">
        <v>0</v>
      </c>
      <c r="J2186" s="30">
        <f t="shared" si="102"/>
        <v>0</v>
      </c>
      <c r="K2186" s="30">
        <f t="shared" si="103"/>
        <v>0</v>
      </c>
      <c r="L2186" s="26">
        <f t="shared" si="104"/>
        <v>0</v>
      </c>
      <c r="M2186" s="26">
        <v>0</v>
      </c>
    </row>
    <row r="2187" spans="1:13" ht="15" customHeight="1">
      <c r="A2187" s="25">
        <v>1701851</v>
      </c>
      <c r="B2187" s="26" t="s">
        <v>5427</v>
      </c>
      <c r="C2187" s="26" t="s">
        <v>10264</v>
      </c>
      <c r="D2187" s="26" t="s">
        <v>10252</v>
      </c>
      <c r="E2187" s="26" t="s">
        <v>5683</v>
      </c>
      <c r="F2187" s="27">
        <v>5994757</v>
      </c>
      <c r="G2187" s="27">
        <v>1</v>
      </c>
      <c r="H2187" s="27">
        <v>0</v>
      </c>
      <c r="I2187" s="27">
        <v>1</v>
      </c>
      <c r="J2187" s="30">
        <f t="shared" si="102"/>
        <v>1</v>
      </c>
      <c r="K2187" s="30">
        <f t="shared" si="103"/>
        <v>0</v>
      </c>
      <c r="L2187" s="26">
        <f t="shared" si="104"/>
        <v>0</v>
      </c>
      <c r="M2187" s="26"/>
    </row>
    <row r="2188" spans="1:13" ht="15" customHeight="1">
      <c r="A2188" s="25">
        <v>1702239</v>
      </c>
      <c r="B2188" s="26" t="s">
        <v>5427</v>
      </c>
      <c r="C2188" s="26" t="s">
        <v>10265</v>
      </c>
      <c r="D2188" s="26" t="s">
        <v>10266</v>
      </c>
      <c r="E2188" s="26" t="s">
        <v>5491</v>
      </c>
      <c r="F2188" s="27">
        <v>6011214</v>
      </c>
      <c r="G2188" s="27">
        <v>1</v>
      </c>
      <c r="H2188" s="27">
        <v>0</v>
      </c>
      <c r="I2188" s="27">
        <v>1</v>
      </c>
      <c r="J2188" s="30">
        <f t="shared" si="102"/>
        <v>1</v>
      </c>
      <c r="K2188" s="30">
        <f t="shared" si="103"/>
        <v>0</v>
      </c>
      <c r="L2188" s="26">
        <f t="shared" si="104"/>
        <v>0</v>
      </c>
      <c r="M2188" s="26"/>
    </row>
    <row r="2189" spans="1:13" ht="15" customHeight="1">
      <c r="A2189" s="25">
        <v>1702259</v>
      </c>
      <c r="B2189" s="26" t="s">
        <v>5423</v>
      </c>
      <c r="C2189" s="26" t="s">
        <v>10267</v>
      </c>
      <c r="D2189" s="26" t="s">
        <v>10268</v>
      </c>
      <c r="E2189" s="26" t="s">
        <v>5430</v>
      </c>
      <c r="F2189" s="27">
        <v>6012832</v>
      </c>
      <c r="G2189" s="27">
        <v>0</v>
      </c>
      <c r="H2189" s="27">
        <v>0</v>
      </c>
      <c r="I2189" s="27">
        <v>0</v>
      </c>
      <c r="J2189" s="30">
        <f t="shared" si="102"/>
        <v>0</v>
      </c>
      <c r="K2189" s="30">
        <f t="shared" si="103"/>
        <v>0</v>
      </c>
      <c r="L2189" s="26">
        <f t="shared" si="104"/>
        <v>0</v>
      </c>
      <c r="M2189" s="26">
        <v>0</v>
      </c>
    </row>
    <row r="2190" spans="1:13" ht="15" customHeight="1">
      <c r="A2190" s="25" t="s">
        <v>10269</v>
      </c>
      <c r="B2190" s="26" t="s">
        <v>5423</v>
      </c>
      <c r="C2190" s="26" t="s">
        <v>10270</v>
      </c>
      <c r="D2190" s="26" t="s">
        <v>10271</v>
      </c>
      <c r="E2190" s="26" t="s">
        <v>5447</v>
      </c>
      <c r="F2190" s="27">
        <v>5921145</v>
      </c>
      <c r="G2190" s="27">
        <v>0</v>
      </c>
      <c r="H2190" s="27">
        <v>0</v>
      </c>
      <c r="I2190" s="27">
        <v>0</v>
      </c>
      <c r="J2190" s="30">
        <f t="shared" si="102"/>
        <v>0</v>
      </c>
      <c r="K2190" s="30">
        <f t="shared" si="103"/>
        <v>0</v>
      </c>
      <c r="L2190" s="26">
        <f t="shared" si="104"/>
        <v>0</v>
      </c>
      <c r="M2190" s="26" t="s">
        <v>10272</v>
      </c>
    </row>
    <row r="2191" spans="1:13" ht="15" customHeight="1">
      <c r="A2191" s="25">
        <v>1702539</v>
      </c>
      <c r="B2191" s="26" t="s">
        <v>5427</v>
      </c>
      <c r="C2191" s="26" t="s">
        <v>10273</v>
      </c>
      <c r="D2191" s="26" t="s">
        <v>10266</v>
      </c>
      <c r="E2191" s="26" t="s">
        <v>5514</v>
      </c>
      <c r="F2191" s="27">
        <v>5993132</v>
      </c>
      <c r="G2191" s="27">
        <v>1</v>
      </c>
      <c r="H2191" s="27">
        <v>1</v>
      </c>
      <c r="I2191" s="27">
        <v>1</v>
      </c>
      <c r="J2191" s="30">
        <f t="shared" si="102"/>
        <v>1</v>
      </c>
      <c r="K2191" s="30">
        <f t="shared" si="103"/>
        <v>1</v>
      </c>
      <c r="L2191" s="26">
        <f t="shared" si="104"/>
        <v>1</v>
      </c>
      <c r="M2191" s="26"/>
    </row>
    <row r="2192" spans="1:13" ht="15" customHeight="1">
      <c r="A2192" s="25">
        <v>1702549</v>
      </c>
      <c r="B2192" s="26" t="s">
        <v>5423</v>
      </c>
      <c r="C2192" s="26" t="s">
        <v>10274</v>
      </c>
      <c r="D2192" s="26" t="s">
        <v>10254</v>
      </c>
      <c r="E2192" s="26" t="s">
        <v>5439</v>
      </c>
      <c r="F2192" s="27">
        <v>5894493</v>
      </c>
      <c r="G2192" s="27">
        <v>1</v>
      </c>
      <c r="H2192" s="27">
        <v>0</v>
      </c>
      <c r="I2192" s="27">
        <v>1</v>
      </c>
      <c r="J2192" s="30">
        <f t="shared" si="102"/>
        <v>1</v>
      </c>
      <c r="K2192" s="30">
        <f t="shared" si="103"/>
        <v>0</v>
      </c>
      <c r="L2192" s="26">
        <f t="shared" si="104"/>
        <v>0</v>
      </c>
      <c r="M2192" s="26"/>
    </row>
    <row r="2193" spans="1:13" ht="15" customHeight="1">
      <c r="A2193" s="25">
        <v>1702556</v>
      </c>
      <c r="B2193" s="26" t="s">
        <v>5423</v>
      </c>
      <c r="C2193" s="26" t="s">
        <v>10275</v>
      </c>
      <c r="D2193" s="26" t="s">
        <v>10268</v>
      </c>
      <c r="E2193" s="26" t="s">
        <v>5468</v>
      </c>
      <c r="F2193" s="27">
        <v>5937957</v>
      </c>
      <c r="G2193" s="27">
        <v>1</v>
      </c>
      <c r="H2193" s="27">
        <v>0</v>
      </c>
      <c r="I2193" s="27">
        <v>1</v>
      </c>
      <c r="J2193" s="30">
        <f t="shared" si="102"/>
        <v>1</v>
      </c>
      <c r="K2193" s="30">
        <f t="shared" si="103"/>
        <v>0</v>
      </c>
      <c r="L2193" s="26">
        <f t="shared" si="104"/>
        <v>0</v>
      </c>
      <c r="M2193" s="26"/>
    </row>
    <row r="2194" spans="1:13" ht="15" customHeight="1">
      <c r="A2194" s="25">
        <v>1702936</v>
      </c>
      <c r="B2194" s="26" t="s">
        <v>5423</v>
      </c>
      <c r="C2194" s="26" t="s">
        <v>10276</v>
      </c>
      <c r="D2194" s="26" t="s">
        <v>10268</v>
      </c>
      <c r="E2194" s="26" t="s">
        <v>10032</v>
      </c>
      <c r="F2194" s="27"/>
      <c r="G2194" s="27">
        <v>0</v>
      </c>
      <c r="H2194" s="27">
        <v>0</v>
      </c>
      <c r="I2194" s="27">
        <v>0</v>
      </c>
      <c r="J2194" s="30">
        <f t="shared" si="102"/>
        <v>0</v>
      </c>
      <c r="K2194" s="30">
        <f t="shared" si="103"/>
        <v>0</v>
      </c>
      <c r="L2194" s="26">
        <f t="shared" si="104"/>
        <v>0</v>
      </c>
      <c r="M2194" s="26" t="s">
        <v>10277</v>
      </c>
    </row>
    <row r="2195" spans="1:13" ht="15" customHeight="1">
      <c r="A2195" s="25">
        <v>1702943</v>
      </c>
      <c r="B2195" s="26" t="s">
        <v>5423</v>
      </c>
      <c r="C2195" s="26" t="s">
        <v>10278</v>
      </c>
      <c r="D2195" s="26" t="s">
        <v>10279</v>
      </c>
      <c r="E2195" s="26" t="s">
        <v>5452</v>
      </c>
      <c r="F2195" s="27">
        <v>5905796</v>
      </c>
      <c r="G2195" s="27">
        <v>0</v>
      </c>
      <c r="H2195" s="27">
        <v>0</v>
      </c>
      <c r="I2195" s="27">
        <v>0</v>
      </c>
      <c r="J2195" s="30">
        <f t="shared" si="102"/>
        <v>0</v>
      </c>
      <c r="K2195" s="30">
        <f t="shared" si="103"/>
        <v>0</v>
      </c>
      <c r="L2195" s="26">
        <f t="shared" si="104"/>
        <v>0</v>
      </c>
      <c r="M2195" s="26" t="s">
        <v>8216</v>
      </c>
    </row>
    <row r="2196" spans="1:13" ht="15" customHeight="1">
      <c r="A2196" s="25">
        <v>1703285</v>
      </c>
      <c r="B2196" s="26" t="s">
        <v>5427</v>
      </c>
      <c r="C2196" s="26" t="s">
        <v>10280</v>
      </c>
      <c r="D2196" s="26" t="s">
        <v>10281</v>
      </c>
      <c r="E2196" s="26" t="s">
        <v>5442</v>
      </c>
      <c r="F2196" s="27">
        <v>6015287</v>
      </c>
      <c r="G2196" s="27">
        <v>1</v>
      </c>
      <c r="H2196" s="27">
        <v>1</v>
      </c>
      <c r="I2196" s="27">
        <v>1</v>
      </c>
      <c r="J2196" s="30">
        <f t="shared" si="102"/>
        <v>1</v>
      </c>
      <c r="K2196" s="30">
        <f t="shared" si="103"/>
        <v>1</v>
      </c>
      <c r="L2196" s="26">
        <f t="shared" si="104"/>
        <v>1</v>
      </c>
      <c r="M2196" s="26"/>
    </row>
    <row r="2197" spans="1:13" ht="15" customHeight="1">
      <c r="A2197" s="25">
        <v>1703581</v>
      </c>
      <c r="B2197" s="26" t="s">
        <v>5423</v>
      </c>
      <c r="C2197" s="26" t="s">
        <v>10282</v>
      </c>
      <c r="D2197" s="26" t="s">
        <v>10279</v>
      </c>
      <c r="E2197" s="26" t="s">
        <v>5683</v>
      </c>
      <c r="F2197" s="27">
        <v>5555998</v>
      </c>
      <c r="G2197" s="27">
        <v>0</v>
      </c>
      <c r="H2197" s="27">
        <v>0</v>
      </c>
      <c r="I2197" s="27">
        <v>0</v>
      </c>
      <c r="J2197" s="30">
        <f t="shared" si="102"/>
        <v>0</v>
      </c>
      <c r="K2197" s="30">
        <f t="shared" si="103"/>
        <v>0</v>
      </c>
      <c r="L2197" s="26">
        <f t="shared" si="104"/>
        <v>0</v>
      </c>
      <c r="M2197" s="26" t="s">
        <v>5557</v>
      </c>
    </row>
    <row r="2198" spans="1:13" ht="15" customHeight="1">
      <c r="A2198" s="25">
        <v>1703701</v>
      </c>
      <c r="B2198" s="26" t="s">
        <v>5427</v>
      </c>
      <c r="C2198" s="26" t="s">
        <v>10283</v>
      </c>
      <c r="D2198" s="26" t="s">
        <v>10284</v>
      </c>
      <c r="E2198" s="26" t="s">
        <v>5968</v>
      </c>
      <c r="F2198" s="27">
        <v>6010952</v>
      </c>
      <c r="G2198" s="27">
        <v>0</v>
      </c>
      <c r="H2198" s="27">
        <v>0</v>
      </c>
      <c r="I2198" s="27">
        <v>0</v>
      </c>
      <c r="J2198" s="30">
        <f t="shared" si="102"/>
        <v>0</v>
      </c>
      <c r="K2198" s="30">
        <f t="shared" si="103"/>
        <v>0</v>
      </c>
      <c r="L2198" s="26">
        <f t="shared" si="104"/>
        <v>0</v>
      </c>
      <c r="M2198" s="26" t="s">
        <v>5557</v>
      </c>
    </row>
    <row r="2199" spans="1:13" ht="15" customHeight="1">
      <c r="A2199" s="25">
        <v>1703846</v>
      </c>
      <c r="B2199" s="26" t="s">
        <v>5423</v>
      </c>
      <c r="C2199" s="26" t="s">
        <v>10285</v>
      </c>
      <c r="D2199" s="26" t="s">
        <v>10286</v>
      </c>
      <c r="E2199" s="26" t="s">
        <v>5480</v>
      </c>
      <c r="F2199" s="27">
        <v>6017624</v>
      </c>
      <c r="G2199" s="27">
        <v>0</v>
      </c>
      <c r="H2199" s="27">
        <v>0</v>
      </c>
      <c r="I2199" s="27">
        <v>0</v>
      </c>
      <c r="J2199" s="30">
        <f t="shared" si="102"/>
        <v>0</v>
      </c>
      <c r="K2199" s="30">
        <f t="shared" si="103"/>
        <v>0</v>
      </c>
      <c r="L2199" s="26">
        <f t="shared" si="104"/>
        <v>0</v>
      </c>
      <c r="M2199" s="26">
        <v>0</v>
      </c>
    </row>
    <row r="2200" spans="1:13" ht="15" customHeight="1">
      <c r="A2200" s="25">
        <v>1703889</v>
      </c>
      <c r="B2200" s="26" t="s">
        <v>5423</v>
      </c>
      <c r="C2200" s="26" t="s">
        <v>10287</v>
      </c>
      <c r="D2200" s="26" t="s">
        <v>10286</v>
      </c>
      <c r="E2200" s="26" t="s">
        <v>5517</v>
      </c>
      <c r="F2200" s="27">
        <v>5671744</v>
      </c>
      <c r="G2200" s="27">
        <v>1</v>
      </c>
      <c r="H2200" s="27">
        <v>1</v>
      </c>
      <c r="I2200" s="27">
        <v>1</v>
      </c>
      <c r="J2200" s="30">
        <f t="shared" si="102"/>
        <v>1</v>
      </c>
      <c r="K2200" s="30">
        <f t="shared" si="103"/>
        <v>1</v>
      </c>
      <c r="L2200" s="26">
        <f t="shared" si="104"/>
        <v>1</v>
      </c>
      <c r="M2200" s="26"/>
    </row>
    <row r="2201" spans="1:13" ht="15" customHeight="1">
      <c r="A2201" s="25">
        <v>1703950</v>
      </c>
      <c r="B2201" s="26" t="s">
        <v>5423</v>
      </c>
      <c r="C2201" s="26" t="s">
        <v>10288</v>
      </c>
      <c r="D2201" s="26" t="s">
        <v>10289</v>
      </c>
      <c r="E2201" s="26" t="s">
        <v>5550</v>
      </c>
      <c r="F2201" s="27">
        <v>6007408</v>
      </c>
      <c r="G2201" s="27">
        <v>0</v>
      </c>
      <c r="H2201" s="27">
        <v>0</v>
      </c>
      <c r="I2201" s="27">
        <v>0</v>
      </c>
      <c r="J2201" s="30">
        <f t="shared" si="102"/>
        <v>0</v>
      </c>
      <c r="K2201" s="30">
        <f t="shared" si="103"/>
        <v>0</v>
      </c>
      <c r="L2201" s="26">
        <f t="shared" si="104"/>
        <v>0</v>
      </c>
      <c r="M2201" s="26" t="s">
        <v>10290</v>
      </c>
    </row>
    <row r="2202" spans="1:13" ht="15" customHeight="1">
      <c r="A2202" s="25">
        <v>1703967</v>
      </c>
      <c r="B2202" s="26" t="s">
        <v>5427</v>
      </c>
      <c r="C2202" s="26" t="s">
        <v>10291</v>
      </c>
      <c r="D2202" s="26" t="s">
        <v>10292</v>
      </c>
      <c r="E2202" s="26" t="s">
        <v>5535</v>
      </c>
      <c r="F2202" s="27">
        <v>5298009</v>
      </c>
      <c r="G2202" s="27">
        <v>0</v>
      </c>
      <c r="H2202" s="27">
        <v>0</v>
      </c>
      <c r="I2202" s="27">
        <v>0</v>
      </c>
      <c r="J2202" s="30">
        <f t="shared" si="102"/>
        <v>0</v>
      </c>
      <c r="K2202" s="30">
        <f t="shared" si="103"/>
        <v>0</v>
      </c>
      <c r="L2202" s="26">
        <f t="shared" si="104"/>
        <v>0</v>
      </c>
      <c r="M2202" s="26" t="s">
        <v>5557</v>
      </c>
    </row>
    <row r="2203" spans="1:13" ht="15" customHeight="1">
      <c r="A2203" s="25">
        <v>1703988</v>
      </c>
      <c r="B2203" s="26" t="s">
        <v>5427</v>
      </c>
      <c r="C2203" s="26" t="s">
        <v>10293</v>
      </c>
      <c r="D2203" s="26" t="s">
        <v>10286</v>
      </c>
      <c r="E2203" s="26" t="s">
        <v>5504</v>
      </c>
      <c r="F2203" s="27">
        <v>6014912</v>
      </c>
      <c r="G2203" s="27">
        <v>1</v>
      </c>
      <c r="H2203" s="27">
        <v>1</v>
      </c>
      <c r="I2203" s="27">
        <v>1</v>
      </c>
      <c r="J2203" s="30">
        <f t="shared" si="102"/>
        <v>1</v>
      </c>
      <c r="K2203" s="30">
        <f t="shared" si="103"/>
        <v>1</v>
      </c>
      <c r="L2203" s="26">
        <f t="shared" si="104"/>
        <v>1</v>
      </c>
      <c r="M2203" s="26"/>
    </row>
    <row r="2204" spans="1:13" ht="15" customHeight="1">
      <c r="A2204" s="25">
        <v>1704124</v>
      </c>
      <c r="B2204" s="26" t="s">
        <v>5427</v>
      </c>
      <c r="C2204" s="26" t="s">
        <v>10294</v>
      </c>
      <c r="D2204" s="26" t="s">
        <v>10286</v>
      </c>
      <c r="E2204" s="26" t="s">
        <v>5426</v>
      </c>
      <c r="F2204" s="27">
        <v>6018444</v>
      </c>
      <c r="G2204" s="27">
        <v>0</v>
      </c>
      <c r="H2204" s="27">
        <v>0</v>
      </c>
      <c r="I2204" s="27">
        <v>0</v>
      </c>
      <c r="J2204" s="30">
        <f t="shared" si="102"/>
        <v>0</v>
      </c>
      <c r="K2204" s="30">
        <f t="shared" si="103"/>
        <v>0</v>
      </c>
      <c r="L2204" s="26">
        <f t="shared" si="104"/>
        <v>0</v>
      </c>
      <c r="M2204" s="26">
        <v>0</v>
      </c>
    </row>
    <row r="2205" spans="1:13" ht="15" customHeight="1">
      <c r="A2205" s="25">
        <v>1704377</v>
      </c>
      <c r="B2205" s="26" t="s">
        <v>5423</v>
      </c>
      <c r="C2205" s="26" t="s">
        <v>10295</v>
      </c>
      <c r="D2205" s="26" t="s">
        <v>10296</v>
      </c>
      <c r="E2205" s="26" t="s">
        <v>5517</v>
      </c>
      <c r="F2205" s="27">
        <v>6018332</v>
      </c>
      <c r="G2205" s="27">
        <v>0</v>
      </c>
      <c r="H2205" s="27">
        <v>0</v>
      </c>
      <c r="I2205" s="27">
        <v>0</v>
      </c>
      <c r="J2205" s="30">
        <f t="shared" si="102"/>
        <v>0</v>
      </c>
      <c r="K2205" s="30">
        <f t="shared" si="103"/>
        <v>0</v>
      </c>
      <c r="L2205" s="26">
        <f t="shared" si="104"/>
        <v>0</v>
      </c>
      <c r="M2205" s="26">
        <v>0</v>
      </c>
    </row>
    <row r="2206" spans="1:13" ht="15" customHeight="1">
      <c r="A2206" s="25">
        <v>1704538</v>
      </c>
      <c r="B2206" s="26" t="s">
        <v>5423</v>
      </c>
      <c r="C2206" s="26" t="s">
        <v>10297</v>
      </c>
      <c r="D2206" s="26" t="s">
        <v>10298</v>
      </c>
      <c r="E2206" s="26" t="s">
        <v>5535</v>
      </c>
      <c r="F2206" s="27">
        <v>5496507</v>
      </c>
      <c r="G2206" s="27">
        <v>1</v>
      </c>
      <c r="H2206" s="27">
        <v>0</v>
      </c>
      <c r="I2206" s="27">
        <v>1</v>
      </c>
      <c r="J2206" s="30">
        <f t="shared" si="102"/>
        <v>1</v>
      </c>
      <c r="K2206" s="30">
        <f t="shared" si="103"/>
        <v>0</v>
      </c>
      <c r="L2206" s="26">
        <f t="shared" si="104"/>
        <v>0</v>
      </c>
      <c r="M2206" s="26"/>
    </row>
    <row r="2207" spans="1:13" ht="15" customHeight="1">
      <c r="A2207" s="25">
        <v>1704541</v>
      </c>
      <c r="B2207" s="26" t="s">
        <v>5423</v>
      </c>
      <c r="C2207" s="26" t="s">
        <v>10299</v>
      </c>
      <c r="D2207" s="26" t="s">
        <v>10300</v>
      </c>
      <c r="E2207" s="26" t="s">
        <v>5436</v>
      </c>
      <c r="F2207" s="27">
        <v>5824131</v>
      </c>
      <c r="G2207" s="27">
        <v>0</v>
      </c>
      <c r="H2207" s="27">
        <v>0</v>
      </c>
      <c r="I2207" s="27">
        <v>0</v>
      </c>
      <c r="J2207" s="30">
        <f t="shared" si="102"/>
        <v>0</v>
      </c>
      <c r="K2207" s="30">
        <f t="shared" si="103"/>
        <v>0</v>
      </c>
      <c r="L2207" s="26">
        <f t="shared" si="104"/>
        <v>0</v>
      </c>
      <c r="M2207" s="26" t="s">
        <v>8216</v>
      </c>
    </row>
    <row r="2208" spans="1:13" ht="15" customHeight="1">
      <c r="A2208" s="25">
        <v>1705000</v>
      </c>
      <c r="B2208" s="26" t="s">
        <v>5427</v>
      </c>
      <c r="C2208" s="26" t="s">
        <v>10301</v>
      </c>
      <c r="D2208" s="26" t="s">
        <v>10302</v>
      </c>
      <c r="E2208" s="26" t="s">
        <v>5540</v>
      </c>
      <c r="F2208" s="27">
        <v>5282517</v>
      </c>
      <c r="G2208" s="27">
        <v>0</v>
      </c>
      <c r="H2208" s="27">
        <v>0</v>
      </c>
      <c r="I2208" s="27">
        <v>0</v>
      </c>
      <c r="J2208" s="30">
        <f t="shared" si="102"/>
        <v>0</v>
      </c>
      <c r="K2208" s="30">
        <f t="shared" si="103"/>
        <v>0</v>
      </c>
      <c r="L2208" s="26">
        <f t="shared" si="104"/>
        <v>0</v>
      </c>
      <c r="M2208" s="26" t="s">
        <v>5557</v>
      </c>
    </row>
    <row r="2209" spans="1:13" ht="15" customHeight="1">
      <c r="A2209" s="25">
        <v>1705254</v>
      </c>
      <c r="B2209" s="26" t="s">
        <v>5427</v>
      </c>
      <c r="C2209" s="26" t="s">
        <v>10303</v>
      </c>
      <c r="D2209" s="26" t="s">
        <v>10286</v>
      </c>
      <c r="E2209" s="26" t="s">
        <v>5545</v>
      </c>
      <c r="F2209" s="27">
        <v>6100684</v>
      </c>
      <c r="G2209" s="27">
        <v>0</v>
      </c>
      <c r="H2209" s="27">
        <v>0</v>
      </c>
      <c r="I2209" s="27">
        <v>0</v>
      </c>
      <c r="J2209" s="30">
        <f t="shared" si="102"/>
        <v>0</v>
      </c>
      <c r="K2209" s="30">
        <f t="shared" si="103"/>
        <v>0</v>
      </c>
      <c r="L2209" s="26">
        <f t="shared" si="104"/>
        <v>0</v>
      </c>
      <c r="M2209" s="26">
        <v>0</v>
      </c>
    </row>
    <row r="2210" spans="1:13" ht="15" customHeight="1">
      <c r="A2210" s="25">
        <v>1705427</v>
      </c>
      <c r="B2210" s="26" t="s">
        <v>5427</v>
      </c>
      <c r="C2210" s="26" t="s">
        <v>10304</v>
      </c>
      <c r="D2210" s="26" t="s">
        <v>10305</v>
      </c>
      <c r="E2210" s="26" t="s">
        <v>6541</v>
      </c>
      <c r="F2210" s="27">
        <v>6000684</v>
      </c>
      <c r="G2210" s="27">
        <v>1</v>
      </c>
      <c r="H2210" s="27">
        <v>0</v>
      </c>
      <c r="I2210" s="27">
        <v>1</v>
      </c>
      <c r="J2210" s="30">
        <f t="shared" si="102"/>
        <v>1</v>
      </c>
      <c r="K2210" s="30">
        <f t="shared" si="103"/>
        <v>0</v>
      </c>
      <c r="L2210" s="26">
        <f t="shared" si="104"/>
        <v>0</v>
      </c>
      <c r="M2210" s="26"/>
    </row>
    <row r="2211" spans="1:13" ht="15" customHeight="1">
      <c r="A2211" s="25">
        <v>1705881</v>
      </c>
      <c r="B2211" s="26" t="s">
        <v>5423</v>
      </c>
      <c r="C2211" s="26" t="s">
        <v>10306</v>
      </c>
      <c r="D2211" s="26" t="s">
        <v>10296</v>
      </c>
      <c r="E2211" s="26" t="s">
        <v>5707</v>
      </c>
      <c r="F2211" s="27">
        <v>5168218</v>
      </c>
      <c r="G2211" s="27">
        <v>0</v>
      </c>
      <c r="H2211" s="27">
        <v>0</v>
      </c>
      <c r="I2211" s="27">
        <v>0</v>
      </c>
      <c r="J2211" s="30">
        <f t="shared" si="102"/>
        <v>0</v>
      </c>
      <c r="K2211" s="30">
        <f t="shared" si="103"/>
        <v>0</v>
      </c>
      <c r="L2211" s="26">
        <f t="shared" si="104"/>
        <v>0</v>
      </c>
      <c r="M2211" s="26" t="s">
        <v>5557</v>
      </c>
    </row>
    <row r="2212" spans="1:13" ht="15" customHeight="1">
      <c r="A2212" s="25">
        <v>1705910</v>
      </c>
      <c r="B2212" s="26" t="s">
        <v>5423</v>
      </c>
      <c r="C2212" s="26" t="s">
        <v>10307</v>
      </c>
      <c r="D2212" s="26" t="s">
        <v>10308</v>
      </c>
      <c r="E2212" s="26" t="s">
        <v>5683</v>
      </c>
      <c r="F2212" s="27">
        <v>6022557</v>
      </c>
      <c r="G2212" s="27">
        <v>1</v>
      </c>
      <c r="H2212" s="27">
        <v>0</v>
      </c>
      <c r="I2212" s="27">
        <v>1</v>
      </c>
      <c r="J2212" s="30">
        <f t="shared" si="102"/>
        <v>1</v>
      </c>
      <c r="K2212" s="30">
        <f t="shared" si="103"/>
        <v>0</v>
      </c>
      <c r="L2212" s="26">
        <f t="shared" si="104"/>
        <v>0</v>
      </c>
      <c r="M2212" s="26" t="s">
        <v>9595</v>
      </c>
    </row>
    <row r="2213" spans="1:13" ht="15" customHeight="1">
      <c r="A2213" s="25">
        <v>1705941</v>
      </c>
      <c r="B2213" s="26" t="s">
        <v>5427</v>
      </c>
      <c r="C2213" s="26" t="s">
        <v>10309</v>
      </c>
      <c r="D2213" s="26" t="s">
        <v>10305</v>
      </c>
      <c r="E2213" s="26" t="s">
        <v>6541</v>
      </c>
      <c r="F2213" s="27">
        <v>6022555</v>
      </c>
      <c r="G2213" s="27">
        <v>1</v>
      </c>
      <c r="H2213" s="27">
        <v>0</v>
      </c>
      <c r="I2213" s="27">
        <v>1</v>
      </c>
      <c r="J2213" s="30">
        <f t="shared" si="102"/>
        <v>1</v>
      </c>
      <c r="K2213" s="30">
        <f t="shared" si="103"/>
        <v>0</v>
      </c>
      <c r="L2213" s="26">
        <f t="shared" si="104"/>
        <v>0</v>
      </c>
      <c r="M2213" s="26"/>
    </row>
    <row r="2214" spans="1:13" ht="15" customHeight="1">
      <c r="A2214" s="25">
        <v>1706042</v>
      </c>
      <c r="B2214" s="26" t="s">
        <v>5427</v>
      </c>
      <c r="C2214" s="26" t="s">
        <v>10310</v>
      </c>
      <c r="D2214" s="26" t="s">
        <v>10311</v>
      </c>
      <c r="E2214" s="26" t="s">
        <v>5683</v>
      </c>
      <c r="F2214" s="27">
        <v>5279111</v>
      </c>
      <c r="G2214" s="27">
        <v>1</v>
      </c>
      <c r="H2214" s="27">
        <v>1</v>
      </c>
      <c r="I2214" s="27">
        <v>1</v>
      </c>
      <c r="J2214" s="30">
        <f t="shared" si="102"/>
        <v>1</v>
      </c>
      <c r="K2214" s="30">
        <f t="shared" si="103"/>
        <v>1</v>
      </c>
      <c r="L2214" s="26">
        <f t="shared" si="104"/>
        <v>1</v>
      </c>
      <c r="M2214" s="26"/>
    </row>
    <row r="2215" spans="1:13" ht="15" customHeight="1">
      <c r="A2215" s="25">
        <v>1706966</v>
      </c>
      <c r="B2215" s="26" t="s">
        <v>5423</v>
      </c>
      <c r="C2215" s="26" t="s">
        <v>10312</v>
      </c>
      <c r="D2215" s="26" t="s">
        <v>10313</v>
      </c>
      <c r="E2215" s="26" t="s">
        <v>5683</v>
      </c>
      <c r="F2215" s="27">
        <v>6023086</v>
      </c>
      <c r="G2215" s="27">
        <v>0</v>
      </c>
      <c r="H2215" s="27">
        <v>1</v>
      </c>
      <c r="I2215" s="27">
        <v>1</v>
      </c>
      <c r="J2215" s="30">
        <f t="shared" si="102"/>
        <v>0</v>
      </c>
      <c r="K2215" s="30">
        <f t="shared" si="103"/>
        <v>1</v>
      </c>
      <c r="L2215" s="26">
        <f t="shared" si="104"/>
        <v>0</v>
      </c>
      <c r="M2215" s="26"/>
    </row>
    <row r="2216" spans="1:13" ht="15" customHeight="1">
      <c r="A2216" s="25">
        <v>1706982</v>
      </c>
      <c r="B2216" s="26" t="s">
        <v>5423</v>
      </c>
      <c r="C2216" s="26" t="s">
        <v>10314</v>
      </c>
      <c r="D2216" s="26" t="s">
        <v>10315</v>
      </c>
      <c r="E2216" s="26" t="s">
        <v>5426</v>
      </c>
      <c r="F2216" s="27">
        <v>6025345</v>
      </c>
      <c r="G2216" s="27">
        <v>1</v>
      </c>
      <c r="H2216" s="27">
        <v>1</v>
      </c>
      <c r="I2216" s="27">
        <v>1</v>
      </c>
      <c r="J2216" s="30">
        <f t="shared" si="102"/>
        <v>1</v>
      </c>
      <c r="K2216" s="30">
        <f t="shared" si="103"/>
        <v>1</v>
      </c>
      <c r="L2216" s="26">
        <f t="shared" si="104"/>
        <v>1</v>
      </c>
      <c r="M2216" s="26"/>
    </row>
    <row r="2217" spans="1:13" ht="15" customHeight="1">
      <c r="A2217" s="25">
        <v>1706985</v>
      </c>
      <c r="B2217" s="26" t="s">
        <v>5427</v>
      </c>
      <c r="C2217" s="26" t="s">
        <v>10316</v>
      </c>
      <c r="D2217" s="26" t="s">
        <v>10317</v>
      </c>
      <c r="E2217" s="26" t="s">
        <v>5683</v>
      </c>
      <c r="F2217" s="27">
        <v>5976487</v>
      </c>
      <c r="G2217" s="27">
        <v>1</v>
      </c>
      <c r="H2217" s="27">
        <v>1</v>
      </c>
      <c r="I2217" s="27">
        <v>1</v>
      </c>
      <c r="J2217" s="30">
        <f t="shared" si="102"/>
        <v>1</v>
      </c>
      <c r="K2217" s="30">
        <f t="shared" si="103"/>
        <v>1</v>
      </c>
      <c r="L2217" s="26">
        <f t="shared" si="104"/>
        <v>1</v>
      </c>
      <c r="M2217" s="26"/>
    </row>
    <row r="2218" spans="1:13" ht="15" customHeight="1">
      <c r="A2218" s="25">
        <v>1707028</v>
      </c>
      <c r="B2218" s="26" t="s">
        <v>5423</v>
      </c>
      <c r="C2218" s="26" t="s">
        <v>10318</v>
      </c>
      <c r="D2218" s="26" t="s">
        <v>10319</v>
      </c>
      <c r="E2218" s="26" t="s">
        <v>5475</v>
      </c>
      <c r="F2218" s="27">
        <v>5933872</v>
      </c>
      <c r="G2218" s="27">
        <v>1</v>
      </c>
      <c r="H2218" s="27">
        <v>1</v>
      </c>
      <c r="I2218" s="27">
        <v>1</v>
      </c>
      <c r="J2218" s="30">
        <f t="shared" si="102"/>
        <v>1</v>
      </c>
      <c r="K2218" s="30">
        <f t="shared" si="103"/>
        <v>1</v>
      </c>
      <c r="L2218" s="26">
        <f t="shared" si="104"/>
        <v>1</v>
      </c>
      <c r="M2218" s="26"/>
    </row>
    <row r="2219" spans="1:13" ht="15" customHeight="1">
      <c r="A2219" s="25">
        <v>1707034</v>
      </c>
      <c r="B2219" s="26" t="s">
        <v>5423</v>
      </c>
      <c r="C2219" s="26" t="s">
        <v>10320</v>
      </c>
      <c r="D2219" s="26" t="s">
        <v>10321</v>
      </c>
      <c r="E2219" s="26" t="s">
        <v>5442</v>
      </c>
      <c r="F2219" s="27">
        <v>5945120</v>
      </c>
      <c r="G2219" s="27">
        <v>1</v>
      </c>
      <c r="H2219" s="27">
        <v>1</v>
      </c>
      <c r="I2219" s="27">
        <v>1</v>
      </c>
      <c r="J2219" s="30">
        <f t="shared" si="102"/>
        <v>1</v>
      </c>
      <c r="K2219" s="30">
        <f t="shared" si="103"/>
        <v>1</v>
      </c>
      <c r="L2219" s="26">
        <f t="shared" si="104"/>
        <v>1</v>
      </c>
      <c r="M2219" s="26"/>
    </row>
    <row r="2220" spans="1:13" ht="15" customHeight="1">
      <c r="A2220" s="25">
        <v>1707043</v>
      </c>
      <c r="B2220" s="26" t="s">
        <v>5427</v>
      </c>
      <c r="C2220" s="26" t="s">
        <v>10322</v>
      </c>
      <c r="D2220" s="26" t="s">
        <v>10308</v>
      </c>
      <c r="E2220" s="26" t="s">
        <v>5517</v>
      </c>
      <c r="F2220" s="27">
        <v>6025514</v>
      </c>
      <c r="G2220" s="27">
        <v>0</v>
      </c>
      <c r="H2220" s="27">
        <v>0</v>
      </c>
      <c r="I2220" s="27">
        <v>0</v>
      </c>
      <c r="J2220" s="30">
        <f t="shared" si="102"/>
        <v>0</v>
      </c>
      <c r="K2220" s="30">
        <f t="shared" si="103"/>
        <v>0</v>
      </c>
      <c r="L2220" s="26">
        <f t="shared" si="104"/>
        <v>0</v>
      </c>
      <c r="M2220" s="26">
        <v>0</v>
      </c>
    </row>
    <row r="2221" spans="1:13" ht="15" customHeight="1">
      <c r="A2221" s="25">
        <v>1707069</v>
      </c>
      <c r="B2221" s="26" t="s">
        <v>5427</v>
      </c>
      <c r="C2221" s="26" t="s">
        <v>10323</v>
      </c>
      <c r="D2221" s="26" t="s">
        <v>10324</v>
      </c>
      <c r="E2221" s="26" t="s">
        <v>5603</v>
      </c>
      <c r="F2221" s="27">
        <v>6025350</v>
      </c>
      <c r="G2221" s="27">
        <v>1</v>
      </c>
      <c r="H2221" s="27">
        <v>1</v>
      </c>
      <c r="I2221" s="27">
        <v>1</v>
      </c>
      <c r="J2221" s="30">
        <f t="shared" si="102"/>
        <v>1</v>
      </c>
      <c r="K2221" s="30">
        <f t="shared" si="103"/>
        <v>1</v>
      </c>
      <c r="L2221" s="26">
        <f t="shared" si="104"/>
        <v>1</v>
      </c>
      <c r="M2221" s="26"/>
    </row>
    <row r="2222" spans="1:13" ht="15" customHeight="1">
      <c r="A2222" s="25">
        <v>1707100</v>
      </c>
      <c r="B2222" s="26" t="s">
        <v>5423</v>
      </c>
      <c r="C2222" s="26" t="s">
        <v>10325</v>
      </c>
      <c r="D2222" s="26" t="s">
        <v>10326</v>
      </c>
      <c r="E2222" s="26" t="s">
        <v>5517</v>
      </c>
      <c r="F2222" s="27">
        <v>6003958</v>
      </c>
      <c r="G2222" s="27">
        <v>1</v>
      </c>
      <c r="H2222" s="27">
        <v>1</v>
      </c>
      <c r="I2222" s="27">
        <v>1</v>
      </c>
      <c r="J2222" s="30">
        <f t="shared" si="102"/>
        <v>1</v>
      </c>
      <c r="K2222" s="30">
        <f t="shared" si="103"/>
        <v>1</v>
      </c>
      <c r="L2222" s="26">
        <f t="shared" si="104"/>
        <v>1</v>
      </c>
      <c r="M2222" s="26" t="s">
        <v>8169</v>
      </c>
    </row>
    <row r="2223" spans="1:13" ht="15" customHeight="1">
      <c r="A2223" s="25">
        <v>1707104</v>
      </c>
      <c r="B2223" s="26" t="s">
        <v>5427</v>
      </c>
      <c r="C2223" s="26" t="s">
        <v>10327</v>
      </c>
      <c r="D2223" s="26" t="s">
        <v>10305</v>
      </c>
      <c r="E2223" s="26" t="s">
        <v>5968</v>
      </c>
      <c r="F2223" s="27">
        <v>6020712</v>
      </c>
      <c r="G2223" s="27">
        <v>0</v>
      </c>
      <c r="H2223" s="27">
        <v>0</v>
      </c>
      <c r="I2223" s="27">
        <v>0</v>
      </c>
      <c r="J2223" s="30">
        <f t="shared" si="102"/>
        <v>0</v>
      </c>
      <c r="K2223" s="30">
        <f t="shared" si="103"/>
        <v>0</v>
      </c>
      <c r="L2223" s="26">
        <f t="shared" si="104"/>
        <v>0</v>
      </c>
      <c r="M2223" s="26">
        <v>0</v>
      </c>
    </row>
    <row r="2224" spans="1:13" ht="15" customHeight="1">
      <c r="A2224" s="25">
        <v>1707379</v>
      </c>
      <c r="B2224" s="26" t="s">
        <v>5427</v>
      </c>
      <c r="C2224" s="26" t="s">
        <v>10328</v>
      </c>
      <c r="D2224" s="26" t="s">
        <v>10329</v>
      </c>
      <c r="E2224" s="26" t="s">
        <v>5504</v>
      </c>
      <c r="F2224" s="27">
        <v>6027132</v>
      </c>
      <c r="G2224" s="27">
        <v>0</v>
      </c>
      <c r="H2224" s="27">
        <v>0</v>
      </c>
      <c r="I2224" s="27">
        <v>0</v>
      </c>
      <c r="J2224" s="30">
        <f t="shared" si="102"/>
        <v>0</v>
      </c>
      <c r="K2224" s="30">
        <f t="shared" si="103"/>
        <v>0</v>
      </c>
      <c r="L2224" s="26">
        <f t="shared" si="104"/>
        <v>0</v>
      </c>
      <c r="M2224" s="26">
        <v>0</v>
      </c>
    </row>
    <row r="2225" spans="1:13" ht="15" customHeight="1">
      <c r="A2225" s="25">
        <v>1707470</v>
      </c>
      <c r="B2225" s="26" t="s">
        <v>5427</v>
      </c>
      <c r="C2225" s="26" t="s">
        <v>10330</v>
      </c>
      <c r="D2225" s="26" t="s">
        <v>10331</v>
      </c>
      <c r="E2225" s="26" t="s">
        <v>5430</v>
      </c>
      <c r="F2225" s="27"/>
      <c r="G2225" s="27">
        <v>0</v>
      </c>
      <c r="H2225" s="27">
        <v>0</v>
      </c>
      <c r="I2225" s="27">
        <v>0</v>
      </c>
      <c r="J2225" s="30">
        <f t="shared" si="102"/>
        <v>0</v>
      </c>
      <c r="K2225" s="30">
        <f t="shared" si="103"/>
        <v>0</v>
      </c>
      <c r="L2225" s="26">
        <f t="shared" si="104"/>
        <v>0</v>
      </c>
      <c r="M2225" s="26">
        <v>0</v>
      </c>
    </row>
    <row r="2226" spans="1:13" ht="15" customHeight="1">
      <c r="A2226" s="25">
        <v>1707485</v>
      </c>
      <c r="B2226" s="26" t="s">
        <v>5423</v>
      </c>
      <c r="C2226" s="26" t="s">
        <v>10332</v>
      </c>
      <c r="D2226" s="26" t="s">
        <v>10333</v>
      </c>
      <c r="E2226" s="26" t="s">
        <v>5455</v>
      </c>
      <c r="F2226" s="27">
        <v>6027378</v>
      </c>
      <c r="G2226" s="27">
        <v>1</v>
      </c>
      <c r="H2226" s="27">
        <v>1</v>
      </c>
      <c r="I2226" s="27">
        <v>1</v>
      </c>
      <c r="J2226" s="30">
        <f t="shared" si="102"/>
        <v>1</v>
      </c>
      <c r="K2226" s="30">
        <f t="shared" si="103"/>
        <v>1</v>
      </c>
      <c r="L2226" s="26">
        <f t="shared" si="104"/>
        <v>1</v>
      </c>
      <c r="M2226" s="26"/>
    </row>
    <row r="2227" spans="1:13" ht="15" customHeight="1">
      <c r="A2227" s="25">
        <v>1707518</v>
      </c>
      <c r="B2227" s="26" t="s">
        <v>5423</v>
      </c>
      <c r="C2227" s="26" t="s">
        <v>10334</v>
      </c>
      <c r="D2227" s="26" t="s">
        <v>10335</v>
      </c>
      <c r="E2227" s="26" t="s">
        <v>5504</v>
      </c>
      <c r="F2227" s="27">
        <v>6019754</v>
      </c>
      <c r="G2227" s="27">
        <v>1</v>
      </c>
      <c r="H2227" s="27">
        <v>0</v>
      </c>
      <c r="I2227" s="27">
        <v>1</v>
      </c>
      <c r="J2227" s="30">
        <f t="shared" si="102"/>
        <v>1</v>
      </c>
      <c r="K2227" s="30">
        <f t="shared" si="103"/>
        <v>0</v>
      </c>
      <c r="L2227" s="26">
        <f t="shared" si="104"/>
        <v>0</v>
      </c>
      <c r="M2227" s="26"/>
    </row>
    <row r="2228" spans="1:13" ht="15" customHeight="1">
      <c r="A2228" s="25">
        <v>1707612</v>
      </c>
      <c r="B2228" s="26" t="s">
        <v>5423</v>
      </c>
      <c r="C2228" s="26" t="s">
        <v>10336</v>
      </c>
      <c r="D2228" s="26" t="s">
        <v>10337</v>
      </c>
      <c r="E2228" s="26" t="s">
        <v>5535</v>
      </c>
      <c r="F2228" s="27">
        <v>6027194</v>
      </c>
      <c r="G2228" s="27">
        <v>0</v>
      </c>
      <c r="H2228" s="27">
        <v>0</v>
      </c>
      <c r="I2228" s="27">
        <v>0</v>
      </c>
      <c r="J2228" s="30">
        <f t="shared" si="102"/>
        <v>0</v>
      </c>
      <c r="K2228" s="30">
        <f t="shared" si="103"/>
        <v>0</v>
      </c>
      <c r="L2228" s="26">
        <f t="shared" si="104"/>
        <v>0</v>
      </c>
      <c r="M2228" s="26">
        <v>0</v>
      </c>
    </row>
    <row r="2229" spans="1:13" ht="15" customHeight="1">
      <c r="A2229" s="25">
        <v>1707816</v>
      </c>
      <c r="B2229" s="26" t="s">
        <v>5427</v>
      </c>
      <c r="C2229" s="26" t="s">
        <v>10338</v>
      </c>
      <c r="D2229" s="26" t="s">
        <v>10339</v>
      </c>
      <c r="E2229" s="26" t="s">
        <v>5968</v>
      </c>
      <c r="F2229" s="27">
        <v>6027533</v>
      </c>
      <c r="G2229" s="27">
        <v>1</v>
      </c>
      <c r="H2229" s="27">
        <v>0</v>
      </c>
      <c r="I2229" s="27">
        <v>1</v>
      </c>
      <c r="J2229" s="30">
        <f t="shared" si="102"/>
        <v>1</v>
      </c>
      <c r="K2229" s="30">
        <f t="shared" si="103"/>
        <v>0</v>
      </c>
      <c r="L2229" s="26">
        <f t="shared" si="104"/>
        <v>0</v>
      </c>
      <c r="M2229" s="26"/>
    </row>
    <row r="2230" spans="1:13" ht="15" customHeight="1">
      <c r="A2230" s="25">
        <v>1708077</v>
      </c>
      <c r="B2230" s="26" t="s">
        <v>5427</v>
      </c>
      <c r="C2230" s="26" t="s">
        <v>10340</v>
      </c>
      <c r="D2230" s="26" t="s">
        <v>10341</v>
      </c>
      <c r="E2230" s="26" t="s">
        <v>5522</v>
      </c>
      <c r="F2230" s="27">
        <v>5927967</v>
      </c>
      <c r="G2230" s="27">
        <v>0</v>
      </c>
      <c r="H2230" s="27">
        <v>0</v>
      </c>
      <c r="I2230" s="27">
        <v>0</v>
      </c>
      <c r="J2230" s="30">
        <f t="shared" si="102"/>
        <v>0</v>
      </c>
      <c r="K2230" s="30">
        <f t="shared" si="103"/>
        <v>0</v>
      </c>
      <c r="L2230" s="26">
        <f t="shared" si="104"/>
        <v>0</v>
      </c>
      <c r="M2230" s="26" t="s">
        <v>10342</v>
      </c>
    </row>
    <row r="2231" spans="1:13" ht="15" customHeight="1">
      <c r="A2231" s="25">
        <v>1708144</v>
      </c>
      <c r="B2231" s="26" t="s">
        <v>5427</v>
      </c>
      <c r="C2231" s="26" t="s">
        <v>10343</v>
      </c>
      <c r="D2231" s="26" t="s">
        <v>10339</v>
      </c>
      <c r="E2231" s="26" t="s">
        <v>5683</v>
      </c>
      <c r="F2231" s="27">
        <v>6027527</v>
      </c>
      <c r="G2231" s="27">
        <v>1</v>
      </c>
      <c r="H2231" s="27">
        <v>0</v>
      </c>
      <c r="I2231" s="27">
        <v>1</v>
      </c>
      <c r="J2231" s="30">
        <f t="shared" si="102"/>
        <v>1</v>
      </c>
      <c r="K2231" s="30">
        <f t="shared" si="103"/>
        <v>0</v>
      </c>
      <c r="L2231" s="26">
        <f t="shared" si="104"/>
        <v>0</v>
      </c>
      <c r="M2231" s="26"/>
    </row>
    <row r="2232" spans="1:13" ht="15" customHeight="1">
      <c r="A2232" s="25">
        <v>1708235</v>
      </c>
      <c r="B2232" s="26" t="s">
        <v>5427</v>
      </c>
      <c r="C2232" s="26" t="s">
        <v>10344</v>
      </c>
      <c r="D2232" s="26" t="s">
        <v>10339</v>
      </c>
      <c r="E2232" s="26" t="s">
        <v>5550</v>
      </c>
      <c r="F2232" s="27">
        <v>6027953</v>
      </c>
      <c r="G2232" s="27">
        <v>0</v>
      </c>
      <c r="H2232" s="27">
        <v>0</v>
      </c>
      <c r="I2232" s="27">
        <v>0</v>
      </c>
      <c r="J2232" s="30">
        <f t="shared" si="102"/>
        <v>0</v>
      </c>
      <c r="K2232" s="30">
        <f t="shared" si="103"/>
        <v>0</v>
      </c>
      <c r="L2232" s="26">
        <f t="shared" si="104"/>
        <v>0</v>
      </c>
      <c r="M2232" s="26">
        <v>0</v>
      </c>
    </row>
    <row r="2233" spans="1:13" ht="15" customHeight="1">
      <c r="A2233" s="25">
        <v>1708370</v>
      </c>
      <c r="B2233" s="26" t="s">
        <v>5427</v>
      </c>
      <c r="C2233" s="26" t="s">
        <v>10345</v>
      </c>
      <c r="D2233" s="26" t="s">
        <v>10346</v>
      </c>
      <c r="E2233" s="26" t="s">
        <v>5683</v>
      </c>
      <c r="F2233" s="27">
        <v>6028468</v>
      </c>
      <c r="G2233" s="27">
        <v>0</v>
      </c>
      <c r="H2233" s="27">
        <v>0</v>
      </c>
      <c r="I2233" s="27">
        <v>0</v>
      </c>
      <c r="J2233" s="30">
        <f t="shared" si="102"/>
        <v>0</v>
      </c>
      <c r="K2233" s="30">
        <f t="shared" si="103"/>
        <v>0</v>
      </c>
      <c r="L2233" s="26">
        <f t="shared" si="104"/>
        <v>0</v>
      </c>
      <c r="M2233" s="26">
        <v>0</v>
      </c>
    </row>
    <row r="2234" spans="1:13" ht="15" customHeight="1">
      <c r="A2234" s="25">
        <v>1708536</v>
      </c>
      <c r="B2234" s="26" t="s">
        <v>5423</v>
      </c>
      <c r="C2234" s="26" t="s">
        <v>10347</v>
      </c>
      <c r="D2234" s="26" t="s">
        <v>10348</v>
      </c>
      <c r="E2234" s="26" t="s">
        <v>5504</v>
      </c>
      <c r="F2234" s="27">
        <v>6029941</v>
      </c>
      <c r="G2234" s="27">
        <v>0</v>
      </c>
      <c r="H2234" s="27">
        <v>0</v>
      </c>
      <c r="I2234" s="27">
        <v>0</v>
      </c>
      <c r="J2234" s="30">
        <f t="shared" si="102"/>
        <v>0</v>
      </c>
      <c r="K2234" s="30">
        <f t="shared" si="103"/>
        <v>0</v>
      </c>
      <c r="L2234" s="26">
        <f t="shared" si="104"/>
        <v>0</v>
      </c>
      <c r="M2234" s="26">
        <v>0</v>
      </c>
    </row>
    <row r="2235" spans="1:13" ht="15" customHeight="1">
      <c r="A2235" s="25">
        <v>1708584</v>
      </c>
      <c r="B2235" s="26" t="s">
        <v>5423</v>
      </c>
      <c r="C2235" s="26" t="s">
        <v>10349</v>
      </c>
      <c r="D2235" s="26" t="s">
        <v>10339</v>
      </c>
      <c r="E2235" s="26" t="s">
        <v>5968</v>
      </c>
      <c r="F2235" s="27"/>
      <c r="G2235" s="27">
        <v>0</v>
      </c>
      <c r="H2235" s="27">
        <v>0</v>
      </c>
      <c r="I2235" s="27">
        <v>0</v>
      </c>
      <c r="J2235" s="30">
        <f t="shared" si="102"/>
        <v>0</v>
      </c>
      <c r="K2235" s="30">
        <f t="shared" si="103"/>
        <v>0</v>
      </c>
      <c r="L2235" s="26">
        <f t="shared" si="104"/>
        <v>0</v>
      </c>
      <c r="M2235" s="26" t="s">
        <v>5557</v>
      </c>
    </row>
    <row r="2236" spans="1:13" ht="15" customHeight="1">
      <c r="A2236" s="25">
        <v>1708637</v>
      </c>
      <c r="B2236" s="26" t="s">
        <v>5423</v>
      </c>
      <c r="C2236" s="26" t="s">
        <v>10350</v>
      </c>
      <c r="D2236" s="26" t="s">
        <v>10351</v>
      </c>
      <c r="E2236" s="26" t="s">
        <v>5504</v>
      </c>
      <c r="F2236" s="27">
        <v>6029929</v>
      </c>
      <c r="G2236" s="27">
        <v>1</v>
      </c>
      <c r="H2236" s="27">
        <v>0</v>
      </c>
      <c r="I2236" s="27">
        <v>1</v>
      </c>
      <c r="J2236" s="30">
        <f t="shared" si="102"/>
        <v>1</v>
      </c>
      <c r="K2236" s="30">
        <f t="shared" si="103"/>
        <v>0</v>
      </c>
      <c r="L2236" s="26">
        <f t="shared" si="104"/>
        <v>0</v>
      </c>
      <c r="M2236" s="26" t="s">
        <v>7910</v>
      </c>
    </row>
    <row r="2237" spans="1:13" ht="15" customHeight="1">
      <c r="A2237" s="25">
        <v>1709011</v>
      </c>
      <c r="B2237" s="26" t="s">
        <v>5427</v>
      </c>
      <c r="C2237" s="26" t="s">
        <v>10352</v>
      </c>
      <c r="D2237" s="26" t="s">
        <v>10353</v>
      </c>
      <c r="E2237" s="26" t="s">
        <v>5485</v>
      </c>
      <c r="F2237" s="27">
        <v>6032067</v>
      </c>
      <c r="G2237" s="27">
        <v>0</v>
      </c>
      <c r="H2237" s="27">
        <v>0</v>
      </c>
      <c r="I2237" s="27">
        <v>0</v>
      </c>
      <c r="J2237" s="30">
        <f t="shared" si="102"/>
        <v>0</v>
      </c>
      <c r="K2237" s="30">
        <f t="shared" si="103"/>
        <v>0</v>
      </c>
      <c r="L2237" s="26">
        <f t="shared" si="104"/>
        <v>0</v>
      </c>
      <c r="M2237" s="26">
        <v>0</v>
      </c>
    </row>
    <row r="2238" spans="1:13" ht="15" customHeight="1">
      <c r="A2238" s="25">
        <v>1709074</v>
      </c>
      <c r="B2238" s="26" t="s">
        <v>5423</v>
      </c>
      <c r="C2238" s="26" t="s">
        <v>10354</v>
      </c>
      <c r="D2238" s="26" t="s">
        <v>10355</v>
      </c>
      <c r="E2238" s="26" t="s">
        <v>5488</v>
      </c>
      <c r="F2238" s="27">
        <v>5943102</v>
      </c>
      <c r="G2238" s="27">
        <v>1</v>
      </c>
      <c r="H2238" s="27">
        <v>0</v>
      </c>
      <c r="I2238" s="27">
        <v>1</v>
      </c>
      <c r="J2238" s="30">
        <f t="shared" si="102"/>
        <v>1</v>
      </c>
      <c r="K2238" s="30">
        <f t="shared" si="103"/>
        <v>0</v>
      </c>
      <c r="L2238" s="26">
        <f t="shared" si="104"/>
        <v>0</v>
      </c>
      <c r="M2238" s="26"/>
    </row>
    <row r="2239" spans="1:13" ht="15" customHeight="1">
      <c r="A2239" s="25">
        <v>1709085</v>
      </c>
      <c r="B2239" s="26" t="s">
        <v>5423</v>
      </c>
      <c r="C2239" s="26" t="s">
        <v>10356</v>
      </c>
      <c r="D2239" s="26" t="s">
        <v>10357</v>
      </c>
      <c r="E2239" s="26" t="s">
        <v>5532</v>
      </c>
      <c r="F2239" s="27">
        <v>6032129</v>
      </c>
      <c r="G2239" s="27">
        <v>0</v>
      </c>
      <c r="H2239" s="27">
        <v>0</v>
      </c>
      <c r="I2239" s="27">
        <v>0</v>
      </c>
      <c r="J2239" s="30">
        <f t="shared" si="102"/>
        <v>0</v>
      </c>
      <c r="K2239" s="30">
        <f t="shared" si="103"/>
        <v>0</v>
      </c>
      <c r="L2239" s="26">
        <f t="shared" si="104"/>
        <v>0</v>
      </c>
      <c r="M2239" s="26">
        <v>0</v>
      </c>
    </row>
    <row r="2240" spans="1:13" ht="15" customHeight="1">
      <c r="A2240" s="25">
        <v>1709176</v>
      </c>
      <c r="B2240" s="26" t="s">
        <v>5423</v>
      </c>
      <c r="C2240" s="26" t="s">
        <v>10358</v>
      </c>
      <c r="D2240" s="26" t="s">
        <v>10359</v>
      </c>
      <c r="E2240" s="26" t="s">
        <v>5480</v>
      </c>
      <c r="F2240" s="27">
        <v>6032071</v>
      </c>
      <c r="G2240" s="27">
        <v>0</v>
      </c>
      <c r="H2240" s="27">
        <v>0</v>
      </c>
      <c r="I2240" s="27">
        <v>0</v>
      </c>
      <c r="J2240" s="30">
        <f t="shared" si="102"/>
        <v>0</v>
      </c>
      <c r="K2240" s="30">
        <f t="shared" si="103"/>
        <v>0</v>
      </c>
      <c r="L2240" s="26">
        <f t="shared" si="104"/>
        <v>0</v>
      </c>
      <c r="M2240" s="26">
        <v>0</v>
      </c>
    </row>
    <row r="2241" spans="1:13" ht="15" customHeight="1">
      <c r="A2241" s="25">
        <v>1709496</v>
      </c>
      <c r="B2241" s="26" t="s">
        <v>5423</v>
      </c>
      <c r="C2241" s="26" t="s">
        <v>10360</v>
      </c>
      <c r="D2241" s="26" t="s">
        <v>10355</v>
      </c>
      <c r="E2241" s="26" t="s">
        <v>5426</v>
      </c>
      <c r="F2241" s="27">
        <v>4888032</v>
      </c>
      <c r="G2241" s="27">
        <v>0</v>
      </c>
      <c r="H2241" s="27">
        <v>0</v>
      </c>
      <c r="I2241" s="27">
        <v>0</v>
      </c>
      <c r="J2241" s="30">
        <f t="shared" si="102"/>
        <v>0</v>
      </c>
      <c r="K2241" s="30">
        <f t="shared" si="103"/>
        <v>0</v>
      </c>
      <c r="L2241" s="26">
        <f t="shared" si="104"/>
        <v>0</v>
      </c>
      <c r="M2241" s="26" t="s">
        <v>5557</v>
      </c>
    </row>
    <row r="2242" spans="1:13" ht="15" customHeight="1">
      <c r="A2242" s="25">
        <v>1709506</v>
      </c>
      <c r="B2242" s="26" t="s">
        <v>5427</v>
      </c>
      <c r="C2242" s="26" t="s">
        <v>10361</v>
      </c>
      <c r="D2242" s="26" t="s">
        <v>10362</v>
      </c>
      <c r="E2242" s="26" t="s">
        <v>5603</v>
      </c>
      <c r="F2242" s="27">
        <v>6006687</v>
      </c>
      <c r="G2242" s="27">
        <v>1</v>
      </c>
      <c r="H2242" s="27">
        <v>1</v>
      </c>
      <c r="I2242" s="27">
        <v>1</v>
      </c>
      <c r="J2242" s="30">
        <f t="shared" ref="J2242:J2305" si="105">IF(G2242&gt;0,1,0)</f>
        <v>1</v>
      </c>
      <c r="K2242" s="30">
        <f t="shared" ref="K2242:K2305" si="106">IF(H2242&gt;0,1,0)</f>
        <v>1</v>
      </c>
      <c r="L2242" s="26">
        <f t="shared" ref="L2242:L2305" si="107">IF(G2242&gt;0,IF(H2242&gt;0,1,0),0)</f>
        <v>1</v>
      </c>
      <c r="M2242" s="26" t="s">
        <v>8169</v>
      </c>
    </row>
    <row r="2243" spans="1:13" ht="15" customHeight="1">
      <c r="A2243" s="25">
        <v>1709700</v>
      </c>
      <c r="B2243" s="26" t="s">
        <v>5423</v>
      </c>
      <c r="C2243" s="26" t="s">
        <v>10363</v>
      </c>
      <c r="D2243" s="26" t="s">
        <v>10364</v>
      </c>
      <c r="E2243" s="26" t="s">
        <v>5575</v>
      </c>
      <c r="F2243" s="27">
        <v>6032563</v>
      </c>
      <c r="G2243" s="27">
        <v>1</v>
      </c>
      <c r="H2243" s="27">
        <v>0</v>
      </c>
      <c r="I2243" s="27">
        <v>1</v>
      </c>
      <c r="J2243" s="30">
        <f t="shared" si="105"/>
        <v>1</v>
      </c>
      <c r="K2243" s="30">
        <f t="shared" si="106"/>
        <v>0</v>
      </c>
      <c r="L2243" s="26">
        <f t="shared" si="107"/>
        <v>0</v>
      </c>
      <c r="M2243" s="26"/>
    </row>
    <row r="2244" spans="1:13" ht="15" customHeight="1">
      <c r="A2244" s="25">
        <v>1709756</v>
      </c>
      <c r="B2244" s="26" t="s">
        <v>5427</v>
      </c>
      <c r="C2244" s="26" t="s">
        <v>10365</v>
      </c>
      <c r="D2244" s="26" t="s">
        <v>10341</v>
      </c>
      <c r="E2244" s="26" t="s">
        <v>5430</v>
      </c>
      <c r="F2244" s="27">
        <v>6033323</v>
      </c>
      <c r="G2244" s="27">
        <v>0</v>
      </c>
      <c r="H2244" s="27">
        <v>0</v>
      </c>
      <c r="I2244" s="27">
        <v>0</v>
      </c>
      <c r="J2244" s="30">
        <f t="shared" si="105"/>
        <v>0</v>
      </c>
      <c r="K2244" s="30">
        <f t="shared" si="106"/>
        <v>0</v>
      </c>
      <c r="L2244" s="26">
        <f t="shared" si="107"/>
        <v>0</v>
      </c>
      <c r="M2244" s="26">
        <v>0</v>
      </c>
    </row>
    <row r="2245" spans="1:13" ht="15" customHeight="1">
      <c r="A2245" s="25">
        <v>1709921</v>
      </c>
      <c r="B2245" s="26" t="s">
        <v>5427</v>
      </c>
      <c r="C2245" s="26" t="s">
        <v>10366</v>
      </c>
      <c r="D2245" s="26" t="s">
        <v>10367</v>
      </c>
      <c r="E2245" s="26" t="s">
        <v>5442</v>
      </c>
      <c r="F2245" s="27">
        <v>6032919</v>
      </c>
      <c r="G2245" s="27">
        <v>1</v>
      </c>
      <c r="H2245" s="27">
        <v>1</v>
      </c>
      <c r="I2245" s="27">
        <v>1</v>
      </c>
      <c r="J2245" s="30">
        <f t="shared" si="105"/>
        <v>1</v>
      </c>
      <c r="K2245" s="30">
        <f t="shared" si="106"/>
        <v>1</v>
      </c>
      <c r="L2245" s="26">
        <f t="shared" si="107"/>
        <v>1</v>
      </c>
      <c r="M2245" s="26" t="s">
        <v>7910</v>
      </c>
    </row>
    <row r="2246" spans="1:13" ht="15" customHeight="1">
      <c r="A2246" s="25">
        <v>1709963</v>
      </c>
      <c r="B2246" s="26" t="s">
        <v>5423</v>
      </c>
      <c r="C2246" s="26" t="s">
        <v>10368</v>
      </c>
      <c r="D2246" s="26" t="s">
        <v>10369</v>
      </c>
      <c r="E2246" s="26" t="s">
        <v>5475</v>
      </c>
      <c r="F2246" s="27">
        <v>5781385</v>
      </c>
      <c r="G2246" s="27">
        <v>1</v>
      </c>
      <c r="H2246" s="27">
        <v>1</v>
      </c>
      <c r="I2246" s="27">
        <v>1</v>
      </c>
      <c r="J2246" s="30">
        <f t="shared" si="105"/>
        <v>1</v>
      </c>
      <c r="K2246" s="30">
        <f t="shared" si="106"/>
        <v>1</v>
      </c>
      <c r="L2246" s="26">
        <f t="shared" si="107"/>
        <v>1</v>
      </c>
      <c r="M2246" s="26"/>
    </row>
    <row r="2247" spans="1:13" ht="15" customHeight="1">
      <c r="A2247" s="25">
        <v>1709987</v>
      </c>
      <c r="B2247" s="26" t="s">
        <v>5423</v>
      </c>
      <c r="C2247" s="26" t="s">
        <v>10370</v>
      </c>
      <c r="D2247" s="26" t="s">
        <v>10369</v>
      </c>
      <c r="E2247" s="26" t="s">
        <v>5517</v>
      </c>
      <c r="F2247" s="27">
        <v>6033154</v>
      </c>
      <c r="G2247" s="27">
        <v>1</v>
      </c>
      <c r="H2247" s="27">
        <v>1</v>
      </c>
      <c r="I2247" s="27">
        <v>1</v>
      </c>
      <c r="J2247" s="30">
        <f t="shared" si="105"/>
        <v>1</v>
      </c>
      <c r="K2247" s="30">
        <f t="shared" si="106"/>
        <v>1</v>
      </c>
      <c r="L2247" s="26">
        <f t="shared" si="107"/>
        <v>1</v>
      </c>
      <c r="M2247" s="26"/>
    </row>
    <row r="2248" spans="1:13" ht="15" customHeight="1">
      <c r="A2248" s="25">
        <v>1710126</v>
      </c>
      <c r="B2248" s="26" t="s">
        <v>5423</v>
      </c>
      <c r="C2248" s="26" t="s">
        <v>10371</v>
      </c>
      <c r="D2248" s="26" t="s">
        <v>10300</v>
      </c>
      <c r="E2248" s="26" t="s">
        <v>5468</v>
      </c>
      <c r="F2248" s="27">
        <v>6034961</v>
      </c>
      <c r="G2248" s="27">
        <v>0</v>
      </c>
      <c r="H2248" s="27">
        <v>0</v>
      </c>
      <c r="I2248" s="27">
        <v>0</v>
      </c>
      <c r="J2248" s="30">
        <f t="shared" si="105"/>
        <v>0</v>
      </c>
      <c r="K2248" s="30">
        <f t="shared" si="106"/>
        <v>0</v>
      </c>
      <c r="L2248" s="26">
        <f t="shared" si="107"/>
        <v>0</v>
      </c>
      <c r="M2248" s="26">
        <v>0</v>
      </c>
    </row>
    <row r="2249" spans="1:13" ht="15" customHeight="1">
      <c r="A2249" s="25" t="s">
        <v>10372</v>
      </c>
      <c r="B2249" s="26" t="s">
        <v>5427</v>
      </c>
      <c r="C2249" s="26" t="s">
        <v>10373</v>
      </c>
      <c r="D2249" s="26" t="s">
        <v>10367</v>
      </c>
      <c r="E2249" s="26" t="s">
        <v>5488</v>
      </c>
      <c r="F2249" s="27">
        <v>4412006</v>
      </c>
      <c r="G2249" s="27">
        <v>1</v>
      </c>
      <c r="H2249" s="27">
        <v>1</v>
      </c>
      <c r="I2249" s="27">
        <v>1</v>
      </c>
      <c r="J2249" s="30">
        <f t="shared" si="105"/>
        <v>1</v>
      </c>
      <c r="K2249" s="30">
        <f t="shared" si="106"/>
        <v>1</v>
      </c>
      <c r="L2249" s="26">
        <f t="shared" si="107"/>
        <v>1</v>
      </c>
      <c r="M2249" s="26"/>
    </row>
    <row r="2250" spans="1:13" ht="15" customHeight="1">
      <c r="A2250" s="25">
        <v>1710208</v>
      </c>
      <c r="B2250" s="26" t="s">
        <v>5427</v>
      </c>
      <c r="C2250" s="26" t="s">
        <v>10374</v>
      </c>
      <c r="D2250" s="26" t="s">
        <v>10375</v>
      </c>
      <c r="E2250" s="26" t="s">
        <v>6541</v>
      </c>
      <c r="F2250" s="27">
        <v>6028877</v>
      </c>
      <c r="G2250" s="27">
        <v>1</v>
      </c>
      <c r="H2250" s="27">
        <v>0</v>
      </c>
      <c r="I2250" s="27">
        <v>1</v>
      </c>
      <c r="J2250" s="30">
        <f t="shared" si="105"/>
        <v>1</v>
      </c>
      <c r="K2250" s="30">
        <f t="shared" si="106"/>
        <v>0</v>
      </c>
      <c r="L2250" s="26">
        <f t="shared" si="107"/>
        <v>0</v>
      </c>
      <c r="M2250" s="26"/>
    </row>
    <row r="2251" spans="1:13" ht="15" customHeight="1">
      <c r="A2251" s="25">
        <v>1710275</v>
      </c>
      <c r="B2251" s="26" t="s">
        <v>5423</v>
      </c>
      <c r="C2251" s="26" t="s">
        <v>10376</v>
      </c>
      <c r="D2251" s="26" t="s">
        <v>10300</v>
      </c>
      <c r="E2251" s="26" t="s">
        <v>5468</v>
      </c>
      <c r="F2251" s="27">
        <v>5206478</v>
      </c>
      <c r="G2251" s="27">
        <v>0</v>
      </c>
      <c r="H2251" s="27">
        <v>0</v>
      </c>
      <c r="I2251" s="27">
        <v>0</v>
      </c>
      <c r="J2251" s="30">
        <f t="shared" si="105"/>
        <v>0</v>
      </c>
      <c r="K2251" s="30">
        <f t="shared" si="106"/>
        <v>0</v>
      </c>
      <c r="L2251" s="26">
        <f t="shared" si="107"/>
        <v>0</v>
      </c>
      <c r="M2251" s="26" t="s">
        <v>5557</v>
      </c>
    </row>
    <row r="2252" spans="1:13" ht="15" customHeight="1">
      <c r="A2252" s="25">
        <v>1710964</v>
      </c>
      <c r="B2252" s="26" t="s">
        <v>5427</v>
      </c>
      <c r="C2252" s="26" t="s">
        <v>10377</v>
      </c>
      <c r="D2252" s="26" t="s">
        <v>10367</v>
      </c>
      <c r="E2252" s="26" t="s">
        <v>5550</v>
      </c>
      <c r="F2252" s="27">
        <v>6037514</v>
      </c>
      <c r="G2252" s="27">
        <v>0</v>
      </c>
      <c r="H2252" s="27">
        <v>0</v>
      </c>
      <c r="I2252" s="27">
        <v>0</v>
      </c>
      <c r="J2252" s="30">
        <f t="shared" si="105"/>
        <v>0</v>
      </c>
      <c r="K2252" s="30">
        <f t="shared" si="106"/>
        <v>0</v>
      </c>
      <c r="L2252" s="26">
        <f t="shared" si="107"/>
        <v>0</v>
      </c>
      <c r="M2252" s="26" t="s">
        <v>5557</v>
      </c>
    </row>
    <row r="2253" spans="1:13" ht="15" customHeight="1">
      <c r="A2253" s="25">
        <v>1711072</v>
      </c>
      <c r="B2253" s="26" t="s">
        <v>5423</v>
      </c>
      <c r="C2253" s="26" t="s">
        <v>10378</v>
      </c>
      <c r="D2253" s="26" t="s">
        <v>10369</v>
      </c>
      <c r="E2253" s="26" t="s">
        <v>5763</v>
      </c>
      <c r="F2253" s="27">
        <v>6035595</v>
      </c>
      <c r="G2253" s="27">
        <v>0</v>
      </c>
      <c r="H2253" s="27">
        <v>0</v>
      </c>
      <c r="I2253" s="27">
        <v>0</v>
      </c>
      <c r="J2253" s="30">
        <f t="shared" si="105"/>
        <v>0</v>
      </c>
      <c r="K2253" s="30">
        <f t="shared" si="106"/>
        <v>0</v>
      </c>
      <c r="L2253" s="26">
        <f t="shared" si="107"/>
        <v>0</v>
      </c>
      <c r="M2253" s="26">
        <v>0</v>
      </c>
    </row>
    <row r="2254" spans="1:13" ht="15" customHeight="1">
      <c r="A2254" s="25">
        <v>1711299</v>
      </c>
      <c r="B2254" s="26" t="s">
        <v>5427</v>
      </c>
      <c r="C2254" s="26" t="s">
        <v>10379</v>
      </c>
      <c r="D2254" s="26" t="s">
        <v>10380</v>
      </c>
      <c r="E2254" s="26" t="s">
        <v>5517</v>
      </c>
      <c r="F2254" s="27">
        <v>6037508</v>
      </c>
      <c r="G2254" s="27">
        <v>0</v>
      </c>
      <c r="H2254" s="27">
        <v>0</v>
      </c>
      <c r="I2254" s="27">
        <v>0</v>
      </c>
      <c r="J2254" s="30">
        <f t="shared" si="105"/>
        <v>0</v>
      </c>
      <c r="K2254" s="30">
        <f t="shared" si="106"/>
        <v>0</v>
      </c>
      <c r="L2254" s="26">
        <f t="shared" si="107"/>
        <v>0</v>
      </c>
      <c r="M2254" s="26">
        <v>0</v>
      </c>
    </row>
    <row r="2255" spans="1:13" ht="15" customHeight="1">
      <c r="A2255" s="25">
        <v>1711354</v>
      </c>
      <c r="B2255" s="26" t="s">
        <v>5423</v>
      </c>
      <c r="C2255" s="26" t="s">
        <v>10381</v>
      </c>
      <c r="D2255" s="26" t="s">
        <v>10369</v>
      </c>
      <c r="E2255" s="26" t="s">
        <v>5763</v>
      </c>
      <c r="F2255" s="27">
        <v>6036349</v>
      </c>
      <c r="G2255" s="27">
        <v>0</v>
      </c>
      <c r="H2255" s="27">
        <v>0</v>
      </c>
      <c r="I2255" s="27">
        <v>0</v>
      </c>
      <c r="J2255" s="30">
        <f t="shared" si="105"/>
        <v>0</v>
      </c>
      <c r="K2255" s="30">
        <f t="shared" si="106"/>
        <v>0</v>
      </c>
      <c r="L2255" s="26">
        <f t="shared" si="107"/>
        <v>0</v>
      </c>
      <c r="M2255" s="26">
        <v>0</v>
      </c>
    </row>
    <row r="2256" spans="1:13" ht="15" customHeight="1">
      <c r="A2256" s="25">
        <v>1711444</v>
      </c>
      <c r="B2256" s="26" t="s">
        <v>5423</v>
      </c>
      <c r="C2256" s="26" t="s">
        <v>10382</v>
      </c>
      <c r="D2256" s="26" t="s">
        <v>10383</v>
      </c>
      <c r="E2256" s="26" t="s">
        <v>5455</v>
      </c>
      <c r="F2256" s="27">
        <v>6038303</v>
      </c>
      <c r="G2256" s="27">
        <v>0</v>
      </c>
      <c r="H2256" s="27">
        <v>0</v>
      </c>
      <c r="I2256" s="27">
        <v>0</v>
      </c>
      <c r="J2256" s="30">
        <f t="shared" si="105"/>
        <v>0</v>
      </c>
      <c r="K2256" s="30">
        <f t="shared" si="106"/>
        <v>0</v>
      </c>
      <c r="L2256" s="26">
        <f t="shared" si="107"/>
        <v>0</v>
      </c>
      <c r="M2256" s="26">
        <v>0</v>
      </c>
    </row>
    <row r="2257" spans="1:13" ht="15" customHeight="1">
      <c r="A2257" s="25">
        <v>1711589</v>
      </c>
      <c r="B2257" s="26" t="s">
        <v>5423</v>
      </c>
      <c r="C2257" s="26" t="s">
        <v>10384</v>
      </c>
      <c r="D2257" s="26" t="s">
        <v>10385</v>
      </c>
      <c r="E2257" s="26" t="s">
        <v>5522</v>
      </c>
      <c r="F2257" s="27">
        <v>5436048</v>
      </c>
      <c r="G2257" s="27">
        <v>1</v>
      </c>
      <c r="H2257" s="27">
        <v>0</v>
      </c>
      <c r="I2257" s="27">
        <v>1</v>
      </c>
      <c r="J2257" s="30">
        <f t="shared" si="105"/>
        <v>1</v>
      </c>
      <c r="K2257" s="30">
        <f t="shared" si="106"/>
        <v>0</v>
      </c>
      <c r="L2257" s="26">
        <f t="shared" si="107"/>
        <v>0</v>
      </c>
      <c r="M2257" s="26"/>
    </row>
    <row r="2258" spans="1:13" ht="15" customHeight="1">
      <c r="A2258" s="25">
        <v>1711662</v>
      </c>
      <c r="B2258" s="26" t="s">
        <v>5423</v>
      </c>
      <c r="C2258" s="26" t="s">
        <v>10386</v>
      </c>
      <c r="D2258" s="26" t="s">
        <v>10383</v>
      </c>
      <c r="E2258" s="26" t="s">
        <v>6075</v>
      </c>
      <c r="F2258" s="27">
        <v>6039763</v>
      </c>
      <c r="G2258" s="27">
        <v>0</v>
      </c>
      <c r="H2258" s="27">
        <v>0</v>
      </c>
      <c r="I2258" s="27">
        <v>0</v>
      </c>
      <c r="J2258" s="30">
        <f t="shared" si="105"/>
        <v>0</v>
      </c>
      <c r="K2258" s="30">
        <f t="shared" si="106"/>
        <v>0</v>
      </c>
      <c r="L2258" s="26">
        <f t="shared" si="107"/>
        <v>0</v>
      </c>
      <c r="M2258" s="26">
        <v>0</v>
      </c>
    </row>
    <row r="2259" spans="1:13" ht="15" customHeight="1">
      <c r="A2259" s="25">
        <v>1711790</v>
      </c>
      <c r="B2259" s="26" t="s">
        <v>5427</v>
      </c>
      <c r="C2259" s="26" t="s">
        <v>10387</v>
      </c>
      <c r="D2259" s="26" t="s">
        <v>10385</v>
      </c>
      <c r="E2259" s="26" t="s">
        <v>5522</v>
      </c>
      <c r="F2259" s="27">
        <v>6018791</v>
      </c>
      <c r="G2259" s="27">
        <v>1</v>
      </c>
      <c r="H2259" s="27">
        <v>0</v>
      </c>
      <c r="I2259" s="27">
        <v>1</v>
      </c>
      <c r="J2259" s="30">
        <f t="shared" si="105"/>
        <v>1</v>
      </c>
      <c r="K2259" s="30">
        <f t="shared" si="106"/>
        <v>0</v>
      </c>
      <c r="L2259" s="26">
        <f t="shared" si="107"/>
        <v>0</v>
      </c>
      <c r="M2259" s="26"/>
    </row>
    <row r="2260" spans="1:13" ht="15" customHeight="1">
      <c r="A2260" s="25">
        <v>1712111</v>
      </c>
      <c r="B2260" s="26" t="s">
        <v>5423</v>
      </c>
      <c r="C2260" s="26" t="s">
        <v>10388</v>
      </c>
      <c r="D2260" s="26" t="s">
        <v>10389</v>
      </c>
      <c r="E2260" s="26" t="s">
        <v>5488</v>
      </c>
      <c r="F2260" s="27">
        <v>6041184</v>
      </c>
      <c r="G2260" s="27">
        <v>0</v>
      </c>
      <c r="H2260" s="27">
        <v>0</v>
      </c>
      <c r="I2260" s="27">
        <v>0</v>
      </c>
      <c r="J2260" s="30">
        <f t="shared" si="105"/>
        <v>0</v>
      </c>
      <c r="K2260" s="30">
        <f t="shared" si="106"/>
        <v>0</v>
      </c>
      <c r="L2260" s="26">
        <f t="shared" si="107"/>
        <v>0</v>
      </c>
      <c r="M2260" s="26">
        <v>0</v>
      </c>
    </row>
    <row r="2261" spans="1:13" ht="15" customHeight="1">
      <c r="A2261" s="25">
        <v>1712113</v>
      </c>
      <c r="B2261" s="26" t="s">
        <v>5423</v>
      </c>
      <c r="C2261" s="26" t="s">
        <v>10390</v>
      </c>
      <c r="D2261" s="26" t="s">
        <v>10380</v>
      </c>
      <c r="E2261" s="26" t="s">
        <v>5610</v>
      </c>
      <c r="F2261" s="27">
        <v>6038121</v>
      </c>
      <c r="G2261" s="27">
        <v>1</v>
      </c>
      <c r="H2261" s="27">
        <v>0</v>
      </c>
      <c r="I2261" s="27">
        <v>1</v>
      </c>
      <c r="J2261" s="30">
        <f t="shared" si="105"/>
        <v>1</v>
      </c>
      <c r="K2261" s="30">
        <f t="shared" si="106"/>
        <v>0</v>
      </c>
      <c r="L2261" s="26">
        <f t="shared" si="107"/>
        <v>0</v>
      </c>
      <c r="M2261" s="26"/>
    </row>
    <row r="2262" spans="1:13" ht="15" customHeight="1">
      <c r="A2262" s="25">
        <v>1712260</v>
      </c>
      <c r="B2262" s="26" t="s">
        <v>5427</v>
      </c>
      <c r="C2262" s="26" t="s">
        <v>10391</v>
      </c>
      <c r="D2262" s="26" t="s">
        <v>10392</v>
      </c>
      <c r="E2262" s="26" t="s">
        <v>5433</v>
      </c>
      <c r="F2262" s="27"/>
      <c r="G2262" s="27">
        <v>0</v>
      </c>
      <c r="H2262" s="27">
        <v>0</v>
      </c>
      <c r="I2262" s="27">
        <v>0</v>
      </c>
      <c r="J2262" s="30">
        <f t="shared" si="105"/>
        <v>0</v>
      </c>
      <c r="K2262" s="30">
        <f t="shared" si="106"/>
        <v>0</v>
      </c>
      <c r="L2262" s="26">
        <f t="shared" si="107"/>
        <v>0</v>
      </c>
      <c r="M2262" s="26" t="s">
        <v>5557</v>
      </c>
    </row>
    <row r="2263" spans="1:13" ht="15" customHeight="1">
      <c r="A2263" s="25">
        <v>1712344</v>
      </c>
      <c r="B2263" s="26" t="s">
        <v>5423</v>
      </c>
      <c r="C2263" s="26" t="s">
        <v>10393</v>
      </c>
      <c r="D2263" s="26" t="s">
        <v>10389</v>
      </c>
      <c r="E2263" s="26" t="s">
        <v>5485</v>
      </c>
      <c r="F2263" s="27">
        <v>6035020</v>
      </c>
      <c r="G2263" s="27">
        <v>1</v>
      </c>
      <c r="H2263" s="27">
        <v>0</v>
      </c>
      <c r="I2263" s="27">
        <v>1</v>
      </c>
      <c r="J2263" s="30">
        <f t="shared" si="105"/>
        <v>1</v>
      </c>
      <c r="K2263" s="30">
        <f t="shared" si="106"/>
        <v>0</v>
      </c>
      <c r="L2263" s="26">
        <f t="shared" si="107"/>
        <v>0</v>
      </c>
      <c r="M2263" s="26"/>
    </row>
    <row r="2264" spans="1:13" ht="15" customHeight="1">
      <c r="A2264" s="25">
        <v>1712805</v>
      </c>
      <c r="B2264" s="26" t="s">
        <v>5423</v>
      </c>
      <c r="C2264" s="26" t="s">
        <v>10394</v>
      </c>
      <c r="D2264" s="26" t="s">
        <v>10385</v>
      </c>
      <c r="E2264" s="26" t="s">
        <v>5475</v>
      </c>
      <c r="F2264" s="27"/>
      <c r="G2264" s="27">
        <v>0</v>
      </c>
      <c r="H2264" s="27">
        <v>0</v>
      </c>
      <c r="I2264" s="27">
        <v>0</v>
      </c>
      <c r="J2264" s="30">
        <f t="shared" si="105"/>
        <v>0</v>
      </c>
      <c r="K2264" s="30">
        <f t="shared" si="106"/>
        <v>0</v>
      </c>
      <c r="L2264" s="26">
        <f t="shared" si="107"/>
        <v>0</v>
      </c>
      <c r="M2264" s="26" t="s">
        <v>5557</v>
      </c>
    </row>
    <row r="2265" spans="1:13" ht="15" customHeight="1">
      <c r="A2265" s="25">
        <v>1712827</v>
      </c>
      <c r="B2265" s="26" t="s">
        <v>5423</v>
      </c>
      <c r="C2265" s="26" t="s">
        <v>10395</v>
      </c>
      <c r="D2265" s="26" t="s">
        <v>10385</v>
      </c>
      <c r="E2265" s="26" t="s">
        <v>5455</v>
      </c>
      <c r="F2265" s="27"/>
      <c r="G2265" s="27">
        <v>0</v>
      </c>
      <c r="H2265" s="27">
        <v>0</v>
      </c>
      <c r="I2265" s="27">
        <v>0</v>
      </c>
      <c r="J2265" s="30">
        <f t="shared" si="105"/>
        <v>0</v>
      </c>
      <c r="K2265" s="30">
        <f t="shared" si="106"/>
        <v>0</v>
      </c>
      <c r="L2265" s="26">
        <f t="shared" si="107"/>
        <v>0</v>
      </c>
      <c r="M2265" s="26" t="s">
        <v>5557</v>
      </c>
    </row>
    <row r="2266" spans="1:13" ht="15" customHeight="1">
      <c r="A2266" s="25">
        <v>1712883</v>
      </c>
      <c r="B2266" s="26" t="s">
        <v>5427</v>
      </c>
      <c r="C2266" s="26" t="s">
        <v>10396</v>
      </c>
      <c r="D2266" s="26" t="s">
        <v>10392</v>
      </c>
      <c r="E2266" s="26" t="s">
        <v>5575</v>
      </c>
      <c r="F2266" s="27">
        <v>6038975</v>
      </c>
      <c r="G2266" s="27">
        <v>0</v>
      </c>
      <c r="H2266" s="27">
        <v>0</v>
      </c>
      <c r="I2266" s="27">
        <v>0</v>
      </c>
      <c r="J2266" s="30">
        <f t="shared" si="105"/>
        <v>0</v>
      </c>
      <c r="K2266" s="30">
        <f t="shared" si="106"/>
        <v>0</v>
      </c>
      <c r="L2266" s="26">
        <f t="shared" si="107"/>
        <v>0</v>
      </c>
      <c r="M2266" s="26">
        <v>0</v>
      </c>
    </row>
    <row r="2267" spans="1:13" ht="15" customHeight="1">
      <c r="A2267" s="25">
        <v>1712887</v>
      </c>
      <c r="B2267" s="26" t="s">
        <v>5427</v>
      </c>
      <c r="C2267" s="26" t="s">
        <v>10397</v>
      </c>
      <c r="D2267" s="26" t="s">
        <v>10398</v>
      </c>
      <c r="E2267" s="26" t="s">
        <v>5707</v>
      </c>
      <c r="F2267" s="27">
        <v>6032839</v>
      </c>
      <c r="G2267" s="27">
        <v>1</v>
      </c>
      <c r="H2267" s="27">
        <v>0</v>
      </c>
      <c r="I2267" s="27">
        <v>1</v>
      </c>
      <c r="J2267" s="30">
        <f t="shared" si="105"/>
        <v>1</v>
      </c>
      <c r="K2267" s="30">
        <f t="shared" si="106"/>
        <v>0</v>
      </c>
      <c r="L2267" s="26">
        <f t="shared" si="107"/>
        <v>0</v>
      </c>
      <c r="M2267" s="26"/>
    </row>
    <row r="2268" spans="1:13" ht="15" customHeight="1">
      <c r="A2268" s="25">
        <v>1713014</v>
      </c>
      <c r="B2268" s="26" t="s">
        <v>5423</v>
      </c>
      <c r="C2268" s="26" t="s">
        <v>10399</v>
      </c>
      <c r="D2268" s="26" t="s">
        <v>10400</v>
      </c>
      <c r="E2268" s="26" t="s">
        <v>5430</v>
      </c>
      <c r="F2268" s="27">
        <v>6041854</v>
      </c>
      <c r="G2268" s="27">
        <v>1</v>
      </c>
      <c r="H2268" s="27">
        <v>1</v>
      </c>
      <c r="I2268" s="27">
        <v>1</v>
      </c>
      <c r="J2268" s="30">
        <f t="shared" si="105"/>
        <v>1</v>
      </c>
      <c r="K2268" s="30">
        <f t="shared" si="106"/>
        <v>1</v>
      </c>
      <c r="L2268" s="26">
        <f t="shared" si="107"/>
        <v>1</v>
      </c>
      <c r="M2268" s="26"/>
    </row>
    <row r="2269" spans="1:13" ht="15" customHeight="1">
      <c r="A2269" s="25">
        <v>1713032</v>
      </c>
      <c r="B2269" s="26" t="s">
        <v>5423</v>
      </c>
      <c r="C2269" s="26" t="s">
        <v>10401</v>
      </c>
      <c r="D2269" s="26" t="s">
        <v>10402</v>
      </c>
      <c r="E2269" s="26" t="s">
        <v>5433</v>
      </c>
      <c r="F2269" s="27">
        <v>5527443</v>
      </c>
      <c r="G2269" s="27">
        <v>1</v>
      </c>
      <c r="H2269" s="27">
        <v>1</v>
      </c>
      <c r="I2269" s="27">
        <v>1</v>
      </c>
      <c r="J2269" s="30">
        <f t="shared" si="105"/>
        <v>1</v>
      </c>
      <c r="K2269" s="30">
        <f t="shared" si="106"/>
        <v>1</v>
      </c>
      <c r="L2269" s="26">
        <f t="shared" si="107"/>
        <v>1</v>
      </c>
      <c r="M2269" s="26"/>
    </row>
    <row r="2270" spans="1:13" ht="15" customHeight="1">
      <c r="A2270" s="25">
        <v>1713040</v>
      </c>
      <c r="B2270" s="26" t="s">
        <v>5427</v>
      </c>
      <c r="C2270" s="26" t="s">
        <v>10403</v>
      </c>
      <c r="D2270" s="26" t="s">
        <v>10404</v>
      </c>
      <c r="E2270" s="26" t="s">
        <v>5683</v>
      </c>
      <c r="F2270" s="27">
        <v>5128717</v>
      </c>
      <c r="G2270" s="27">
        <v>0</v>
      </c>
      <c r="H2270" s="27">
        <v>0</v>
      </c>
      <c r="I2270" s="27">
        <v>0</v>
      </c>
      <c r="J2270" s="30">
        <f t="shared" si="105"/>
        <v>0</v>
      </c>
      <c r="K2270" s="30">
        <f t="shared" si="106"/>
        <v>0</v>
      </c>
      <c r="L2270" s="26">
        <f t="shared" si="107"/>
        <v>0</v>
      </c>
      <c r="M2270" s="26" t="s">
        <v>5557</v>
      </c>
    </row>
    <row r="2271" spans="1:13" ht="15" customHeight="1">
      <c r="A2271" s="25">
        <v>1713058</v>
      </c>
      <c r="B2271" s="26" t="s">
        <v>5427</v>
      </c>
      <c r="C2271" s="26" t="s">
        <v>10405</v>
      </c>
      <c r="D2271" s="26" t="s">
        <v>10406</v>
      </c>
      <c r="E2271" s="26" t="s">
        <v>5550</v>
      </c>
      <c r="F2271" s="27">
        <v>4171836</v>
      </c>
      <c r="G2271" s="27">
        <v>0</v>
      </c>
      <c r="H2271" s="27">
        <v>0</v>
      </c>
      <c r="I2271" s="27">
        <v>0</v>
      </c>
      <c r="J2271" s="30">
        <f t="shared" si="105"/>
        <v>0</v>
      </c>
      <c r="K2271" s="30">
        <f t="shared" si="106"/>
        <v>0</v>
      </c>
      <c r="L2271" s="26">
        <f t="shared" si="107"/>
        <v>0</v>
      </c>
      <c r="M2271" s="26" t="s">
        <v>5567</v>
      </c>
    </row>
    <row r="2272" spans="1:13" ht="15" customHeight="1">
      <c r="A2272" s="25">
        <v>1713065</v>
      </c>
      <c r="B2272" s="26" t="s">
        <v>5423</v>
      </c>
      <c r="C2272" s="26" t="s">
        <v>10407</v>
      </c>
      <c r="D2272" s="26" t="s">
        <v>10408</v>
      </c>
      <c r="E2272" s="26" t="s">
        <v>5485</v>
      </c>
      <c r="F2272" s="27">
        <v>5995297</v>
      </c>
      <c r="G2272" s="27">
        <v>1</v>
      </c>
      <c r="H2272" s="27">
        <v>1</v>
      </c>
      <c r="I2272" s="27">
        <v>1</v>
      </c>
      <c r="J2272" s="30">
        <f t="shared" si="105"/>
        <v>1</v>
      </c>
      <c r="K2272" s="30">
        <f t="shared" si="106"/>
        <v>1</v>
      </c>
      <c r="L2272" s="26">
        <f t="shared" si="107"/>
        <v>1</v>
      </c>
      <c r="M2272" s="26"/>
    </row>
    <row r="2273" spans="1:13" ht="15" customHeight="1">
      <c r="A2273" s="25">
        <v>1713182</v>
      </c>
      <c r="B2273" s="26" t="s">
        <v>5427</v>
      </c>
      <c r="C2273" s="26" t="s">
        <v>10409</v>
      </c>
      <c r="D2273" s="26" t="s">
        <v>10410</v>
      </c>
      <c r="E2273" s="26" t="s">
        <v>5430</v>
      </c>
      <c r="F2273" s="27">
        <v>6043241</v>
      </c>
      <c r="G2273" s="27">
        <v>1</v>
      </c>
      <c r="H2273" s="27">
        <v>0</v>
      </c>
      <c r="I2273" s="27">
        <v>1</v>
      </c>
      <c r="J2273" s="30">
        <f t="shared" si="105"/>
        <v>1</v>
      </c>
      <c r="K2273" s="30">
        <f t="shared" si="106"/>
        <v>0</v>
      </c>
      <c r="L2273" s="26">
        <f t="shared" si="107"/>
        <v>0</v>
      </c>
      <c r="M2273" s="26"/>
    </row>
    <row r="2274" spans="1:13" ht="15" customHeight="1">
      <c r="A2274" s="25">
        <v>1713217</v>
      </c>
      <c r="B2274" s="26" t="s">
        <v>5427</v>
      </c>
      <c r="C2274" s="26" t="s">
        <v>10411</v>
      </c>
      <c r="D2274" s="26" t="s">
        <v>10412</v>
      </c>
      <c r="E2274" s="26" t="s">
        <v>5485</v>
      </c>
      <c r="F2274" s="27">
        <v>6043994</v>
      </c>
      <c r="G2274" s="27">
        <v>0</v>
      </c>
      <c r="H2274" s="27">
        <v>0</v>
      </c>
      <c r="I2274" s="27">
        <v>0</v>
      </c>
      <c r="J2274" s="30">
        <f t="shared" si="105"/>
        <v>0</v>
      </c>
      <c r="K2274" s="30">
        <f t="shared" si="106"/>
        <v>0</v>
      </c>
      <c r="L2274" s="26">
        <f t="shared" si="107"/>
        <v>0</v>
      </c>
      <c r="M2274" s="26">
        <v>0</v>
      </c>
    </row>
    <row r="2275" spans="1:13" ht="15" customHeight="1">
      <c r="A2275" s="25">
        <v>1713295</v>
      </c>
      <c r="B2275" s="26" t="s">
        <v>5427</v>
      </c>
      <c r="C2275" s="26" t="s">
        <v>10413</v>
      </c>
      <c r="D2275" s="26" t="s">
        <v>10398</v>
      </c>
      <c r="E2275" s="26" t="s">
        <v>5550</v>
      </c>
      <c r="F2275" s="27">
        <v>5922249</v>
      </c>
      <c r="G2275" s="27">
        <v>1</v>
      </c>
      <c r="H2275" s="27">
        <v>0</v>
      </c>
      <c r="I2275" s="27">
        <v>1</v>
      </c>
      <c r="J2275" s="30">
        <f t="shared" si="105"/>
        <v>1</v>
      </c>
      <c r="K2275" s="30">
        <f t="shared" si="106"/>
        <v>0</v>
      </c>
      <c r="L2275" s="26">
        <f t="shared" si="107"/>
        <v>0</v>
      </c>
      <c r="M2275" s="26"/>
    </row>
    <row r="2276" spans="1:13" ht="15" customHeight="1">
      <c r="A2276" s="25">
        <v>1713334</v>
      </c>
      <c r="B2276" s="26" t="s">
        <v>5427</v>
      </c>
      <c r="C2276" s="26" t="s">
        <v>10414</v>
      </c>
      <c r="D2276" s="26" t="s">
        <v>10415</v>
      </c>
      <c r="E2276" s="26" t="s">
        <v>5436</v>
      </c>
      <c r="F2276" s="27">
        <v>4674604</v>
      </c>
      <c r="G2276" s="27">
        <v>0</v>
      </c>
      <c r="H2276" s="27">
        <v>0</v>
      </c>
      <c r="I2276" s="27">
        <v>0</v>
      </c>
      <c r="J2276" s="30">
        <f t="shared" si="105"/>
        <v>0</v>
      </c>
      <c r="K2276" s="30">
        <f t="shared" si="106"/>
        <v>0</v>
      </c>
      <c r="L2276" s="26">
        <f t="shared" si="107"/>
        <v>0</v>
      </c>
      <c r="M2276" s="26" t="s">
        <v>5557</v>
      </c>
    </row>
    <row r="2277" spans="1:13" ht="15" customHeight="1">
      <c r="A2277" s="25">
        <v>1713353</v>
      </c>
      <c r="B2277" s="26" t="s">
        <v>5427</v>
      </c>
      <c r="C2277" s="26" t="s">
        <v>10416</v>
      </c>
      <c r="D2277" s="26" t="s">
        <v>10410</v>
      </c>
      <c r="E2277" s="26" t="s">
        <v>5488</v>
      </c>
      <c r="F2277" s="27">
        <v>6043656</v>
      </c>
      <c r="G2277" s="27">
        <v>1</v>
      </c>
      <c r="H2277" s="27">
        <v>0</v>
      </c>
      <c r="I2277" s="27">
        <v>1</v>
      </c>
      <c r="J2277" s="30">
        <f t="shared" si="105"/>
        <v>1</v>
      </c>
      <c r="K2277" s="30">
        <f t="shared" si="106"/>
        <v>0</v>
      </c>
      <c r="L2277" s="26">
        <f t="shared" si="107"/>
        <v>0</v>
      </c>
      <c r="M2277" s="26"/>
    </row>
    <row r="2278" spans="1:13" ht="15" customHeight="1">
      <c r="A2278" s="25">
        <v>1713439</v>
      </c>
      <c r="B2278" s="26" t="s">
        <v>5423</v>
      </c>
      <c r="C2278" s="26" t="s">
        <v>10417</v>
      </c>
      <c r="D2278" s="26" t="s">
        <v>10418</v>
      </c>
      <c r="E2278" s="26" t="s">
        <v>5485</v>
      </c>
      <c r="F2278" s="27">
        <v>5381272</v>
      </c>
      <c r="G2278" s="27">
        <v>0</v>
      </c>
      <c r="H2278" s="27">
        <v>0</v>
      </c>
      <c r="I2278" s="27">
        <v>0</v>
      </c>
      <c r="J2278" s="30">
        <f t="shared" si="105"/>
        <v>0</v>
      </c>
      <c r="K2278" s="30">
        <f t="shared" si="106"/>
        <v>0</v>
      </c>
      <c r="L2278" s="26">
        <f t="shared" si="107"/>
        <v>0</v>
      </c>
      <c r="M2278" s="26" t="s">
        <v>5557</v>
      </c>
    </row>
    <row r="2279" spans="1:13" ht="15" customHeight="1">
      <c r="A2279" s="25">
        <v>1713455</v>
      </c>
      <c r="B2279" s="26" t="s">
        <v>5427</v>
      </c>
      <c r="C2279" s="26" t="s">
        <v>10419</v>
      </c>
      <c r="D2279" s="26" t="s">
        <v>10420</v>
      </c>
      <c r="E2279" s="26" t="s">
        <v>5447</v>
      </c>
      <c r="F2279" s="27">
        <v>5960304</v>
      </c>
      <c r="G2279" s="27">
        <v>1</v>
      </c>
      <c r="H2279" s="27">
        <v>1</v>
      </c>
      <c r="I2279" s="27">
        <v>1</v>
      </c>
      <c r="J2279" s="30">
        <f t="shared" si="105"/>
        <v>1</v>
      </c>
      <c r="K2279" s="30">
        <f t="shared" si="106"/>
        <v>1</v>
      </c>
      <c r="L2279" s="26">
        <f t="shared" si="107"/>
        <v>1</v>
      </c>
      <c r="M2279" s="26"/>
    </row>
    <row r="2280" spans="1:13" ht="15" customHeight="1">
      <c r="A2280" s="25">
        <v>1713530</v>
      </c>
      <c r="B2280" s="26" t="s">
        <v>5423</v>
      </c>
      <c r="C2280" s="26" t="s">
        <v>10421</v>
      </c>
      <c r="D2280" s="26" t="s">
        <v>10422</v>
      </c>
      <c r="E2280" s="26" t="s">
        <v>5458</v>
      </c>
      <c r="F2280" s="27">
        <v>6043996</v>
      </c>
      <c r="G2280" s="27">
        <v>1</v>
      </c>
      <c r="H2280" s="27">
        <v>0</v>
      </c>
      <c r="I2280" s="27">
        <v>1</v>
      </c>
      <c r="J2280" s="30">
        <f t="shared" si="105"/>
        <v>1</v>
      </c>
      <c r="K2280" s="30">
        <f t="shared" si="106"/>
        <v>0</v>
      </c>
      <c r="L2280" s="26">
        <f t="shared" si="107"/>
        <v>0</v>
      </c>
      <c r="M2280" s="26"/>
    </row>
    <row r="2281" spans="1:13" ht="15" customHeight="1">
      <c r="A2281" s="25" t="s">
        <v>10423</v>
      </c>
      <c r="B2281" s="26" t="s">
        <v>5423</v>
      </c>
      <c r="C2281" s="26" t="s">
        <v>10424</v>
      </c>
      <c r="D2281" s="26" t="s">
        <v>10418</v>
      </c>
      <c r="E2281" s="26" t="s">
        <v>5475</v>
      </c>
      <c r="F2281" s="27">
        <v>6046173</v>
      </c>
      <c r="G2281" s="27">
        <v>0</v>
      </c>
      <c r="H2281" s="27">
        <v>0</v>
      </c>
      <c r="I2281" s="27">
        <v>0</v>
      </c>
      <c r="J2281" s="30">
        <f t="shared" si="105"/>
        <v>0</v>
      </c>
      <c r="K2281" s="30">
        <f t="shared" si="106"/>
        <v>0</v>
      </c>
      <c r="L2281" s="26">
        <f t="shared" si="107"/>
        <v>0</v>
      </c>
      <c r="M2281" s="26">
        <v>0</v>
      </c>
    </row>
    <row r="2282" spans="1:13" ht="15" customHeight="1">
      <c r="A2282" s="25">
        <v>1714082</v>
      </c>
      <c r="B2282" s="26" t="s">
        <v>5427</v>
      </c>
      <c r="C2282" s="26" t="s">
        <v>10425</v>
      </c>
      <c r="D2282" s="26" t="s">
        <v>10418</v>
      </c>
      <c r="E2282" s="26" t="s">
        <v>5968</v>
      </c>
      <c r="F2282" s="27">
        <v>6046226</v>
      </c>
      <c r="G2282" s="27">
        <v>0</v>
      </c>
      <c r="H2282" s="27">
        <v>0</v>
      </c>
      <c r="I2282" s="27">
        <v>0</v>
      </c>
      <c r="J2282" s="30">
        <f t="shared" si="105"/>
        <v>0</v>
      </c>
      <c r="K2282" s="30">
        <f t="shared" si="106"/>
        <v>0</v>
      </c>
      <c r="L2282" s="26">
        <f t="shared" si="107"/>
        <v>0</v>
      </c>
      <c r="M2282" s="26">
        <v>0</v>
      </c>
    </row>
    <row r="2283" spans="1:13" ht="15" customHeight="1">
      <c r="A2283" s="25">
        <v>1714484</v>
      </c>
      <c r="B2283" s="26" t="s">
        <v>5427</v>
      </c>
      <c r="C2283" s="26" t="s">
        <v>10426</v>
      </c>
      <c r="D2283" s="26" t="s">
        <v>10427</v>
      </c>
      <c r="E2283" s="26" t="s">
        <v>5603</v>
      </c>
      <c r="F2283" s="27">
        <v>6029853</v>
      </c>
      <c r="G2283" s="27">
        <v>0</v>
      </c>
      <c r="H2283" s="27">
        <v>0</v>
      </c>
      <c r="I2283" s="27">
        <v>0</v>
      </c>
      <c r="J2283" s="30">
        <f t="shared" si="105"/>
        <v>0</v>
      </c>
      <c r="K2283" s="30">
        <f t="shared" si="106"/>
        <v>0</v>
      </c>
      <c r="L2283" s="26">
        <f t="shared" si="107"/>
        <v>0</v>
      </c>
      <c r="M2283" s="26">
        <v>0</v>
      </c>
    </row>
    <row r="2284" spans="1:13" ht="15" customHeight="1">
      <c r="A2284" s="25">
        <v>1714511</v>
      </c>
      <c r="B2284" s="26" t="s">
        <v>5423</v>
      </c>
      <c r="C2284" s="26" t="s">
        <v>10428</v>
      </c>
      <c r="D2284" s="26" t="s">
        <v>10427</v>
      </c>
      <c r="E2284" s="26" t="s">
        <v>5447</v>
      </c>
      <c r="F2284" s="27">
        <v>6043794</v>
      </c>
      <c r="G2284" s="27">
        <v>0</v>
      </c>
      <c r="H2284" s="27">
        <v>0</v>
      </c>
      <c r="I2284" s="27">
        <v>0</v>
      </c>
      <c r="J2284" s="30">
        <f t="shared" si="105"/>
        <v>0</v>
      </c>
      <c r="K2284" s="30">
        <f t="shared" si="106"/>
        <v>0</v>
      </c>
      <c r="L2284" s="26">
        <f t="shared" si="107"/>
        <v>0</v>
      </c>
      <c r="M2284" s="26">
        <v>0</v>
      </c>
    </row>
    <row r="2285" spans="1:13" ht="15" customHeight="1">
      <c r="A2285" s="25">
        <v>1714549</v>
      </c>
      <c r="B2285" s="26" t="s">
        <v>5423</v>
      </c>
      <c r="C2285" s="26" t="s">
        <v>10429</v>
      </c>
      <c r="D2285" s="26" t="s">
        <v>10430</v>
      </c>
      <c r="E2285" s="26" t="s">
        <v>5433</v>
      </c>
      <c r="F2285" s="27">
        <v>6047089</v>
      </c>
      <c r="G2285" s="27">
        <v>0</v>
      </c>
      <c r="H2285" s="27">
        <v>0</v>
      </c>
      <c r="I2285" s="27">
        <v>0</v>
      </c>
      <c r="J2285" s="30">
        <f t="shared" si="105"/>
        <v>0</v>
      </c>
      <c r="K2285" s="30">
        <f t="shared" si="106"/>
        <v>0</v>
      </c>
      <c r="L2285" s="26">
        <f t="shared" si="107"/>
        <v>0</v>
      </c>
      <c r="M2285" s="26">
        <v>0</v>
      </c>
    </row>
    <row r="2286" spans="1:13" ht="15" customHeight="1">
      <c r="A2286" s="25">
        <v>1714773</v>
      </c>
      <c r="B2286" s="26" t="s">
        <v>5423</v>
      </c>
      <c r="C2286" s="26" t="s">
        <v>10431</v>
      </c>
      <c r="D2286" s="26" t="s">
        <v>10430</v>
      </c>
      <c r="E2286" s="26" t="s">
        <v>5575</v>
      </c>
      <c r="F2286" s="27">
        <v>6048672</v>
      </c>
      <c r="G2286" s="27">
        <v>0</v>
      </c>
      <c r="H2286" s="27">
        <v>0</v>
      </c>
      <c r="I2286" s="27">
        <v>0</v>
      </c>
      <c r="J2286" s="30">
        <f t="shared" si="105"/>
        <v>0</v>
      </c>
      <c r="K2286" s="30">
        <f t="shared" si="106"/>
        <v>0</v>
      </c>
      <c r="L2286" s="26">
        <f t="shared" si="107"/>
        <v>0</v>
      </c>
      <c r="M2286" s="26">
        <v>0</v>
      </c>
    </row>
    <row r="2287" spans="1:13" ht="15" customHeight="1">
      <c r="A2287" s="25">
        <v>1714862</v>
      </c>
      <c r="B2287" s="26" t="s">
        <v>5423</v>
      </c>
      <c r="C2287" s="26" t="s">
        <v>10432</v>
      </c>
      <c r="D2287" s="26" t="s">
        <v>10433</v>
      </c>
      <c r="E2287" s="26" t="s">
        <v>5517</v>
      </c>
      <c r="F2287" s="27">
        <v>6047216</v>
      </c>
      <c r="G2287" s="27">
        <v>1</v>
      </c>
      <c r="H2287" s="27">
        <v>1</v>
      </c>
      <c r="I2287" s="27">
        <v>1</v>
      </c>
      <c r="J2287" s="30">
        <f t="shared" si="105"/>
        <v>1</v>
      </c>
      <c r="K2287" s="30">
        <f t="shared" si="106"/>
        <v>1</v>
      </c>
      <c r="L2287" s="26">
        <f t="shared" si="107"/>
        <v>1</v>
      </c>
      <c r="M2287" s="26"/>
    </row>
    <row r="2288" spans="1:13" ht="15" customHeight="1">
      <c r="A2288" s="25">
        <v>1714865</v>
      </c>
      <c r="B2288" s="26" t="s">
        <v>5423</v>
      </c>
      <c r="C2288" s="26" t="s">
        <v>10434</v>
      </c>
      <c r="D2288" s="26" t="s">
        <v>10435</v>
      </c>
      <c r="E2288" s="26" t="s">
        <v>5475</v>
      </c>
      <c r="F2288" s="27">
        <v>6048630</v>
      </c>
      <c r="G2288" s="27">
        <v>0</v>
      </c>
      <c r="H2288" s="27">
        <v>0</v>
      </c>
      <c r="I2288" s="27">
        <v>0</v>
      </c>
      <c r="J2288" s="30">
        <f t="shared" si="105"/>
        <v>0</v>
      </c>
      <c r="K2288" s="30">
        <f t="shared" si="106"/>
        <v>0</v>
      </c>
      <c r="L2288" s="26">
        <f t="shared" si="107"/>
        <v>0</v>
      </c>
      <c r="M2288" s="26">
        <v>0</v>
      </c>
    </row>
    <row r="2289" spans="1:13" ht="15" customHeight="1">
      <c r="A2289" s="25">
        <v>1714998</v>
      </c>
      <c r="B2289" s="26" t="s">
        <v>5423</v>
      </c>
      <c r="C2289" s="26" t="s">
        <v>10436</v>
      </c>
      <c r="D2289" s="26" t="s">
        <v>10437</v>
      </c>
      <c r="E2289" s="26" t="s">
        <v>5603</v>
      </c>
      <c r="F2289" s="27">
        <v>5673010</v>
      </c>
      <c r="G2289" s="27">
        <v>0</v>
      </c>
      <c r="H2289" s="27">
        <v>0</v>
      </c>
      <c r="I2289" s="27">
        <v>0</v>
      </c>
      <c r="J2289" s="30">
        <f t="shared" si="105"/>
        <v>0</v>
      </c>
      <c r="K2289" s="30">
        <f t="shared" si="106"/>
        <v>0</v>
      </c>
      <c r="L2289" s="26">
        <f t="shared" si="107"/>
        <v>0</v>
      </c>
      <c r="M2289" s="26">
        <v>0</v>
      </c>
    </row>
    <row r="2290" spans="1:13" ht="15" customHeight="1">
      <c r="A2290" s="25">
        <v>1715067</v>
      </c>
      <c r="B2290" s="26" t="s">
        <v>5423</v>
      </c>
      <c r="C2290" s="26" t="s">
        <v>10438</v>
      </c>
      <c r="D2290" s="26" t="s">
        <v>10439</v>
      </c>
      <c r="E2290" s="26" t="s">
        <v>5430</v>
      </c>
      <c r="F2290" s="27">
        <v>5342918</v>
      </c>
      <c r="G2290" s="27">
        <v>0</v>
      </c>
      <c r="H2290" s="27">
        <v>0</v>
      </c>
      <c r="I2290" s="27">
        <v>0</v>
      </c>
      <c r="J2290" s="30">
        <f t="shared" si="105"/>
        <v>0</v>
      </c>
      <c r="K2290" s="30">
        <f t="shared" si="106"/>
        <v>0</v>
      </c>
      <c r="L2290" s="26">
        <f t="shared" si="107"/>
        <v>0</v>
      </c>
      <c r="M2290" s="26" t="s">
        <v>5557</v>
      </c>
    </row>
    <row r="2291" spans="1:13" ht="15" customHeight="1">
      <c r="A2291" s="25">
        <v>1715110</v>
      </c>
      <c r="B2291" s="26" t="s">
        <v>5423</v>
      </c>
      <c r="C2291" s="26" t="s">
        <v>10440</v>
      </c>
      <c r="D2291" s="26" t="s">
        <v>10441</v>
      </c>
      <c r="E2291" s="26" t="s">
        <v>5430</v>
      </c>
      <c r="F2291" s="27">
        <v>6048468</v>
      </c>
      <c r="G2291" s="27">
        <v>1</v>
      </c>
      <c r="H2291" s="27">
        <v>0</v>
      </c>
      <c r="I2291" s="27">
        <v>1</v>
      </c>
      <c r="J2291" s="30">
        <f t="shared" si="105"/>
        <v>1</v>
      </c>
      <c r="K2291" s="30">
        <f t="shared" si="106"/>
        <v>0</v>
      </c>
      <c r="L2291" s="26">
        <f t="shared" si="107"/>
        <v>0</v>
      </c>
      <c r="M2291" s="26"/>
    </row>
    <row r="2292" spans="1:13" ht="15" customHeight="1">
      <c r="A2292" s="25">
        <v>1715324</v>
      </c>
      <c r="B2292" s="26" t="s">
        <v>5423</v>
      </c>
      <c r="C2292" s="26" t="s">
        <v>10442</v>
      </c>
      <c r="D2292" s="26" t="s">
        <v>10443</v>
      </c>
      <c r="E2292" s="26" t="s">
        <v>5522</v>
      </c>
      <c r="F2292" s="27">
        <v>5999084</v>
      </c>
      <c r="G2292" s="27">
        <v>1</v>
      </c>
      <c r="H2292" s="27">
        <v>0</v>
      </c>
      <c r="I2292" s="27">
        <v>1</v>
      </c>
      <c r="J2292" s="30">
        <f t="shared" si="105"/>
        <v>1</v>
      </c>
      <c r="K2292" s="30">
        <f t="shared" si="106"/>
        <v>0</v>
      </c>
      <c r="L2292" s="26">
        <f t="shared" si="107"/>
        <v>0</v>
      </c>
      <c r="M2292" s="26"/>
    </row>
    <row r="2293" spans="1:13" ht="15" customHeight="1">
      <c r="A2293" s="25">
        <v>1715485</v>
      </c>
      <c r="B2293" s="26" t="s">
        <v>5423</v>
      </c>
      <c r="C2293" s="26" t="s">
        <v>10444</v>
      </c>
      <c r="D2293" s="26" t="s">
        <v>10443</v>
      </c>
      <c r="E2293" s="26" t="s">
        <v>5522</v>
      </c>
      <c r="F2293" s="27">
        <v>6050041</v>
      </c>
      <c r="G2293" s="27">
        <v>0</v>
      </c>
      <c r="H2293" s="27">
        <v>0</v>
      </c>
      <c r="I2293" s="27">
        <v>0</v>
      </c>
      <c r="J2293" s="30">
        <f t="shared" si="105"/>
        <v>0</v>
      </c>
      <c r="K2293" s="30">
        <f t="shared" si="106"/>
        <v>0</v>
      </c>
      <c r="L2293" s="26">
        <f t="shared" si="107"/>
        <v>0</v>
      </c>
      <c r="M2293" s="26" t="s">
        <v>5567</v>
      </c>
    </row>
    <row r="2294" spans="1:13" ht="15" customHeight="1">
      <c r="A2294" s="25">
        <v>1716141</v>
      </c>
      <c r="B2294" s="26" t="s">
        <v>5423</v>
      </c>
      <c r="C2294" s="26" t="s">
        <v>10445</v>
      </c>
      <c r="D2294" s="26" t="s">
        <v>10446</v>
      </c>
      <c r="E2294" s="26" t="s">
        <v>5442</v>
      </c>
      <c r="F2294" s="27">
        <v>6044431</v>
      </c>
      <c r="G2294" s="27">
        <v>1</v>
      </c>
      <c r="H2294" s="27">
        <v>0</v>
      </c>
      <c r="I2294" s="27">
        <v>1</v>
      </c>
      <c r="J2294" s="30">
        <f t="shared" si="105"/>
        <v>1</v>
      </c>
      <c r="K2294" s="30">
        <f t="shared" si="106"/>
        <v>0</v>
      </c>
      <c r="L2294" s="26">
        <f t="shared" si="107"/>
        <v>0</v>
      </c>
      <c r="M2294" s="26"/>
    </row>
    <row r="2295" spans="1:13" ht="15" customHeight="1">
      <c r="A2295" s="25">
        <v>1716424</v>
      </c>
      <c r="B2295" s="26" t="s">
        <v>5427</v>
      </c>
      <c r="C2295" s="26" t="s">
        <v>10447</v>
      </c>
      <c r="D2295" s="26" t="s">
        <v>10448</v>
      </c>
      <c r="E2295" s="26" t="s">
        <v>5504</v>
      </c>
      <c r="F2295" s="27">
        <v>6007513</v>
      </c>
      <c r="G2295" s="27">
        <v>0</v>
      </c>
      <c r="H2295" s="27">
        <v>0</v>
      </c>
      <c r="I2295" s="27">
        <v>0</v>
      </c>
      <c r="J2295" s="30">
        <f t="shared" si="105"/>
        <v>0</v>
      </c>
      <c r="K2295" s="30">
        <f t="shared" si="106"/>
        <v>0</v>
      </c>
      <c r="L2295" s="26">
        <f t="shared" si="107"/>
        <v>0</v>
      </c>
      <c r="M2295" s="26">
        <v>0</v>
      </c>
    </row>
    <row r="2296" spans="1:13" ht="15" customHeight="1">
      <c r="A2296" s="25">
        <v>1716435</v>
      </c>
      <c r="B2296" s="26" t="s">
        <v>5423</v>
      </c>
      <c r="C2296" s="26" t="s">
        <v>10449</v>
      </c>
      <c r="D2296" s="26" t="s">
        <v>10450</v>
      </c>
      <c r="E2296" s="26" t="s">
        <v>5540</v>
      </c>
      <c r="F2296" s="27">
        <v>6051216</v>
      </c>
      <c r="G2296" s="27">
        <v>1</v>
      </c>
      <c r="H2296" s="27">
        <v>1</v>
      </c>
      <c r="I2296" s="27">
        <v>1</v>
      </c>
      <c r="J2296" s="30">
        <f t="shared" si="105"/>
        <v>1</v>
      </c>
      <c r="K2296" s="30">
        <f t="shared" si="106"/>
        <v>1</v>
      </c>
      <c r="L2296" s="26">
        <f t="shared" si="107"/>
        <v>1</v>
      </c>
      <c r="M2296" s="26"/>
    </row>
    <row r="2297" spans="1:13" ht="15" customHeight="1">
      <c r="A2297" s="25">
        <v>1716536</v>
      </c>
      <c r="B2297" s="26" t="s">
        <v>5423</v>
      </c>
      <c r="C2297" s="26" t="s">
        <v>10451</v>
      </c>
      <c r="D2297" s="26" t="s">
        <v>10452</v>
      </c>
      <c r="E2297" s="26" t="s">
        <v>5488</v>
      </c>
      <c r="F2297" s="27">
        <v>6051342</v>
      </c>
      <c r="G2297" s="27">
        <v>0</v>
      </c>
      <c r="H2297" s="27">
        <v>0</v>
      </c>
      <c r="I2297" s="27">
        <v>0</v>
      </c>
      <c r="J2297" s="30">
        <f t="shared" si="105"/>
        <v>0</v>
      </c>
      <c r="K2297" s="30">
        <f t="shared" si="106"/>
        <v>0</v>
      </c>
      <c r="L2297" s="26">
        <f t="shared" si="107"/>
        <v>0</v>
      </c>
      <c r="M2297" s="26">
        <v>0</v>
      </c>
    </row>
    <row r="2298" spans="1:13" ht="15" customHeight="1">
      <c r="A2298" s="25">
        <v>1716636</v>
      </c>
      <c r="B2298" s="26" t="s">
        <v>5427</v>
      </c>
      <c r="C2298" s="26" t="s">
        <v>10453</v>
      </c>
      <c r="D2298" s="26" t="s">
        <v>10454</v>
      </c>
      <c r="E2298" s="26" t="s">
        <v>5718</v>
      </c>
      <c r="F2298" s="27">
        <v>6040527</v>
      </c>
      <c r="G2298" s="27">
        <v>1</v>
      </c>
      <c r="H2298" s="27">
        <v>1</v>
      </c>
      <c r="I2298" s="27">
        <v>1</v>
      </c>
      <c r="J2298" s="30">
        <f t="shared" si="105"/>
        <v>1</v>
      </c>
      <c r="K2298" s="30">
        <f t="shared" si="106"/>
        <v>1</v>
      </c>
      <c r="L2298" s="26">
        <f t="shared" si="107"/>
        <v>1</v>
      </c>
      <c r="M2298" s="26"/>
    </row>
    <row r="2299" spans="1:13" ht="15" customHeight="1">
      <c r="A2299" s="25">
        <v>1716705</v>
      </c>
      <c r="B2299" s="26" t="s">
        <v>5423</v>
      </c>
      <c r="C2299" s="26" t="s">
        <v>10455</v>
      </c>
      <c r="D2299" s="26" t="s">
        <v>10454</v>
      </c>
      <c r="E2299" s="26" t="s">
        <v>5455</v>
      </c>
      <c r="F2299" s="27">
        <v>6048645</v>
      </c>
      <c r="G2299" s="27">
        <v>1</v>
      </c>
      <c r="H2299" s="27">
        <v>1</v>
      </c>
      <c r="I2299" s="27">
        <v>1</v>
      </c>
      <c r="J2299" s="30">
        <f t="shared" si="105"/>
        <v>1</v>
      </c>
      <c r="K2299" s="30">
        <f t="shared" si="106"/>
        <v>1</v>
      </c>
      <c r="L2299" s="26">
        <f t="shared" si="107"/>
        <v>1</v>
      </c>
      <c r="M2299" s="26"/>
    </row>
    <row r="2300" spans="1:13" ht="15" customHeight="1">
      <c r="A2300" s="25">
        <v>1716709</v>
      </c>
      <c r="B2300" s="26" t="s">
        <v>5427</v>
      </c>
      <c r="C2300" s="26" t="s">
        <v>10456</v>
      </c>
      <c r="D2300" s="26" t="s">
        <v>10457</v>
      </c>
      <c r="E2300" s="26" t="s">
        <v>5968</v>
      </c>
      <c r="F2300" s="27">
        <v>6004406</v>
      </c>
      <c r="G2300" s="27">
        <v>1</v>
      </c>
      <c r="H2300" s="27">
        <v>0</v>
      </c>
      <c r="I2300" s="27">
        <v>1</v>
      </c>
      <c r="J2300" s="30">
        <f t="shared" si="105"/>
        <v>1</v>
      </c>
      <c r="K2300" s="30">
        <f t="shared" si="106"/>
        <v>0</v>
      </c>
      <c r="L2300" s="26">
        <f t="shared" si="107"/>
        <v>0</v>
      </c>
      <c r="M2300" s="26"/>
    </row>
    <row r="2301" spans="1:13" ht="15" customHeight="1">
      <c r="A2301" s="25">
        <v>1716714</v>
      </c>
      <c r="B2301" s="26" t="s">
        <v>5427</v>
      </c>
      <c r="C2301" s="26" t="s">
        <v>10458</v>
      </c>
      <c r="D2301" s="26" t="s">
        <v>10443</v>
      </c>
      <c r="E2301" s="26" t="s">
        <v>8392</v>
      </c>
      <c r="F2301" s="27">
        <v>6036860</v>
      </c>
      <c r="G2301" s="27">
        <v>0</v>
      </c>
      <c r="H2301" s="27">
        <v>0</v>
      </c>
      <c r="I2301" s="27">
        <v>0</v>
      </c>
      <c r="J2301" s="30">
        <f t="shared" si="105"/>
        <v>0</v>
      </c>
      <c r="K2301" s="30">
        <f t="shared" si="106"/>
        <v>0</v>
      </c>
      <c r="L2301" s="26">
        <f t="shared" si="107"/>
        <v>0</v>
      </c>
      <c r="M2301" s="26">
        <v>0</v>
      </c>
    </row>
    <row r="2302" spans="1:13" ht="15" customHeight="1">
      <c r="A2302" s="25">
        <v>1717124</v>
      </c>
      <c r="B2302" s="26" t="s">
        <v>5427</v>
      </c>
      <c r="C2302" s="26" t="s">
        <v>10459</v>
      </c>
      <c r="D2302" s="26" t="s">
        <v>10460</v>
      </c>
      <c r="E2302" s="26" t="s">
        <v>5439</v>
      </c>
      <c r="F2302" s="27">
        <v>6054379</v>
      </c>
      <c r="G2302" s="27">
        <v>1</v>
      </c>
      <c r="H2302" s="27">
        <v>1</v>
      </c>
      <c r="I2302" s="27">
        <v>1</v>
      </c>
      <c r="J2302" s="30">
        <f t="shared" si="105"/>
        <v>1</v>
      </c>
      <c r="K2302" s="30">
        <f t="shared" si="106"/>
        <v>1</v>
      </c>
      <c r="L2302" s="26">
        <f t="shared" si="107"/>
        <v>1</v>
      </c>
      <c r="M2302" s="26"/>
    </row>
    <row r="2303" spans="1:13" ht="15" customHeight="1">
      <c r="A2303" s="25">
        <v>1717237</v>
      </c>
      <c r="B2303" s="26" t="s">
        <v>5423</v>
      </c>
      <c r="C2303" s="26" t="s">
        <v>10461</v>
      </c>
      <c r="D2303" s="26" t="s">
        <v>10457</v>
      </c>
      <c r="E2303" s="26" t="s">
        <v>5540</v>
      </c>
      <c r="F2303" s="27">
        <v>6054220</v>
      </c>
      <c r="G2303" s="27">
        <v>1</v>
      </c>
      <c r="H2303" s="27">
        <v>0</v>
      </c>
      <c r="I2303" s="27">
        <v>1</v>
      </c>
      <c r="J2303" s="30">
        <f t="shared" si="105"/>
        <v>1</v>
      </c>
      <c r="K2303" s="30">
        <f t="shared" si="106"/>
        <v>0</v>
      </c>
      <c r="L2303" s="26">
        <f t="shared" si="107"/>
        <v>0</v>
      </c>
      <c r="M2303" s="26"/>
    </row>
    <row r="2304" spans="1:13" ht="15" customHeight="1">
      <c r="A2304" s="25">
        <v>1717794</v>
      </c>
      <c r="B2304" s="26" t="s">
        <v>5423</v>
      </c>
      <c r="C2304" s="26" t="s">
        <v>10462</v>
      </c>
      <c r="D2304" s="26" t="s">
        <v>10463</v>
      </c>
      <c r="E2304" s="26" t="s">
        <v>5707</v>
      </c>
      <c r="F2304" s="27">
        <v>6055859</v>
      </c>
      <c r="G2304" s="27">
        <v>0</v>
      </c>
      <c r="H2304" s="27">
        <v>0</v>
      </c>
      <c r="I2304" s="27">
        <v>0</v>
      </c>
      <c r="J2304" s="30">
        <f t="shared" si="105"/>
        <v>0</v>
      </c>
      <c r="K2304" s="30">
        <f t="shared" si="106"/>
        <v>0</v>
      </c>
      <c r="L2304" s="26">
        <f t="shared" si="107"/>
        <v>0</v>
      </c>
      <c r="M2304" s="26">
        <v>0</v>
      </c>
    </row>
    <row r="2305" spans="1:13" ht="15" customHeight="1">
      <c r="A2305" s="25">
        <v>1717824</v>
      </c>
      <c r="B2305" s="26" t="s">
        <v>5423</v>
      </c>
      <c r="C2305" s="26" t="s">
        <v>10464</v>
      </c>
      <c r="D2305" s="26" t="s">
        <v>10465</v>
      </c>
      <c r="E2305" s="26" t="s">
        <v>6123</v>
      </c>
      <c r="F2305" s="27">
        <v>6055895</v>
      </c>
      <c r="G2305" s="27">
        <v>0</v>
      </c>
      <c r="H2305" s="27">
        <v>0</v>
      </c>
      <c r="I2305" s="27">
        <v>0</v>
      </c>
      <c r="J2305" s="30">
        <f t="shared" si="105"/>
        <v>0</v>
      </c>
      <c r="K2305" s="30">
        <f t="shared" si="106"/>
        <v>0</v>
      </c>
      <c r="L2305" s="26">
        <f t="shared" si="107"/>
        <v>0</v>
      </c>
      <c r="M2305" s="26">
        <v>0</v>
      </c>
    </row>
    <row r="2306" spans="1:13" ht="15" customHeight="1">
      <c r="A2306" s="25">
        <v>1717991</v>
      </c>
      <c r="B2306" s="26" t="s">
        <v>5427</v>
      </c>
      <c r="C2306" s="26" t="s">
        <v>10466</v>
      </c>
      <c r="D2306" s="26" t="s">
        <v>10467</v>
      </c>
      <c r="E2306" s="26" t="s">
        <v>5433</v>
      </c>
      <c r="F2306" s="27">
        <v>5655933</v>
      </c>
      <c r="G2306" s="27">
        <v>0</v>
      </c>
      <c r="H2306" s="27">
        <v>0</v>
      </c>
      <c r="I2306" s="27">
        <v>0</v>
      </c>
      <c r="J2306" s="30">
        <f t="shared" ref="J2306:J2369" si="108">IF(G2306&gt;0,1,0)</f>
        <v>0</v>
      </c>
      <c r="K2306" s="30">
        <f t="shared" ref="K2306:K2369" si="109">IF(H2306&gt;0,1,0)</f>
        <v>0</v>
      </c>
      <c r="L2306" s="26">
        <f t="shared" ref="L2306:L2369" si="110">IF(G2306&gt;0,IF(H2306&gt;0,1,0),0)</f>
        <v>0</v>
      </c>
      <c r="M2306" s="26" t="s">
        <v>5557</v>
      </c>
    </row>
    <row r="2307" spans="1:13" ht="15" customHeight="1">
      <c r="A2307" s="25">
        <v>1718001</v>
      </c>
      <c r="B2307" s="26" t="s">
        <v>5423</v>
      </c>
      <c r="C2307" s="26" t="s">
        <v>10468</v>
      </c>
      <c r="D2307" s="26" t="s">
        <v>10469</v>
      </c>
      <c r="E2307" s="26" t="s">
        <v>5430</v>
      </c>
      <c r="F2307" s="27">
        <v>5066278</v>
      </c>
      <c r="G2307" s="27">
        <v>0</v>
      </c>
      <c r="H2307" s="27">
        <v>0</v>
      </c>
      <c r="I2307" s="27">
        <v>0</v>
      </c>
      <c r="J2307" s="30">
        <f t="shared" si="108"/>
        <v>0</v>
      </c>
      <c r="K2307" s="30">
        <f t="shared" si="109"/>
        <v>0</v>
      </c>
      <c r="L2307" s="26">
        <f t="shared" si="110"/>
        <v>0</v>
      </c>
      <c r="M2307" s="26" t="s">
        <v>5557</v>
      </c>
    </row>
    <row r="2308" spans="1:13" ht="15" customHeight="1">
      <c r="A2308" s="25">
        <v>1718054</v>
      </c>
      <c r="B2308" s="26" t="s">
        <v>5423</v>
      </c>
      <c r="C2308" s="26" t="s">
        <v>10470</v>
      </c>
      <c r="D2308" s="26" t="s">
        <v>10469</v>
      </c>
      <c r="E2308" s="26" t="s">
        <v>5468</v>
      </c>
      <c r="F2308" s="27">
        <v>1168236</v>
      </c>
      <c r="G2308" s="27">
        <v>1</v>
      </c>
      <c r="H2308" s="27">
        <v>1</v>
      </c>
      <c r="I2308" s="27">
        <v>1</v>
      </c>
      <c r="J2308" s="30">
        <f t="shared" si="108"/>
        <v>1</v>
      </c>
      <c r="K2308" s="30">
        <f t="shared" si="109"/>
        <v>1</v>
      </c>
      <c r="L2308" s="26">
        <f t="shared" si="110"/>
        <v>1</v>
      </c>
      <c r="M2308" s="26"/>
    </row>
    <row r="2309" spans="1:13" ht="15" customHeight="1">
      <c r="A2309" s="25">
        <v>1718225</v>
      </c>
      <c r="B2309" s="26" t="s">
        <v>5427</v>
      </c>
      <c r="C2309" s="26" t="s">
        <v>10471</v>
      </c>
      <c r="D2309" s="26" t="s">
        <v>10472</v>
      </c>
      <c r="E2309" s="26" t="s">
        <v>5458</v>
      </c>
      <c r="F2309" s="27">
        <v>5894322</v>
      </c>
      <c r="G2309" s="27">
        <v>1</v>
      </c>
      <c r="H2309" s="27">
        <v>0</v>
      </c>
      <c r="I2309" s="27">
        <v>1</v>
      </c>
      <c r="J2309" s="30">
        <f t="shared" si="108"/>
        <v>1</v>
      </c>
      <c r="K2309" s="30">
        <f t="shared" si="109"/>
        <v>0</v>
      </c>
      <c r="L2309" s="26">
        <f t="shared" si="110"/>
        <v>0</v>
      </c>
      <c r="M2309" s="26"/>
    </row>
    <row r="2310" spans="1:13" ht="15" customHeight="1">
      <c r="A2310" s="25">
        <v>1718236</v>
      </c>
      <c r="B2310" s="26" t="s">
        <v>5423</v>
      </c>
      <c r="C2310" s="26" t="s">
        <v>10473</v>
      </c>
      <c r="D2310" s="26" t="s">
        <v>10467</v>
      </c>
      <c r="E2310" s="26" t="s">
        <v>5683</v>
      </c>
      <c r="F2310" s="27">
        <v>6057808</v>
      </c>
      <c r="G2310" s="27">
        <v>0</v>
      </c>
      <c r="H2310" s="27">
        <v>0</v>
      </c>
      <c r="I2310" s="27">
        <v>0</v>
      </c>
      <c r="J2310" s="30">
        <f t="shared" si="108"/>
        <v>0</v>
      </c>
      <c r="K2310" s="30">
        <f t="shared" si="109"/>
        <v>0</v>
      </c>
      <c r="L2310" s="26">
        <f t="shared" si="110"/>
        <v>0</v>
      </c>
      <c r="M2310" s="26">
        <v>0</v>
      </c>
    </row>
    <row r="2311" spans="1:13" ht="15" customHeight="1">
      <c r="A2311" s="25">
        <v>1718366</v>
      </c>
      <c r="B2311" s="26" t="s">
        <v>5427</v>
      </c>
      <c r="C2311" s="26" t="s">
        <v>10474</v>
      </c>
      <c r="D2311" s="26" t="s">
        <v>10467</v>
      </c>
      <c r="E2311" s="26" t="s">
        <v>5442</v>
      </c>
      <c r="F2311" s="27">
        <v>6055246</v>
      </c>
      <c r="G2311" s="27">
        <v>0</v>
      </c>
      <c r="H2311" s="27">
        <v>0</v>
      </c>
      <c r="I2311" s="27">
        <v>0</v>
      </c>
      <c r="J2311" s="30">
        <f t="shared" si="108"/>
        <v>0</v>
      </c>
      <c r="K2311" s="30">
        <f t="shared" si="109"/>
        <v>0</v>
      </c>
      <c r="L2311" s="26">
        <f t="shared" si="110"/>
        <v>0</v>
      </c>
      <c r="M2311" s="26">
        <v>0</v>
      </c>
    </row>
    <row r="2312" spans="1:13" ht="15" customHeight="1">
      <c r="A2312" s="25">
        <v>1718524</v>
      </c>
      <c r="B2312" s="26" t="s">
        <v>5427</v>
      </c>
      <c r="C2312" s="26" t="s">
        <v>10475</v>
      </c>
      <c r="D2312" s="26" t="s">
        <v>10476</v>
      </c>
      <c r="E2312" s="26" t="s">
        <v>5475</v>
      </c>
      <c r="F2312" s="27">
        <v>6058364</v>
      </c>
      <c r="G2312" s="27">
        <v>1</v>
      </c>
      <c r="H2312" s="27">
        <v>0</v>
      </c>
      <c r="I2312" s="27">
        <v>1</v>
      </c>
      <c r="J2312" s="30">
        <f t="shared" si="108"/>
        <v>1</v>
      </c>
      <c r="K2312" s="30">
        <f t="shared" si="109"/>
        <v>0</v>
      </c>
      <c r="L2312" s="26">
        <f t="shared" si="110"/>
        <v>0</v>
      </c>
      <c r="M2312" s="26"/>
    </row>
    <row r="2313" spans="1:13" ht="15" customHeight="1">
      <c r="A2313" s="25">
        <v>1718953</v>
      </c>
      <c r="B2313" s="26" t="s">
        <v>5427</v>
      </c>
      <c r="C2313" s="26" t="s">
        <v>10477</v>
      </c>
      <c r="D2313" s="26" t="s">
        <v>10478</v>
      </c>
      <c r="E2313" s="26" t="s">
        <v>5475</v>
      </c>
      <c r="F2313" s="27">
        <v>6059118</v>
      </c>
      <c r="G2313" s="27">
        <v>0</v>
      </c>
      <c r="H2313" s="27">
        <v>0</v>
      </c>
      <c r="I2313" s="27">
        <v>0</v>
      </c>
      <c r="J2313" s="30">
        <f t="shared" si="108"/>
        <v>0</v>
      </c>
      <c r="K2313" s="30">
        <f t="shared" si="109"/>
        <v>0</v>
      </c>
      <c r="L2313" s="26">
        <f t="shared" si="110"/>
        <v>0</v>
      </c>
      <c r="M2313" s="26">
        <v>0</v>
      </c>
    </row>
    <row r="2314" spans="1:13" ht="15" customHeight="1">
      <c r="A2314" s="25">
        <v>1719335</v>
      </c>
      <c r="B2314" s="26" t="s">
        <v>5423</v>
      </c>
      <c r="C2314" s="26" t="s">
        <v>10479</v>
      </c>
      <c r="D2314" s="26" t="s">
        <v>10480</v>
      </c>
      <c r="E2314" s="26" t="s">
        <v>5426</v>
      </c>
      <c r="F2314" s="27">
        <v>6059648</v>
      </c>
      <c r="G2314" s="27">
        <v>1</v>
      </c>
      <c r="H2314" s="27">
        <v>0</v>
      </c>
      <c r="I2314" s="27">
        <v>1</v>
      </c>
      <c r="J2314" s="30">
        <f t="shared" si="108"/>
        <v>1</v>
      </c>
      <c r="K2314" s="30">
        <f t="shared" si="109"/>
        <v>0</v>
      </c>
      <c r="L2314" s="26">
        <f t="shared" si="110"/>
        <v>0</v>
      </c>
      <c r="M2314" s="26"/>
    </row>
    <row r="2315" spans="1:13" ht="15" customHeight="1">
      <c r="A2315" s="25">
        <v>1719478</v>
      </c>
      <c r="B2315" s="26" t="s">
        <v>5427</v>
      </c>
      <c r="C2315" s="26" t="s">
        <v>10481</v>
      </c>
      <c r="D2315" s="26" t="s">
        <v>10482</v>
      </c>
      <c r="E2315" s="26" t="s">
        <v>5540</v>
      </c>
      <c r="F2315" s="27">
        <v>6061203</v>
      </c>
      <c r="G2315" s="27">
        <v>0</v>
      </c>
      <c r="H2315" s="27">
        <v>0</v>
      </c>
      <c r="I2315" s="27">
        <v>0</v>
      </c>
      <c r="J2315" s="30">
        <f t="shared" si="108"/>
        <v>0</v>
      </c>
      <c r="K2315" s="30">
        <f t="shared" si="109"/>
        <v>0</v>
      </c>
      <c r="L2315" s="26">
        <f t="shared" si="110"/>
        <v>0</v>
      </c>
      <c r="M2315" s="26">
        <v>0</v>
      </c>
    </row>
    <row r="2316" spans="1:13" ht="15" customHeight="1">
      <c r="A2316" s="25">
        <v>1719578</v>
      </c>
      <c r="B2316" s="26" t="s">
        <v>5423</v>
      </c>
      <c r="C2316" s="26" t="s">
        <v>10483</v>
      </c>
      <c r="D2316" s="26" t="s">
        <v>10469</v>
      </c>
      <c r="E2316" s="26" t="s">
        <v>5718</v>
      </c>
      <c r="F2316" s="27">
        <v>4992325</v>
      </c>
      <c r="G2316" s="27">
        <v>0</v>
      </c>
      <c r="H2316" s="27">
        <v>0</v>
      </c>
      <c r="I2316" s="27">
        <v>0</v>
      </c>
      <c r="J2316" s="30">
        <f t="shared" si="108"/>
        <v>0</v>
      </c>
      <c r="K2316" s="30">
        <f t="shared" si="109"/>
        <v>0</v>
      </c>
      <c r="L2316" s="26">
        <f t="shared" si="110"/>
        <v>0</v>
      </c>
      <c r="M2316" s="26" t="s">
        <v>5557</v>
      </c>
    </row>
    <row r="2317" spans="1:13" ht="15" customHeight="1">
      <c r="A2317" s="25">
        <v>1719696</v>
      </c>
      <c r="B2317" s="26" t="s">
        <v>5423</v>
      </c>
      <c r="C2317" s="26" t="s">
        <v>10484</v>
      </c>
      <c r="D2317" s="26" t="s">
        <v>10485</v>
      </c>
      <c r="E2317" s="26" t="s">
        <v>5452</v>
      </c>
      <c r="F2317" s="27">
        <v>4918163</v>
      </c>
      <c r="G2317" s="27">
        <v>1</v>
      </c>
      <c r="H2317" s="27">
        <v>1</v>
      </c>
      <c r="I2317" s="27">
        <v>1</v>
      </c>
      <c r="J2317" s="30">
        <f t="shared" si="108"/>
        <v>1</v>
      </c>
      <c r="K2317" s="30">
        <f t="shared" si="109"/>
        <v>1</v>
      </c>
      <c r="L2317" s="26">
        <f t="shared" si="110"/>
        <v>1</v>
      </c>
      <c r="M2317" s="26"/>
    </row>
    <row r="2318" spans="1:13" ht="15" customHeight="1">
      <c r="A2318" s="25">
        <v>1719740</v>
      </c>
      <c r="B2318" s="26" t="s">
        <v>5427</v>
      </c>
      <c r="C2318" s="26" t="s">
        <v>10486</v>
      </c>
      <c r="D2318" s="26" t="s">
        <v>10487</v>
      </c>
      <c r="E2318" s="26" t="s">
        <v>5707</v>
      </c>
      <c r="F2318" s="27">
        <v>6019908</v>
      </c>
      <c r="G2318" s="27">
        <v>1</v>
      </c>
      <c r="H2318" s="27">
        <v>1</v>
      </c>
      <c r="I2318" s="27">
        <v>1</v>
      </c>
      <c r="J2318" s="30">
        <f t="shared" si="108"/>
        <v>1</v>
      </c>
      <c r="K2318" s="30">
        <f t="shared" si="109"/>
        <v>1</v>
      </c>
      <c r="L2318" s="26">
        <f t="shared" si="110"/>
        <v>1</v>
      </c>
      <c r="M2318" s="26"/>
    </row>
    <row r="2319" spans="1:13" ht="15" customHeight="1">
      <c r="A2319" s="25">
        <v>1719957</v>
      </c>
      <c r="B2319" s="26" t="s">
        <v>5423</v>
      </c>
      <c r="C2319" s="26" t="s">
        <v>10488</v>
      </c>
      <c r="D2319" s="26" t="s">
        <v>10489</v>
      </c>
      <c r="E2319" s="26" t="s">
        <v>5504</v>
      </c>
      <c r="F2319" s="27">
        <v>5061231</v>
      </c>
      <c r="G2319" s="27">
        <v>0</v>
      </c>
      <c r="H2319" s="27">
        <v>0</v>
      </c>
      <c r="I2319" s="27">
        <v>0</v>
      </c>
      <c r="J2319" s="30">
        <f t="shared" si="108"/>
        <v>0</v>
      </c>
      <c r="K2319" s="30">
        <f t="shared" si="109"/>
        <v>0</v>
      </c>
      <c r="L2319" s="26">
        <f t="shared" si="110"/>
        <v>0</v>
      </c>
      <c r="M2319" s="26" t="s">
        <v>5557</v>
      </c>
    </row>
    <row r="2320" spans="1:13" ht="15" customHeight="1">
      <c r="A2320" s="25">
        <v>1719958</v>
      </c>
      <c r="B2320" s="26" t="s">
        <v>5427</v>
      </c>
      <c r="C2320" s="26" t="s">
        <v>10490</v>
      </c>
      <c r="D2320" s="26" t="s">
        <v>10489</v>
      </c>
      <c r="E2320" s="26" t="s">
        <v>5763</v>
      </c>
      <c r="F2320" s="27">
        <v>5281174</v>
      </c>
      <c r="G2320" s="27">
        <v>0</v>
      </c>
      <c r="H2320" s="27">
        <v>0</v>
      </c>
      <c r="I2320" s="27">
        <v>0</v>
      </c>
      <c r="J2320" s="30">
        <f t="shared" si="108"/>
        <v>0</v>
      </c>
      <c r="K2320" s="30">
        <f t="shared" si="109"/>
        <v>0</v>
      </c>
      <c r="L2320" s="26">
        <f t="shared" si="110"/>
        <v>0</v>
      </c>
      <c r="M2320" s="26" t="s">
        <v>5557</v>
      </c>
    </row>
    <row r="2321" spans="1:13" ht="15" customHeight="1">
      <c r="A2321" s="25">
        <v>1719963</v>
      </c>
      <c r="B2321" s="26" t="s">
        <v>5423</v>
      </c>
      <c r="C2321" s="26" t="s">
        <v>10491</v>
      </c>
      <c r="D2321" s="26" t="s">
        <v>10489</v>
      </c>
      <c r="E2321" s="26" t="s">
        <v>5475</v>
      </c>
      <c r="F2321" s="27">
        <v>5170808</v>
      </c>
      <c r="G2321" s="27">
        <v>0</v>
      </c>
      <c r="H2321" s="27">
        <v>0</v>
      </c>
      <c r="I2321" s="27">
        <v>0</v>
      </c>
      <c r="J2321" s="30">
        <f t="shared" si="108"/>
        <v>0</v>
      </c>
      <c r="K2321" s="30">
        <f t="shared" si="109"/>
        <v>0</v>
      </c>
      <c r="L2321" s="26">
        <f t="shared" si="110"/>
        <v>0</v>
      </c>
      <c r="M2321" s="26" t="s">
        <v>5557</v>
      </c>
    </row>
    <row r="2322" spans="1:13" ht="15" customHeight="1">
      <c r="A2322" s="25">
        <v>1719980</v>
      </c>
      <c r="B2322" s="26" t="s">
        <v>5423</v>
      </c>
      <c r="C2322" s="26" t="s">
        <v>10492</v>
      </c>
      <c r="D2322" s="26" t="s">
        <v>10493</v>
      </c>
      <c r="E2322" s="26" t="s">
        <v>5763</v>
      </c>
      <c r="F2322" s="27">
        <v>6061649</v>
      </c>
      <c r="G2322" s="27">
        <v>0</v>
      </c>
      <c r="H2322" s="27">
        <v>0</v>
      </c>
      <c r="I2322" s="27">
        <v>0</v>
      </c>
      <c r="J2322" s="30">
        <f t="shared" si="108"/>
        <v>0</v>
      </c>
      <c r="K2322" s="30">
        <f t="shared" si="109"/>
        <v>0</v>
      </c>
      <c r="L2322" s="26">
        <f t="shared" si="110"/>
        <v>0</v>
      </c>
      <c r="M2322" s="26">
        <v>0</v>
      </c>
    </row>
    <row r="2323" spans="1:13" ht="15" customHeight="1">
      <c r="A2323" s="25">
        <v>1720007</v>
      </c>
      <c r="B2323" s="26" t="s">
        <v>5423</v>
      </c>
      <c r="C2323" s="26" t="s">
        <v>10494</v>
      </c>
      <c r="D2323" s="26" t="s">
        <v>10495</v>
      </c>
      <c r="E2323" s="26" t="s">
        <v>5718</v>
      </c>
      <c r="F2323" s="27">
        <v>6061274</v>
      </c>
      <c r="G2323" s="27">
        <v>1</v>
      </c>
      <c r="H2323" s="27">
        <v>0</v>
      </c>
      <c r="I2323" s="27">
        <v>1</v>
      </c>
      <c r="J2323" s="30">
        <f t="shared" si="108"/>
        <v>1</v>
      </c>
      <c r="K2323" s="30">
        <f t="shared" si="109"/>
        <v>0</v>
      </c>
      <c r="L2323" s="26">
        <f t="shared" si="110"/>
        <v>0</v>
      </c>
      <c r="M2323" s="26"/>
    </row>
    <row r="2324" spans="1:13" ht="15" customHeight="1">
      <c r="A2324" s="25">
        <v>1720027</v>
      </c>
      <c r="B2324" s="26" t="s">
        <v>5427</v>
      </c>
      <c r="C2324" s="26" t="s">
        <v>10496</v>
      </c>
      <c r="D2324" s="26" t="s">
        <v>10497</v>
      </c>
      <c r="E2324" s="26" t="s">
        <v>5485</v>
      </c>
      <c r="F2324" s="27">
        <v>6054968</v>
      </c>
      <c r="G2324" s="27">
        <v>1</v>
      </c>
      <c r="H2324" s="27">
        <v>1</v>
      </c>
      <c r="I2324" s="27">
        <v>1</v>
      </c>
      <c r="J2324" s="30">
        <f t="shared" si="108"/>
        <v>1</v>
      </c>
      <c r="K2324" s="30">
        <f t="shared" si="109"/>
        <v>1</v>
      </c>
      <c r="L2324" s="26">
        <f t="shared" si="110"/>
        <v>1</v>
      </c>
      <c r="M2324" s="26"/>
    </row>
    <row r="2325" spans="1:13" ht="15" customHeight="1">
      <c r="A2325" s="25">
        <v>1720306</v>
      </c>
      <c r="B2325" s="26" t="s">
        <v>5423</v>
      </c>
      <c r="C2325" s="26" t="s">
        <v>10498</v>
      </c>
      <c r="D2325" s="26" t="s">
        <v>10499</v>
      </c>
      <c r="E2325" s="26" t="s">
        <v>5603</v>
      </c>
      <c r="F2325" s="27">
        <v>5076192</v>
      </c>
      <c r="G2325" s="27">
        <v>0</v>
      </c>
      <c r="H2325" s="27">
        <v>0</v>
      </c>
      <c r="I2325" s="27">
        <v>0</v>
      </c>
      <c r="J2325" s="30">
        <f t="shared" si="108"/>
        <v>0</v>
      </c>
      <c r="K2325" s="30">
        <f t="shared" si="109"/>
        <v>0</v>
      </c>
      <c r="L2325" s="26">
        <f t="shared" si="110"/>
        <v>0</v>
      </c>
      <c r="M2325" s="26" t="s">
        <v>9215</v>
      </c>
    </row>
    <row r="2326" spans="1:13" ht="15" customHeight="1">
      <c r="A2326" s="25">
        <v>1720579</v>
      </c>
      <c r="B2326" s="26" t="s">
        <v>5423</v>
      </c>
      <c r="C2326" s="26" t="s">
        <v>10500</v>
      </c>
      <c r="D2326" s="26" t="s">
        <v>10497</v>
      </c>
      <c r="E2326" s="26" t="s">
        <v>5603</v>
      </c>
      <c r="F2326" s="27">
        <v>6062705</v>
      </c>
      <c r="G2326" s="27">
        <v>1</v>
      </c>
      <c r="H2326" s="27">
        <v>1</v>
      </c>
      <c r="I2326" s="27">
        <v>1</v>
      </c>
      <c r="J2326" s="30">
        <f t="shared" si="108"/>
        <v>1</v>
      </c>
      <c r="K2326" s="30">
        <f t="shared" si="109"/>
        <v>1</v>
      </c>
      <c r="L2326" s="26">
        <f t="shared" si="110"/>
        <v>1</v>
      </c>
      <c r="M2326" s="26"/>
    </row>
    <row r="2327" spans="1:13" ht="15" customHeight="1">
      <c r="A2327" s="25">
        <v>1720611</v>
      </c>
      <c r="B2327" s="26" t="s">
        <v>5423</v>
      </c>
      <c r="C2327" s="26" t="s">
        <v>10501</v>
      </c>
      <c r="D2327" s="26" t="s">
        <v>10485</v>
      </c>
      <c r="E2327" s="26" t="s">
        <v>5550</v>
      </c>
      <c r="F2327" s="27">
        <v>6007408</v>
      </c>
      <c r="G2327" s="27">
        <v>1</v>
      </c>
      <c r="H2327" s="27">
        <v>1</v>
      </c>
      <c r="I2327" s="27">
        <v>1</v>
      </c>
      <c r="J2327" s="30">
        <f t="shared" si="108"/>
        <v>1</v>
      </c>
      <c r="K2327" s="30">
        <f t="shared" si="109"/>
        <v>1</v>
      </c>
      <c r="L2327" s="26">
        <f t="shared" si="110"/>
        <v>1</v>
      </c>
      <c r="M2327" s="26"/>
    </row>
    <row r="2328" spans="1:13" ht="15" customHeight="1">
      <c r="A2328" s="25">
        <v>1720791</v>
      </c>
      <c r="B2328" s="26" t="s">
        <v>5423</v>
      </c>
      <c r="C2328" s="26" t="s">
        <v>10502</v>
      </c>
      <c r="D2328" s="26" t="s">
        <v>10503</v>
      </c>
      <c r="E2328" s="26" t="s">
        <v>7084</v>
      </c>
      <c r="F2328" s="27">
        <v>5731652</v>
      </c>
      <c r="G2328" s="27">
        <v>0</v>
      </c>
      <c r="H2328" s="27">
        <v>0</v>
      </c>
      <c r="I2328" s="27">
        <v>0</v>
      </c>
      <c r="J2328" s="30">
        <f t="shared" si="108"/>
        <v>0</v>
      </c>
      <c r="K2328" s="30">
        <f t="shared" si="109"/>
        <v>0</v>
      </c>
      <c r="L2328" s="26">
        <f t="shared" si="110"/>
        <v>0</v>
      </c>
      <c r="M2328" s="26">
        <v>0</v>
      </c>
    </row>
    <row r="2329" spans="1:13" ht="15" customHeight="1">
      <c r="A2329" s="25">
        <v>1721044</v>
      </c>
      <c r="B2329" s="26" t="s">
        <v>5423</v>
      </c>
      <c r="C2329" s="26" t="s">
        <v>10504</v>
      </c>
      <c r="D2329" s="26" t="s">
        <v>10505</v>
      </c>
      <c r="E2329" s="26" t="s">
        <v>5545</v>
      </c>
      <c r="F2329" s="27">
        <v>5135389</v>
      </c>
      <c r="G2329" s="27">
        <v>0</v>
      </c>
      <c r="H2329" s="27">
        <v>0</v>
      </c>
      <c r="I2329" s="27">
        <v>0</v>
      </c>
      <c r="J2329" s="30">
        <f t="shared" si="108"/>
        <v>0</v>
      </c>
      <c r="K2329" s="30">
        <f t="shared" si="109"/>
        <v>0</v>
      </c>
      <c r="L2329" s="26">
        <f t="shared" si="110"/>
        <v>0</v>
      </c>
      <c r="M2329" s="26" t="s">
        <v>5557</v>
      </c>
    </row>
    <row r="2330" spans="1:13" ht="15" customHeight="1">
      <c r="A2330" s="25">
        <v>1721319</v>
      </c>
      <c r="B2330" s="26" t="s">
        <v>5423</v>
      </c>
      <c r="C2330" s="26" t="s">
        <v>10506</v>
      </c>
      <c r="D2330" s="26" t="s">
        <v>10507</v>
      </c>
      <c r="E2330" s="26" t="s">
        <v>5488</v>
      </c>
      <c r="F2330" s="27">
        <v>6064503</v>
      </c>
      <c r="G2330" s="27">
        <v>1</v>
      </c>
      <c r="H2330" s="27">
        <v>0</v>
      </c>
      <c r="I2330" s="27">
        <v>1</v>
      </c>
      <c r="J2330" s="30">
        <f t="shared" si="108"/>
        <v>1</v>
      </c>
      <c r="K2330" s="30">
        <f t="shared" si="109"/>
        <v>0</v>
      </c>
      <c r="L2330" s="26">
        <f t="shared" si="110"/>
        <v>0</v>
      </c>
      <c r="M2330" s="26"/>
    </row>
    <row r="2331" spans="1:13" ht="15" customHeight="1">
      <c r="A2331" s="25">
        <v>1721630</v>
      </c>
      <c r="B2331" s="26" t="s">
        <v>5423</v>
      </c>
      <c r="C2331" s="26" t="s">
        <v>10508</v>
      </c>
      <c r="D2331" s="26" t="s">
        <v>10509</v>
      </c>
      <c r="E2331" s="26" t="s">
        <v>5488</v>
      </c>
      <c r="F2331" s="27">
        <v>5218996</v>
      </c>
      <c r="G2331" s="27">
        <v>0</v>
      </c>
      <c r="H2331" s="27">
        <v>0</v>
      </c>
      <c r="I2331" s="27">
        <v>0</v>
      </c>
      <c r="J2331" s="30">
        <f t="shared" si="108"/>
        <v>0</v>
      </c>
      <c r="K2331" s="30">
        <f t="shared" si="109"/>
        <v>0</v>
      </c>
      <c r="L2331" s="26">
        <f t="shared" si="110"/>
        <v>0</v>
      </c>
      <c r="M2331" s="26" t="s">
        <v>5557</v>
      </c>
    </row>
    <row r="2332" spans="1:13" ht="15" customHeight="1">
      <c r="A2332" s="25">
        <v>1721660</v>
      </c>
      <c r="B2332" s="26" t="s">
        <v>5423</v>
      </c>
      <c r="C2332" s="26" t="s">
        <v>10510</v>
      </c>
      <c r="D2332" s="26" t="s">
        <v>10511</v>
      </c>
      <c r="E2332" s="26" t="s">
        <v>5560</v>
      </c>
      <c r="F2332" s="27"/>
      <c r="G2332" s="27">
        <v>0</v>
      </c>
      <c r="H2332" s="27">
        <v>0</v>
      </c>
      <c r="I2332" s="27">
        <v>0</v>
      </c>
      <c r="J2332" s="30">
        <f t="shared" si="108"/>
        <v>0</v>
      </c>
      <c r="K2332" s="30">
        <f t="shared" si="109"/>
        <v>0</v>
      </c>
      <c r="L2332" s="26">
        <f t="shared" si="110"/>
        <v>0</v>
      </c>
      <c r="M2332" s="26" t="s">
        <v>5557</v>
      </c>
    </row>
    <row r="2333" spans="1:13" ht="15" customHeight="1">
      <c r="A2333" s="25">
        <v>1722030</v>
      </c>
      <c r="B2333" s="26" t="s">
        <v>5427</v>
      </c>
      <c r="C2333" s="26" t="s">
        <v>10512</v>
      </c>
      <c r="D2333" s="26" t="s">
        <v>10513</v>
      </c>
      <c r="E2333" s="26" t="s">
        <v>5442</v>
      </c>
      <c r="F2333" s="27">
        <v>5549009</v>
      </c>
      <c r="G2333" s="27">
        <v>1</v>
      </c>
      <c r="H2333" s="27">
        <v>1</v>
      </c>
      <c r="I2333" s="27">
        <v>1</v>
      </c>
      <c r="J2333" s="30">
        <f t="shared" si="108"/>
        <v>1</v>
      </c>
      <c r="K2333" s="30">
        <f t="shared" si="109"/>
        <v>1</v>
      </c>
      <c r="L2333" s="26">
        <f t="shared" si="110"/>
        <v>1</v>
      </c>
      <c r="M2333" s="26"/>
    </row>
    <row r="2334" spans="1:13" ht="15" customHeight="1">
      <c r="A2334" s="25">
        <v>1722152</v>
      </c>
      <c r="B2334" s="26" t="s">
        <v>5423</v>
      </c>
      <c r="C2334" s="26" t="s">
        <v>10514</v>
      </c>
      <c r="D2334" s="26" t="s">
        <v>10497</v>
      </c>
      <c r="E2334" s="26" t="s">
        <v>5426</v>
      </c>
      <c r="F2334" s="27">
        <v>5973332</v>
      </c>
      <c r="G2334" s="27">
        <v>1</v>
      </c>
      <c r="H2334" s="27">
        <v>0</v>
      </c>
      <c r="I2334" s="27">
        <v>1</v>
      </c>
      <c r="J2334" s="30">
        <f t="shared" si="108"/>
        <v>1</v>
      </c>
      <c r="K2334" s="30">
        <f t="shared" si="109"/>
        <v>0</v>
      </c>
      <c r="L2334" s="26">
        <f t="shared" si="110"/>
        <v>0</v>
      </c>
      <c r="M2334" s="26"/>
    </row>
    <row r="2335" spans="1:13" ht="15" customHeight="1">
      <c r="A2335" s="25">
        <v>1722760</v>
      </c>
      <c r="B2335" s="26" t="s">
        <v>5423</v>
      </c>
      <c r="C2335" s="26" t="s">
        <v>10515</v>
      </c>
      <c r="D2335" s="26" t="s">
        <v>10516</v>
      </c>
      <c r="E2335" s="26" t="s">
        <v>5504</v>
      </c>
      <c r="F2335" s="27">
        <v>6068821</v>
      </c>
      <c r="G2335" s="27">
        <v>0</v>
      </c>
      <c r="H2335" s="27">
        <v>0</v>
      </c>
      <c r="I2335" s="27">
        <v>0</v>
      </c>
      <c r="J2335" s="30">
        <f t="shared" si="108"/>
        <v>0</v>
      </c>
      <c r="K2335" s="30">
        <f t="shared" si="109"/>
        <v>0</v>
      </c>
      <c r="L2335" s="26">
        <f t="shared" si="110"/>
        <v>0</v>
      </c>
      <c r="M2335" s="26">
        <v>0</v>
      </c>
    </row>
    <row r="2336" spans="1:13" ht="15" customHeight="1">
      <c r="A2336" s="25">
        <v>1722826</v>
      </c>
      <c r="B2336" s="26" t="s">
        <v>5423</v>
      </c>
      <c r="C2336" s="26" t="s">
        <v>10517</v>
      </c>
      <c r="D2336" s="26" t="s">
        <v>10518</v>
      </c>
      <c r="E2336" s="26" t="s">
        <v>5480</v>
      </c>
      <c r="F2336" s="27">
        <v>6068377</v>
      </c>
      <c r="G2336" s="27">
        <v>1</v>
      </c>
      <c r="H2336" s="27">
        <v>1</v>
      </c>
      <c r="I2336" s="27">
        <v>1</v>
      </c>
      <c r="J2336" s="30">
        <f t="shared" si="108"/>
        <v>1</v>
      </c>
      <c r="K2336" s="30">
        <f t="shared" si="109"/>
        <v>1</v>
      </c>
      <c r="L2336" s="26">
        <f t="shared" si="110"/>
        <v>1</v>
      </c>
      <c r="M2336" s="26"/>
    </row>
    <row r="2337" spans="1:13" ht="15" customHeight="1">
      <c r="A2337" s="25">
        <v>1722894</v>
      </c>
      <c r="B2337" s="26" t="s">
        <v>5423</v>
      </c>
      <c r="C2337" s="26" t="s">
        <v>10519</v>
      </c>
      <c r="D2337" s="26" t="s">
        <v>10520</v>
      </c>
      <c r="E2337" s="26" t="s">
        <v>5522</v>
      </c>
      <c r="F2337" s="27">
        <v>6068300</v>
      </c>
      <c r="G2337" s="27">
        <v>1</v>
      </c>
      <c r="H2337" s="27">
        <v>1</v>
      </c>
      <c r="I2337" s="27">
        <v>1</v>
      </c>
      <c r="J2337" s="30">
        <f t="shared" si="108"/>
        <v>1</v>
      </c>
      <c r="K2337" s="30">
        <f t="shared" si="109"/>
        <v>1</v>
      </c>
      <c r="L2337" s="26">
        <f t="shared" si="110"/>
        <v>1</v>
      </c>
      <c r="M2337" s="26"/>
    </row>
    <row r="2338" spans="1:13" ht="15" customHeight="1">
      <c r="A2338" s="25">
        <v>1722925</v>
      </c>
      <c r="B2338" s="26" t="s">
        <v>5423</v>
      </c>
      <c r="C2338" s="26" t="s">
        <v>10521</v>
      </c>
      <c r="D2338" s="26" t="s">
        <v>10520</v>
      </c>
      <c r="E2338" s="26" t="s">
        <v>5529</v>
      </c>
      <c r="F2338" s="27">
        <v>6068175</v>
      </c>
      <c r="G2338" s="27">
        <v>1</v>
      </c>
      <c r="H2338" s="27">
        <v>1</v>
      </c>
      <c r="I2338" s="27">
        <v>1</v>
      </c>
      <c r="J2338" s="30">
        <f t="shared" si="108"/>
        <v>1</v>
      </c>
      <c r="K2338" s="30">
        <f t="shared" si="109"/>
        <v>1</v>
      </c>
      <c r="L2338" s="26">
        <f t="shared" si="110"/>
        <v>1</v>
      </c>
      <c r="M2338" s="26"/>
    </row>
    <row r="2339" spans="1:13" ht="15" customHeight="1">
      <c r="A2339" s="25">
        <v>1723003</v>
      </c>
      <c r="B2339" s="26" t="s">
        <v>5427</v>
      </c>
      <c r="C2339" s="26" t="s">
        <v>10522</v>
      </c>
      <c r="D2339" s="26" t="s">
        <v>10523</v>
      </c>
      <c r="E2339" s="26" t="s">
        <v>5455</v>
      </c>
      <c r="F2339" s="27">
        <v>4472269</v>
      </c>
      <c r="G2339" s="27">
        <v>0</v>
      </c>
      <c r="H2339" s="27">
        <v>0</v>
      </c>
      <c r="I2339" s="27">
        <v>0</v>
      </c>
      <c r="J2339" s="30">
        <f t="shared" si="108"/>
        <v>0</v>
      </c>
      <c r="K2339" s="30">
        <f t="shared" si="109"/>
        <v>0</v>
      </c>
      <c r="L2339" s="26">
        <f t="shared" si="110"/>
        <v>0</v>
      </c>
      <c r="M2339" s="26" t="s">
        <v>10524</v>
      </c>
    </row>
    <row r="2340" spans="1:13" ht="15" customHeight="1">
      <c r="A2340" s="25">
        <v>1723196</v>
      </c>
      <c r="B2340" s="26" t="s">
        <v>5427</v>
      </c>
      <c r="C2340" s="26" t="s">
        <v>10525</v>
      </c>
      <c r="D2340" s="26" t="s">
        <v>10526</v>
      </c>
      <c r="E2340" s="26" t="s">
        <v>5540</v>
      </c>
      <c r="F2340" s="27">
        <v>5263245</v>
      </c>
      <c r="G2340" s="27">
        <v>0</v>
      </c>
      <c r="H2340" s="27">
        <v>0</v>
      </c>
      <c r="I2340" s="27">
        <v>0</v>
      </c>
      <c r="J2340" s="30">
        <f t="shared" si="108"/>
        <v>0</v>
      </c>
      <c r="K2340" s="30">
        <f t="shared" si="109"/>
        <v>0</v>
      </c>
      <c r="L2340" s="26">
        <f t="shared" si="110"/>
        <v>0</v>
      </c>
      <c r="M2340" s="26" t="s">
        <v>10527</v>
      </c>
    </row>
    <row r="2341" spans="1:13" ht="15" customHeight="1">
      <c r="A2341" s="25">
        <v>1723198</v>
      </c>
      <c r="B2341" s="26" t="s">
        <v>5423</v>
      </c>
      <c r="C2341" s="26" t="s">
        <v>10528</v>
      </c>
      <c r="D2341" s="26" t="s">
        <v>10523</v>
      </c>
      <c r="E2341" s="26" t="s">
        <v>5442</v>
      </c>
      <c r="F2341" s="27">
        <v>6069730</v>
      </c>
      <c r="G2341" s="27">
        <v>1</v>
      </c>
      <c r="H2341" s="27">
        <v>0</v>
      </c>
      <c r="I2341" s="27">
        <v>1</v>
      </c>
      <c r="J2341" s="30">
        <f t="shared" si="108"/>
        <v>1</v>
      </c>
      <c r="K2341" s="30">
        <f t="shared" si="109"/>
        <v>0</v>
      </c>
      <c r="L2341" s="26">
        <f t="shared" si="110"/>
        <v>0</v>
      </c>
      <c r="M2341" s="26" t="s">
        <v>9595</v>
      </c>
    </row>
    <row r="2342" spans="1:13" ht="15" customHeight="1">
      <c r="A2342" s="25">
        <v>1723567</v>
      </c>
      <c r="B2342" s="26" t="s">
        <v>5427</v>
      </c>
      <c r="C2342" s="26" t="s">
        <v>10529</v>
      </c>
      <c r="D2342" s="26" t="s">
        <v>10520</v>
      </c>
      <c r="E2342" s="26" t="s">
        <v>5610</v>
      </c>
      <c r="F2342" s="27">
        <v>5474503</v>
      </c>
      <c r="G2342" s="27">
        <v>0</v>
      </c>
      <c r="H2342" s="27">
        <v>0</v>
      </c>
      <c r="I2342" s="27">
        <v>0</v>
      </c>
      <c r="J2342" s="30">
        <f t="shared" si="108"/>
        <v>0</v>
      </c>
      <c r="K2342" s="30">
        <f t="shared" si="109"/>
        <v>0</v>
      </c>
      <c r="L2342" s="26">
        <f t="shared" si="110"/>
        <v>0</v>
      </c>
      <c r="M2342" s="26" t="s">
        <v>5557</v>
      </c>
    </row>
    <row r="2343" spans="1:13" ht="15" customHeight="1">
      <c r="A2343" s="25">
        <v>1723669</v>
      </c>
      <c r="B2343" s="26" t="s">
        <v>5427</v>
      </c>
      <c r="C2343" s="26" t="s">
        <v>10530</v>
      </c>
      <c r="D2343" s="26" t="s">
        <v>10531</v>
      </c>
      <c r="E2343" s="26" t="s">
        <v>5455</v>
      </c>
      <c r="F2343" s="27">
        <v>6071274</v>
      </c>
      <c r="G2343" s="27">
        <v>0</v>
      </c>
      <c r="H2343" s="27">
        <v>0</v>
      </c>
      <c r="I2343" s="27">
        <v>0</v>
      </c>
      <c r="J2343" s="30">
        <f t="shared" si="108"/>
        <v>0</v>
      </c>
      <c r="K2343" s="30">
        <f t="shared" si="109"/>
        <v>0</v>
      </c>
      <c r="L2343" s="26">
        <f t="shared" si="110"/>
        <v>0</v>
      </c>
      <c r="M2343" s="26">
        <v>0</v>
      </c>
    </row>
    <row r="2344" spans="1:13" ht="15" customHeight="1">
      <c r="A2344" s="25">
        <v>1723809</v>
      </c>
      <c r="B2344" s="26" t="s">
        <v>5423</v>
      </c>
      <c r="C2344" s="26" t="s">
        <v>10532</v>
      </c>
      <c r="D2344" s="26" t="s">
        <v>10533</v>
      </c>
      <c r="E2344" s="26" t="s">
        <v>5475</v>
      </c>
      <c r="F2344" s="27">
        <v>6048630</v>
      </c>
      <c r="G2344" s="27">
        <v>0</v>
      </c>
      <c r="H2344" s="27">
        <v>0</v>
      </c>
      <c r="I2344" s="27">
        <v>0</v>
      </c>
      <c r="J2344" s="30">
        <f t="shared" si="108"/>
        <v>0</v>
      </c>
      <c r="K2344" s="30">
        <f t="shared" si="109"/>
        <v>0</v>
      </c>
      <c r="L2344" s="26">
        <f t="shared" si="110"/>
        <v>0</v>
      </c>
      <c r="M2344" s="26">
        <v>0</v>
      </c>
    </row>
    <row r="2345" spans="1:13" ht="15" customHeight="1">
      <c r="A2345" s="25">
        <v>1723842</v>
      </c>
      <c r="B2345" s="26" t="s">
        <v>5423</v>
      </c>
      <c r="C2345" s="26" t="s">
        <v>10534</v>
      </c>
      <c r="D2345" s="26" t="s">
        <v>10533</v>
      </c>
      <c r="E2345" s="26" t="s">
        <v>5488</v>
      </c>
      <c r="F2345" s="27">
        <v>6071323</v>
      </c>
      <c r="G2345" s="27">
        <v>0</v>
      </c>
      <c r="H2345" s="27">
        <v>1</v>
      </c>
      <c r="I2345" s="27">
        <v>1</v>
      </c>
      <c r="J2345" s="30">
        <f t="shared" si="108"/>
        <v>0</v>
      </c>
      <c r="K2345" s="30">
        <f t="shared" si="109"/>
        <v>1</v>
      </c>
      <c r="L2345" s="26">
        <f t="shared" si="110"/>
        <v>0</v>
      </c>
      <c r="M2345" s="26"/>
    </row>
    <row r="2346" spans="1:13" ht="15" customHeight="1">
      <c r="A2346" s="25">
        <v>1724070</v>
      </c>
      <c r="B2346" s="26" t="s">
        <v>5427</v>
      </c>
      <c r="C2346" s="26" t="s">
        <v>10535</v>
      </c>
      <c r="D2346" s="26" t="s">
        <v>10536</v>
      </c>
      <c r="E2346" s="26" t="s">
        <v>5426</v>
      </c>
      <c r="F2346" s="27">
        <v>2828508</v>
      </c>
      <c r="G2346" s="27">
        <v>0</v>
      </c>
      <c r="H2346" s="27">
        <v>0</v>
      </c>
      <c r="I2346" s="27">
        <v>0</v>
      </c>
      <c r="J2346" s="30">
        <f t="shared" si="108"/>
        <v>0</v>
      </c>
      <c r="K2346" s="30">
        <f t="shared" si="109"/>
        <v>0</v>
      </c>
      <c r="L2346" s="26">
        <f t="shared" si="110"/>
        <v>0</v>
      </c>
      <c r="M2346" s="26" t="s">
        <v>5557</v>
      </c>
    </row>
    <row r="2347" spans="1:13" ht="15" customHeight="1">
      <c r="A2347" s="25">
        <v>1724350</v>
      </c>
      <c r="B2347" s="26" t="s">
        <v>5427</v>
      </c>
      <c r="C2347" s="26" t="s">
        <v>10537</v>
      </c>
      <c r="D2347" s="26" t="s">
        <v>10538</v>
      </c>
      <c r="E2347" s="26" t="s">
        <v>5439</v>
      </c>
      <c r="F2347" s="27">
        <v>6019814</v>
      </c>
      <c r="G2347" s="27">
        <v>1</v>
      </c>
      <c r="H2347" s="27">
        <v>1</v>
      </c>
      <c r="I2347" s="27">
        <v>1</v>
      </c>
      <c r="J2347" s="30">
        <f t="shared" si="108"/>
        <v>1</v>
      </c>
      <c r="K2347" s="30">
        <f t="shared" si="109"/>
        <v>1</v>
      </c>
      <c r="L2347" s="26">
        <f t="shared" si="110"/>
        <v>1</v>
      </c>
      <c r="M2347" s="26"/>
    </row>
    <row r="2348" spans="1:13" ht="15" customHeight="1">
      <c r="A2348" s="25">
        <v>1724441</v>
      </c>
      <c r="B2348" s="26" t="s">
        <v>5427</v>
      </c>
      <c r="C2348" s="26" t="s">
        <v>10539</v>
      </c>
      <c r="D2348" s="26" t="s">
        <v>10540</v>
      </c>
      <c r="E2348" s="26" t="s">
        <v>5968</v>
      </c>
      <c r="F2348" s="27">
        <v>6073016</v>
      </c>
      <c r="G2348" s="27">
        <v>0</v>
      </c>
      <c r="H2348" s="27">
        <v>0</v>
      </c>
      <c r="I2348" s="27">
        <v>0</v>
      </c>
      <c r="J2348" s="30">
        <f t="shared" si="108"/>
        <v>0</v>
      </c>
      <c r="K2348" s="30">
        <f t="shared" si="109"/>
        <v>0</v>
      </c>
      <c r="L2348" s="26">
        <f t="shared" si="110"/>
        <v>0</v>
      </c>
      <c r="M2348" s="26">
        <v>0</v>
      </c>
    </row>
    <row r="2349" spans="1:13" ht="15" customHeight="1">
      <c r="A2349" s="25">
        <v>1724451</v>
      </c>
      <c r="B2349" s="26" t="s">
        <v>5427</v>
      </c>
      <c r="C2349" s="26" t="s">
        <v>10541</v>
      </c>
      <c r="D2349" s="26" t="s">
        <v>10542</v>
      </c>
      <c r="E2349" s="26" t="s">
        <v>5517</v>
      </c>
      <c r="F2349" s="27">
        <v>5252347</v>
      </c>
      <c r="G2349" s="27">
        <v>0</v>
      </c>
      <c r="H2349" s="27">
        <v>0</v>
      </c>
      <c r="I2349" s="27">
        <v>0</v>
      </c>
      <c r="J2349" s="30">
        <f t="shared" si="108"/>
        <v>0</v>
      </c>
      <c r="K2349" s="30">
        <f t="shared" si="109"/>
        <v>0</v>
      </c>
      <c r="L2349" s="26">
        <f t="shared" si="110"/>
        <v>0</v>
      </c>
      <c r="M2349" s="26" t="s">
        <v>5557</v>
      </c>
    </row>
    <row r="2350" spans="1:13" ht="15" customHeight="1">
      <c r="A2350" s="25">
        <v>1724668</v>
      </c>
      <c r="B2350" s="26" t="s">
        <v>5423</v>
      </c>
      <c r="C2350" s="26" t="s">
        <v>10543</v>
      </c>
      <c r="D2350" s="26" t="s">
        <v>10544</v>
      </c>
      <c r="E2350" s="26" t="s">
        <v>5550</v>
      </c>
      <c r="F2350" s="27">
        <v>6073307</v>
      </c>
      <c r="G2350" s="27">
        <v>0</v>
      </c>
      <c r="H2350" s="27">
        <v>0</v>
      </c>
      <c r="I2350" s="27">
        <v>0</v>
      </c>
      <c r="J2350" s="30">
        <f t="shared" si="108"/>
        <v>0</v>
      </c>
      <c r="K2350" s="30">
        <f t="shared" si="109"/>
        <v>0</v>
      </c>
      <c r="L2350" s="26">
        <f t="shared" si="110"/>
        <v>0</v>
      </c>
      <c r="M2350" s="26">
        <v>0</v>
      </c>
    </row>
    <row r="2351" spans="1:13" ht="15" customHeight="1">
      <c r="A2351" s="25">
        <v>1724682</v>
      </c>
      <c r="B2351" s="26" t="s">
        <v>5423</v>
      </c>
      <c r="C2351" s="26" t="s">
        <v>10545</v>
      </c>
      <c r="D2351" s="26" t="s">
        <v>10546</v>
      </c>
      <c r="E2351" s="26" t="s">
        <v>5535</v>
      </c>
      <c r="F2351" s="27">
        <v>6062415</v>
      </c>
      <c r="G2351" s="27">
        <v>1</v>
      </c>
      <c r="H2351" s="27">
        <v>0</v>
      </c>
      <c r="I2351" s="27">
        <v>1</v>
      </c>
      <c r="J2351" s="30">
        <f t="shared" si="108"/>
        <v>1</v>
      </c>
      <c r="K2351" s="30">
        <f t="shared" si="109"/>
        <v>0</v>
      </c>
      <c r="L2351" s="26">
        <f t="shared" si="110"/>
        <v>0</v>
      </c>
      <c r="M2351" s="26"/>
    </row>
    <row r="2352" spans="1:13" ht="15" customHeight="1">
      <c r="A2352" s="25">
        <v>1724712</v>
      </c>
      <c r="B2352" s="26" t="s">
        <v>5423</v>
      </c>
      <c r="C2352" s="26" t="s">
        <v>10547</v>
      </c>
      <c r="D2352" s="26" t="s">
        <v>10548</v>
      </c>
      <c r="E2352" s="26" t="s">
        <v>5468</v>
      </c>
      <c r="F2352" s="27">
        <v>6073031</v>
      </c>
      <c r="G2352" s="27">
        <v>0</v>
      </c>
      <c r="H2352" s="27">
        <v>0</v>
      </c>
      <c r="I2352" s="27">
        <v>0</v>
      </c>
      <c r="J2352" s="30">
        <f t="shared" si="108"/>
        <v>0</v>
      </c>
      <c r="K2352" s="30">
        <f t="shared" si="109"/>
        <v>0</v>
      </c>
      <c r="L2352" s="26">
        <f t="shared" si="110"/>
        <v>0</v>
      </c>
      <c r="M2352" s="26">
        <v>0</v>
      </c>
    </row>
    <row r="2353" spans="1:13" ht="15" customHeight="1">
      <c r="A2353" s="25">
        <v>1724815</v>
      </c>
      <c r="B2353" s="26" t="s">
        <v>5423</v>
      </c>
      <c r="C2353" s="26" t="s">
        <v>10549</v>
      </c>
      <c r="D2353" s="26" t="s">
        <v>10544</v>
      </c>
      <c r="E2353" s="26" t="s">
        <v>5540</v>
      </c>
      <c r="F2353" s="27">
        <v>6073919</v>
      </c>
      <c r="G2353" s="27">
        <v>1</v>
      </c>
      <c r="H2353" s="27">
        <v>0</v>
      </c>
      <c r="I2353" s="27">
        <v>1</v>
      </c>
      <c r="J2353" s="30">
        <f t="shared" si="108"/>
        <v>1</v>
      </c>
      <c r="K2353" s="30">
        <f t="shared" si="109"/>
        <v>0</v>
      </c>
      <c r="L2353" s="26">
        <f t="shared" si="110"/>
        <v>0</v>
      </c>
      <c r="M2353" s="26"/>
    </row>
    <row r="2354" spans="1:13" ht="15" customHeight="1">
      <c r="A2354" s="25">
        <v>1725466</v>
      </c>
      <c r="B2354" s="26" t="s">
        <v>5427</v>
      </c>
      <c r="C2354" s="26" t="s">
        <v>10550</v>
      </c>
      <c r="D2354" s="26" t="s">
        <v>10551</v>
      </c>
      <c r="E2354" s="26" t="s">
        <v>5430</v>
      </c>
      <c r="F2354" s="27">
        <v>5311033</v>
      </c>
      <c r="G2354" s="27">
        <v>0</v>
      </c>
      <c r="H2354" s="27">
        <v>0</v>
      </c>
      <c r="I2354" s="27">
        <v>0</v>
      </c>
      <c r="J2354" s="30">
        <f t="shared" si="108"/>
        <v>0</v>
      </c>
      <c r="K2354" s="30">
        <f t="shared" si="109"/>
        <v>0</v>
      </c>
      <c r="L2354" s="26">
        <f t="shared" si="110"/>
        <v>0</v>
      </c>
      <c r="M2354" s="26" t="s">
        <v>5557</v>
      </c>
    </row>
    <row r="2355" spans="1:13" ht="15" customHeight="1">
      <c r="A2355" s="25">
        <v>1725688</v>
      </c>
      <c r="B2355" s="26" t="s">
        <v>5423</v>
      </c>
      <c r="C2355" s="26" t="s">
        <v>10552</v>
      </c>
      <c r="D2355" s="26" t="s">
        <v>10553</v>
      </c>
      <c r="E2355" s="26" t="s">
        <v>5430</v>
      </c>
      <c r="F2355" s="27">
        <v>5741065</v>
      </c>
      <c r="G2355" s="27">
        <v>1</v>
      </c>
      <c r="H2355" s="27">
        <v>1</v>
      </c>
      <c r="I2355" s="27">
        <v>1</v>
      </c>
      <c r="J2355" s="30">
        <f t="shared" si="108"/>
        <v>1</v>
      </c>
      <c r="K2355" s="30">
        <f t="shared" si="109"/>
        <v>1</v>
      </c>
      <c r="L2355" s="26">
        <f t="shared" si="110"/>
        <v>1</v>
      </c>
      <c r="M2355" s="26"/>
    </row>
    <row r="2356" spans="1:13" ht="15" customHeight="1">
      <c r="A2356" s="25" t="s">
        <v>10554</v>
      </c>
      <c r="B2356" s="26" t="s">
        <v>5423</v>
      </c>
      <c r="C2356" s="26" t="s">
        <v>10555</v>
      </c>
      <c r="D2356" s="26" t="s">
        <v>10556</v>
      </c>
      <c r="E2356" s="26" t="s">
        <v>10557</v>
      </c>
      <c r="F2356" s="27">
        <v>6067164</v>
      </c>
      <c r="G2356" s="27">
        <v>1</v>
      </c>
      <c r="H2356" s="27">
        <v>1</v>
      </c>
      <c r="I2356" s="27">
        <v>1</v>
      </c>
      <c r="J2356" s="30">
        <f t="shared" si="108"/>
        <v>1</v>
      </c>
      <c r="K2356" s="30">
        <f t="shared" si="109"/>
        <v>1</v>
      </c>
      <c r="L2356" s="26">
        <f t="shared" si="110"/>
        <v>1</v>
      </c>
      <c r="M2356" s="26"/>
    </row>
    <row r="2357" spans="1:13" ht="15" customHeight="1">
      <c r="A2357" s="25">
        <v>1725739</v>
      </c>
      <c r="B2357" s="26" t="s">
        <v>5423</v>
      </c>
      <c r="C2357" s="26" t="s">
        <v>10558</v>
      </c>
      <c r="D2357" s="26" t="s">
        <v>10553</v>
      </c>
      <c r="E2357" s="26" t="s">
        <v>5504</v>
      </c>
      <c r="F2357" s="27">
        <v>5741365</v>
      </c>
      <c r="G2357" s="27">
        <v>1</v>
      </c>
      <c r="H2357" s="27">
        <v>1</v>
      </c>
      <c r="I2357" s="27">
        <v>1</v>
      </c>
      <c r="J2357" s="30">
        <f t="shared" si="108"/>
        <v>1</v>
      </c>
      <c r="K2357" s="30">
        <f t="shared" si="109"/>
        <v>1</v>
      </c>
      <c r="L2357" s="26">
        <f t="shared" si="110"/>
        <v>1</v>
      </c>
      <c r="M2357" s="26"/>
    </row>
    <row r="2358" spans="1:13" ht="15" customHeight="1">
      <c r="A2358" s="25">
        <v>1725785</v>
      </c>
      <c r="B2358" s="26" t="s">
        <v>5423</v>
      </c>
      <c r="C2358" s="26" t="s">
        <v>10559</v>
      </c>
      <c r="D2358" s="26" t="s">
        <v>10553</v>
      </c>
      <c r="E2358" s="26" t="s">
        <v>5522</v>
      </c>
      <c r="F2358" s="27">
        <v>5742991</v>
      </c>
      <c r="G2358" s="27">
        <v>1</v>
      </c>
      <c r="H2358" s="27">
        <v>1</v>
      </c>
      <c r="I2358" s="27">
        <v>1</v>
      </c>
      <c r="J2358" s="30">
        <f t="shared" si="108"/>
        <v>1</v>
      </c>
      <c r="K2358" s="30">
        <f t="shared" si="109"/>
        <v>1</v>
      </c>
      <c r="L2358" s="26">
        <f t="shared" si="110"/>
        <v>1</v>
      </c>
      <c r="M2358" s="26"/>
    </row>
    <row r="2359" spans="1:13" ht="15" customHeight="1">
      <c r="A2359" s="25">
        <v>1725800</v>
      </c>
      <c r="B2359" s="26" t="s">
        <v>5423</v>
      </c>
      <c r="C2359" s="26" t="s">
        <v>10560</v>
      </c>
      <c r="D2359" s="26" t="s">
        <v>10540</v>
      </c>
      <c r="E2359" s="26" t="s">
        <v>5504</v>
      </c>
      <c r="F2359" s="27">
        <v>6068651</v>
      </c>
      <c r="G2359" s="27">
        <v>1</v>
      </c>
      <c r="H2359" s="27">
        <v>0</v>
      </c>
      <c r="I2359" s="27">
        <v>1</v>
      </c>
      <c r="J2359" s="30">
        <f t="shared" si="108"/>
        <v>1</v>
      </c>
      <c r="K2359" s="30">
        <f t="shared" si="109"/>
        <v>0</v>
      </c>
      <c r="L2359" s="26">
        <f t="shared" si="110"/>
        <v>0</v>
      </c>
      <c r="M2359" s="26"/>
    </row>
    <row r="2360" spans="1:13" ht="15" customHeight="1">
      <c r="A2360" s="25">
        <v>1726041</v>
      </c>
      <c r="B2360" s="26" t="s">
        <v>5423</v>
      </c>
      <c r="C2360" s="26" t="s">
        <v>10561</v>
      </c>
      <c r="D2360" s="26" t="s">
        <v>10562</v>
      </c>
      <c r="E2360" s="26" t="s">
        <v>5455</v>
      </c>
      <c r="F2360" s="27">
        <v>6078335</v>
      </c>
      <c r="G2360" s="27">
        <v>0</v>
      </c>
      <c r="H2360" s="27">
        <v>0</v>
      </c>
      <c r="I2360" s="27">
        <v>0</v>
      </c>
      <c r="J2360" s="30">
        <f t="shared" si="108"/>
        <v>0</v>
      </c>
      <c r="K2360" s="30">
        <f t="shared" si="109"/>
        <v>0</v>
      </c>
      <c r="L2360" s="26">
        <f t="shared" si="110"/>
        <v>0</v>
      </c>
      <c r="M2360" s="26">
        <v>0</v>
      </c>
    </row>
    <row r="2361" spans="1:13" ht="15" customHeight="1">
      <c r="A2361" s="25">
        <v>1726053</v>
      </c>
      <c r="B2361" s="26" t="s">
        <v>5427</v>
      </c>
      <c r="C2361" s="26" t="s">
        <v>10563</v>
      </c>
      <c r="D2361" s="26" t="s">
        <v>10556</v>
      </c>
      <c r="E2361" s="26" t="s">
        <v>5447</v>
      </c>
      <c r="F2361" s="27">
        <v>6077272</v>
      </c>
      <c r="G2361" s="27">
        <v>1</v>
      </c>
      <c r="H2361" s="27">
        <v>1</v>
      </c>
      <c r="I2361" s="27">
        <v>1</v>
      </c>
      <c r="J2361" s="30">
        <f t="shared" si="108"/>
        <v>1</v>
      </c>
      <c r="K2361" s="30">
        <f t="shared" si="109"/>
        <v>1</v>
      </c>
      <c r="L2361" s="26">
        <f t="shared" si="110"/>
        <v>1</v>
      </c>
      <c r="M2361" s="26"/>
    </row>
    <row r="2362" spans="1:13" ht="15" customHeight="1">
      <c r="A2362" s="25">
        <v>1726144</v>
      </c>
      <c r="B2362" s="26" t="s">
        <v>5427</v>
      </c>
      <c r="C2362" s="26" t="s">
        <v>10564</v>
      </c>
      <c r="D2362" s="26" t="s">
        <v>10565</v>
      </c>
      <c r="E2362" s="26" t="s">
        <v>5491</v>
      </c>
      <c r="F2362" s="27">
        <v>6077448</v>
      </c>
      <c r="G2362" s="27">
        <v>1</v>
      </c>
      <c r="H2362" s="27">
        <v>0</v>
      </c>
      <c r="I2362" s="27">
        <v>1</v>
      </c>
      <c r="J2362" s="30">
        <f t="shared" si="108"/>
        <v>1</v>
      </c>
      <c r="K2362" s="30">
        <f t="shared" si="109"/>
        <v>0</v>
      </c>
      <c r="L2362" s="26">
        <f t="shared" si="110"/>
        <v>0</v>
      </c>
      <c r="M2362" s="26"/>
    </row>
    <row r="2363" spans="1:13" ht="15" customHeight="1">
      <c r="A2363" s="25">
        <v>1726426</v>
      </c>
      <c r="B2363" s="26" t="s">
        <v>5427</v>
      </c>
      <c r="C2363" s="26" t="s">
        <v>10566</v>
      </c>
      <c r="D2363" s="26" t="s">
        <v>10567</v>
      </c>
      <c r="E2363" s="26" t="s">
        <v>5550</v>
      </c>
      <c r="F2363" s="27">
        <v>5257163</v>
      </c>
      <c r="G2363" s="27">
        <v>0</v>
      </c>
      <c r="H2363" s="27">
        <v>0</v>
      </c>
      <c r="I2363" s="27">
        <v>0</v>
      </c>
      <c r="J2363" s="30">
        <f t="shared" si="108"/>
        <v>0</v>
      </c>
      <c r="K2363" s="30">
        <f t="shared" si="109"/>
        <v>0</v>
      </c>
      <c r="L2363" s="26">
        <f t="shared" si="110"/>
        <v>0</v>
      </c>
      <c r="M2363" s="26" t="s">
        <v>5557</v>
      </c>
    </row>
    <row r="2364" spans="1:13" ht="15" customHeight="1">
      <c r="A2364" s="25">
        <v>1726472</v>
      </c>
      <c r="B2364" s="26" t="s">
        <v>5423</v>
      </c>
      <c r="C2364" s="26" t="s">
        <v>10568</v>
      </c>
      <c r="D2364" s="26" t="s">
        <v>10569</v>
      </c>
      <c r="E2364" s="26" t="s">
        <v>5485</v>
      </c>
      <c r="F2364" s="27">
        <v>5432498</v>
      </c>
      <c r="G2364" s="27">
        <v>0</v>
      </c>
      <c r="H2364" s="27">
        <v>0</v>
      </c>
      <c r="I2364" s="27">
        <v>0</v>
      </c>
      <c r="J2364" s="30">
        <f t="shared" si="108"/>
        <v>0</v>
      </c>
      <c r="K2364" s="30">
        <f t="shared" si="109"/>
        <v>0</v>
      </c>
      <c r="L2364" s="26">
        <f t="shared" si="110"/>
        <v>0</v>
      </c>
      <c r="M2364" s="26" t="s">
        <v>5557</v>
      </c>
    </row>
    <row r="2365" spans="1:13" ht="15" customHeight="1">
      <c r="A2365" s="25">
        <v>1726647</v>
      </c>
      <c r="B2365" s="26" t="s">
        <v>5423</v>
      </c>
      <c r="C2365" s="26" t="s">
        <v>10570</v>
      </c>
      <c r="D2365" s="26" t="s">
        <v>10571</v>
      </c>
      <c r="E2365" s="26" t="s">
        <v>5485</v>
      </c>
      <c r="F2365" s="27">
        <v>5457287</v>
      </c>
      <c r="G2365" s="27">
        <v>0</v>
      </c>
      <c r="H2365" s="27">
        <v>0</v>
      </c>
      <c r="I2365" s="27">
        <v>0</v>
      </c>
      <c r="J2365" s="30">
        <f t="shared" si="108"/>
        <v>0</v>
      </c>
      <c r="K2365" s="30">
        <f t="shared" si="109"/>
        <v>0</v>
      </c>
      <c r="L2365" s="26">
        <f t="shared" si="110"/>
        <v>0</v>
      </c>
      <c r="M2365" s="26" t="s">
        <v>5557</v>
      </c>
    </row>
    <row r="2366" spans="1:13" ht="15" customHeight="1">
      <c r="A2366" s="25">
        <v>1726674</v>
      </c>
      <c r="B2366" s="26" t="s">
        <v>5423</v>
      </c>
      <c r="C2366" s="26" t="s">
        <v>10572</v>
      </c>
      <c r="D2366" s="26" t="s">
        <v>10571</v>
      </c>
      <c r="E2366" s="26" t="s">
        <v>5433</v>
      </c>
      <c r="F2366" s="27">
        <v>6059999</v>
      </c>
      <c r="G2366" s="27">
        <v>1</v>
      </c>
      <c r="H2366" s="27">
        <v>0</v>
      </c>
      <c r="I2366" s="27">
        <v>1</v>
      </c>
      <c r="J2366" s="30">
        <f t="shared" si="108"/>
        <v>1</v>
      </c>
      <c r="K2366" s="30">
        <f t="shared" si="109"/>
        <v>0</v>
      </c>
      <c r="L2366" s="26">
        <f t="shared" si="110"/>
        <v>0</v>
      </c>
      <c r="M2366" s="26"/>
    </row>
    <row r="2367" spans="1:13" ht="15" customHeight="1">
      <c r="A2367" s="25">
        <v>1726716</v>
      </c>
      <c r="B2367" s="26" t="s">
        <v>5423</v>
      </c>
      <c r="C2367" s="26" t="s">
        <v>10573</v>
      </c>
      <c r="D2367" s="26" t="s">
        <v>10571</v>
      </c>
      <c r="E2367" s="26" t="s">
        <v>5458</v>
      </c>
      <c r="F2367" s="27">
        <v>6079191</v>
      </c>
      <c r="G2367" s="27">
        <v>0</v>
      </c>
      <c r="H2367" s="27">
        <v>0</v>
      </c>
      <c r="I2367" s="27">
        <v>0</v>
      </c>
      <c r="J2367" s="30">
        <f t="shared" si="108"/>
        <v>0</v>
      </c>
      <c r="K2367" s="30">
        <f t="shared" si="109"/>
        <v>0</v>
      </c>
      <c r="L2367" s="26">
        <f t="shared" si="110"/>
        <v>0</v>
      </c>
      <c r="M2367" s="26">
        <v>0</v>
      </c>
    </row>
    <row r="2368" spans="1:13" ht="15" customHeight="1">
      <c r="A2368" s="25">
        <v>1726981</v>
      </c>
      <c r="B2368" s="26" t="s">
        <v>5423</v>
      </c>
      <c r="C2368" s="26" t="s">
        <v>10574</v>
      </c>
      <c r="D2368" s="26" t="s">
        <v>10575</v>
      </c>
      <c r="E2368" s="26" t="s">
        <v>5683</v>
      </c>
      <c r="F2368" s="27">
        <v>6080537</v>
      </c>
      <c r="G2368" s="27">
        <v>0</v>
      </c>
      <c r="H2368" s="27">
        <v>0</v>
      </c>
      <c r="I2368" s="27">
        <v>0</v>
      </c>
      <c r="J2368" s="30">
        <f t="shared" si="108"/>
        <v>0</v>
      </c>
      <c r="K2368" s="30">
        <f t="shared" si="109"/>
        <v>0</v>
      </c>
      <c r="L2368" s="26">
        <f t="shared" si="110"/>
        <v>0</v>
      </c>
      <c r="M2368" s="26">
        <v>0</v>
      </c>
    </row>
    <row r="2369" spans="1:13" ht="15" customHeight="1">
      <c r="A2369" s="25">
        <v>1727002</v>
      </c>
      <c r="B2369" s="26" t="s">
        <v>5423</v>
      </c>
      <c r="C2369" s="26" t="s">
        <v>10576</v>
      </c>
      <c r="D2369" s="26" t="s">
        <v>10569</v>
      </c>
      <c r="E2369" s="26" t="s">
        <v>5718</v>
      </c>
      <c r="F2369" s="27">
        <v>6080123</v>
      </c>
      <c r="G2369" s="27">
        <v>1</v>
      </c>
      <c r="H2369" s="27">
        <v>0</v>
      </c>
      <c r="I2369" s="27">
        <v>1</v>
      </c>
      <c r="J2369" s="30">
        <f t="shared" si="108"/>
        <v>1</v>
      </c>
      <c r="K2369" s="30">
        <f t="shared" si="109"/>
        <v>0</v>
      </c>
      <c r="L2369" s="26">
        <f t="shared" si="110"/>
        <v>0</v>
      </c>
      <c r="M2369" s="26"/>
    </row>
    <row r="2370" spans="1:13" ht="15" customHeight="1">
      <c r="A2370" s="25">
        <v>1727212</v>
      </c>
      <c r="B2370" s="26" t="s">
        <v>5423</v>
      </c>
      <c r="C2370" s="26" t="s">
        <v>10577</v>
      </c>
      <c r="D2370" s="26" t="s">
        <v>10578</v>
      </c>
      <c r="E2370" s="26" t="s">
        <v>5430</v>
      </c>
      <c r="F2370" s="27">
        <v>6080217</v>
      </c>
      <c r="G2370" s="27">
        <v>1</v>
      </c>
      <c r="H2370" s="27">
        <v>0</v>
      </c>
      <c r="I2370" s="27">
        <v>1</v>
      </c>
      <c r="J2370" s="30">
        <f t="shared" ref="J2370:J2433" si="111">IF(G2370&gt;0,1,0)</f>
        <v>1</v>
      </c>
      <c r="K2370" s="30">
        <f t="shared" ref="K2370:K2433" si="112">IF(H2370&gt;0,1,0)</f>
        <v>0</v>
      </c>
      <c r="L2370" s="26">
        <f t="shared" ref="L2370:L2433" si="113">IF(G2370&gt;0,IF(H2370&gt;0,1,0),0)</f>
        <v>0</v>
      </c>
      <c r="M2370" s="26"/>
    </row>
    <row r="2371" spans="1:13" ht="15" customHeight="1">
      <c r="A2371" s="25">
        <v>1727235</v>
      </c>
      <c r="B2371" s="26" t="s">
        <v>5427</v>
      </c>
      <c r="C2371" s="26" t="s">
        <v>10579</v>
      </c>
      <c r="D2371" s="26" t="s">
        <v>10580</v>
      </c>
      <c r="E2371" s="26" t="s">
        <v>5540</v>
      </c>
      <c r="F2371" s="27">
        <v>6055085</v>
      </c>
      <c r="G2371" s="27">
        <v>1</v>
      </c>
      <c r="H2371" s="27">
        <v>0</v>
      </c>
      <c r="I2371" s="27">
        <v>1</v>
      </c>
      <c r="J2371" s="30">
        <f t="shared" si="111"/>
        <v>1</v>
      </c>
      <c r="K2371" s="30">
        <f t="shared" si="112"/>
        <v>0</v>
      </c>
      <c r="L2371" s="26">
        <f t="shared" si="113"/>
        <v>0</v>
      </c>
      <c r="M2371" s="26"/>
    </row>
    <row r="2372" spans="1:13" ht="15" customHeight="1">
      <c r="A2372" s="25">
        <v>1727686</v>
      </c>
      <c r="B2372" s="26" t="s">
        <v>5427</v>
      </c>
      <c r="C2372" s="26" t="s">
        <v>10581</v>
      </c>
      <c r="D2372" s="26" t="s">
        <v>10582</v>
      </c>
      <c r="E2372" s="26" t="s">
        <v>5491</v>
      </c>
      <c r="F2372" s="27">
        <v>6081651</v>
      </c>
      <c r="G2372" s="27">
        <v>1</v>
      </c>
      <c r="H2372" s="27">
        <v>0</v>
      </c>
      <c r="I2372" s="27">
        <v>1</v>
      </c>
      <c r="J2372" s="30">
        <f t="shared" si="111"/>
        <v>1</v>
      </c>
      <c r="K2372" s="30">
        <f t="shared" si="112"/>
        <v>0</v>
      </c>
      <c r="L2372" s="26">
        <f t="shared" si="113"/>
        <v>0</v>
      </c>
      <c r="M2372" s="26"/>
    </row>
    <row r="2373" spans="1:13" ht="15" customHeight="1">
      <c r="A2373" s="25">
        <v>1727691</v>
      </c>
      <c r="B2373" s="26" t="s">
        <v>5427</v>
      </c>
      <c r="C2373" s="26" t="s">
        <v>10583</v>
      </c>
      <c r="D2373" s="26" t="s">
        <v>10582</v>
      </c>
      <c r="E2373" s="26" t="s">
        <v>5480</v>
      </c>
      <c r="F2373" s="27">
        <v>6081698</v>
      </c>
      <c r="G2373" s="27">
        <v>0</v>
      </c>
      <c r="H2373" s="27">
        <v>0</v>
      </c>
      <c r="I2373" s="27">
        <v>0</v>
      </c>
      <c r="J2373" s="30">
        <f t="shared" si="111"/>
        <v>0</v>
      </c>
      <c r="K2373" s="30">
        <f t="shared" si="112"/>
        <v>0</v>
      </c>
      <c r="L2373" s="26">
        <f t="shared" si="113"/>
        <v>0</v>
      </c>
      <c r="M2373" s="26">
        <v>0</v>
      </c>
    </row>
    <row r="2374" spans="1:13" ht="15" customHeight="1">
      <c r="A2374" s="25">
        <v>1727750</v>
      </c>
      <c r="B2374" s="26" t="s">
        <v>5427</v>
      </c>
      <c r="C2374" s="26" t="s">
        <v>10584</v>
      </c>
      <c r="D2374" s="26" t="s">
        <v>10582</v>
      </c>
      <c r="E2374" s="26" t="s">
        <v>5763</v>
      </c>
      <c r="F2374" s="27">
        <v>6064613</v>
      </c>
      <c r="G2374" s="27">
        <v>1</v>
      </c>
      <c r="H2374" s="27">
        <v>0</v>
      </c>
      <c r="I2374" s="27">
        <v>1</v>
      </c>
      <c r="J2374" s="30">
        <f t="shared" si="111"/>
        <v>1</v>
      </c>
      <c r="K2374" s="30">
        <f t="shared" si="112"/>
        <v>0</v>
      </c>
      <c r="L2374" s="26">
        <f t="shared" si="113"/>
        <v>0</v>
      </c>
      <c r="M2374" s="26"/>
    </row>
    <row r="2375" spans="1:13" ht="15" customHeight="1">
      <c r="A2375" s="25">
        <v>1728007</v>
      </c>
      <c r="B2375" s="26" t="s">
        <v>5427</v>
      </c>
      <c r="C2375" s="26" t="s">
        <v>10585</v>
      </c>
      <c r="D2375" s="26" t="s">
        <v>10578</v>
      </c>
      <c r="E2375" s="26" t="s">
        <v>5550</v>
      </c>
      <c r="F2375" s="27">
        <v>6083575</v>
      </c>
      <c r="G2375" s="27">
        <v>0</v>
      </c>
      <c r="H2375" s="27">
        <v>0</v>
      </c>
      <c r="I2375" s="27">
        <v>0</v>
      </c>
      <c r="J2375" s="30">
        <f t="shared" si="111"/>
        <v>0</v>
      </c>
      <c r="K2375" s="30">
        <f t="shared" si="112"/>
        <v>0</v>
      </c>
      <c r="L2375" s="26">
        <f t="shared" si="113"/>
        <v>0</v>
      </c>
      <c r="M2375" s="26">
        <v>0</v>
      </c>
    </row>
    <row r="2376" spans="1:13" ht="15" customHeight="1">
      <c r="A2376" s="25">
        <v>1728049</v>
      </c>
      <c r="B2376" s="26" t="s">
        <v>5423</v>
      </c>
      <c r="C2376" s="26" t="s">
        <v>10586</v>
      </c>
      <c r="D2376" s="26" t="s">
        <v>10509</v>
      </c>
      <c r="E2376" s="26" t="s">
        <v>5683</v>
      </c>
      <c r="F2376" s="27">
        <v>6083560</v>
      </c>
      <c r="G2376" s="27">
        <v>0</v>
      </c>
      <c r="H2376" s="27">
        <v>0</v>
      </c>
      <c r="I2376" s="27">
        <v>0</v>
      </c>
      <c r="J2376" s="30">
        <f t="shared" si="111"/>
        <v>0</v>
      </c>
      <c r="K2376" s="30">
        <f t="shared" si="112"/>
        <v>0</v>
      </c>
      <c r="L2376" s="26">
        <f t="shared" si="113"/>
        <v>0</v>
      </c>
      <c r="M2376" s="26"/>
    </row>
    <row r="2377" spans="1:13" ht="15" customHeight="1">
      <c r="A2377" s="25">
        <v>1728239</v>
      </c>
      <c r="B2377" s="26" t="s">
        <v>5423</v>
      </c>
      <c r="C2377" s="26" t="s">
        <v>10587</v>
      </c>
      <c r="D2377" s="26" t="s">
        <v>10578</v>
      </c>
      <c r="E2377" s="26" t="s">
        <v>5480</v>
      </c>
      <c r="F2377" s="27">
        <v>6056528</v>
      </c>
      <c r="G2377" s="27">
        <v>1</v>
      </c>
      <c r="H2377" s="27">
        <v>0</v>
      </c>
      <c r="I2377" s="27">
        <v>1</v>
      </c>
      <c r="J2377" s="30">
        <f t="shared" si="111"/>
        <v>1</v>
      </c>
      <c r="K2377" s="30">
        <f t="shared" si="112"/>
        <v>0</v>
      </c>
      <c r="L2377" s="26">
        <f t="shared" si="113"/>
        <v>0</v>
      </c>
      <c r="M2377" s="26"/>
    </row>
    <row r="2378" spans="1:13" ht="15" customHeight="1">
      <c r="A2378" s="25">
        <v>1728719</v>
      </c>
      <c r="B2378" s="26" t="s">
        <v>5423</v>
      </c>
      <c r="C2378" s="26" t="s">
        <v>10588</v>
      </c>
      <c r="D2378" s="26" t="s">
        <v>10589</v>
      </c>
      <c r="E2378" s="26" t="s">
        <v>5586</v>
      </c>
      <c r="F2378" s="27">
        <v>6084498</v>
      </c>
      <c r="G2378" s="27">
        <v>1</v>
      </c>
      <c r="H2378" s="27">
        <v>0</v>
      </c>
      <c r="I2378" s="27">
        <v>1</v>
      </c>
      <c r="J2378" s="30">
        <f t="shared" si="111"/>
        <v>1</v>
      </c>
      <c r="K2378" s="30">
        <f t="shared" si="112"/>
        <v>0</v>
      </c>
      <c r="L2378" s="26">
        <f t="shared" si="113"/>
        <v>0</v>
      </c>
      <c r="M2378" s="26"/>
    </row>
    <row r="2379" spans="1:13" ht="15" customHeight="1">
      <c r="A2379" s="25">
        <v>1728892</v>
      </c>
      <c r="B2379" s="26" t="s">
        <v>5423</v>
      </c>
      <c r="C2379" s="26" t="s">
        <v>10590</v>
      </c>
      <c r="D2379" s="26" t="s">
        <v>10591</v>
      </c>
      <c r="E2379" s="26" t="s">
        <v>5480</v>
      </c>
      <c r="F2379" s="27">
        <v>6084690</v>
      </c>
      <c r="G2379" s="27">
        <v>1</v>
      </c>
      <c r="H2379" s="27">
        <v>1</v>
      </c>
      <c r="I2379" s="27">
        <v>1</v>
      </c>
      <c r="J2379" s="30">
        <f t="shared" si="111"/>
        <v>1</v>
      </c>
      <c r="K2379" s="30">
        <f t="shared" si="112"/>
        <v>1</v>
      </c>
      <c r="L2379" s="26">
        <f t="shared" si="113"/>
        <v>1</v>
      </c>
      <c r="M2379" s="26"/>
    </row>
    <row r="2380" spans="1:13" ht="15" customHeight="1">
      <c r="A2380" s="25">
        <v>1728947</v>
      </c>
      <c r="B2380" s="26" t="s">
        <v>5423</v>
      </c>
      <c r="C2380" s="26" t="s">
        <v>10592</v>
      </c>
      <c r="D2380" s="26" t="s">
        <v>10593</v>
      </c>
      <c r="E2380" s="26" t="s">
        <v>5781</v>
      </c>
      <c r="F2380" s="27">
        <v>5900424</v>
      </c>
      <c r="G2380" s="27">
        <v>1</v>
      </c>
      <c r="H2380" s="27">
        <v>0</v>
      </c>
      <c r="I2380" s="27">
        <v>1</v>
      </c>
      <c r="J2380" s="30">
        <f t="shared" si="111"/>
        <v>1</v>
      </c>
      <c r="K2380" s="30">
        <f t="shared" si="112"/>
        <v>0</v>
      </c>
      <c r="L2380" s="26">
        <f t="shared" si="113"/>
        <v>0</v>
      </c>
      <c r="M2380" s="26"/>
    </row>
    <row r="2381" spans="1:13" ht="15" customHeight="1">
      <c r="A2381" s="25">
        <v>1728952</v>
      </c>
      <c r="B2381" s="26" t="s">
        <v>5423</v>
      </c>
      <c r="C2381" s="26" t="s">
        <v>10594</v>
      </c>
      <c r="D2381" s="26" t="s">
        <v>10595</v>
      </c>
      <c r="E2381" s="26" t="s">
        <v>5447</v>
      </c>
      <c r="F2381" s="27">
        <v>6077015</v>
      </c>
      <c r="G2381" s="27">
        <v>0</v>
      </c>
      <c r="H2381" s="27">
        <v>0</v>
      </c>
      <c r="I2381" s="27">
        <v>0</v>
      </c>
      <c r="J2381" s="30">
        <f t="shared" si="111"/>
        <v>0</v>
      </c>
      <c r="K2381" s="30">
        <f t="shared" si="112"/>
        <v>0</v>
      </c>
      <c r="L2381" s="26">
        <f t="shared" si="113"/>
        <v>0</v>
      </c>
      <c r="M2381" s="26" t="s">
        <v>8216</v>
      </c>
    </row>
    <row r="2382" spans="1:13" ht="15" customHeight="1">
      <c r="A2382" s="25">
        <v>1728964</v>
      </c>
      <c r="B2382" s="26" t="s">
        <v>5423</v>
      </c>
      <c r="C2382" s="26" t="s">
        <v>10596</v>
      </c>
      <c r="D2382" s="26" t="s">
        <v>10597</v>
      </c>
      <c r="E2382" s="26" t="s">
        <v>5504</v>
      </c>
      <c r="F2382" s="27">
        <v>5346134</v>
      </c>
      <c r="G2382" s="27">
        <v>0</v>
      </c>
      <c r="H2382" s="27">
        <v>0</v>
      </c>
      <c r="I2382" s="27">
        <v>0</v>
      </c>
      <c r="J2382" s="30">
        <f t="shared" si="111"/>
        <v>0</v>
      </c>
      <c r="K2382" s="30">
        <f t="shared" si="112"/>
        <v>0</v>
      </c>
      <c r="L2382" s="26">
        <f t="shared" si="113"/>
        <v>0</v>
      </c>
      <c r="M2382" s="26" t="s">
        <v>5557</v>
      </c>
    </row>
    <row r="2383" spans="1:13" ht="15" customHeight="1">
      <c r="A2383" s="25">
        <v>1729055</v>
      </c>
      <c r="B2383" s="26" t="s">
        <v>5423</v>
      </c>
      <c r="C2383" s="26" t="s">
        <v>10598</v>
      </c>
      <c r="D2383" s="26" t="s">
        <v>10591</v>
      </c>
      <c r="E2383" s="26" t="s">
        <v>5436</v>
      </c>
      <c r="F2383" s="27">
        <v>6085086</v>
      </c>
      <c r="G2383" s="27">
        <v>1</v>
      </c>
      <c r="H2383" s="27">
        <v>1</v>
      </c>
      <c r="I2383" s="27">
        <v>1</v>
      </c>
      <c r="J2383" s="30">
        <f t="shared" si="111"/>
        <v>1</v>
      </c>
      <c r="K2383" s="30">
        <f t="shared" si="112"/>
        <v>1</v>
      </c>
      <c r="L2383" s="26">
        <f t="shared" si="113"/>
        <v>1</v>
      </c>
      <c r="M2383" s="26"/>
    </row>
    <row r="2384" spans="1:13" ht="15" customHeight="1">
      <c r="A2384" s="25">
        <v>1729244</v>
      </c>
      <c r="B2384" s="26" t="s">
        <v>5423</v>
      </c>
      <c r="C2384" s="26" t="s">
        <v>10599</v>
      </c>
      <c r="D2384" s="26" t="s">
        <v>10589</v>
      </c>
      <c r="E2384" s="26" t="s">
        <v>5452</v>
      </c>
      <c r="F2384" s="27">
        <v>6086672</v>
      </c>
      <c r="G2384" s="27">
        <v>0</v>
      </c>
      <c r="H2384" s="27">
        <v>0</v>
      </c>
      <c r="I2384" s="27">
        <v>0</v>
      </c>
      <c r="J2384" s="30">
        <f t="shared" si="111"/>
        <v>0</v>
      </c>
      <c r="K2384" s="30">
        <f t="shared" si="112"/>
        <v>0</v>
      </c>
      <c r="L2384" s="26">
        <f t="shared" si="113"/>
        <v>0</v>
      </c>
      <c r="M2384" s="26">
        <v>0</v>
      </c>
    </row>
    <row r="2385" spans="1:13" ht="15" customHeight="1">
      <c r="A2385" s="25">
        <v>1729253</v>
      </c>
      <c r="B2385" s="26" t="s">
        <v>5423</v>
      </c>
      <c r="C2385" s="26" t="s">
        <v>10600</v>
      </c>
      <c r="D2385" s="26" t="s">
        <v>10591</v>
      </c>
      <c r="E2385" s="26" t="s">
        <v>5575</v>
      </c>
      <c r="F2385" s="27">
        <v>6086678</v>
      </c>
      <c r="G2385" s="27">
        <v>0</v>
      </c>
      <c r="H2385" s="27">
        <v>0</v>
      </c>
      <c r="I2385" s="27">
        <v>0</v>
      </c>
      <c r="J2385" s="30">
        <f t="shared" si="111"/>
        <v>0</v>
      </c>
      <c r="K2385" s="30">
        <f t="shared" si="112"/>
        <v>0</v>
      </c>
      <c r="L2385" s="26">
        <f t="shared" si="113"/>
        <v>0</v>
      </c>
      <c r="M2385" s="26">
        <v>0</v>
      </c>
    </row>
    <row r="2386" spans="1:13" ht="15" customHeight="1">
      <c r="A2386" s="25">
        <v>1729262</v>
      </c>
      <c r="B2386" s="26" t="s">
        <v>5423</v>
      </c>
      <c r="C2386" s="26" t="s">
        <v>10601</v>
      </c>
      <c r="D2386" s="26" t="s">
        <v>10591</v>
      </c>
      <c r="E2386" s="26" t="s">
        <v>5514</v>
      </c>
      <c r="F2386" s="27">
        <v>6086885</v>
      </c>
      <c r="G2386" s="27">
        <v>0</v>
      </c>
      <c r="H2386" s="27">
        <v>0</v>
      </c>
      <c r="I2386" s="27">
        <v>0</v>
      </c>
      <c r="J2386" s="30">
        <f t="shared" si="111"/>
        <v>0</v>
      </c>
      <c r="K2386" s="30">
        <f t="shared" si="112"/>
        <v>0</v>
      </c>
      <c r="L2386" s="26">
        <f t="shared" si="113"/>
        <v>0</v>
      </c>
      <c r="M2386" s="26">
        <v>0</v>
      </c>
    </row>
    <row r="2387" spans="1:13" ht="15" customHeight="1">
      <c r="A2387" s="25">
        <v>1729278</v>
      </c>
      <c r="B2387" s="26" t="s">
        <v>5423</v>
      </c>
      <c r="C2387" s="26" t="s">
        <v>10602</v>
      </c>
      <c r="D2387" s="26" t="s">
        <v>10591</v>
      </c>
      <c r="E2387" s="26" t="s">
        <v>5683</v>
      </c>
      <c r="F2387" s="27">
        <v>6086894</v>
      </c>
      <c r="G2387" s="27">
        <v>0</v>
      </c>
      <c r="H2387" s="27">
        <v>0</v>
      </c>
      <c r="I2387" s="27">
        <v>0</v>
      </c>
      <c r="J2387" s="30">
        <f t="shared" si="111"/>
        <v>0</v>
      </c>
      <c r="K2387" s="30">
        <f t="shared" si="112"/>
        <v>0</v>
      </c>
      <c r="L2387" s="26">
        <f t="shared" si="113"/>
        <v>0</v>
      </c>
      <c r="M2387" s="26">
        <v>0</v>
      </c>
    </row>
    <row r="2388" spans="1:13" ht="15" customHeight="1">
      <c r="A2388" s="25">
        <v>1729305</v>
      </c>
      <c r="B2388" s="26" t="s">
        <v>5423</v>
      </c>
      <c r="C2388" s="26" t="s">
        <v>10603</v>
      </c>
      <c r="D2388" s="26" t="s">
        <v>10604</v>
      </c>
      <c r="E2388" s="26" t="s">
        <v>5430</v>
      </c>
      <c r="F2388" s="27">
        <v>2987156</v>
      </c>
      <c r="G2388" s="27">
        <v>1</v>
      </c>
      <c r="H2388" s="27">
        <v>0</v>
      </c>
      <c r="I2388" s="27">
        <v>1</v>
      </c>
      <c r="J2388" s="30">
        <f t="shared" si="111"/>
        <v>1</v>
      </c>
      <c r="K2388" s="30">
        <f t="shared" si="112"/>
        <v>0</v>
      </c>
      <c r="L2388" s="26">
        <f t="shared" si="113"/>
        <v>0</v>
      </c>
      <c r="M2388" s="26"/>
    </row>
    <row r="2389" spans="1:13" ht="15" customHeight="1">
      <c r="A2389" s="25">
        <v>1729316</v>
      </c>
      <c r="B2389" s="26" t="s">
        <v>5423</v>
      </c>
      <c r="C2389" s="26" t="s">
        <v>10605</v>
      </c>
      <c r="D2389" s="26" t="s">
        <v>10589</v>
      </c>
      <c r="E2389" s="26" t="s">
        <v>5545</v>
      </c>
      <c r="F2389" s="27">
        <v>6086674</v>
      </c>
      <c r="G2389" s="27">
        <v>1</v>
      </c>
      <c r="H2389" s="27">
        <v>0</v>
      </c>
      <c r="I2389" s="27">
        <v>1</v>
      </c>
      <c r="J2389" s="30">
        <f t="shared" si="111"/>
        <v>1</v>
      </c>
      <c r="K2389" s="30">
        <f t="shared" si="112"/>
        <v>0</v>
      </c>
      <c r="L2389" s="26">
        <f t="shared" si="113"/>
        <v>0</v>
      </c>
      <c r="M2389" s="26"/>
    </row>
    <row r="2390" spans="1:13" ht="15" customHeight="1">
      <c r="A2390" s="25">
        <v>1730189</v>
      </c>
      <c r="B2390" s="26" t="s">
        <v>5423</v>
      </c>
      <c r="C2390" s="26" t="s">
        <v>10606</v>
      </c>
      <c r="D2390" s="26" t="s">
        <v>10607</v>
      </c>
      <c r="E2390" s="26" t="s">
        <v>5504</v>
      </c>
      <c r="F2390" s="27">
        <v>6079097</v>
      </c>
      <c r="G2390" s="27">
        <v>1</v>
      </c>
      <c r="H2390" s="27">
        <v>1</v>
      </c>
      <c r="I2390" s="27">
        <v>1</v>
      </c>
      <c r="J2390" s="30">
        <f t="shared" si="111"/>
        <v>1</v>
      </c>
      <c r="K2390" s="30">
        <f t="shared" si="112"/>
        <v>1</v>
      </c>
      <c r="L2390" s="26">
        <f t="shared" si="113"/>
        <v>1</v>
      </c>
      <c r="M2390" s="26" t="s">
        <v>8169</v>
      </c>
    </row>
    <row r="2391" spans="1:13" ht="15" customHeight="1">
      <c r="A2391" s="25">
        <v>1730319</v>
      </c>
      <c r="B2391" s="26" t="s">
        <v>5423</v>
      </c>
      <c r="C2391" s="26" t="s">
        <v>10608</v>
      </c>
      <c r="D2391" s="26" t="s">
        <v>10609</v>
      </c>
      <c r="E2391" s="26" t="s">
        <v>5430</v>
      </c>
      <c r="F2391" s="27">
        <v>2736091</v>
      </c>
      <c r="G2391" s="27">
        <v>1</v>
      </c>
      <c r="H2391" s="27">
        <v>1</v>
      </c>
      <c r="I2391" s="27">
        <v>1</v>
      </c>
      <c r="J2391" s="30">
        <f t="shared" si="111"/>
        <v>1</v>
      </c>
      <c r="K2391" s="30">
        <f t="shared" si="112"/>
        <v>1</v>
      </c>
      <c r="L2391" s="26">
        <f t="shared" si="113"/>
        <v>1</v>
      </c>
      <c r="M2391" s="26" t="s">
        <v>8169</v>
      </c>
    </row>
    <row r="2392" spans="1:13" ht="15" customHeight="1">
      <c r="A2392" s="25">
        <v>1730330</v>
      </c>
      <c r="B2392" s="26" t="s">
        <v>5423</v>
      </c>
      <c r="C2392" s="26" t="s">
        <v>10610</v>
      </c>
      <c r="D2392" s="26" t="s">
        <v>10609</v>
      </c>
      <c r="E2392" s="26" t="s">
        <v>5485</v>
      </c>
      <c r="F2392" s="27">
        <v>6090436</v>
      </c>
      <c r="G2392" s="27">
        <v>0</v>
      </c>
      <c r="H2392" s="27">
        <v>0</v>
      </c>
      <c r="I2392" s="27">
        <v>0</v>
      </c>
      <c r="J2392" s="30">
        <f t="shared" si="111"/>
        <v>0</v>
      </c>
      <c r="K2392" s="30">
        <f t="shared" si="112"/>
        <v>0</v>
      </c>
      <c r="L2392" s="26">
        <f t="shared" si="113"/>
        <v>0</v>
      </c>
      <c r="M2392" s="26">
        <v>0</v>
      </c>
    </row>
    <row r="2393" spans="1:13" ht="15" customHeight="1">
      <c r="A2393" s="25">
        <v>1730651</v>
      </c>
      <c r="B2393" s="26" t="s">
        <v>5423</v>
      </c>
      <c r="C2393" s="26" t="s">
        <v>10611</v>
      </c>
      <c r="D2393" s="26" t="s">
        <v>10612</v>
      </c>
      <c r="E2393" s="26" t="s">
        <v>10613</v>
      </c>
      <c r="F2393" s="27">
        <v>6083735</v>
      </c>
      <c r="G2393" s="27">
        <v>1</v>
      </c>
      <c r="H2393" s="27">
        <v>0</v>
      </c>
      <c r="I2393" s="27">
        <v>1</v>
      </c>
      <c r="J2393" s="30">
        <f t="shared" si="111"/>
        <v>1</v>
      </c>
      <c r="K2393" s="30">
        <f t="shared" si="112"/>
        <v>0</v>
      </c>
      <c r="L2393" s="26">
        <f t="shared" si="113"/>
        <v>0</v>
      </c>
      <c r="M2393" s="26"/>
    </row>
    <row r="2394" spans="1:13" ht="15" customHeight="1">
      <c r="A2394" s="25">
        <v>1730681</v>
      </c>
      <c r="B2394" s="26" t="s">
        <v>5423</v>
      </c>
      <c r="C2394" s="26" t="s">
        <v>10614</v>
      </c>
      <c r="D2394" s="26" t="s">
        <v>10609</v>
      </c>
      <c r="E2394" s="26" t="s">
        <v>5683</v>
      </c>
      <c r="F2394" s="27">
        <v>6091054</v>
      </c>
      <c r="G2394" s="27">
        <v>1</v>
      </c>
      <c r="H2394" s="27">
        <v>0</v>
      </c>
      <c r="I2394" s="27">
        <v>1</v>
      </c>
      <c r="J2394" s="30">
        <f t="shared" si="111"/>
        <v>1</v>
      </c>
      <c r="K2394" s="30">
        <f t="shared" si="112"/>
        <v>0</v>
      </c>
      <c r="L2394" s="26">
        <f t="shared" si="113"/>
        <v>0</v>
      </c>
      <c r="M2394" s="26"/>
    </row>
    <row r="2395" spans="1:13" ht="15" customHeight="1">
      <c r="A2395" s="25">
        <v>1731046</v>
      </c>
      <c r="B2395" s="26" t="s">
        <v>5423</v>
      </c>
      <c r="C2395" s="26" t="s">
        <v>10615</v>
      </c>
      <c r="D2395" s="26" t="s">
        <v>10616</v>
      </c>
      <c r="E2395" s="26" t="s">
        <v>5504</v>
      </c>
      <c r="F2395" s="27">
        <v>6093609</v>
      </c>
      <c r="G2395" s="27">
        <v>0</v>
      </c>
      <c r="H2395" s="27">
        <v>0</v>
      </c>
      <c r="I2395" s="27">
        <v>0</v>
      </c>
      <c r="J2395" s="30">
        <f t="shared" si="111"/>
        <v>0</v>
      </c>
      <c r="K2395" s="30">
        <f t="shared" si="112"/>
        <v>0</v>
      </c>
      <c r="L2395" s="26">
        <f t="shared" si="113"/>
        <v>0</v>
      </c>
      <c r="M2395" s="26">
        <v>0</v>
      </c>
    </row>
    <row r="2396" spans="1:13" ht="15" customHeight="1">
      <c r="A2396" s="25">
        <v>1731211</v>
      </c>
      <c r="B2396" s="26" t="s">
        <v>5423</v>
      </c>
      <c r="C2396" s="26" t="s">
        <v>10617</v>
      </c>
      <c r="D2396" s="26" t="s">
        <v>10595</v>
      </c>
      <c r="E2396" s="26" t="s">
        <v>5517</v>
      </c>
      <c r="F2396" s="27">
        <v>6080952</v>
      </c>
      <c r="G2396" s="27">
        <v>1</v>
      </c>
      <c r="H2396" s="27">
        <v>0</v>
      </c>
      <c r="I2396" s="27">
        <v>1</v>
      </c>
      <c r="J2396" s="30">
        <f t="shared" si="111"/>
        <v>1</v>
      </c>
      <c r="K2396" s="30">
        <f t="shared" si="112"/>
        <v>0</v>
      </c>
      <c r="L2396" s="26">
        <f t="shared" si="113"/>
        <v>0</v>
      </c>
      <c r="M2396" s="26"/>
    </row>
    <row r="2397" spans="1:13" ht="15" customHeight="1">
      <c r="A2397" s="25">
        <v>1731216</v>
      </c>
      <c r="B2397" s="26" t="s">
        <v>5423</v>
      </c>
      <c r="C2397" s="26" t="s">
        <v>10618</v>
      </c>
      <c r="D2397" s="26" t="s">
        <v>10595</v>
      </c>
      <c r="E2397" s="26" t="s">
        <v>5463</v>
      </c>
      <c r="F2397" s="27">
        <v>6087132</v>
      </c>
      <c r="G2397" s="27">
        <v>0</v>
      </c>
      <c r="H2397" s="27">
        <v>0</v>
      </c>
      <c r="I2397" s="27">
        <v>0</v>
      </c>
      <c r="J2397" s="30">
        <f t="shared" si="111"/>
        <v>0</v>
      </c>
      <c r="K2397" s="30">
        <f t="shared" si="112"/>
        <v>0</v>
      </c>
      <c r="L2397" s="26">
        <f t="shared" si="113"/>
        <v>0</v>
      </c>
      <c r="M2397" s="26">
        <v>0</v>
      </c>
    </row>
    <row r="2398" spans="1:13" ht="15" customHeight="1">
      <c r="A2398" s="25">
        <v>1731350</v>
      </c>
      <c r="B2398" s="26" t="s">
        <v>5427</v>
      </c>
      <c r="C2398" s="26" t="s">
        <v>10619</v>
      </c>
      <c r="D2398" s="26" t="s">
        <v>10620</v>
      </c>
      <c r="E2398" s="26" t="s">
        <v>5683</v>
      </c>
      <c r="F2398" s="27">
        <v>6081285</v>
      </c>
      <c r="G2398" s="27">
        <v>1</v>
      </c>
      <c r="H2398" s="27">
        <v>0</v>
      </c>
      <c r="I2398" s="27">
        <v>1</v>
      </c>
      <c r="J2398" s="30">
        <f t="shared" si="111"/>
        <v>1</v>
      </c>
      <c r="K2398" s="30">
        <f t="shared" si="112"/>
        <v>0</v>
      </c>
      <c r="L2398" s="26">
        <f t="shared" si="113"/>
        <v>0</v>
      </c>
      <c r="M2398" s="26"/>
    </row>
    <row r="2399" spans="1:13" ht="15" customHeight="1">
      <c r="A2399" s="25">
        <v>1731457</v>
      </c>
      <c r="B2399" s="26" t="s">
        <v>5423</v>
      </c>
      <c r="C2399" s="26" t="s">
        <v>10621</v>
      </c>
      <c r="D2399" s="26" t="s">
        <v>10620</v>
      </c>
      <c r="E2399" s="26" t="s">
        <v>5463</v>
      </c>
      <c r="F2399" s="27">
        <v>6078668</v>
      </c>
      <c r="G2399" s="27">
        <v>1</v>
      </c>
      <c r="H2399" s="27">
        <v>0</v>
      </c>
      <c r="I2399" s="27">
        <v>1</v>
      </c>
      <c r="J2399" s="30">
        <f t="shared" si="111"/>
        <v>1</v>
      </c>
      <c r="K2399" s="30">
        <f t="shared" si="112"/>
        <v>0</v>
      </c>
      <c r="L2399" s="26">
        <f t="shared" si="113"/>
        <v>0</v>
      </c>
      <c r="M2399" s="26"/>
    </row>
    <row r="2400" spans="1:13" ht="15" customHeight="1">
      <c r="A2400" s="25">
        <v>1731625</v>
      </c>
      <c r="B2400" s="26" t="s">
        <v>5423</v>
      </c>
      <c r="C2400" s="26" t="s">
        <v>10622</v>
      </c>
      <c r="D2400" s="26" t="s">
        <v>10620</v>
      </c>
      <c r="E2400" s="26" t="s">
        <v>5522</v>
      </c>
      <c r="F2400" s="27">
        <v>5911683</v>
      </c>
      <c r="G2400" s="27">
        <v>1</v>
      </c>
      <c r="H2400" s="27">
        <v>0</v>
      </c>
      <c r="I2400" s="27">
        <v>1</v>
      </c>
      <c r="J2400" s="30">
        <f t="shared" si="111"/>
        <v>1</v>
      </c>
      <c r="K2400" s="30">
        <f t="shared" si="112"/>
        <v>0</v>
      </c>
      <c r="L2400" s="26">
        <f t="shared" si="113"/>
        <v>0</v>
      </c>
      <c r="M2400" s="26"/>
    </row>
    <row r="2401" spans="1:13" ht="15" customHeight="1">
      <c r="A2401" s="25">
        <v>1731626</v>
      </c>
      <c r="B2401" s="26" t="s">
        <v>5423</v>
      </c>
      <c r="C2401" s="26" t="s">
        <v>10623</v>
      </c>
      <c r="D2401" s="26" t="s">
        <v>10620</v>
      </c>
      <c r="E2401" s="26" t="s">
        <v>5430</v>
      </c>
      <c r="F2401" s="27">
        <v>6093992</v>
      </c>
      <c r="G2401" s="27">
        <v>1</v>
      </c>
      <c r="H2401" s="27">
        <v>0</v>
      </c>
      <c r="I2401" s="27">
        <v>1</v>
      </c>
      <c r="J2401" s="30">
        <f t="shared" si="111"/>
        <v>1</v>
      </c>
      <c r="K2401" s="30">
        <f t="shared" si="112"/>
        <v>0</v>
      </c>
      <c r="L2401" s="26">
        <f t="shared" si="113"/>
        <v>0</v>
      </c>
      <c r="M2401" s="26"/>
    </row>
    <row r="2402" spans="1:13" ht="15" customHeight="1">
      <c r="A2402" s="25">
        <v>1731766</v>
      </c>
      <c r="B2402" s="26" t="s">
        <v>5427</v>
      </c>
      <c r="C2402" s="26" t="s">
        <v>10624</v>
      </c>
      <c r="D2402" s="26" t="s">
        <v>10595</v>
      </c>
      <c r="E2402" s="26" t="s">
        <v>5535</v>
      </c>
      <c r="F2402" s="27"/>
      <c r="G2402" s="27">
        <v>0</v>
      </c>
      <c r="H2402" s="27">
        <v>0</v>
      </c>
      <c r="I2402" s="27">
        <v>0</v>
      </c>
      <c r="J2402" s="30">
        <f t="shared" si="111"/>
        <v>0</v>
      </c>
      <c r="K2402" s="30">
        <f t="shared" si="112"/>
        <v>0</v>
      </c>
      <c r="L2402" s="26">
        <f t="shared" si="113"/>
        <v>0</v>
      </c>
      <c r="M2402" s="26" t="s">
        <v>8147</v>
      </c>
    </row>
    <row r="2403" spans="1:13" ht="15" customHeight="1">
      <c r="A2403" s="25">
        <v>1731839</v>
      </c>
      <c r="B2403" s="26" t="s">
        <v>5423</v>
      </c>
      <c r="C2403" s="26" t="s">
        <v>10625</v>
      </c>
      <c r="D2403" s="26" t="s">
        <v>10616</v>
      </c>
      <c r="E2403" s="26" t="s">
        <v>5430</v>
      </c>
      <c r="F2403" s="27">
        <v>6094261</v>
      </c>
      <c r="G2403" s="27">
        <v>0</v>
      </c>
      <c r="H2403" s="27">
        <v>0</v>
      </c>
      <c r="I2403" s="27">
        <v>0</v>
      </c>
      <c r="J2403" s="30">
        <f t="shared" si="111"/>
        <v>0</v>
      </c>
      <c r="K2403" s="30">
        <f t="shared" si="112"/>
        <v>0</v>
      </c>
      <c r="L2403" s="26">
        <f t="shared" si="113"/>
        <v>0</v>
      </c>
      <c r="M2403" s="26">
        <v>0</v>
      </c>
    </row>
    <row r="2404" spans="1:13" ht="15" customHeight="1">
      <c r="A2404" s="25">
        <v>1731866</v>
      </c>
      <c r="B2404" s="26" t="s">
        <v>5423</v>
      </c>
      <c r="C2404" s="26" t="s">
        <v>10626</v>
      </c>
      <c r="D2404" s="26" t="s">
        <v>10627</v>
      </c>
      <c r="E2404" s="26" t="s">
        <v>5763</v>
      </c>
      <c r="F2404" s="27">
        <v>3908362</v>
      </c>
      <c r="G2404" s="27">
        <v>0</v>
      </c>
      <c r="H2404" s="27">
        <v>0</v>
      </c>
      <c r="I2404" s="27">
        <v>0</v>
      </c>
      <c r="J2404" s="30">
        <f t="shared" si="111"/>
        <v>0</v>
      </c>
      <c r="K2404" s="30">
        <f t="shared" si="112"/>
        <v>0</v>
      </c>
      <c r="L2404" s="26">
        <f t="shared" si="113"/>
        <v>0</v>
      </c>
      <c r="M2404" s="26">
        <v>0</v>
      </c>
    </row>
    <row r="2405" spans="1:13" ht="15" customHeight="1">
      <c r="A2405" s="25">
        <v>1731894</v>
      </c>
      <c r="B2405" s="26" t="s">
        <v>5427</v>
      </c>
      <c r="C2405" s="26" t="s">
        <v>10628</v>
      </c>
      <c r="D2405" s="26" t="s">
        <v>10629</v>
      </c>
      <c r="E2405" s="26" t="s">
        <v>5763</v>
      </c>
      <c r="F2405" s="27">
        <v>6093374</v>
      </c>
      <c r="G2405" s="27">
        <v>1</v>
      </c>
      <c r="H2405" s="27">
        <v>1</v>
      </c>
      <c r="I2405" s="27">
        <v>1</v>
      </c>
      <c r="J2405" s="30">
        <f t="shared" si="111"/>
        <v>1</v>
      </c>
      <c r="K2405" s="30">
        <f t="shared" si="112"/>
        <v>1</v>
      </c>
      <c r="L2405" s="26">
        <f t="shared" si="113"/>
        <v>1</v>
      </c>
      <c r="M2405" s="26" t="s">
        <v>7910</v>
      </c>
    </row>
    <row r="2406" spans="1:13" ht="15" customHeight="1">
      <c r="A2406" s="25">
        <v>1731914</v>
      </c>
      <c r="B2406" s="26" t="s">
        <v>5423</v>
      </c>
      <c r="C2406" s="26" t="s">
        <v>10630</v>
      </c>
      <c r="D2406" s="26" t="s">
        <v>10631</v>
      </c>
      <c r="E2406" s="26" t="s">
        <v>5781</v>
      </c>
      <c r="F2406" s="27">
        <v>6093341</v>
      </c>
      <c r="G2406" s="27">
        <v>1</v>
      </c>
      <c r="H2406" s="27">
        <v>1</v>
      </c>
      <c r="I2406" s="27">
        <v>1</v>
      </c>
      <c r="J2406" s="30">
        <f t="shared" si="111"/>
        <v>1</v>
      </c>
      <c r="K2406" s="30">
        <f t="shared" si="112"/>
        <v>1</v>
      </c>
      <c r="L2406" s="26">
        <f t="shared" si="113"/>
        <v>1</v>
      </c>
      <c r="M2406" s="26"/>
    </row>
    <row r="2407" spans="1:13" ht="15" customHeight="1">
      <c r="A2407" s="25">
        <v>1731921</v>
      </c>
      <c r="B2407" s="26" t="s">
        <v>5423</v>
      </c>
      <c r="C2407" s="26" t="s">
        <v>10632</v>
      </c>
      <c r="D2407" s="26" t="s">
        <v>10627</v>
      </c>
      <c r="E2407" s="26" t="s">
        <v>5504</v>
      </c>
      <c r="F2407" s="27">
        <v>6076944</v>
      </c>
      <c r="G2407" s="27">
        <v>1</v>
      </c>
      <c r="H2407" s="27">
        <v>1</v>
      </c>
      <c r="I2407" s="27">
        <v>1</v>
      </c>
      <c r="J2407" s="30">
        <f t="shared" si="111"/>
        <v>1</v>
      </c>
      <c r="K2407" s="30">
        <f t="shared" si="112"/>
        <v>1</v>
      </c>
      <c r="L2407" s="26">
        <f t="shared" si="113"/>
        <v>1</v>
      </c>
      <c r="M2407" s="26"/>
    </row>
    <row r="2408" spans="1:13" ht="15" customHeight="1">
      <c r="A2408" s="25">
        <v>1732167</v>
      </c>
      <c r="B2408" s="26" t="s">
        <v>5427</v>
      </c>
      <c r="C2408" s="26" t="s">
        <v>10633</v>
      </c>
      <c r="D2408" s="26" t="s">
        <v>10616</v>
      </c>
      <c r="E2408" s="26" t="s">
        <v>5540</v>
      </c>
      <c r="F2408" s="27">
        <v>6095221</v>
      </c>
      <c r="G2408" s="27">
        <v>0</v>
      </c>
      <c r="H2408" s="27">
        <v>0</v>
      </c>
      <c r="I2408" s="27">
        <v>0</v>
      </c>
      <c r="J2408" s="30">
        <f t="shared" si="111"/>
        <v>0</v>
      </c>
      <c r="K2408" s="30">
        <f t="shared" si="112"/>
        <v>0</v>
      </c>
      <c r="L2408" s="26">
        <f t="shared" si="113"/>
        <v>0</v>
      </c>
      <c r="M2408" s="26">
        <v>0</v>
      </c>
    </row>
    <row r="2409" spans="1:13" ht="15" customHeight="1">
      <c r="A2409" s="25">
        <v>1732460</v>
      </c>
      <c r="B2409" s="26" t="s">
        <v>5423</v>
      </c>
      <c r="C2409" s="26" t="s">
        <v>10634</v>
      </c>
      <c r="D2409" s="26" t="s">
        <v>10627</v>
      </c>
      <c r="E2409" s="26" t="s">
        <v>5683</v>
      </c>
      <c r="F2409" s="27">
        <v>6086619</v>
      </c>
      <c r="G2409" s="27">
        <v>1</v>
      </c>
      <c r="H2409" s="27">
        <v>0</v>
      </c>
      <c r="I2409" s="27">
        <v>1</v>
      </c>
      <c r="J2409" s="30">
        <f t="shared" si="111"/>
        <v>1</v>
      </c>
      <c r="K2409" s="30">
        <f t="shared" si="112"/>
        <v>0</v>
      </c>
      <c r="L2409" s="26">
        <f t="shared" si="113"/>
        <v>0</v>
      </c>
      <c r="M2409" s="26"/>
    </row>
    <row r="2410" spans="1:13" ht="15" customHeight="1">
      <c r="A2410" s="25">
        <v>1732566</v>
      </c>
      <c r="B2410" s="26" t="s">
        <v>5423</v>
      </c>
      <c r="C2410" s="26" t="s">
        <v>10635</v>
      </c>
      <c r="D2410" s="26" t="s">
        <v>10636</v>
      </c>
      <c r="E2410" s="26" t="s">
        <v>5488</v>
      </c>
      <c r="F2410" s="27">
        <v>6095837</v>
      </c>
      <c r="G2410" s="27">
        <v>1</v>
      </c>
      <c r="H2410" s="27">
        <v>0</v>
      </c>
      <c r="I2410" s="27">
        <v>1</v>
      </c>
      <c r="J2410" s="30">
        <f t="shared" si="111"/>
        <v>1</v>
      </c>
      <c r="K2410" s="30">
        <f t="shared" si="112"/>
        <v>0</v>
      </c>
      <c r="L2410" s="26">
        <f t="shared" si="113"/>
        <v>0</v>
      </c>
      <c r="M2410" s="26"/>
    </row>
    <row r="2411" spans="1:13" ht="15" customHeight="1">
      <c r="A2411" s="25">
        <v>1732616</v>
      </c>
      <c r="B2411" s="26" t="s">
        <v>5423</v>
      </c>
      <c r="C2411" s="26" t="s">
        <v>10637</v>
      </c>
      <c r="D2411" s="26" t="s">
        <v>10627</v>
      </c>
      <c r="E2411" s="26" t="s">
        <v>5603</v>
      </c>
      <c r="F2411" s="27">
        <v>6096329</v>
      </c>
      <c r="G2411" s="27">
        <v>1</v>
      </c>
      <c r="H2411" s="27">
        <v>0</v>
      </c>
      <c r="I2411" s="27">
        <v>1</v>
      </c>
      <c r="J2411" s="30">
        <f t="shared" si="111"/>
        <v>1</v>
      </c>
      <c r="K2411" s="30">
        <f t="shared" si="112"/>
        <v>0</v>
      </c>
      <c r="L2411" s="26">
        <f t="shared" si="113"/>
        <v>0</v>
      </c>
      <c r="M2411" s="26"/>
    </row>
    <row r="2412" spans="1:13" ht="15" customHeight="1">
      <c r="A2412" s="25">
        <v>1732639</v>
      </c>
      <c r="B2412" s="26" t="s">
        <v>5423</v>
      </c>
      <c r="C2412" s="26" t="s">
        <v>10638</v>
      </c>
      <c r="D2412" s="26" t="s">
        <v>10627</v>
      </c>
      <c r="E2412" s="26" t="s">
        <v>5463</v>
      </c>
      <c r="F2412" s="27">
        <v>6097149</v>
      </c>
      <c r="G2412" s="27">
        <v>0</v>
      </c>
      <c r="H2412" s="27">
        <v>0</v>
      </c>
      <c r="I2412" s="27">
        <v>0</v>
      </c>
      <c r="J2412" s="30">
        <f t="shared" si="111"/>
        <v>0</v>
      </c>
      <c r="K2412" s="30">
        <f t="shared" si="112"/>
        <v>0</v>
      </c>
      <c r="L2412" s="26">
        <f t="shared" si="113"/>
        <v>0</v>
      </c>
      <c r="M2412" s="26">
        <v>0</v>
      </c>
    </row>
    <row r="2413" spans="1:13" ht="15" customHeight="1">
      <c r="A2413" s="25">
        <v>1732645</v>
      </c>
      <c r="B2413" s="26" t="s">
        <v>5427</v>
      </c>
      <c r="C2413" s="26" t="s">
        <v>10639</v>
      </c>
      <c r="D2413" s="26" t="s">
        <v>10640</v>
      </c>
      <c r="E2413" s="26" t="s">
        <v>5968</v>
      </c>
      <c r="F2413" s="27">
        <v>6096360</v>
      </c>
      <c r="G2413" s="27">
        <v>1</v>
      </c>
      <c r="H2413" s="27">
        <v>1</v>
      </c>
      <c r="I2413" s="27">
        <v>1</v>
      </c>
      <c r="J2413" s="30">
        <f t="shared" si="111"/>
        <v>1</v>
      </c>
      <c r="K2413" s="30">
        <f t="shared" si="112"/>
        <v>1</v>
      </c>
      <c r="L2413" s="26">
        <f t="shared" si="113"/>
        <v>1</v>
      </c>
      <c r="M2413" s="26" t="s">
        <v>7910</v>
      </c>
    </row>
    <row r="2414" spans="1:13" ht="15" customHeight="1">
      <c r="A2414" s="25">
        <v>1732937</v>
      </c>
      <c r="B2414" s="26" t="s">
        <v>5423</v>
      </c>
      <c r="C2414" s="26" t="s">
        <v>10641</v>
      </c>
      <c r="D2414" s="26" t="s">
        <v>10640</v>
      </c>
      <c r="E2414" s="26" t="s">
        <v>5430</v>
      </c>
      <c r="F2414" s="27">
        <v>6097741</v>
      </c>
      <c r="G2414" s="27">
        <v>1</v>
      </c>
      <c r="H2414" s="27">
        <v>1</v>
      </c>
      <c r="I2414" s="27">
        <v>1</v>
      </c>
      <c r="J2414" s="30">
        <f t="shared" si="111"/>
        <v>1</v>
      </c>
      <c r="K2414" s="30">
        <f t="shared" si="112"/>
        <v>1</v>
      </c>
      <c r="L2414" s="26">
        <f t="shared" si="113"/>
        <v>1</v>
      </c>
      <c r="M2414" s="26"/>
    </row>
    <row r="2415" spans="1:13" ht="15" customHeight="1">
      <c r="A2415" s="25">
        <v>1733120</v>
      </c>
      <c r="B2415" s="26" t="s">
        <v>5423</v>
      </c>
      <c r="C2415" s="26" t="s">
        <v>10642</v>
      </c>
      <c r="D2415" s="26" t="s">
        <v>10643</v>
      </c>
      <c r="E2415" s="26" t="s">
        <v>5426</v>
      </c>
      <c r="F2415" s="27">
        <v>5866155</v>
      </c>
      <c r="G2415" s="27">
        <v>1</v>
      </c>
      <c r="H2415" s="27">
        <v>0</v>
      </c>
      <c r="I2415" s="27">
        <v>1</v>
      </c>
      <c r="J2415" s="30">
        <f t="shared" si="111"/>
        <v>1</v>
      </c>
      <c r="K2415" s="30">
        <f t="shared" si="112"/>
        <v>0</v>
      </c>
      <c r="L2415" s="26">
        <f t="shared" si="113"/>
        <v>0</v>
      </c>
      <c r="M2415" s="26"/>
    </row>
    <row r="2416" spans="1:13" ht="15" customHeight="1">
      <c r="A2416" s="25">
        <v>1733173</v>
      </c>
      <c r="B2416" s="26" t="s">
        <v>5423</v>
      </c>
      <c r="C2416" s="26" t="s">
        <v>10644</v>
      </c>
      <c r="D2416" s="26" t="s">
        <v>10645</v>
      </c>
      <c r="E2416" s="26" t="s">
        <v>5458</v>
      </c>
      <c r="F2416" s="27">
        <v>5255856</v>
      </c>
      <c r="G2416" s="27">
        <v>0</v>
      </c>
      <c r="H2416" s="27">
        <v>0</v>
      </c>
      <c r="I2416" s="27">
        <v>0</v>
      </c>
      <c r="J2416" s="30">
        <f t="shared" si="111"/>
        <v>0</v>
      </c>
      <c r="K2416" s="30">
        <f t="shared" si="112"/>
        <v>0</v>
      </c>
      <c r="L2416" s="26">
        <f t="shared" si="113"/>
        <v>0</v>
      </c>
      <c r="M2416" s="26" t="s">
        <v>5557</v>
      </c>
    </row>
    <row r="2417" spans="1:13" ht="15" customHeight="1">
      <c r="A2417" s="25">
        <v>1733201</v>
      </c>
      <c r="B2417" s="26" t="s">
        <v>5423</v>
      </c>
      <c r="C2417" s="26" t="s">
        <v>10646</v>
      </c>
      <c r="D2417" s="26" t="s">
        <v>10647</v>
      </c>
      <c r="E2417" s="26" t="s">
        <v>5507</v>
      </c>
      <c r="F2417" s="27">
        <v>6079445</v>
      </c>
      <c r="G2417" s="27">
        <v>1</v>
      </c>
      <c r="H2417" s="27">
        <v>1</v>
      </c>
      <c r="I2417" s="27">
        <v>1</v>
      </c>
      <c r="J2417" s="30">
        <f t="shared" si="111"/>
        <v>1</v>
      </c>
      <c r="K2417" s="30">
        <f t="shared" si="112"/>
        <v>1</v>
      </c>
      <c r="L2417" s="26">
        <f t="shared" si="113"/>
        <v>1</v>
      </c>
      <c r="M2417" s="26"/>
    </row>
    <row r="2418" spans="1:13" ht="15" customHeight="1">
      <c r="A2418" s="25">
        <v>1733251</v>
      </c>
      <c r="B2418" s="26" t="s">
        <v>5423</v>
      </c>
      <c r="C2418" s="26" t="s">
        <v>10648</v>
      </c>
      <c r="D2418" s="26" t="s">
        <v>10616</v>
      </c>
      <c r="E2418" s="26" t="s">
        <v>5540</v>
      </c>
      <c r="F2418" s="27">
        <v>6061519</v>
      </c>
      <c r="G2418" s="27">
        <v>1</v>
      </c>
      <c r="H2418" s="27">
        <v>0</v>
      </c>
      <c r="I2418" s="27">
        <v>1</v>
      </c>
      <c r="J2418" s="30">
        <f t="shared" si="111"/>
        <v>1</v>
      </c>
      <c r="K2418" s="30">
        <f t="shared" si="112"/>
        <v>0</v>
      </c>
      <c r="L2418" s="26">
        <f t="shared" si="113"/>
        <v>0</v>
      </c>
      <c r="M2418" s="26"/>
    </row>
    <row r="2419" spans="1:13" ht="15" customHeight="1">
      <c r="A2419" s="25">
        <v>1733613</v>
      </c>
      <c r="B2419" s="26" t="s">
        <v>5423</v>
      </c>
      <c r="C2419" s="26" t="s">
        <v>10649</v>
      </c>
      <c r="D2419" s="26" t="s">
        <v>10650</v>
      </c>
      <c r="E2419" s="26" t="s">
        <v>5501</v>
      </c>
      <c r="F2419" s="27">
        <v>6079742</v>
      </c>
      <c r="G2419" s="27">
        <v>1</v>
      </c>
      <c r="H2419" s="27">
        <v>0</v>
      </c>
      <c r="I2419" s="27">
        <v>1</v>
      </c>
      <c r="J2419" s="30">
        <f t="shared" si="111"/>
        <v>1</v>
      </c>
      <c r="K2419" s="30">
        <f t="shared" si="112"/>
        <v>0</v>
      </c>
      <c r="L2419" s="26">
        <f t="shared" si="113"/>
        <v>0</v>
      </c>
      <c r="M2419" s="26"/>
    </row>
    <row r="2420" spans="1:13" ht="15" customHeight="1">
      <c r="A2420" s="25">
        <v>1733630</v>
      </c>
      <c r="B2420" s="26" t="s">
        <v>5423</v>
      </c>
      <c r="C2420" s="26" t="s">
        <v>10651</v>
      </c>
      <c r="D2420" s="26" t="s">
        <v>10650</v>
      </c>
      <c r="E2420" s="26" t="s">
        <v>7387</v>
      </c>
      <c r="F2420" s="27">
        <v>6099755</v>
      </c>
      <c r="G2420" s="27">
        <v>0</v>
      </c>
      <c r="H2420" s="27">
        <v>0</v>
      </c>
      <c r="I2420" s="27">
        <v>0</v>
      </c>
      <c r="J2420" s="30">
        <f t="shared" si="111"/>
        <v>0</v>
      </c>
      <c r="K2420" s="30">
        <f t="shared" si="112"/>
        <v>0</v>
      </c>
      <c r="L2420" s="26">
        <f t="shared" si="113"/>
        <v>0</v>
      </c>
      <c r="M2420" s="26">
        <v>0</v>
      </c>
    </row>
    <row r="2421" spans="1:13" ht="15" customHeight="1">
      <c r="A2421" s="25">
        <v>1733671</v>
      </c>
      <c r="B2421" s="26" t="s">
        <v>5427</v>
      </c>
      <c r="C2421" s="26" t="s">
        <v>10652</v>
      </c>
      <c r="D2421" s="26" t="s">
        <v>10653</v>
      </c>
      <c r="E2421" s="26" t="s">
        <v>5968</v>
      </c>
      <c r="F2421" s="27">
        <v>6099091</v>
      </c>
      <c r="G2421" s="27">
        <v>0</v>
      </c>
      <c r="H2421" s="27">
        <v>1</v>
      </c>
      <c r="I2421" s="27">
        <v>1</v>
      </c>
      <c r="J2421" s="30">
        <f t="shared" si="111"/>
        <v>0</v>
      </c>
      <c r="K2421" s="30">
        <f t="shared" si="112"/>
        <v>1</v>
      </c>
      <c r="L2421" s="26">
        <f t="shared" si="113"/>
        <v>0</v>
      </c>
      <c r="M2421" s="26"/>
    </row>
    <row r="2422" spans="1:13" ht="15" customHeight="1">
      <c r="A2422" s="25">
        <v>1733721</v>
      </c>
      <c r="B2422" s="26" t="s">
        <v>5423</v>
      </c>
      <c r="C2422" s="26" t="s">
        <v>10654</v>
      </c>
      <c r="D2422" s="26" t="s">
        <v>10655</v>
      </c>
      <c r="E2422" s="26" t="s">
        <v>5430</v>
      </c>
      <c r="F2422" s="27">
        <v>6098699</v>
      </c>
      <c r="G2422" s="27">
        <v>1</v>
      </c>
      <c r="H2422" s="27">
        <v>0</v>
      </c>
      <c r="I2422" s="27">
        <v>1</v>
      </c>
      <c r="J2422" s="30">
        <f t="shared" si="111"/>
        <v>1</v>
      </c>
      <c r="K2422" s="30">
        <f t="shared" si="112"/>
        <v>0</v>
      </c>
      <c r="L2422" s="26">
        <f t="shared" si="113"/>
        <v>0</v>
      </c>
      <c r="M2422" s="26"/>
    </row>
    <row r="2423" spans="1:13" ht="15" customHeight="1">
      <c r="A2423" s="25">
        <v>1733755</v>
      </c>
      <c r="B2423" s="26" t="s">
        <v>5423</v>
      </c>
      <c r="C2423" s="26" t="s">
        <v>10656</v>
      </c>
      <c r="D2423" s="26" t="s">
        <v>10650</v>
      </c>
      <c r="E2423" s="26" t="s">
        <v>5707</v>
      </c>
      <c r="F2423" s="27">
        <v>6099030</v>
      </c>
      <c r="G2423" s="27">
        <v>1</v>
      </c>
      <c r="H2423" s="27">
        <v>0</v>
      </c>
      <c r="I2423" s="27">
        <v>1</v>
      </c>
      <c r="J2423" s="30">
        <f t="shared" si="111"/>
        <v>1</v>
      </c>
      <c r="K2423" s="30">
        <f t="shared" si="112"/>
        <v>0</v>
      </c>
      <c r="L2423" s="26">
        <f t="shared" si="113"/>
        <v>0</v>
      </c>
      <c r="M2423" s="26"/>
    </row>
    <row r="2424" spans="1:13" ht="15" customHeight="1">
      <c r="A2424" s="25">
        <v>1733764</v>
      </c>
      <c r="B2424" s="26" t="s">
        <v>5423</v>
      </c>
      <c r="C2424" s="26" t="s">
        <v>10657</v>
      </c>
      <c r="D2424" s="26" t="s">
        <v>10653</v>
      </c>
      <c r="E2424" s="26" t="s">
        <v>5468</v>
      </c>
      <c r="F2424" s="27">
        <v>6098798</v>
      </c>
      <c r="G2424" s="27">
        <v>1</v>
      </c>
      <c r="H2424" s="27">
        <v>0</v>
      </c>
      <c r="I2424" s="27">
        <v>1</v>
      </c>
      <c r="J2424" s="30">
        <f t="shared" si="111"/>
        <v>1</v>
      </c>
      <c r="K2424" s="30">
        <f t="shared" si="112"/>
        <v>0</v>
      </c>
      <c r="L2424" s="26">
        <f t="shared" si="113"/>
        <v>0</v>
      </c>
      <c r="M2424" s="26"/>
    </row>
    <row r="2425" spans="1:13" ht="15" customHeight="1">
      <c r="A2425" s="25">
        <v>1734049</v>
      </c>
      <c r="B2425" s="26" t="s">
        <v>5423</v>
      </c>
      <c r="C2425" s="26" t="s">
        <v>10658</v>
      </c>
      <c r="D2425" s="26" t="s">
        <v>10647</v>
      </c>
      <c r="E2425" s="26" t="s">
        <v>5504</v>
      </c>
      <c r="F2425" s="27">
        <v>6086833</v>
      </c>
      <c r="G2425" s="27">
        <v>1</v>
      </c>
      <c r="H2425" s="27">
        <v>0</v>
      </c>
      <c r="I2425" s="27">
        <v>1</v>
      </c>
      <c r="J2425" s="30">
        <f t="shared" si="111"/>
        <v>1</v>
      </c>
      <c r="K2425" s="30">
        <f t="shared" si="112"/>
        <v>0</v>
      </c>
      <c r="L2425" s="26">
        <f t="shared" si="113"/>
        <v>0</v>
      </c>
      <c r="M2425" s="26"/>
    </row>
    <row r="2426" spans="1:13" ht="15" customHeight="1">
      <c r="A2426" s="25">
        <v>1734082</v>
      </c>
      <c r="B2426" s="26" t="s">
        <v>5427</v>
      </c>
      <c r="C2426" s="26" t="s">
        <v>10659</v>
      </c>
      <c r="D2426" s="26" t="s">
        <v>10653</v>
      </c>
      <c r="E2426" s="26" t="s">
        <v>5468</v>
      </c>
      <c r="F2426" s="27">
        <v>6075591</v>
      </c>
      <c r="G2426" s="27">
        <v>1</v>
      </c>
      <c r="H2426" s="27">
        <v>1</v>
      </c>
      <c r="I2426" s="27">
        <v>1</v>
      </c>
      <c r="J2426" s="30">
        <f t="shared" si="111"/>
        <v>1</v>
      </c>
      <c r="K2426" s="30">
        <f t="shared" si="112"/>
        <v>1</v>
      </c>
      <c r="L2426" s="26">
        <f t="shared" si="113"/>
        <v>1</v>
      </c>
      <c r="M2426" s="26"/>
    </row>
    <row r="2427" spans="1:13" ht="15" customHeight="1">
      <c r="A2427" s="25">
        <v>1734220</v>
      </c>
      <c r="B2427" s="26" t="s">
        <v>5427</v>
      </c>
      <c r="C2427" s="26" t="s">
        <v>10660</v>
      </c>
      <c r="D2427" s="26" t="s">
        <v>10661</v>
      </c>
      <c r="E2427" s="26" t="s">
        <v>5545</v>
      </c>
      <c r="F2427" s="27">
        <v>6100684</v>
      </c>
      <c r="G2427" s="27">
        <v>1</v>
      </c>
      <c r="H2427" s="27">
        <v>0</v>
      </c>
      <c r="I2427" s="27">
        <v>1</v>
      </c>
      <c r="J2427" s="30">
        <f t="shared" si="111"/>
        <v>1</v>
      </c>
      <c r="K2427" s="30">
        <f t="shared" si="112"/>
        <v>0</v>
      </c>
      <c r="L2427" s="26">
        <f t="shared" si="113"/>
        <v>0</v>
      </c>
      <c r="M2427" s="26"/>
    </row>
    <row r="2428" spans="1:13" ht="15" customHeight="1">
      <c r="A2428" s="25">
        <v>1734221</v>
      </c>
      <c r="B2428" s="26" t="s">
        <v>5427</v>
      </c>
      <c r="C2428" s="26" t="s">
        <v>10662</v>
      </c>
      <c r="D2428" s="26" t="s">
        <v>10663</v>
      </c>
      <c r="E2428" s="26" t="s">
        <v>5447</v>
      </c>
      <c r="F2428" s="27">
        <v>6101108</v>
      </c>
      <c r="G2428" s="27">
        <v>0</v>
      </c>
      <c r="H2428" s="27">
        <v>0</v>
      </c>
      <c r="I2428" s="27">
        <v>0</v>
      </c>
      <c r="J2428" s="30">
        <f t="shared" si="111"/>
        <v>0</v>
      </c>
      <c r="K2428" s="30">
        <f t="shared" si="112"/>
        <v>0</v>
      </c>
      <c r="L2428" s="26">
        <f t="shared" si="113"/>
        <v>0</v>
      </c>
      <c r="M2428" s="26">
        <v>0</v>
      </c>
    </row>
    <row r="2429" spans="1:13" ht="15" customHeight="1">
      <c r="A2429" s="25">
        <v>1734475</v>
      </c>
      <c r="B2429" s="26" t="s">
        <v>5423</v>
      </c>
      <c r="C2429" s="26" t="s">
        <v>10664</v>
      </c>
      <c r="D2429" s="26" t="s">
        <v>10653</v>
      </c>
      <c r="E2429" s="26" t="s">
        <v>5586</v>
      </c>
      <c r="F2429" s="27">
        <v>6075005</v>
      </c>
      <c r="G2429" s="27">
        <v>1</v>
      </c>
      <c r="H2429" s="27">
        <v>0</v>
      </c>
      <c r="I2429" s="27">
        <v>1</v>
      </c>
      <c r="J2429" s="30">
        <f t="shared" si="111"/>
        <v>1</v>
      </c>
      <c r="K2429" s="30">
        <f t="shared" si="112"/>
        <v>0</v>
      </c>
      <c r="L2429" s="26">
        <f t="shared" si="113"/>
        <v>0</v>
      </c>
      <c r="M2429" s="26"/>
    </row>
    <row r="2430" spans="1:13" ht="15" customHeight="1">
      <c r="A2430" s="25">
        <v>1734693</v>
      </c>
      <c r="B2430" s="26" t="s">
        <v>5427</v>
      </c>
      <c r="C2430" s="26" t="s">
        <v>10665</v>
      </c>
      <c r="D2430" s="26" t="s">
        <v>10666</v>
      </c>
      <c r="E2430" s="26" t="s">
        <v>5488</v>
      </c>
      <c r="F2430" s="27">
        <v>6105714</v>
      </c>
      <c r="G2430" s="27">
        <v>0</v>
      </c>
      <c r="H2430" s="27">
        <v>0</v>
      </c>
      <c r="I2430" s="27">
        <v>0</v>
      </c>
      <c r="J2430" s="30">
        <f t="shared" si="111"/>
        <v>0</v>
      </c>
      <c r="K2430" s="30">
        <f t="shared" si="112"/>
        <v>0</v>
      </c>
      <c r="L2430" s="26">
        <f t="shared" si="113"/>
        <v>0</v>
      </c>
      <c r="M2430" s="26">
        <v>0</v>
      </c>
    </row>
    <row r="2431" spans="1:13" ht="15" customHeight="1">
      <c r="A2431" s="25">
        <v>1734765</v>
      </c>
      <c r="B2431" s="26" t="s">
        <v>5423</v>
      </c>
      <c r="C2431" s="26" t="s">
        <v>10667</v>
      </c>
      <c r="D2431" s="26" t="s">
        <v>10655</v>
      </c>
      <c r="E2431" s="26" t="s">
        <v>5522</v>
      </c>
      <c r="F2431" s="27">
        <v>5610902</v>
      </c>
      <c r="G2431" s="27">
        <v>1</v>
      </c>
      <c r="H2431" s="27">
        <v>1</v>
      </c>
      <c r="I2431" s="27">
        <v>1</v>
      </c>
      <c r="J2431" s="30">
        <f t="shared" si="111"/>
        <v>1</v>
      </c>
      <c r="K2431" s="30">
        <f t="shared" si="112"/>
        <v>1</v>
      </c>
      <c r="L2431" s="26">
        <f t="shared" si="113"/>
        <v>1</v>
      </c>
      <c r="M2431" s="26"/>
    </row>
    <row r="2432" spans="1:13" ht="15" customHeight="1">
      <c r="A2432" s="25">
        <v>1734783</v>
      </c>
      <c r="B2432" s="26" t="s">
        <v>5423</v>
      </c>
      <c r="C2432" s="26" t="s">
        <v>10668</v>
      </c>
      <c r="D2432" s="26" t="s">
        <v>10655</v>
      </c>
      <c r="E2432" s="26" t="s">
        <v>5504</v>
      </c>
      <c r="F2432" s="27">
        <v>6101649</v>
      </c>
      <c r="G2432" s="27">
        <v>0</v>
      </c>
      <c r="H2432" s="27">
        <v>0</v>
      </c>
      <c r="I2432" s="27">
        <v>0</v>
      </c>
      <c r="J2432" s="30">
        <f t="shared" si="111"/>
        <v>0</v>
      </c>
      <c r="K2432" s="30">
        <f t="shared" si="112"/>
        <v>0</v>
      </c>
      <c r="L2432" s="26">
        <f t="shared" si="113"/>
        <v>0</v>
      </c>
      <c r="M2432" s="26">
        <v>0</v>
      </c>
    </row>
    <row r="2433" spans="1:13" ht="15" customHeight="1">
      <c r="A2433" s="25">
        <v>1734810</v>
      </c>
      <c r="B2433" s="26" t="s">
        <v>5427</v>
      </c>
      <c r="C2433" s="26" t="s">
        <v>10669</v>
      </c>
      <c r="D2433" s="26" t="s">
        <v>10655</v>
      </c>
      <c r="E2433" s="26" t="s">
        <v>5540</v>
      </c>
      <c r="F2433" s="27">
        <v>6086734</v>
      </c>
      <c r="G2433" s="27">
        <v>1</v>
      </c>
      <c r="H2433" s="27">
        <v>1</v>
      </c>
      <c r="I2433" s="27">
        <v>1</v>
      </c>
      <c r="J2433" s="30">
        <f t="shared" si="111"/>
        <v>1</v>
      </c>
      <c r="K2433" s="30">
        <f t="shared" si="112"/>
        <v>1</v>
      </c>
      <c r="L2433" s="26">
        <f t="shared" si="113"/>
        <v>1</v>
      </c>
      <c r="M2433" s="26"/>
    </row>
    <row r="2434" spans="1:13" ht="15" customHeight="1">
      <c r="A2434" s="25">
        <v>1734811</v>
      </c>
      <c r="B2434" s="26" t="s">
        <v>5427</v>
      </c>
      <c r="C2434" s="26" t="s">
        <v>10670</v>
      </c>
      <c r="D2434" s="26" t="s">
        <v>10671</v>
      </c>
      <c r="E2434" s="26" t="s">
        <v>5707</v>
      </c>
      <c r="F2434" s="27">
        <v>5264772</v>
      </c>
      <c r="G2434" s="27">
        <v>1</v>
      </c>
      <c r="H2434" s="27">
        <v>1</v>
      </c>
      <c r="I2434" s="27">
        <v>1</v>
      </c>
      <c r="J2434" s="30">
        <f t="shared" ref="J2434:J2497" si="114">IF(G2434&gt;0,1,0)</f>
        <v>1</v>
      </c>
      <c r="K2434" s="30">
        <f t="shared" ref="K2434:K2497" si="115">IF(H2434&gt;0,1,0)</f>
        <v>1</v>
      </c>
      <c r="L2434" s="26">
        <f t="shared" ref="L2434:L2497" si="116">IF(G2434&gt;0,IF(H2434&gt;0,1,0),0)</f>
        <v>1</v>
      </c>
      <c r="M2434" s="26"/>
    </row>
    <row r="2435" spans="1:13" ht="15" customHeight="1">
      <c r="A2435" s="25">
        <v>1735158</v>
      </c>
      <c r="B2435" s="26" t="s">
        <v>5423</v>
      </c>
      <c r="C2435" s="26" t="s">
        <v>10672</v>
      </c>
      <c r="D2435" s="26" t="s">
        <v>10673</v>
      </c>
      <c r="E2435" s="26" t="s">
        <v>5535</v>
      </c>
      <c r="F2435" s="27">
        <v>6102904</v>
      </c>
      <c r="G2435" s="27">
        <v>0</v>
      </c>
      <c r="H2435" s="27">
        <v>1</v>
      </c>
      <c r="I2435" s="27">
        <v>1</v>
      </c>
      <c r="J2435" s="30">
        <f t="shared" si="114"/>
        <v>0</v>
      </c>
      <c r="K2435" s="30">
        <f t="shared" si="115"/>
        <v>1</v>
      </c>
      <c r="L2435" s="26">
        <f t="shared" si="116"/>
        <v>0</v>
      </c>
      <c r="M2435" s="26"/>
    </row>
    <row r="2436" spans="1:13" ht="15" customHeight="1">
      <c r="A2436" s="25">
        <v>1735488</v>
      </c>
      <c r="B2436" s="26" t="s">
        <v>5423</v>
      </c>
      <c r="C2436" s="26" t="s">
        <v>10674</v>
      </c>
      <c r="D2436" s="26" t="s">
        <v>10673</v>
      </c>
      <c r="E2436" s="26" t="s">
        <v>5426</v>
      </c>
      <c r="F2436" s="27">
        <v>6105536</v>
      </c>
      <c r="G2436" s="27">
        <v>0</v>
      </c>
      <c r="H2436" s="27">
        <v>0</v>
      </c>
      <c r="I2436" s="27">
        <v>0</v>
      </c>
      <c r="J2436" s="30">
        <f t="shared" si="114"/>
        <v>0</v>
      </c>
      <c r="K2436" s="30">
        <f t="shared" si="115"/>
        <v>0</v>
      </c>
      <c r="L2436" s="26">
        <f t="shared" si="116"/>
        <v>0</v>
      </c>
      <c r="M2436" s="26">
        <v>0</v>
      </c>
    </row>
    <row r="2437" spans="1:13" ht="15" customHeight="1">
      <c r="A2437" s="25">
        <v>1735497</v>
      </c>
      <c r="B2437" s="26" t="s">
        <v>5423</v>
      </c>
      <c r="C2437" s="26" t="s">
        <v>10675</v>
      </c>
      <c r="D2437" s="26" t="s">
        <v>10673</v>
      </c>
      <c r="E2437" s="26" t="s">
        <v>5535</v>
      </c>
      <c r="F2437" s="27">
        <v>5959400</v>
      </c>
      <c r="G2437" s="27">
        <v>1</v>
      </c>
      <c r="H2437" s="27">
        <v>0</v>
      </c>
      <c r="I2437" s="27">
        <v>1</v>
      </c>
      <c r="J2437" s="30">
        <f t="shared" si="114"/>
        <v>1</v>
      </c>
      <c r="K2437" s="30">
        <f t="shared" si="115"/>
        <v>0</v>
      </c>
      <c r="L2437" s="26">
        <f t="shared" si="116"/>
        <v>0</v>
      </c>
      <c r="M2437" s="26"/>
    </row>
    <row r="2438" spans="1:13" ht="15" customHeight="1">
      <c r="A2438" s="25">
        <v>1735613</v>
      </c>
      <c r="B2438" s="26" t="s">
        <v>5423</v>
      </c>
      <c r="C2438" s="26" t="s">
        <v>10676</v>
      </c>
      <c r="D2438" s="26" t="s">
        <v>10677</v>
      </c>
      <c r="E2438" s="26" t="s">
        <v>5452</v>
      </c>
      <c r="F2438" s="27">
        <v>6104589</v>
      </c>
      <c r="G2438" s="27">
        <v>1</v>
      </c>
      <c r="H2438" s="27">
        <v>1</v>
      </c>
      <c r="I2438" s="27">
        <v>1</v>
      </c>
      <c r="J2438" s="30">
        <f t="shared" si="114"/>
        <v>1</v>
      </c>
      <c r="K2438" s="30">
        <f t="shared" si="115"/>
        <v>1</v>
      </c>
      <c r="L2438" s="26">
        <f t="shared" si="116"/>
        <v>1</v>
      </c>
      <c r="M2438" s="26"/>
    </row>
    <row r="2439" spans="1:13" ht="15" customHeight="1">
      <c r="A2439" s="25">
        <v>1735625</v>
      </c>
      <c r="B2439" s="26" t="s">
        <v>5423</v>
      </c>
      <c r="C2439" s="26" t="s">
        <v>10678</v>
      </c>
      <c r="D2439" s="26" t="s">
        <v>10679</v>
      </c>
      <c r="E2439" s="26" t="s">
        <v>5488</v>
      </c>
      <c r="F2439" s="27">
        <v>6105461</v>
      </c>
      <c r="G2439" s="27">
        <v>1</v>
      </c>
      <c r="H2439" s="27">
        <v>0</v>
      </c>
      <c r="I2439" s="27">
        <v>1</v>
      </c>
      <c r="J2439" s="30">
        <f t="shared" si="114"/>
        <v>1</v>
      </c>
      <c r="K2439" s="30">
        <f t="shared" si="115"/>
        <v>0</v>
      </c>
      <c r="L2439" s="26">
        <f t="shared" si="116"/>
        <v>0</v>
      </c>
      <c r="M2439" s="26"/>
    </row>
    <row r="2440" spans="1:13" ht="15" customHeight="1">
      <c r="A2440" s="25">
        <v>1735697</v>
      </c>
      <c r="B2440" s="26" t="s">
        <v>5423</v>
      </c>
      <c r="C2440" s="26" t="s">
        <v>10680</v>
      </c>
      <c r="D2440" s="26" t="s">
        <v>10681</v>
      </c>
      <c r="E2440" s="26" t="s">
        <v>5550</v>
      </c>
      <c r="F2440" s="27">
        <v>5346042</v>
      </c>
      <c r="G2440" s="27">
        <v>0</v>
      </c>
      <c r="H2440" s="27">
        <v>0</v>
      </c>
      <c r="I2440" s="27">
        <v>0</v>
      </c>
      <c r="J2440" s="30">
        <f t="shared" si="114"/>
        <v>0</v>
      </c>
      <c r="K2440" s="30">
        <f t="shared" si="115"/>
        <v>0</v>
      </c>
      <c r="L2440" s="26">
        <f t="shared" si="116"/>
        <v>0</v>
      </c>
      <c r="M2440" s="26" t="s">
        <v>5557</v>
      </c>
    </row>
    <row r="2441" spans="1:13" ht="15" customHeight="1">
      <c r="A2441" s="25">
        <v>1735721</v>
      </c>
      <c r="B2441" s="26" t="s">
        <v>5423</v>
      </c>
      <c r="C2441" s="26" t="s">
        <v>10682</v>
      </c>
      <c r="D2441" s="26" t="s">
        <v>10683</v>
      </c>
      <c r="E2441" s="26" t="s">
        <v>5458</v>
      </c>
      <c r="F2441" s="27">
        <v>6104595</v>
      </c>
      <c r="G2441" s="27">
        <v>1</v>
      </c>
      <c r="H2441" s="27">
        <v>0</v>
      </c>
      <c r="I2441" s="27">
        <v>1</v>
      </c>
      <c r="J2441" s="30">
        <f t="shared" si="114"/>
        <v>1</v>
      </c>
      <c r="K2441" s="30">
        <f t="shared" si="115"/>
        <v>0</v>
      </c>
      <c r="L2441" s="26">
        <f t="shared" si="116"/>
        <v>0</v>
      </c>
      <c r="M2441" s="26"/>
    </row>
    <row r="2442" spans="1:13" ht="15" customHeight="1">
      <c r="A2442" s="25">
        <v>1735732</v>
      </c>
      <c r="B2442" s="26" t="s">
        <v>5423</v>
      </c>
      <c r="C2442" s="26" t="s">
        <v>10684</v>
      </c>
      <c r="D2442" s="26" t="s">
        <v>10677</v>
      </c>
      <c r="E2442" s="26" t="s">
        <v>5442</v>
      </c>
      <c r="F2442" s="27">
        <v>6104596</v>
      </c>
      <c r="G2442" s="27">
        <v>1</v>
      </c>
      <c r="H2442" s="27">
        <v>1</v>
      </c>
      <c r="I2442" s="27">
        <v>1</v>
      </c>
      <c r="J2442" s="30">
        <f t="shared" si="114"/>
        <v>1</v>
      </c>
      <c r="K2442" s="30">
        <f t="shared" si="115"/>
        <v>1</v>
      </c>
      <c r="L2442" s="26">
        <f t="shared" si="116"/>
        <v>1</v>
      </c>
      <c r="M2442" s="26"/>
    </row>
    <row r="2443" spans="1:13" ht="15" customHeight="1">
      <c r="A2443" s="25">
        <v>1735756</v>
      </c>
      <c r="B2443" s="26" t="s">
        <v>5423</v>
      </c>
      <c r="C2443" s="26" t="s">
        <v>10685</v>
      </c>
      <c r="D2443" s="26" t="s">
        <v>10683</v>
      </c>
      <c r="E2443" s="26" t="s">
        <v>5455</v>
      </c>
      <c r="F2443" s="27">
        <v>6090104</v>
      </c>
      <c r="G2443" s="27">
        <v>1</v>
      </c>
      <c r="H2443" s="27">
        <v>0</v>
      </c>
      <c r="I2443" s="27">
        <v>1</v>
      </c>
      <c r="J2443" s="30">
        <f t="shared" si="114"/>
        <v>1</v>
      </c>
      <c r="K2443" s="30">
        <f t="shared" si="115"/>
        <v>0</v>
      </c>
      <c r="L2443" s="26">
        <f t="shared" si="116"/>
        <v>0</v>
      </c>
      <c r="M2443" s="26"/>
    </row>
    <row r="2444" spans="1:13" ht="15" customHeight="1">
      <c r="A2444" s="25">
        <v>1736155</v>
      </c>
      <c r="B2444" s="26" t="s">
        <v>5427</v>
      </c>
      <c r="C2444" s="26" t="s">
        <v>10686</v>
      </c>
      <c r="D2444" s="26" t="s">
        <v>10687</v>
      </c>
      <c r="E2444" s="26" t="s">
        <v>6075</v>
      </c>
      <c r="F2444" s="27">
        <v>6090918</v>
      </c>
      <c r="G2444" s="27">
        <v>1</v>
      </c>
      <c r="H2444" s="27">
        <v>1</v>
      </c>
      <c r="I2444" s="27">
        <v>1</v>
      </c>
      <c r="J2444" s="30">
        <f t="shared" si="114"/>
        <v>1</v>
      </c>
      <c r="K2444" s="30">
        <f t="shared" si="115"/>
        <v>1</v>
      </c>
      <c r="L2444" s="26">
        <f t="shared" si="116"/>
        <v>1</v>
      </c>
      <c r="M2444" s="26"/>
    </row>
    <row r="2445" spans="1:13" ht="15" customHeight="1">
      <c r="A2445" s="25">
        <v>1736522</v>
      </c>
      <c r="B2445" s="26" t="s">
        <v>5423</v>
      </c>
      <c r="C2445" s="26" t="s">
        <v>10688</v>
      </c>
      <c r="D2445" s="26" t="s">
        <v>10689</v>
      </c>
      <c r="E2445" s="26" t="s">
        <v>5763</v>
      </c>
      <c r="F2445" s="27">
        <v>6106798</v>
      </c>
      <c r="G2445" s="27">
        <v>0</v>
      </c>
      <c r="H2445" s="27">
        <v>0</v>
      </c>
      <c r="I2445" s="27">
        <v>0</v>
      </c>
      <c r="J2445" s="30">
        <f t="shared" si="114"/>
        <v>0</v>
      </c>
      <c r="K2445" s="30">
        <f t="shared" si="115"/>
        <v>0</v>
      </c>
      <c r="L2445" s="26">
        <f t="shared" si="116"/>
        <v>0</v>
      </c>
      <c r="M2445" s="26" t="s">
        <v>5567</v>
      </c>
    </row>
    <row r="2446" spans="1:13" ht="15" customHeight="1">
      <c r="A2446" s="25">
        <v>1736564</v>
      </c>
      <c r="B2446" s="26" t="s">
        <v>5423</v>
      </c>
      <c r="C2446" s="26" t="s">
        <v>10690</v>
      </c>
      <c r="D2446" s="26" t="s">
        <v>10666</v>
      </c>
      <c r="E2446" s="26" t="s">
        <v>5468</v>
      </c>
      <c r="F2446" s="27">
        <v>6108131</v>
      </c>
      <c r="G2446" s="27">
        <v>0</v>
      </c>
      <c r="H2446" s="27">
        <v>0</v>
      </c>
      <c r="I2446" s="27">
        <v>0</v>
      </c>
      <c r="J2446" s="30">
        <f t="shared" si="114"/>
        <v>0</v>
      </c>
      <c r="K2446" s="30">
        <f t="shared" si="115"/>
        <v>0</v>
      </c>
      <c r="L2446" s="26">
        <f t="shared" si="116"/>
        <v>0</v>
      </c>
      <c r="M2446" s="26">
        <v>0</v>
      </c>
    </row>
    <row r="2447" spans="1:13" ht="15" customHeight="1">
      <c r="A2447" s="25">
        <v>1736566</v>
      </c>
      <c r="B2447" s="26" t="s">
        <v>5423</v>
      </c>
      <c r="C2447" s="26" t="s">
        <v>10691</v>
      </c>
      <c r="D2447" s="26" t="s">
        <v>10692</v>
      </c>
      <c r="E2447" s="26" t="s">
        <v>5439</v>
      </c>
      <c r="F2447" s="27">
        <v>6107358</v>
      </c>
      <c r="G2447" s="27">
        <v>1</v>
      </c>
      <c r="H2447" s="27">
        <v>0</v>
      </c>
      <c r="I2447" s="27">
        <v>1</v>
      </c>
      <c r="J2447" s="30">
        <f t="shared" si="114"/>
        <v>1</v>
      </c>
      <c r="K2447" s="30">
        <f t="shared" si="115"/>
        <v>0</v>
      </c>
      <c r="L2447" s="26">
        <f t="shared" si="116"/>
        <v>0</v>
      </c>
      <c r="M2447" s="26"/>
    </row>
    <row r="2448" spans="1:13" ht="15" customHeight="1">
      <c r="A2448" s="25">
        <v>1736962</v>
      </c>
      <c r="B2448" s="26" t="s">
        <v>5423</v>
      </c>
      <c r="C2448" s="26" t="s">
        <v>10693</v>
      </c>
      <c r="D2448" s="26" t="s">
        <v>10694</v>
      </c>
      <c r="E2448" s="26" t="s">
        <v>5488</v>
      </c>
      <c r="F2448" s="27">
        <v>6108776</v>
      </c>
      <c r="G2448" s="27">
        <v>0</v>
      </c>
      <c r="H2448" s="27">
        <v>0</v>
      </c>
      <c r="I2448" s="27">
        <v>0</v>
      </c>
      <c r="J2448" s="30">
        <f t="shared" si="114"/>
        <v>0</v>
      </c>
      <c r="K2448" s="30">
        <f t="shared" si="115"/>
        <v>0</v>
      </c>
      <c r="L2448" s="26">
        <f t="shared" si="116"/>
        <v>0</v>
      </c>
      <c r="M2448" s="26">
        <v>0</v>
      </c>
    </row>
    <row r="2449" spans="1:13" ht="15" customHeight="1">
      <c r="A2449" s="25">
        <v>1737816</v>
      </c>
      <c r="B2449" s="26" t="s">
        <v>5423</v>
      </c>
      <c r="C2449" s="26" t="s">
        <v>10695</v>
      </c>
      <c r="D2449" s="26" t="s">
        <v>10696</v>
      </c>
      <c r="E2449" s="26" t="s">
        <v>5468</v>
      </c>
      <c r="F2449" s="27">
        <v>6109870</v>
      </c>
      <c r="G2449" s="27">
        <v>1</v>
      </c>
      <c r="H2449" s="27">
        <v>1</v>
      </c>
      <c r="I2449" s="27">
        <v>1</v>
      </c>
      <c r="J2449" s="30">
        <f t="shared" si="114"/>
        <v>1</v>
      </c>
      <c r="K2449" s="30">
        <f t="shared" si="115"/>
        <v>1</v>
      </c>
      <c r="L2449" s="26">
        <f t="shared" si="116"/>
        <v>1</v>
      </c>
      <c r="M2449" s="26"/>
    </row>
    <row r="2450" spans="1:13" ht="15" customHeight="1">
      <c r="A2450" s="25">
        <v>1737818</v>
      </c>
      <c r="B2450" s="26" t="s">
        <v>5427</v>
      </c>
      <c r="C2450" s="26" t="s">
        <v>10697</v>
      </c>
      <c r="D2450" s="26" t="s">
        <v>10698</v>
      </c>
      <c r="E2450" s="26" t="s">
        <v>5442</v>
      </c>
      <c r="F2450" s="27">
        <v>5523492</v>
      </c>
      <c r="G2450" s="27">
        <v>0</v>
      </c>
      <c r="H2450" s="27">
        <v>0</v>
      </c>
      <c r="I2450" s="27">
        <v>0</v>
      </c>
      <c r="J2450" s="30">
        <f t="shared" si="114"/>
        <v>0</v>
      </c>
      <c r="K2450" s="30">
        <f t="shared" si="115"/>
        <v>0</v>
      </c>
      <c r="L2450" s="26">
        <f t="shared" si="116"/>
        <v>0</v>
      </c>
      <c r="M2450" s="26" t="s">
        <v>5557</v>
      </c>
    </row>
    <row r="2451" spans="1:13" ht="15" customHeight="1">
      <c r="A2451" s="25">
        <v>1737827</v>
      </c>
      <c r="B2451" s="26" t="s">
        <v>5427</v>
      </c>
      <c r="C2451" s="26" t="s">
        <v>10699</v>
      </c>
      <c r="D2451" s="26" t="s">
        <v>10696</v>
      </c>
      <c r="E2451" s="26" t="s">
        <v>5540</v>
      </c>
      <c r="F2451" s="27">
        <v>5712197</v>
      </c>
      <c r="G2451" s="27">
        <v>1</v>
      </c>
      <c r="H2451" s="27">
        <v>1</v>
      </c>
      <c r="I2451" s="27">
        <v>1</v>
      </c>
      <c r="J2451" s="30">
        <f t="shared" si="114"/>
        <v>1</v>
      </c>
      <c r="K2451" s="30">
        <f t="shared" si="115"/>
        <v>1</v>
      </c>
      <c r="L2451" s="26">
        <f t="shared" si="116"/>
        <v>1</v>
      </c>
      <c r="M2451" s="26"/>
    </row>
    <row r="2452" spans="1:13" ht="15" customHeight="1">
      <c r="A2452" s="25">
        <v>1737934</v>
      </c>
      <c r="B2452" s="26" t="s">
        <v>5427</v>
      </c>
      <c r="C2452" s="26" t="s">
        <v>10700</v>
      </c>
      <c r="D2452" s="26" t="s">
        <v>10696</v>
      </c>
      <c r="E2452" s="26" t="s">
        <v>5586</v>
      </c>
      <c r="F2452" s="27">
        <v>6110204</v>
      </c>
      <c r="G2452" s="27">
        <v>1</v>
      </c>
      <c r="H2452" s="27">
        <v>1</v>
      </c>
      <c r="I2452" s="27">
        <v>1</v>
      </c>
      <c r="J2452" s="30">
        <f t="shared" si="114"/>
        <v>1</v>
      </c>
      <c r="K2452" s="30">
        <f t="shared" si="115"/>
        <v>1</v>
      </c>
      <c r="L2452" s="26">
        <f t="shared" si="116"/>
        <v>1</v>
      </c>
      <c r="M2452" s="26"/>
    </row>
    <row r="2453" spans="1:13" ht="15" customHeight="1">
      <c r="A2453" s="25">
        <v>1738053</v>
      </c>
      <c r="B2453" s="26" t="s">
        <v>5423</v>
      </c>
      <c r="C2453" s="26" t="s">
        <v>10701</v>
      </c>
      <c r="D2453" s="26" t="s">
        <v>10702</v>
      </c>
      <c r="E2453" s="26" t="s">
        <v>5433</v>
      </c>
      <c r="F2453" s="27">
        <v>6110637</v>
      </c>
      <c r="G2453" s="27">
        <v>0</v>
      </c>
      <c r="H2453" s="27">
        <v>0</v>
      </c>
      <c r="I2453" s="27">
        <v>0</v>
      </c>
      <c r="J2453" s="30">
        <f t="shared" si="114"/>
        <v>0</v>
      </c>
      <c r="K2453" s="30">
        <f t="shared" si="115"/>
        <v>0</v>
      </c>
      <c r="L2453" s="26">
        <f t="shared" si="116"/>
        <v>0</v>
      </c>
      <c r="M2453" s="26">
        <v>0</v>
      </c>
    </row>
    <row r="2454" spans="1:13" ht="15" customHeight="1">
      <c r="A2454" s="25">
        <v>1738075</v>
      </c>
      <c r="B2454" s="26" t="s">
        <v>5423</v>
      </c>
      <c r="C2454" s="26" t="s">
        <v>10703</v>
      </c>
      <c r="D2454" s="26" t="s">
        <v>10704</v>
      </c>
      <c r="E2454" s="26" t="s">
        <v>5504</v>
      </c>
      <c r="F2454" s="27">
        <v>6103402</v>
      </c>
      <c r="G2454" s="27">
        <v>1</v>
      </c>
      <c r="H2454" s="27">
        <v>0</v>
      </c>
      <c r="I2454" s="27">
        <v>1</v>
      </c>
      <c r="J2454" s="30">
        <f t="shared" si="114"/>
        <v>1</v>
      </c>
      <c r="K2454" s="30">
        <f t="shared" si="115"/>
        <v>0</v>
      </c>
      <c r="L2454" s="26">
        <f t="shared" si="116"/>
        <v>0</v>
      </c>
      <c r="M2454" s="26"/>
    </row>
    <row r="2455" spans="1:13" ht="15" customHeight="1">
      <c r="A2455" s="25">
        <v>1738145</v>
      </c>
      <c r="B2455" s="26" t="s">
        <v>5427</v>
      </c>
      <c r="C2455" s="26" t="s">
        <v>10705</v>
      </c>
      <c r="D2455" s="26" t="s">
        <v>10706</v>
      </c>
      <c r="E2455" s="26" t="s">
        <v>5504</v>
      </c>
      <c r="F2455" s="27">
        <v>6092772</v>
      </c>
      <c r="G2455" s="27">
        <v>1</v>
      </c>
      <c r="H2455" s="27">
        <v>0</v>
      </c>
      <c r="I2455" s="27">
        <v>1</v>
      </c>
      <c r="J2455" s="30">
        <f t="shared" si="114"/>
        <v>1</v>
      </c>
      <c r="K2455" s="30">
        <f t="shared" si="115"/>
        <v>0</v>
      </c>
      <c r="L2455" s="26">
        <f t="shared" si="116"/>
        <v>0</v>
      </c>
      <c r="M2455" s="26"/>
    </row>
    <row r="2456" spans="1:13" ht="15" customHeight="1">
      <c r="A2456" s="25">
        <v>1738314</v>
      </c>
      <c r="B2456" s="26" t="s">
        <v>5423</v>
      </c>
      <c r="C2456" s="26" t="s">
        <v>10707</v>
      </c>
      <c r="D2456" s="26" t="s">
        <v>10706</v>
      </c>
      <c r="E2456" s="26" t="s">
        <v>5491</v>
      </c>
      <c r="F2456" s="27">
        <v>5474787</v>
      </c>
      <c r="G2456" s="27">
        <v>1</v>
      </c>
      <c r="H2456" s="27">
        <v>0</v>
      </c>
      <c r="I2456" s="27">
        <v>1</v>
      </c>
      <c r="J2456" s="30">
        <f t="shared" si="114"/>
        <v>1</v>
      </c>
      <c r="K2456" s="30">
        <f t="shared" si="115"/>
        <v>0</v>
      </c>
      <c r="L2456" s="26">
        <f t="shared" si="116"/>
        <v>0</v>
      </c>
      <c r="M2456" s="26"/>
    </row>
    <row r="2457" spans="1:13" ht="15" customHeight="1">
      <c r="A2457" s="25">
        <v>1738374</v>
      </c>
      <c r="B2457" s="26" t="s">
        <v>5423</v>
      </c>
      <c r="C2457" s="26" t="s">
        <v>10708</v>
      </c>
      <c r="D2457" s="26" t="s">
        <v>10706</v>
      </c>
      <c r="E2457" s="26" t="s">
        <v>5517</v>
      </c>
      <c r="F2457" s="27">
        <v>5788870</v>
      </c>
      <c r="G2457" s="27">
        <v>1</v>
      </c>
      <c r="H2457" s="27">
        <v>0</v>
      </c>
      <c r="I2457" s="27">
        <v>1</v>
      </c>
      <c r="J2457" s="30">
        <f t="shared" si="114"/>
        <v>1</v>
      </c>
      <c r="K2457" s="30">
        <f t="shared" si="115"/>
        <v>0</v>
      </c>
      <c r="L2457" s="26">
        <f t="shared" si="116"/>
        <v>0</v>
      </c>
      <c r="M2457" s="26"/>
    </row>
    <row r="2458" spans="1:13" ht="15" customHeight="1">
      <c r="A2458" s="25">
        <v>1738456</v>
      </c>
      <c r="B2458" s="26" t="s">
        <v>5423</v>
      </c>
      <c r="C2458" s="26" t="s">
        <v>10709</v>
      </c>
      <c r="D2458" s="26" t="s">
        <v>10710</v>
      </c>
      <c r="E2458" s="26" t="s">
        <v>5488</v>
      </c>
      <c r="F2458" s="27">
        <v>6034512</v>
      </c>
      <c r="G2458" s="27">
        <v>1</v>
      </c>
      <c r="H2458" s="27">
        <v>1</v>
      </c>
      <c r="I2458" s="27">
        <v>1</v>
      </c>
      <c r="J2458" s="30">
        <f t="shared" si="114"/>
        <v>1</v>
      </c>
      <c r="K2458" s="30">
        <f t="shared" si="115"/>
        <v>1</v>
      </c>
      <c r="L2458" s="26">
        <f t="shared" si="116"/>
        <v>1</v>
      </c>
      <c r="M2458" s="26"/>
    </row>
    <row r="2459" spans="1:13" ht="15" customHeight="1">
      <c r="A2459" s="25">
        <v>1738697</v>
      </c>
      <c r="B2459" s="26" t="s">
        <v>5423</v>
      </c>
      <c r="C2459" s="26" t="s">
        <v>10711</v>
      </c>
      <c r="D2459" s="26" t="s">
        <v>10712</v>
      </c>
      <c r="E2459" s="26" t="s">
        <v>5532</v>
      </c>
      <c r="F2459" s="27"/>
      <c r="G2459" s="27">
        <v>0</v>
      </c>
      <c r="H2459" s="27">
        <v>0</v>
      </c>
      <c r="I2459" s="27">
        <v>0</v>
      </c>
      <c r="J2459" s="30">
        <f t="shared" si="114"/>
        <v>0</v>
      </c>
      <c r="K2459" s="30">
        <f t="shared" si="115"/>
        <v>0</v>
      </c>
      <c r="L2459" s="26">
        <f t="shared" si="116"/>
        <v>0</v>
      </c>
      <c r="M2459" s="26">
        <v>0</v>
      </c>
    </row>
    <row r="2460" spans="1:13" ht="15" customHeight="1">
      <c r="A2460" s="25">
        <v>1738959</v>
      </c>
      <c r="B2460" s="26" t="s">
        <v>5427</v>
      </c>
      <c r="C2460" s="26" t="s">
        <v>10713</v>
      </c>
      <c r="D2460" s="26" t="s">
        <v>10714</v>
      </c>
      <c r="E2460" s="26" t="s">
        <v>5430</v>
      </c>
      <c r="F2460" s="27">
        <v>5820769</v>
      </c>
      <c r="G2460" s="27">
        <v>0</v>
      </c>
      <c r="H2460" s="27">
        <v>0</v>
      </c>
      <c r="I2460" s="27">
        <v>0</v>
      </c>
      <c r="J2460" s="30">
        <f t="shared" si="114"/>
        <v>0</v>
      </c>
      <c r="K2460" s="30">
        <f t="shared" si="115"/>
        <v>0</v>
      </c>
      <c r="L2460" s="26">
        <f t="shared" si="116"/>
        <v>0</v>
      </c>
      <c r="M2460" s="26" t="s">
        <v>5567</v>
      </c>
    </row>
    <row r="2461" spans="1:13" ht="15" customHeight="1">
      <c r="A2461" s="25">
        <v>1739334</v>
      </c>
      <c r="B2461" s="26" t="s">
        <v>5427</v>
      </c>
      <c r="C2461" s="26" t="s">
        <v>10715</v>
      </c>
      <c r="D2461" s="26" t="s">
        <v>10580</v>
      </c>
      <c r="E2461" s="26" t="s">
        <v>5442</v>
      </c>
      <c r="F2461" s="27">
        <v>6114335</v>
      </c>
      <c r="G2461" s="27">
        <v>1</v>
      </c>
      <c r="H2461" s="27">
        <v>1</v>
      </c>
      <c r="I2461" s="27">
        <v>1</v>
      </c>
      <c r="J2461" s="30">
        <f t="shared" si="114"/>
        <v>1</v>
      </c>
      <c r="K2461" s="30">
        <f t="shared" si="115"/>
        <v>1</v>
      </c>
      <c r="L2461" s="26">
        <f t="shared" si="116"/>
        <v>1</v>
      </c>
      <c r="M2461" s="26"/>
    </row>
    <row r="2462" spans="1:13" ht="15" customHeight="1">
      <c r="A2462" s="25">
        <v>1739409</v>
      </c>
      <c r="B2462" s="26" t="s">
        <v>5427</v>
      </c>
      <c r="C2462" s="26" t="s">
        <v>10716</v>
      </c>
      <c r="D2462" s="26" t="s">
        <v>10714</v>
      </c>
      <c r="E2462" s="26" t="s">
        <v>5532</v>
      </c>
      <c r="F2462" s="27">
        <v>5711674</v>
      </c>
      <c r="G2462" s="27">
        <v>0</v>
      </c>
      <c r="H2462" s="27">
        <v>0</v>
      </c>
      <c r="I2462" s="27">
        <v>0</v>
      </c>
      <c r="J2462" s="30">
        <f t="shared" si="114"/>
        <v>0</v>
      </c>
      <c r="K2462" s="30">
        <f t="shared" si="115"/>
        <v>0</v>
      </c>
      <c r="L2462" s="26">
        <f t="shared" si="116"/>
        <v>0</v>
      </c>
      <c r="M2462" s="26" t="s">
        <v>5557</v>
      </c>
    </row>
    <row r="2463" spans="1:13" ht="15" customHeight="1">
      <c r="A2463" s="25">
        <v>1739428</v>
      </c>
      <c r="B2463" s="26" t="s">
        <v>5427</v>
      </c>
      <c r="C2463" s="26" t="s">
        <v>10717</v>
      </c>
      <c r="D2463" s="26" t="s">
        <v>10718</v>
      </c>
      <c r="E2463" s="26" t="s">
        <v>5575</v>
      </c>
      <c r="F2463" s="27">
        <v>6114467</v>
      </c>
      <c r="G2463" s="27">
        <v>1</v>
      </c>
      <c r="H2463" s="27">
        <v>0</v>
      </c>
      <c r="I2463" s="27">
        <v>1</v>
      </c>
      <c r="J2463" s="30">
        <f t="shared" si="114"/>
        <v>1</v>
      </c>
      <c r="K2463" s="30">
        <f t="shared" si="115"/>
        <v>0</v>
      </c>
      <c r="L2463" s="26">
        <f t="shared" si="116"/>
        <v>0</v>
      </c>
      <c r="M2463" s="26"/>
    </row>
    <row r="2464" spans="1:13" ht="15" customHeight="1">
      <c r="A2464" s="25">
        <v>1739553</v>
      </c>
      <c r="B2464" s="26" t="s">
        <v>5427</v>
      </c>
      <c r="C2464" s="26" t="s">
        <v>10719</v>
      </c>
      <c r="D2464" s="26" t="s">
        <v>10710</v>
      </c>
      <c r="E2464" s="26" t="s">
        <v>5707</v>
      </c>
      <c r="F2464" s="27">
        <v>6114733</v>
      </c>
      <c r="G2464" s="27">
        <v>0</v>
      </c>
      <c r="H2464" s="27">
        <v>0</v>
      </c>
      <c r="I2464" s="27">
        <v>0</v>
      </c>
      <c r="J2464" s="30">
        <f t="shared" si="114"/>
        <v>0</v>
      </c>
      <c r="K2464" s="30">
        <f t="shared" si="115"/>
        <v>0</v>
      </c>
      <c r="L2464" s="26">
        <f t="shared" si="116"/>
        <v>0</v>
      </c>
      <c r="M2464" s="26">
        <v>0</v>
      </c>
    </row>
    <row r="2465" spans="1:13" ht="15" customHeight="1">
      <c r="A2465" s="25">
        <v>1739557</v>
      </c>
      <c r="B2465" s="26" t="s">
        <v>5423</v>
      </c>
      <c r="C2465" s="26" t="s">
        <v>10720</v>
      </c>
      <c r="D2465" s="26" t="s">
        <v>10721</v>
      </c>
      <c r="E2465" s="26" t="s">
        <v>5540</v>
      </c>
      <c r="F2465" s="27"/>
      <c r="G2465" s="27">
        <v>0</v>
      </c>
      <c r="H2465" s="27">
        <v>0</v>
      </c>
      <c r="I2465" s="27">
        <v>0</v>
      </c>
      <c r="J2465" s="30">
        <f t="shared" si="114"/>
        <v>0</v>
      </c>
      <c r="K2465" s="30">
        <f t="shared" si="115"/>
        <v>0</v>
      </c>
      <c r="L2465" s="26">
        <f t="shared" si="116"/>
        <v>0</v>
      </c>
      <c r="M2465" s="26" t="s">
        <v>5557</v>
      </c>
    </row>
    <row r="2466" spans="1:13" ht="15" customHeight="1">
      <c r="A2466" s="25">
        <v>1739991</v>
      </c>
      <c r="B2466" s="26" t="s">
        <v>5423</v>
      </c>
      <c r="C2466" s="26" t="s">
        <v>10722</v>
      </c>
      <c r="D2466" s="26" t="s">
        <v>10723</v>
      </c>
      <c r="E2466" s="26" t="s">
        <v>5522</v>
      </c>
      <c r="F2466" s="27">
        <v>6103025</v>
      </c>
      <c r="G2466" s="27">
        <v>1</v>
      </c>
      <c r="H2466" s="27">
        <v>0</v>
      </c>
      <c r="I2466" s="27">
        <v>1</v>
      </c>
      <c r="J2466" s="30">
        <f t="shared" si="114"/>
        <v>1</v>
      </c>
      <c r="K2466" s="30">
        <f t="shared" si="115"/>
        <v>0</v>
      </c>
      <c r="L2466" s="26">
        <f t="shared" si="116"/>
        <v>0</v>
      </c>
      <c r="M2466" s="26"/>
    </row>
    <row r="2467" spans="1:13" ht="15" customHeight="1">
      <c r="A2467" s="25">
        <v>1740199</v>
      </c>
      <c r="B2467" s="26" t="s">
        <v>5427</v>
      </c>
      <c r="C2467" s="26" t="s">
        <v>10724</v>
      </c>
      <c r="D2467" s="26" t="s">
        <v>10723</v>
      </c>
      <c r="E2467" s="26" t="s">
        <v>5455</v>
      </c>
      <c r="F2467" s="27">
        <v>6117033</v>
      </c>
      <c r="G2467" s="27">
        <v>0</v>
      </c>
      <c r="H2467" s="27">
        <v>0</v>
      </c>
      <c r="I2467" s="27">
        <v>0</v>
      </c>
      <c r="J2467" s="30">
        <f t="shared" si="114"/>
        <v>0</v>
      </c>
      <c r="K2467" s="30">
        <f t="shared" si="115"/>
        <v>0</v>
      </c>
      <c r="L2467" s="26">
        <f t="shared" si="116"/>
        <v>0</v>
      </c>
      <c r="M2467" s="26">
        <v>0</v>
      </c>
    </row>
    <row r="2468" spans="1:13" ht="15" customHeight="1">
      <c r="A2468" s="25">
        <v>1740310</v>
      </c>
      <c r="B2468" s="26" t="s">
        <v>5423</v>
      </c>
      <c r="C2468" s="26" t="s">
        <v>10725</v>
      </c>
      <c r="D2468" s="26" t="s">
        <v>10714</v>
      </c>
      <c r="E2468" s="26" t="s">
        <v>5535</v>
      </c>
      <c r="F2468" s="27">
        <v>6116375</v>
      </c>
      <c r="G2468" s="27">
        <v>0</v>
      </c>
      <c r="H2468" s="27">
        <v>0</v>
      </c>
      <c r="I2468" s="27">
        <v>0</v>
      </c>
      <c r="J2468" s="30">
        <f t="shared" si="114"/>
        <v>0</v>
      </c>
      <c r="K2468" s="30">
        <f t="shared" si="115"/>
        <v>0</v>
      </c>
      <c r="L2468" s="26">
        <f t="shared" si="116"/>
        <v>0</v>
      </c>
      <c r="M2468" s="26">
        <v>0</v>
      </c>
    </row>
    <row r="2469" spans="1:13" ht="15" customHeight="1">
      <c r="A2469" s="25">
        <v>1740360</v>
      </c>
      <c r="B2469" s="26" t="s">
        <v>5423</v>
      </c>
      <c r="C2469" s="26" t="s">
        <v>10726</v>
      </c>
      <c r="D2469" s="26" t="s">
        <v>10727</v>
      </c>
      <c r="E2469" s="26" t="s">
        <v>5718</v>
      </c>
      <c r="F2469" s="27">
        <v>6109787</v>
      </c>
      <c r="G2469" s="27">
        <v>1</v>
      </c>
      <c r="H2469" s="27">
        <v>1</v>
      </c>
      <c r="I2469" s="27">
        <v>1</v>
      </c>
      <c r="J2469" s="30">
        <f t="shared" si="114"/>
        <v>1</v>
      </c>
      <c r="K2469" s="30">
        <f t="shared" si="115"/>
        <v>1</v>
      </c>
      <c r="L2469" s="26">
        <f t="shared" si="116"/>
        <v>1</v>
      </c>
      <c r="M2469" s="26"/>
    </row>
    <row r="2470" spans="1:13" ht="15" customHeight="1">
      <c r="A2470" s="25">
        <v>1740876</v>
      </c>
      <c r="B2470" s="26" t="s">
        <v>5427</v>
      </c>
      <c r="C2470" s="26" t="s">
        <v>10728</v>
      </c>
      <c r="D2470" s="26" t="s">
        <v>10718</v>
      </c>
      <c r="E2470" s="26" t="s">
        <v>5763</v>
      </c>
      <c r="F2470" s="27">
        <v>6118616</v>
      </c>
      <c r="G2470" s="27">
        <v>1</v>
      </c>
      <c r="H2470" s="27">
        <v>0</v>
      </c>
      <c r="I2470" s="27">
        <v>1</v>
      </c>
      <c r="J2470" s="30">
        <f t="shared" si="114"/>
        <v>1</v>
      </c>
      <c r="K2470" s="30">
        <f t="shared" si="115"/>
        <v>0</v>
      </c>
      <c r="L2470" s="26">
        <f t="shared" si="116"/>
        <v>0</v>
      </c>
      <c r="M2470" s="26"/>
    </row>
    <row r="2471" spans="1:13" ht="15" customHeight="1">
      <c r="A2471" s="25">
        <v>1741048</v>
      </c>
      <c r="B2471" s="26" t="s">
        <v>5423</v>
      </c>
      <c r="C2471" s="26" t="s">
        <v>10729</v>
      </c>
      <c r="D2471" s="26" t="s">
        <v>10730</v>
      </c>
      <c r="E2471" s="26" t="s">
        <v>5535</v>
      </c>
      <c r="F2471" s="27">
        <v>6119052</v>
      </c>
      <c r="G2471" s="27">
        <v>1</v>
      </c>
      <c r="H2471" s="27">
        <v>1</v>
      </c>
      <c r="I2471" s="27">
        <v>1</v>
      </c>
      <c r="J2471" s="30">
        <f t="shared" si="114"/>
        <v>1</v>
      </c>
      <c r="K2471" s="30">
        <f t="shared" si="115"/>
        <v>1</v>
      </c>
      <c r="L2471" s="26">
        <f t="shared" si="116"/>
        <v>1</v>
      </c>
      <c r="M2471" s="26"/>
    </row>
    <row r="2472" spans="1:13" ht="15" customHeight="1">
      <c r="A2472" s="25">
        <v>1741213</v>
      </c>
      <c r="B2472" s="26" t="s">
        <v>5423</v>
      </c>
      <c r="C2472" s="26" t="s">
        <v>10731</v>
      </c>
      <c r="D2472" s="26" t="s">
        <v>10732</v>
      </c>
      <c r="E2472" s="26" t="s">
        <v>5475</v>
      </c>
      <c r="F2472" s="27">
        <v>6119039</v>
      </c>
      <c r="G2472" s="27">
        <v>1</v>
      </c>
      <c r="H2472" s="27">
        <v>1</v>
      </c>
      <c r="I2472" s="27">
        <v>1</v>
      </c>
      <c r="J2472" s="30">
        <f t="shared" si="114"/>
        <v>1</v>
      </c>
      <c r="K2472" s="30">
        <f t="shared" si="115"/>
        <v>1</v>
      </c>
      <c r="L2472" s="26">
        <f t="shared" si="116"/>
        <v>1</v>
      </c>
      <c r="M2472" s="26"/>
    </row>
    <row r="2473" spans="1:13" ht="15" customHeight="1">
      <c r="A2473" s="25">
        <v>1741214</v>
      </c>
      <c r="B2473" s="26" t="s">
        <v>5427</v>
      </c>
      <c r="C2473" s="26" t="s">
        <v>10733</v>
      </c>
      <c r="D2473" s="26" t="s">
        <v>10734</v>
      </c>
      <c r="E2473" s="26" t="s">
        <v>5707</v>
      </c>
      <c r="F2473" s="27">
        <v>6118800</v>
      </c>
      <c r="G2473" s="27">
        <v>0</v>
      </c>
      <c r="H2473" s="27">
        <v>0</v>
      </c>
      <c r="I2473" s="27">
        <v>0</v>
      </c>
      <c r="J2473" s="30">
        <f t="shared" si="114"/>
        <v>0</v>
      </c>
      <c r="K2473" s="30">
        <f t="shared" si="115"/>
        <v>0</v>
      </c>
      <c r="L2473" s="26">
        <f t="shared" si="116"/>
        <v>0</v>
      </c>
      <c r="M2473" s="26">
        <v>0</v>
      </c>
    </row>
    <row r="2474" spans="1:13" ht="15" customHeight="1">
      <c r="A2474" s="25">
        <v>1741368</v>
      </c>
      <c r="B2474" s="26" t="s">
        <v>5423</v>
      </c>
      <c r="C2474" s="26" t="s">
        <v>10735</v>
      </c>
      <c r="D2474" s="26" t="s">
        <v>10736</v>
      </c>
      <c r="E2474" s="26" t="s">
        <v>5447</v>
      </c>
      <c r="F2474" s="27">
        <v>6077015</v>
      </c>
      <c r="G2474" s="27">
        <v>0</v>
      </c>
      <c r="H2474" s="27">
        <v>0</v>
      </c>
      <c r="I2474" s="27">
        <v>0</v>
      </c>
      <c r="J2474" s="30">
        <f t="shared" si="114"/>
        <v>0</v>
      </c>
      <c r="K2474" s="30">
        <f t="shared" si="115"/>
        <v>0</v>
      </c>
      <c r="L2474" s="26">
        <f t="shared" si="116"/>
        <v>0</v>
      </c>
      <c r="M2474" s="26" t="s">
        <v>8216</v>
      </c>
    </row>
    <row r="2475" spans="1:13" ht="15" customHeight="1">
      <c r="A2475" s="25">
        <v>1742115</v>
      </c>
      <c r="B2475" s="26" t="s">
        <v>5423</v>
      </c>
      <c r="C2475" s="26" t="s">
        <v>10737</v>
      </c>
      <c r="D2475" s="26" t="s">
        <v>10738</v>
      </c>
      <c r="E2475" s="26" t="s">
        <v>5683</v>
      </c>
      <c r="F2475" s="27">
        <v>5326690</v>
      </c>
      <c r="G2475" s="27">
        <v>0</v>
      </c>
      <c r="H2475" s="27">
        <v>0</v>
      </c>
      <c r="I2475" s="27">
        <v>0</v>
      </c>
      <c r="J2475" s="30">
        <f t="shared" si="114"/>
        <v>0</v>
      </c>
      <c r="K2475" s="30">
        <f t="shared" si="115"/>
        <v>0</v>
      </c>
      <c r="L2475" s="26">
        <f t="shared" si="116"/>
        <v>0</v>
      </c>
      <c r="M2475" s="26" t="s">
        <v>5557</v>
      </c>
    </row>
    <row r="2476" spans="1:13" ht="15" customHeight="1">
      <c r="A2476" s="25">
        <v>1742177</v>
      </c>
      <c r="B2476" s="26" t="s">
        <v>5423</v>
      </c>
      <c r="C2476" s="26" t="s">
        <v>10739</v>
      </c>
      <c r="D2476" s="26" t="s">
        <v>10740</v>
      </c>
      <c r="E2476" s="26" t="s">
        <v>5522</v>
      </c>
      <c r="F2476" s="27">
        <v>6086458</v>
      </c>
      <c r="G2476" s="27">
        <v>1</v>
      </c>
      <c r="H2476" s="27">
        <v>1</v>
      </c>
      <c r="I2476" s="27">
        <v>1</v>
      </c>
      <c r="J2476" s="30">
        <f t="shared" si="114"/>
        <v>1</v>
      </c>
      <c r="K2476" s="30">
        <f t="shared" si="115"/>
        <v>1</v>
      </c>
      <c r="L2476" s="26">
        <f t="shared" si="116"/>
        <v>1</v>
      </c>
      <c r="M2476" s="26"/>
    </row>
    <row r="2477" spans="1:13" ht="15" customHeight="1">
      <c r="A2477" s="25">
        <v>1742516</v>
      </c>
      <c r="B2477" s="26" t="s">
        <v>5427</v>
      </c>
      <c r="C2477" s="26" t="s">
        <v>10741</v>
      </c>
      <c r="D2477" s="26" t="s">
        <v>10732</v>
      </c>
      <c r="E2477" s="26" t="s">
        <v>10742</v>
      </c>
      <c r="F2477" s="27">
        <v>6124411</v>
      </c>
      <c r="G2477" s="27">
        <v>0</v>
      </c>
      <c r="H2477" s="27">
        <v>0</v>
      </c>
      <c r="I2477" s="27">
        <v>0</v>
      </c>
      <c r="J2477" s="30">
        <f t="shared" si="114"/>
        <v>0</v>
      </c>
      <c r="K2477" s="30">
        <f t="shared" si="115"/>
        <v>0</v>
      </c>
      <c r="L2477" s="26">
        <f t="shared" si="116"/>
        <v>0</v>
      </c>
      <c r="M2477" s="26">
        <v>0</v>
      </c>
    </row>
    <row r="2478" spans="1:13" ht="15" customHeight="1">
      <c r="A2478" s="25">
        <v>1742550</v>
      </c>
      <c r="B2478" s="26" t="s">
        <v>5427</v>
      </c>
      <c r="C2478" s="26" t="s">
        <v>10743</v>
      </c>
      <c r="D2478" s="26" t="s">
        <v>10744</v>
      </c>
      <c r="E2478" s="26" t="s">
        <v>5781</v>
      </c>
      <c r="F2478" s="27">
        <v>6123571</v>
      </c>
      <c r="G2478" s="27">
        <v>1</v>
      </c>
      <c r="H2478" s="27">
        <v>0</v>
      </c>
      <c r="I2478" s="27">
        <v>1</v>
      </c>
      <c r="J2478" s="30">
        <f t="shared" si="114"/>
        <v>1</v>
      </c>
      <c r="K2478" s="30">
        <f t="shared" si="115"/>
        <v>0</v>
      </c>
      <c r="L2478" s="26">
        <f t="shared" si="116"/>
        <v>0</v>
      </c>
      <c r="M2478" s="26"/>
    </row>
    <row r="2479" spans="1:13" ht="15" customHeight="1">
      <c r="A2479" s="25">
        <v>1742560</v>
      </c>
      <c r="B2479" s="26" t="s">
        <v>5423</v>
      </c>
      <c r="C2479" s="26" t="s">
        <v>10745</v>
      </c>
      <c r="D2479" s="26" t="s">
        <v>10732</v>
      </c>
      <c r="E2479" s="26" t="s">
        <v>5575</v>
      </c>
      <c r="F2479" s="27">
        <v>6084636</v>
      </c>
      <c r="G2479" s="27">
        <v>1</v>
      </c>
      <c r="H2479" s="27">
        <v>1</v>
      </c>
      <c r="I2479" s="27">
        <v>1</v>
      </c>
      <c r="J2479" s="30">
        <f t="shared" si="114"/>
        <v>1</v>
      </c>
      <c r="K2479" s="30">
        <f t="shared" si="115"/>
        <v>1</v>
      </c>
      <c r="L2479" s="26">
        <f t="shared" si="116"/>
        <v>1</v>
      </c>
      <c r="M2479" s="26"/>
    </row>
    <row r="2480" spans="1:13" ht="15" customHeight="1">
      <c r="A2480" s="25">
        <v>1742738</v>
      </c>
      <c r="B2480" s="26" t="s">
        <v>5427</v>
      </c>
      <c r="C2480" s="26" t="s">
        <v>10746</v>
      </c>
      <c r="D2480" s="26" t="s">
        <v>10747</v>
      </c>
      <c r="E2480" s="26" t="s">
        <v>5480</v>
      </c>
      <c r="F2480" s="27">
        <v>5229376</v>
      </c>
      <c r="G2480" s="27">
        <v>0</v>
      </c>
      <c r="H2480" s="27">
        <v>0</v>
      </c>
      <c r="I2480" s="27">
        <v>0</v>
      </c>
      <c r="J2480" s="30">
        <f t="shared" si="114"/>
        <v>0</v>
      </c>
      <c r="K2480" s="30">
        <f t="shared" si="115"/>
        <v>0</v>
      </c>
      <c r="L2480" s="26">
        <f t="shared" si="116"/>
        <v>0</v>
      </c>
      <c r="M2480" s="26" t="s">
        <v>5557</v>
      </c>
    </row>
    <row r="2481" spans="1:13" ht="15" customHeight="1">
      <c r="A2481" s="25">
        <v>1742752</v>
      </c>
      <c r="B2481" s="26" t="s">
        <v>5423</v>
      </c>
      <c r="C2481" s="26" t="s">
        <v>10748</v>
      </c>
      <c r="D2481" s="26" t="s">
        <v>10744</v>
      </c>
      <c r="E2481" s="26" t="s">
        <v>5430</v>
      </c>
      <c r="F2481" s="27">
        <v>5603033</v>
      </c>
      <c r="G2481" s="27">
        <v>0</v>
      </c>
      <c r="H2481" s="27">
        <v>0</v>
      </c>
      <c r="I2481" s="27">
        <v>0</v>
      </c>
      <c r="J2481" s="30">
        <f t="shared" si="114"/>
        <v>0</v>
      </c>
      <c r="K2481" s="30">
        <f t="shared" si="115"/>
        <v>0</v>
      </c>
      <c r="L2481" s="26">
        <f t="shared" si="116"/>
        <v>0</v>
      </c>
      <c r="M2481" s="26">
        <v>0</v>
      </c>
    </row>
    <row r="2482" spans="1:13" ht="15" customHeight="1">
      <c r="A2482" s="25">
        <v>1742954</v>
      </c>
      <c r="B2482" s="26" t="s">
        <v>5423</v>
      </c>
      <c r="C2482" s="26" t="s">
        <v>10749</v>
      </c>
      <c r="D2482" s="26" t="s">
        <v>10750</v>
      </c>
      <c r="E2482" s="26" t="s">
        <v>5535</v>
      </c>
      <c r="F2482" s="27">
        <v>6124424</v>
      </c>
      <c r="G2482" s="27">
        <v>1</v>
      </c>
      <c r="H2482" s="27">
        <v>0</v>
      </c>
      <c r="I2482" s="27">
        <v>1</v>
      </c>
      <c r="J2482" s="30">
        <f t="shared" si="114"/>
        <v>1</v>
      </c>
      <c r="K2482" s="30">
        <f t="shared" si="115"/>
        <v>0</v>
      </c>
      <c r="L2482" s="26">
        <f t="shared" si="116"/>
        <v>0</v>
      </c>
      <c r="M2482" s="26" t="s">
        <v>8209</v>
      </c>
    </row>
    <row r="2483" spans="1:13" ht="15" customHeight="1">
      <c r="A2483" s="25">
        <v>1743235</v>
      </c>
      <c r="B2483" s="26" t="s">
        <v>5423</v>
      </c>
      <c r="C2483" s="26" t="s">
        <v>10751</v>
      </c>
      <c r="D2483" s="26" t="s">
        <v>10730</v>
      </c>
      <c r="E2483" s="26" t="s">
        <v>5475</v>
      </c>
      <c r="F2483" s="27"/>
      <c r="G2483" s="27">
        <v>0</v>
      </c>
      <c r="H2483" s="27">
        <v>0</v>
      </c>
      <c r="I2483" s="27">
        <v>0</v>
      </c>
      <c r="J2483" s="30">
        <f t="shared" si="114"/>
        <v>0</v>
      </c>
      <c r="K2483" s="30">
        <f t="shared" si="115"/>
        <v>0</v>
      </c>
      <c r="L2483" s="26">
        <f t="shared" si="116"/>
        <v>0</v>
      </c>
      <c r="M2483" s="26" t="s">
        <v>5557</v>
      </c>
    </row>
    <row r="2484" spans="1:13" ht="15" customHeight="1">
      <c r="A2484" s="25">
        <v>1743504</v>
      </c>
      <c r="B2484" s="26" t="s">
        <v>5427</v>
      </c>
      <c r="C2484" s="26" t="s">
        <v>10752</v>
      </c>
      <c r="D2484" s="26" t="s">
        <v>10753</v>
      </c>
      <c r="E2484" s="26" t="s">
        <v>5517</v>
      </c>
      <c r="F2484" s="27">
        <v>6105638</v>
      </c>
      <c r="G2484" s="27">
        <v>1</v>
      </c>
      <c r="H2484" s="27">
        <v>0</v>
      </c>
      <c r="I2484" s="27">
        <v>1</v>
      </c>
      <c r="J2484" s="30">
        <f t="shared" si="114"/>
        <v>1</v>
      </c>
      <c r="K2484" s="30">
        <f t="shared" si="115"/>
        <v>0</v>
      </c>
      <c r="L2484" s="26">
        <f t="shared" si="116"/>
        <v>0</v>
      </c>
      <c r="M2484" s="26"/>
    </row>
    <row r="2485" spans="1:13" ht="15" customHeight="1">
      <c r="A2485" s="25">
        <v>1743605</v>
      </c>
      <c r="B2485" s="26" t="s">
        <v>5423</v>
      </c>
      <c r="C2485" s="26" t="s">
        <v>10754</v>
      </c>
      <c r="D2485" s="26" t="s">
        <v>10755</v>
      </c>
      <c r="E2485" s="26" t="s">
        <v>5455</v>
      </c>
      <c r="F2485" s="27">
        <v>6126155</v>
      </c>
      <c r="G2485" s="27">
        <v>1</v>
      </c>
      <c r="H2485" s="27">
        <v>1</v>
      </c>
      <c r="I2485" s="27">
        <v>1</v>
      </c>
      <c r="J2485" s="30">
        <f t="shared" si="114"/>
        <v>1</v>
      </c>
      <c r="K2485" s="30">
        <f t="shared" si="115"/>
        <v>1</v>
      </c>
      <c r="L2485" s="26">
        <f t="shared" si="116"/>
        <v>1</v>
      </c>
      <c r="M2485" s="26"/>
    </row>
    <row r="2486" spans="1:13" ht="15" customHeight="1">
      <c r="A2486" s="25">
        <v>1743777</v>
      </c>
      <c r="B2486" s="26" t="s">
        <v>5427</v>
      </c>
      <c r="C2486" s="26" t="s">
        <v>10756</v>
      </c>
      <c r="D2486" s="26" t="s">
        <v>10757</v>
      </c>
      <c r="E2486" s="26" t="s">
        <v>5781</v>
      </c>
      <c r="F2486" s="27">
        <v>6066192</v>
      </c>
      <c r="G2486" s="27">
        <v>1</v>
      </c>
      <c r="H2486" s="27">
        <v>0</v>
      </c>
      <c r="I2486" s="27">
        <v>1</v>
      </c>
      <c r="J2486" s="30">
        <f t="shared" si="114"/>
        <v>1</v>
      </c>
      <c r="K2486" s="30">
        <f t="shared" si="115"/>
        <v>0</v>
      </c>
      <c r="L2486" s="26">
        <f t="shared" si="116"/>
        <v>0</v>
      </c>
      <c r="M2486" s="26"/>
    </row>
    <row r="2487" spans="1:13" ht="15" customHeight="1">
      <c r="A2487" s="25">
        <v>1743785</v>
      </c>
      <c r="B2487" s="26" t="s">
        <v>5423</v>
      </c>
      <c r="C2487" s="26" t="s">
        <v>10758</v>
      </c>
      <c r="D2487" s="26" t="s">
        <v>10757</v>
      </c>
      <c r="E2487" s="26" t="s">
        <v>5517</v>
      </c>
      <c r="F2487" s="27">
        <v>6096027</v>
      </c>
      <c r="G2487" s="27">
        <v>1</v>
      </c>
      <c r="H2487" s="27">
        <v>0</v>
      </c>
      <c r="I2487" s="27">
        <v>1</v>
      </c>
      <c r="J2487" s="30">
        <f t="shared" si="114"/>
        <v>1</v>
      </c>
      <c r="K2487" s="30">
        <f t="shared" si="115"/>
        <v>0</v>
      </c>
      <c r="L2487" s="26">
        <f t="shared" si="116"/>
        <v>0</v>
      </c>
      <c r="M2487" s="26"/>
    </row>
    <row r="2488" spans="1:13" ht="15" customHeight="1">
      <c r="A2488" s="25">
        <v>1744138</v>
      </c>
      <c r="B2488" s="26" t="s">
        <v>5423</v>
      </c>
      <c r="C2488" s="26" t="s">
        <v>10759</v>
      </c>
      <c r="D2488" s="26" t="s">
        <v>10760</v>
      </c>
      <c r="E2488" s="26" t="s">
        <v>5439</v>
      </c>
      <c r="F2488" s="27">
        <v>6128008</v>
      </c>
      <c r="G2488" s="27">
        <v>1</v>
      </c>
      <c r="H2488" s="27">
        <v>1</v>
      </c>
      <c r="I2488" s="27">
        <v>1</v>
      </c>
      <c r="J2488" s="30">
        <f t="shared" si="114"/>
        <v>1</v>
      </c>
      <c r="K2488" s="30">
        <f t="shared" si="115"/>
        <v>1</v>
      </c>
      <c r="L2488" s="26">
        <f t="shared" si="116"/>
        <v>1</v>
      </c>
      <c r="M2488" s="26"/>
    </row>
    <row r="2489" spans="1:13" ht="15" customHeight="1">
      <c r="A2489" s="25">
        <v>1744219</v>
      </c>
      <c r="B2489" s="26" t="s">
        <v>5423</v>
      </c>
      <c r="C2489" s="26" t="s">
        <v>10761</v>
      </c>
      <c r="D2489" s="26" t="s">
        <v>10750</v>
      </c>
      <c r="E2489" s="26" t="s">
        <v>5522</v>
      </c>
      <c r="F2489" s="27">
        <v>6127765</v>
      </c>
      <c r="G2489" s="27">
        <v>1</v>
      </c>
      <c r="H2489" s="27">
        <v>1</v>
      </c>
      <c r="I2489" s="27">
        <v>1</v>
      </c>
      <c r="J2489" s="30">
        <f t="shared" si="114"/>
        <v>1</v>
      </c>
      <c r="K2489" s="30">
        <f t="shared" si="115"/>
        <v>1</v>
      </c>
      <c r="L2489" s="26">
        <f t="shared" si="116"/>
        <v>1</v>
      </c>
      <c r="M2489" s="26"/>
    </row>
    <row r="2490" spans="1:13" ht="15" customHeight="1">
      <c r="A2490" s="25">
        <v>1744238</v>
      </c>
      <c r="B2490" s="26" t="s">
        <v>5423</v>
      </c>
      <c r="C2490" s="26" t="s">
        <v>10762</v>
      </c>
      <c r="D2490" s="26" t="s">
        <v>10750</v>
      </c>
      <c r="E2490" s="26" t="s">
        <v>5447</v>
      </c>
      <c r="F2490" s="27">
        <v>6093648</v>
      </c>
      <c r="G2490" s="27">
        <v>0</v>
      </c>
      <c r="H2490" s="27">
        <v>0</v>
      </c>
      <c r="I2490" s="27">
        <v>0</v>
      </c>
      <c r="J2490" s="30">
        <f t="shared" si="114"/>
        <v>0</v>
      </c>
      <c r="K2490" s="30">
        <f t="shared" si="115"/>
        <v>0</v>
      </c>
      <c r="L2490" s="26">
        <f t="shared" si="116"/>
        <v>0</v>
      </c>
      <c r="M2490" s="26" t="s">
        <v>5567</v>
      </c>
    </row>
    <row r="2491" spans="1:13" ht="15" customHeight="1">
      <c r="A2491" s="25">
        <v>1744396</v>
      </c>
      <c r="B2491" s="26" t="s">
        <v>5423</v>
      </c>
      <c r="C2491" s="26" t="s">
        <v>10763</v>
      </c>
      <c r="D2491" s="26" t="s">
        <v>10764</v>
      </c>
      <c r="E2491" s="26" t="s">
        <v>5683</v>
      </c>
      <c r="F2491" s="27">
        <v>5005952</v>
      </c>
      <c r="G2491" s="27">
        <v>0</v>
      </c>
      <c r="H2491" s="27">
        <v>0</v>
      </c>
      <c r="I2491" s="27">
        <v>0</v>
      </c>
      <c r="J2491" s="30">
        <f t="shared" si="114"/>
        <v>0</v>
      </c>
      <c r="K2491" s="30">
        <f t="shared" si="115"/>
        <v>0</v>
      </c>
      <c r="L2491" s="26">
        <f t="shared" si="116"/>
        <v>0</v>
      </c>
      <c r="M2491" s="26" t="s">
        <v>5557</v>
      </c>
    </row>
    <row r="2492" spans="1:13" ht="15" customHeight="1">
      <c r="A2492" s="25">
        <v>1744415</v>
      </c>
      <c r="B2492" s="26" t="s">
        <v>5427</v>
      </c>
      <c r="C2492" s="26" t="s">
        <v>10765</v>
      </c>
      <c r="D2492" s="26" t="s">
        <v>10766</v>
      </c>
      <c r="E2492" s="26" t="s">
        <v>5455</v>
      </c>
      <c r="F2492" s="27">
        <v>5015888</v>
      </c>
      <c r="G2492" s="27">
        <v>0</v>
      </c>
      <c r="H2492" s="27">
        <v>0</v>
      </c>
      <c r="I2492" s="27">
        <v>0</v>
      </c>
      <c r="J2492" s="30">
        <f t="shared" si="114"/>
        <v>0</v>
      </c>
      <c r="K2492" s="30">
        <f t="shared" si="115"/>
        <v>0</v>
      </c>
      <c r="L2492" s="26">
        <f t="shared" si="116"/>
        <v>0</v>
      </c>
      <c r="M2492" s="26" t="s">
        <v>5557</v>
      </c>
    </row>
    <row r="2493" spans="1:13" ht="15" customHeight="1">
      <c r="A2493" s="25">
        <v>1744461</v>
      </c>
      <c r="B2493" s="26" t="s">
        <v>5423</v>
      </c>
      <c r="C2493" s="26" t="s">
        <v>10767</v>
      </c>
      <c r="D2493" s="26" t="s">
        <v>10768</v>
      </c>
      <c r="E2493" s="26" t="s">
        <v>5504</v>
      </c>
      <c r="F2493" s="27">
        <v>4675340</v>
      </c>
      <c r="G2493" s="27">
        <v>1</v>
      </c>
      <c r="H2493" s="27">
        <v>1</v>
      </c>
      <c r="I2493" s="27">
        <v>1</v>
      </c>
      <c r="J2493" s="30">
        <f t="shared" si="114"/>
        <v>1</v>
      </c>
      <c r="K2493" s="30">
        <f t="shared" si="115"/>
        <v>1</v>
      </c>
      <c r="L2493" s="26">
        <f t="shared" si="116"/>
        <v>1</v>
      </c>
      <c r="M2493" s="26"/>
    </row>
    <row r="2494" spans="1:13" ht="15" customHeight="1">
      <c r="A2494" s="25">
        <v>1744643</v>
      </c>
      <c r="B2494" s="26" t="s">
        <v>5427</v>
      </c>
      <c r="C2494" s="26" t="s">
        <v>10769</v>
      </c>
      <c r="D2494" s="26" t="s">
        <v>10760</v>
      </c>
      <c r="E2494" s="26" t="s">
        <v>5575</v>
      </c>
      <c r="F2494" s="27">
        <v>6130708</v>
      </c>
      <c r="G2494" s="27">
        <v>0</v>
      </c>
      <c r="H2494" s="27">
        <v>0</v>
      </c>
      <c r="I2494" s="27">
        <v>0</v>
      </c>
      <c r="J2494" s="30">
        <f t="shared" si="114"/>
        <v>0</v>
      </c>
      <c r="K2494" s="30">
        <f t="shared" si="115"/>
        <v>0</v>
      </c>
      <c r="L2494" s="26">
        <f t="shared" si="116"/>
        <v>0</v>
      </c>
      <c r="M2494" s="26">
        <v>0</v>
      </c>
    </row>
    <row r="2495" spans="1:13" ht="15" customHeight="1">
      <c r="A2495" s="25">
        <v>1744710</v>
      </c>
      <c r="B2495" s="26" t="s">
        <v>5427</v>
      </c>
      <c r="C2495" s="26" t="s">
        <v>10770</v>
      </c>
      <c r="D2495" s="26" t="s">
        <v>10760</v>
      </c>
      <c r="E2495" s="26" t="s">
        <v>5707</v>
      </c>
      <c r="F2495" s="27">
        <v>6102190</v>
      </c>
      <c r="G2495" s="27">
        <v>1</v>
      </c>
      <c r="H2495" s="27">
        <v>0</v>
      </c>
      <c r="I2495" s="27">
        <v>1</v>
      </c>
      <c r="J2495" s="30">
        <f t="shared" si="114"/>
        <v>1</v>
      </c>
      <c r="K2495" s="30">
        <f t="shared" si="115"/>
        <v>0</v>
      </c>
      <c r="L2495" s="26">
        <f t="shared" si="116"/>
        <v>0</v>
      </c>
      <c r="M2495" s="26" t="s">
        <v>8045</v>
      </c>
    </row>
    <row r="2496" spans="1:13" ht="15" customHeight="1">
      <c r="A2496" s="25">
        <v>1744765</v>
      </c>
      <c r="B2496" s="26" t="s">
        <v>5423</v>
      </c>
      <c r="C2496" s="26" t="s">
        <v>10771</v>
      </c>
      <c r="D2496" s="26" t="s">
        <v>10772</v>
      </c>
      <c r="E2496" s="26" t="s">
        <v>5488</v>
      </c>
      <c r="F2496" s="27">
        <v>6099939</v>
      </c>
      <c r="G2496" s="27">
        <v>1</v>
      </c>
      <c r="H2496" s="27">
        <v>1</v>
      </c>
      <c r="I2496" s="27">
        <v>1</v>
      </c>
      <c r="J2496" s="30">
        <f t="shared" si="114"/>
        <v>1</v>
      </c>
      <c r="K2496" s="30">
        <f t="shared" si="115"/>
        <v>1</v>
      </c>
      <c r="L2496" s="26">
        <f t="shared" si="116"/>
        <v>1</v>
      </c>
      <c r="M2496" s="26" t="s">
        <v>9595</v>
      </c>
    </row>
    <row r="2497" spans="1:13" ht="15" customHeight="1">
      <c r="A2497" s="25">
        <v>1744816</v>
      </c>
      <c r="B2497" s="26" t="s">
        <v>5423</v>
      </c>
      <c r="C2497" s="26" t="s">
        <v>10773</v>
      </c>
      <c r="D2497" s="26" t="s">
        <v>10768</v>
      </c>
      <c r="E2497" s="26" t="s">
        <v>5475</v>
      </c>
      <c r="F2497" s="27">
        <v>5910379</v>
      </c>
      <c r="G2497" s="27">
        <v>1</v>
      </c>
      <c r="H2497" s="27">
        <v>0</v>
      </c>
      <c r="I2497" s="27">
        <v>1</v>
      </c>
      <c r="J2497" s="30">
        <f t="shared" si="114"/>
        <v>1</v>
      </c>
      <c r="K2497" s="30">
        <f t="shared" si="115"/>
        <v>0</v>
      </c>
      <c r="L2497" s="26">
        <f t="shared" si="116"/>
        <v>0</v>
      </c>
      <c r="M2497" s="26"/>
    </row>
    <row r="2498" spans="1:13" ht="15" customHeight="1">
      <c r="A2498" s="25">
        <v>1744853</v>
      </c>
      <c r="B2498" s="26" t="s">
        <v>5423</v>
      </c>
      <c r="C2498" s="26" t="s">
        <v>10774</v>
      </c>
      <c r="D2498" s="26" t="s">
        <v>10768</v>
      </c>
      <c r="E2498" s="26" t="s">
        <v>6021</v>
      </c>
      <c r="F2498" s="27">
        <v>6130764</v>
      </c>
      <c r="G2498" s="27">
        <v>0</v>
      </c>
      <c r="H2498" s="27">
        <v>0</v>
      </c>
      <c r="I2498" s="27">
        <v>0</v>
      </c>
      <c r="J2498" s="30">
        <f t="shared" ref="J2498:J2561" si="117">IF(G2498&gt;0,1,0)</f>
        <v>0</v>
      </c>
      <c r="K2498" s="30">
        <f t="shared" ref="K2498:K2561" si="118">IF(H2498&gt;0,1,0)</f>
        <v>0</v>
      </c>
      <c r="L2498" s="26">
        <f t="shared" ref="L2498:L2561" si="119">IF(G2498&gt;0,IF(H2498&gt;0,1,0),0)</f>
        <v>0</v>
      </c>
      <c r="M2498" s="26">
        <v>0</v>
      </c>
    </row>
    <row r="2499" spans="1:13" ht="15" customHeight="1">
      <c r="A2499" s="25">
        <v>1745141</v>
      </c>
      <c r="B2499" s="26" t="s">
        <v>5427</v>
      </c>
      <c r="C2499" s="26" t="s">
        <v>10775</v>
      </c>
      <c r="D2499" s="26" t="s">
        <v>10776</v>
      </c>
      <c r="E2499" s="26" t="s">
        <v>5540</v>
      </c>
      <c r="F2499" s="27">
        <v>6130496</v>
      </c>
      <c r="G2499" s="27">
        <v>1</v>
      </c>
      <c r="H2499" s="27">
        <v>0</v>
      </c>
      <c r="I2499" s="27">
        <v>1</v>
      </c>
      <c r="J2499" s="30">
        <f t="shared" si="117"/>
        <v>1</v>
      </c>
      <c r="K2499" s="30">
        <f t="shared" si="118"/>
        <v>0</v>
      </c>
      <c r="L2499" s="26">
        <f t="shared" si="119"/>
        <v>0</v>
      </c>
      <c r="M2499" s="26"/>
    </row>
    <row r="2500" spans="1:13" ht="15" customHeight="1">
      <c r="A2500" s="25">
        <v>1745473</v>
      </c>
      <c r="B2500" s="26" t="s">
        <v>5427</v>
      </c>
      <c r="C2500" s="26" t="s">
        <v>10777</v>
      </c>
      <c r="D2500" s="26" t="s">
        <v>10778</v>
      </c>
      <c r="E2500" s="26" t="s">
        <v>5654</v>
      </c>
      <c r="F2500" s="27">
        <v>6117182</v>
      </c>
      <c r="G2500" s="27">
        <v>1</v>
      </c>
      <c r="H2500" s="27">
        <v>0</v>
      </c>
      <c r="I2500" s="27">
        <v>1</v>
      </c>
      <c r="J2500" s="30">
        <f t="shared" si="117"/>
        <v>1</v>
      </c>
      <c r="K2500" s="30">
        <f t="shared" si="118"/>
        <v>0</v>
      </c>
      <c r="L2500" s="26">
        <f t="shared" si="119"/>
        <v>0</v>
      </c>
      <c r="M2500" s="26"/>
    </row>
    <row r="2501" spans="1:13" ht="15" customHeight="1">
      <c r="A2501" s="25">
        <v>1745940</v>
      </c>
      <c r="B2501" s="26" t="s">
        <v>5423</v>
      </c>
      <c r="C2501" s="26" t="s">
        <v>10779</v>
      </c>
      <c r="D2501" s="26" t="s">
        <v>10768</v>
      </c>
      <c r="E2501" s="26" t="s">
        <v>5517</v>
      </c>
      <c r="F2501" s="27">
        <v>6121896</v>
      </c>
      <c r="G2501" s="27">
        <v>1</v>
      </c>
      <c r="H2501" s="27">
        <v>0</v>
      </c>
      <c r="I2501" s="27">
        <v>1</v>
      </c>
      <c r="J2501" s="30">
        <f t="shared" si="117"/>
        <v>1</v>
      </c>
      <c r="K2501" s="30">
        <f t="shared" si="118"/>
        <v>0</v>
      </c>
      <c r="L2501" s="26">
        <f t="shared" si="119"/>
        <v>0</v>
      </c>
      <c r="M2501" s="26"/>
    </row>
    <row r="2502" spans="1:13" ht="15" customHeight="1">
      <c r="A2502" s="25">
        <v>1746133</v>
      </c>
      <c r="B2502" s="26" t="s">
        <v>5423</v>
      </c>
      <c r="C2502" s="26" t="s">
        <v>10780</v>
      </c>
      <c r="D2502" s="26" t="s">
        <v>10747</v>
      </c>
      <c r="E2502" s="26" t="s">
        <v>5488</v>
      </c>
      <c r="F2502" s="27">
        <v>5604827</v>
      </c>
      <c r="G2502" s="27">
        <v>0</v>
      </c>
      <c r="H2502" s="27">
        <v>0</v>
      </c>
      <c r="I2502" s="27">
        <v>0</v>
      </c>
      <c r="J2502" s="30">
        <f t="shared" si="117"/>
        <v>0</v>
      </c>
      <c r="K2502" s="30">
        <f t="shared" si="118"/>
        <v>0</v>
      </c>
      <c r="L2502" s="26">
        <f t="shared" si="119"/>
        <v>0</v>
      </c>
      <c r="M2502" s="26" t="s">
        <v>5557</v>
      </c>
    </row>
    <row r="2503" spans="1:13" ht="15" customHeight="1">
      <c r="A2503" s="25">
        <v>1746175</v>
      </c>
      <c r="B2503" s="26" t="s">
        <v>5427</v>
      </c>
      <c r="C2503" s="26" t="s">
        <v>10781</v>
      </c>
      <c r="D2503" s="26" t="s">
        <v>10782</v>
      </c>
      <c r="E2503" s="26" t="s">
        <v>5683</v>
      </c>
      <c r="F2503" s="27">
        <v>6133102</v>
      </c>
      <c r="G2503" s="27">
        <v>1</v>
      </c>
      <c r="H2503" s="27">
        <v>1</v>
      </c>
      <c r="I2503" s="27">
        <v>1</v>
      </c>
      <c r="J2503" s="30">
        <f t="shared" si="117"/>
        <v>1</v>
      </c>
      <c r="K2503" s="30">
        <f t="shared" si="118"/>
        <v>1</v>
      </c>
      <c r="L2503" s="26">
        <f t="shared" si="119"/>
        <v>1</v>
      </c>
      <c r="M2503" s="26"/>
    </row>
    <row r="2504" spans="1:13" ht="15" customHeight="1">
      <c r="A2504" s="25">
        <v>1746200</v>
      </c>
      <c r="B2504" s="26" t="s">
        <v>5423</v>
      </c>
      <c r="C2504" s="26" t="s">
        <v>10783</v>
      </c>
      <c r="D2504" s="26" t="s">
        <v>10778</v>
      </c>
      <c r="E2504" s="26" t="s">
        <v>5433</v>
      </c>
      <c r="F2504" s="27">
        <v>6134466</v>
      </c>
      <c r="G2504" s="27">
        <v>1</v>
      </c>
      <c r="H2504" s="27">
        <v>0</v>
      </c>
      <c r="I2504" s="27">
        <v>1</v>
      </c>
      <c r="J2504" s="30">
        <f t="shared" si="117"/>
        <v>1</v>
      </c>
      <c r="K2504" s="30">
        <f t="shared" si="118"/>
        <v>0</v>
      </c>
      <c r="L2504" s="26">
        <f t="shared" si="119"/>
        <v>0</v>
      </c>
      <c r="M2504" s="26"/>
    </row>
    <row r="2505" spans="1:13" ht="15" customHeight="1">
      <c r="A2505" s="25">
        <v>1746201</v>
      </c>
      <c r="B2505" s="26" t="s">
        <v>5423</v>
      </c>
      <c r="C2505" s="26" t="s">
        <v>10784</v>
      </c>
      <c r="D2505" s="26" t="s">
        <v>10785</v>
      </c>
      <c r="E2505" s="26" t="s">
        <v>5485</v>
      </c>
      <c r="F2505" s="27">
        <v>6133291</v>
      </c>
      <c r="G2505" s="27">
        <v>1</v>
      </c>
      <c r="H2505" s="27">
        <v>1</v>
      </c>
      <c r="I2505" s="27">
        <v>1</v>
      </c>
      <c r="J2505" s="30">
        <f t="shared" si="117"/>
        <v>1</v>
      </c>
      <c r="K2505" s="30">
        <f t="shared" si="118"/>
        <v>1</v>
      </c>
      <c r="L2505" s="26">
        <f t="shared" si="119"/>
        <v>1</v>
      </c>
      <c r="M2505" s="26"/>
    </row>
    <row r="2506" spans="1:13" ht="15" customHeight="1">
      <c r="A2506" s="25">
        <v>1746216</v>
      </c>
      <c r="B2506" s="26" t="s">
        <v>5423</v>
      </c>
      <c r="C2506" s="26" t="s">
        <v>10786</v>
      </c>
      <c r="D2506" s="26" t="s">
        <v>10787</v>
      </c>
      <c r="E2506" s="26" t="s">
        <v>5532</v>
      </c>
      <c r="F2506" s="27">
        <v>6133569</v>
      </c>
      <c r="G2506" s="27">
        <v>0</v>
      </c>
      <c r="H2506" s="27">
        <v>0</v>
      </c>
      <c r="I2506" s="27">
        <v>0</v>
      </c>
      <c r="J2506" s="30">
        <f t="shared" si="117"/>
        <v>0</v>
      </c>
      <c r="K2506" s="30">
        <f t="shared" si="118"/>
        <v>0</v>
      </c>
      <c r="L2506" s="26">
        <f t="shared" si="119"/>
        <v>0</v>
      </c>
      <c r="M2506" s="26">
        <v>0</v>
      </c>
    </row>
    <row r="2507" spans="1:13" ht="15" customHeight="1">
      <c r="A2507" s="25">
        <v>1746350</v>
      </c>
      <c r="B2507" s="26" t="s">
        <v>5427</v>
      </c>
      <c r="C2507" s="26" t="s">
        <v>10788</v>
      </c>
      <c r="D2507" s="26" t="s">
        <v>10789</v>
      </c>
      <c r="E2507" s="26" t="s">
        <v>5485</v>
      </c>
      <c r="F2507" s="27">
        <v>6043376</v>
      </c>
      <c r="G2507" s="27">
        <v>1</v>
      </c>
      <c r="H2507" s="27">
        <v>2</v>
      </c>
      <c r="I2507" s="27">
        <v>1</v>
      </c>
      <c r="J2507" s="30">
        <f t="shared" si="117"/>
        <v>1</v>
      </c>
      <c r="K2507" s="30">
        <f t="shared" si="118"/>
        <v>1</v>
      </c>
      <c r="L2507" s="26">
        <f t="shared" si="119"/>
        <v>1</v>
      </c>
      <c r="M2507" s="26" t="s">
        <v>10790</v>
      </c>
    </row>
    <row r="2508" spans="1:13" ht="15" customHeight="1">
      <c r="A2508" s="25">
        <v>1746370</v>
      </c>
      <c r="B2508" s="26" t="s">
        <v>5427</v>
      </c>
      <c r="C2508" s="26" t="s">
        <v>10791</v>
      </c>
      <c r="D2508" s="26" t="s">
        <v>10782</v>
      </c>
      <c r="E2508" s="26" t="s">
        <v>5683</v>
      </c>
      <c r="F2508" s="27">
        <v>6133601</v>
      </c>
      <c r="G2508" s="27">
        <v>1</v>
      </c>
      <c r="H2508" s="27">
        <v>1</v>
      </c>
      <c r="I2508" s="27">
        <v>1</v>
      </c>
      <c r="J2508" s="30">
        <f t="shared" si="117"/>
        <v>1</v>
      </c>
      <c r="K2508" s="30">
        <f t="shared" si="118"/>
        <v>1</v>
      </c>
      <c r="L2508" s="26">
        <f t="shared" si="119"/>
        <v>1</v>
      </c>
      <c r="M2508" s="26"/>
    </row>
    <row r="2509" spans="1:13" ht="15" customHeight="1">
      <c r="A2509" s="25">
        <v>1746405</v>
      </c>
      <c r="B2509" s="26" t="s">
        <v>5423</v>
      </c>
      <c r="C2509" s="26" t="s">
        <v>10792</v>
      </c>
      <c r="D2509" s="26" t="s">
        <v>10787</v>
      </c>
      <c r="E2509" s="26" t="s">
        <v>5535</v>
      </c>
      <c r="F2509" s="27">
        <v>6135150</v>
      </c>
      <c r="G2509" s="27">
        <v>0</v>
      </c>
      <c r="H2509" s="27">
        <v>0</v>
      </c>
      <c r="I2509" s="27">
        <v>0</v>
      </c>
      <c r="J2509" s="30">
        <f t="shared" si="117"/>
        <v>0</v>
      </c>
      <c r="K2509" s="30">
        <f t="shared" si="118"/>
        <v>0</v>
      </c>
      <c r="L2509" s="26">
        <f t="shared" si="119"/>
        <v>0</v>
      </c>
      <c r="M2509" s="26">
        <v>0</v>
      </c>
    </row>
    <row r="2510" spans="1:13" ht="15" customHeight="1">
      <c r="A2510" s="25">
        <v>1746465</v>
      </c>
      <c r="B2510" s="26" t="s">
        <v>5423</v>
      </c>
      <c r="C2510" s="26" t="s">
        <v>10793</v>
      </c>
      <c r="D2510" s="26" t="s">
        <v>10787</v>
      </c>
      <c r="E2510" s="26" t="s">
        <v>5447</v>
      </c>
      <c r="F2510" s="27">
        <v>6135112</v>
      </c>
      <c r="G2510" s="27">
        <v>0</v>
      </c>
      <c r="H2510" s="27">
        <v>0</v>
      </c>
      <c r="I2510" s="27">
        <v>0</v>
      </c>
      <c r="J2510" s="30">
        <f t="shared" si="117"/>
        <v>0</v>
      </c>
      <c r="K2510" s="30">
        <f t="shared" si="118"/>
        <v>0</v>
      </c>
      <c r="L2510" s="26">
        <f t="shared" si="119"/>
        <v>0</v>
      </c>
      <c r="M2510" s="26">
        <v>0</v>
      </c>
    </row>
    <row r="2511" spans="1:13" ht="15" customHeight="1">
      <c r="A2511" s="25">
        <v>1746845</v>
      </c>
      <c r="B2511" s="26" t="s">
        <v>5427</v>
      </c>
      <c r="C2511" s="26" t="s">
        <v>10794</v>
      </c>
      <c r="D2511" s="26" t="s">
        <v>10795</v>
      </c>
      <c r="E2511" s="26" t="s">
        <v>5442</v>
      </c>
      <c r="F2511" s="27">
        <v>6136478</v>
      </c>
      <c r="G2511" s="27">
        <v>0</v>
      </c>
      <c r="H2511" s="27">
        <v>0</v>
      </c>
      <c r="I2511" s="27">
        <v>0</v>
      </c>
      <c r="J2511" s="30">
        <f t="shared" si="117"/>
        <v>0</v>
      </c>
      <c r="K2511" s="30">
        <f t="shared" si="118"/>
        <v>0</v>
      </c>
      <c r="L2511" s="26">
        <f t="shared" si="119"/>
        <v>0</v>
      </c>
      <c r="M2511" s="26">
        <v>0</v>
      </c>
    </row>
    <row r="2512" spans="1:13" ht="15" customHeight="1">
      <c r="A2512" s="25">
        <v>1747320</v>
      </c>
      <c r="B2512" s="26" t="s">
        <v>5427</v>
      </c>
      <c r="C2512" s="26" t="s">
        <v>10796</v>
      </c>
      <c r="D2512" s="26" t="s">
        <v>10797</v>
      </c>
      <c r="E2512" s="26" t="s">
        <v>5504</v>
      </c>
      <c r="F2512" s="27">
        <v>6117037</v>
      </c>
      <c r="G2512" s="27">
        <v>1</v>
      </c>
      <c r="H2512" s="27">
        <v>1</v>
      </c>
      <c r="I2512" s="27">
        <v>1</v>
      </c>
      <c r="J2512" s="30">
        <f t="shared" si="117"/>
        <v>1</v>
      </c>
      <c r="K2512" s="30">
        <f t="shared" si="118"/>
        <v>1</v>
      </c>
      <c r="L2512" s="26">
        <f t="shared" si="119"/>
        <v>1</v>
      </c>
      <c r="M2512" s="26"/>
    </row>
    <row r="2513" spans="1:13" ht="15" customHeight="1">
      <c r="A2513" s="25">
        <v>1747322</v>
      </c>
      <c r="B2513" s="26" t="s">
        <v>5423</v>
      </c>
      <c r="C2513" s="26" t="s">
        <v>10798</v>
      </c>
      <c r="D2513" s="26" t="s">
        <v>10799</v>
      </c>
      <c r="E2513" s="26" t="s">
        <v>5586</v>
      </c>
      <c r="F2513" s="27">
        <v>5942936</v>
      </c>
      <c r="G2513" s="27">
        <v>1</v>
      </c>
      <c r="H2513" s="27">
        <v>0</v>
      </c>
      <c r="I2513" s="27">
        <v>1</v>
      </c>
      <c r="J2513" s="30">
        <f t="shared" si="117"/>
        <v>1</v>
      </c>
      <c r="K2513" s="30">
        <f t="shared" si="118"/>
        <v>0</v>
      </c>
      <c r="L2513" s="26">
        <f t="shared" si="119"/>
        <v>0</v>
      </c>
      <c r="M2513" s="26"/>
    </row>
    <row r="2514" spans="1:13" ht="15" customHeight="1">
      <c r="A2514" s="25">
        <v>1747344</v>
      </c>
      <c r="B2514" s="26" t="s">
        <v>5423</v>
      </c>
      <c r="C2514" s="26" t="s">
        <v>10800</v>
      </c>
      <c r="D2514" s="26" t="s">
        <v>10789</v>
      </c>
      <c r="E2514" s="26" t="s">
        <v>5707</v>
      </c>
      <c r="F2514" s="27">
        <v>6104509</v>
      </c>
      <c r="G2514" s="27">
        <v>1</v>
      </c>
      <c r="H2514" s="27">
        <v>0</v>
      </c>
      <c r="I2514" s="27">
        <v>1</v>
      </c>
      <c r="J2514" s="30">
        <f t="shared" si="117"/>
        <v>1</v>
      </c>
      <c r="K2514" s="30">
        <f t="shared" si="118"/>
        <v>0</v>
      </c>
      <c r="L2514" s="26">
        <f t="shared" si="119"/>
        <v>0</v>
      </c>
      <c r="M2514" s="26"/>
    </row>
    <row r="2515" spans="1:13" ht="15" customHeight="1">
      <c r="A2515" s="25">
        <v>1747377</v>
      </c>
      <c r="B2515" s="26" t="s">
        <v>5423</v>
      </c>
      <c r="C2515" s="26" t="s">
        <v>10801</v>
      </c>
      <c r="D2515" s="26" t="s">
        <v>10797</v>
      </c>
      <c r="E2515" s="26" t="s">
        <v>5603</v>
      </c>
      <c r="F2515" s="27">
        <v>6137258</v>
      </c>
      <c r="G2515" s="27">
        <v>0</v>
      </c>
      <c r="H2515" s="27">
        <v>1</v>
      </c>
      <c r="I2515" s="27">
        <v>1</v>
      </c>
      <c r="J2515" s="30">
        <f t="shared" si="117"/>
        <v>0</v>
      </c>
      <c r="K2515" s="30">
        <f t="shared" si="118"/>
        <v>1</v>
      </c>
      <c r="L2515" s="26">
        <f t="shared" si="119"/>
        <v>0</v>
      </c>
      <c r="M2515" s="26"/>
    </row>
    <row r="2516" spans="1:13" ht="15" customHeight="1">
      <c r="A2516" s="25">
        <v>1747380</v>
      </c>
      <c r="B2516" s="26" t="s">
        <v>5427</v>
      </c>
      <c r="C2516" s="26" t="s">
        <v>10802</v>
      </c>
      <c r="D2516" s="26" t="s">
        <v>10803</v>
      </c>
      <c r="E2516" s="26" t="s">
        <v>5430</v>
      </c>
      <c r="F2516" s="27">
        <v>6137167</v>
      </c>
      <c r="G2516" s="27">
        <v>1</v>
      </c>
      <c r="H2516" s="27">
        <v>0</v>
      </c>
      <c r="I2516" s="27">
        <v>1</v>
      </c>
      <c r="J2516" s="30">
        <f t="shared" si="117"/>
        <v>1</v>
      </c>
      <c r="K2516" s="30">
        <f t="shared" si="118"/>
        <v>0</v>
      </c>
      <c r="L2516" s="26">
        <f t="shared" si="119"/>
        <v>0</v>
      </c>
      <c r="M2516" s="26"/>
    </row>
    <row r="2517" spans="1:13" ht="15" customHeight="1">
      <c r="A2517" s="25">
        <v>1747739</v>
      </c>
      <c r="B2517" s="26" t="s">
        <v>5423</v>
      </c>
      <c r="C2517" s="26" t="s">
        <v>10804</v>
      </c>
      <c r="D2517" s="26" t="s">
        <v>10789</v>
      </c>
      <c r="E2517" s="26" t="s">
        <v>5430</v>
      </c>
      <c r="F2517" s="27">
        <v>6138933</v>
      </c>
      <c r="G2517" s="27">
        <v>0</v>
      </c>
      <c r="H2517" s="27">
        <v>0</v>
      </c>
      <c r="I2517" s="27">
        <v>0</v>
      </c>
      <c r="J2517" s="30">
        <f t="shared" si="117"/>
        <v>0</v>
      </c>
      <c r="K2517" s="30">
        <f t="shared" si="118"/>
        <v>0</v>
      </c>
      <c r="L2517" s="26">
        <f t="shared" si="119"/>
        <v>0</v>
      </c>
      <c r="M2517" s="26">
        <v>0</v>
      </c>
    </row>
    <row r="2518" spans="1:13" ht="15" customHeight="1">
      <c r="A2518" s="25">
        <v>1747890</v>
      </c>
      <c r="B2518" s="26" t="s">
        <v>5423</v>
      </c>
      <c r="C2518" s="26" t="s">
        <v>10805</v>
      </c>
      <c r="D2518" s="26" t="s">
        <v>10806</v>
      </c>
      <c r="E2518" s="26" t="s">
        <v>5442</v>
      </c>
      <c r="F2518" s="27">
        <v>6138713</v>
      </c>
      <c r="G2518" s="27">
        <v>1</v>
      </c>
      <c r="H2518" s="27">
        <v>1</v>
      </c>
      <c r="I2518" s="27">
        <v>1</v>
      </c>
      <c r="J2518" s="30">
        <f t="shared" si="117"/>
        <v>1</v>
      </c>
      <c r="K2518" s="30">
        <f t="shared" si="118"/>
        <v>1</v>
      </c>
      <c r="L2518" s="26">
        <f t="shared" si="119"/>
        <v>1</v>
      </c>
      <c r="M2518" s="26"/>
    </row>
    <row r="2519" spans="1:13" ht="15" customHeight="1">
      <c r="A2519" s="25">
        <v>1747932</v>
      </c>
      <c r="B2519" s="26" t="s">
        <v>5423</v>
      </c>
      <c r="C2519" s="26" t="s">
        <v>10807</v>
      </c>
      <c r="D2519" s="26" t="s">
        <v>10747</v>
      </c>
      <c r="E2519" s="26" t="s">
        <v>5488</v>
      </c>
      <c r="F2519" s="27">
        <v>6138835</v>
      </c>
      <c r="G2519" s="27">
        <v>1</v>
      </c>
      <c r="H2519" s="27">
        <v>1</v>
      </c>
      <c r="I2519" s="27">
        <v>1</v>
      </c>
      <c r="J2519" s="30">
        <f t="shared" si="117"/>
        <v>1</v>
      </c>
      <c r="K2519" s="30">
        <f t="shared" si="118"/>
        <v>1</v>
      </c>
      <c r="L2519" s="26">
        <f t="shared" si="119"/>
        <v>1</v>
      </c>
      <c r="M2519" s="26"/>
    </row>
    <row r="2520" spans="1:13" ht="15" customHeight="1">
      <c r="A2520" s="25">
        <v>1748388</v>
      </c>
      <c r="B2520" s="26" t="s">
        <v>5423</v>
      </c>
      <c r="C2520" s="26" t="s">
        <v>10808</v>
      </c>
      <c r="D2520" s="26" t="s">
        <v>10797</v>
      </c>
      <c r="E2520" s="26" t="s">
        <v>5540</v>
      </c>
      <c r="F2520" s="27">
        <v>6129697</v>
      </c>
      <c r="G2520" s="27">
        <v>1</v>
      </c>
      <c r="H2520" s="27">
        <v>1</v>
      </c>
      <c r="I2520" s="27">
        <v>1</v>
      </c>
      <c r="J2520" s="30">
        <f t="shared" si="117"/>
        <v>1</v>
      </c>
      <c r="K2520" s="30">
        <f t="shared" si="118"/>
        <v>1</v>
      </c>
      <c r="L2520" s="26">
        <f t="shared" si="119"/>
        <v>1</v>
      </c>
      <c r="M2520" s="26"/>
    </row>
    <row r="2521" spans="1:13" ht="15" customHeight="1">
      <c r="A2521" s="25">
        <v>1748803</v>
      </c>
      <c r="B2521" s="26" t="s">
        <v>5423</v>
      </c>
      <c r="C2521" s="26" t="s">
        <v>10809</v>
      </c>
      <c r="D2521" s="26" t="s">
        <v>10810</v>
      </c>
      <c r="E2521" s="26" t="s">
        <v>5439</v>
      </c>
      <c r="F2521" s="27">
        <v>6140935</v>
      </c>
      <c r="G2521" s="27">
        <v>1</v>
      </c>
      <c r="H2521" s="27">
        <v>0</v>
      </c>
      <c r="I2521" s="27">
        <v>1</v>
      </c>
      <c r="J2521" s="30">
        <f t="shared" si="117"/>
        <v>1</v>
      </c>
      <c r="K2521" s="30">
        <f t="shared" si="118"/>
        <v>0</v>
      </c>
      <c r="L2521" s="26">
        <f t="shared" si="119"/>
        <v>0</v>
      </c>
      <c r="M2521" s="26"/>
    </row>
    <row r="2522" spans="1:13" ht="15" customHeight="1">
      <c r="A2522" s="25">
        <v>1748955</v>
      </c>
      <c r="B2522" s="26" t="s">
        <v>5423</v>
      </c>
      <c r="C2522" s="26" t="s">
        <v>10811</v>
      </c>
      <c r="D2522" s="26" t="s">
        <v>10812</v>
      </c>
      <c r="E2522" s="26" t="s">
        <v>5504</v>
      </c>
      <c r="F2522" s="27">
        <v>6141813</v>
      </c>
      <c r="G2522" s="27">
        <v>0</v>
      </c>
      <c r="H2522" s="27">
        <v>0</v>
      </c>
      <c r="I2522" s="27">
        <v>0</v>
      </c>
      <c r="J2522" s="30">
        <f t="shared" si="117"/>
        <v>0</v>
      </c>
      <c r="K2522" s="30">
        <f t="shared" si="118"/>
        <v>0</v>
      </c>
      <c r="L2522" s="26">
        <f t="shared" si="119"/>
        <v>0</v>
      </c>
      <c r="M2522" s="26">
        <v>0</v>
      </c>
    </row>
    <row r="2523" spans="1:13" ht="15" customHeight="1">
      <c r="A2523" s="25">
        <v>1748984</v>
      </c>
      <c r="B2523" s="26" t="s">
        <v>5423</v>
      </c>
      <c r="C2523" s="26" t="s">
        <v>10813</v>
      </c>
      <c r="D2523" s="26" t="s">
        <v>10747</v>
      </c>
      <c r="E2523" s="26" t="s">
        <v>5442</v>
      </c>
      <c r="F2523" s="27">
        <v>6120657</v>
      </c>
      <c r="G2523" s="27">
        <v>1</v>
      </c>
      <c r="H2523" s="27">
        <v>1</v>
      </c>
      <c r="I2523" s="27">
        <v>1</v>
      </c>
      <c r="J2523" s="30">
        <f t="shared" si="117"/>
        <v>1</v>
      </c>
      <c r="K2523" s="30">
        <f t="shared" si="118"/>
        <v>1</v>
      </c>
      <c r="L2523" s="26">
        <f t="shared" si="119"/>
        <v>1</v>
      </c>
      <c r="M2523" s="26"/>
    </row>
    <row r="2524" spans="1:13" ht="15" customHeight="1">
      <c r="A2524" s="25">
        <v>1749017</v>
      </c>
      <c r="B2524" s="26" t="s">
        <v>5423</v>
      </c>
      <c r="C2524" s="26" t="s">
        <v>10814</v>
      </c>
      <c r="D2524" s="26" t="s">
        <v>10815</v>
      </c>
      <c r="E2524" s="26" t="s">
        <v>5718</v>
      </c>
      <c r="F2524" s="27"/>
      <c r="G2524" s="27">
        <v>0</v>
      </c>
      <c r="H2524" s="27">
        <v>0</v>
      </c>
      <c r="I2524" s="27">
        <v>0</v>
      </c>
      <c r="J2524" s="30">
        <f t="shared" si="117"/>
        <v>0</v>
      </c>
      <c r="K2524" s="30">
        <f t="shared" si="118"/>
        <v>0</v>
      </c>
      <c r="L2524" s="26">
        <f t="shared" si="119"/>
        <v>0</v>
      </c>
      <c r="M2524" s="26">
        <v>0</v>
      </c>
    </row>
    <row r="2525" spans="1:13" ht="15" customHeight="1">
      <c r="A2525" s="25">
        <v>1749039</v>
      </c>
      <c r="B2525" s="26" t="s">
        <v>5423</v>
      </c>
      <c r="C2525" s="26" t="s">
        <v>10816</v>
      </c>
      <c r="D2525" s="26" t="s">
        <v>10817</v>
      </c>
      <c r="E2525" s="26" t="s">
        <v>5463</v>
      </c>
      <c r="F2525" s="27">
        <v>6141435</v>
      </c>
      <c r="G2525" s="27">
        <v>1</v>
      </c>
      <c r="H2525" s="27">
        <v>0</v>
      </c>
      <c r="I2525" s="27">
        <v>1</v>
      </c>
      <c r="J2525" s="30">
        <f t="shared" si="117"/>
        <v>1</v>
      </c>
      <c r="K2525" s="30">
        <f t="shared" si="118"/>
        <v>0</v>
      </c>
      <c r="L2525" s="26">
        <f t="shared" si="119"/>
        <v>0</v>
      </c>
      <c r="M2525" s="26"/>
    </row>
    <row r="2526" spans="1:13" ht="15" customHeight="1">
      <c r="A2526" s="25">
        <v>1749130</v>
      </c>
      <c r="B2526" s="26" t="s">
        <v>5427</v>
      </c>
      <c r="C2526" s="26" t="s">
        <v>10818</v>
      </c>
      <c r="D2526" s="26" t="s">
        <v>10747</v>
      </c>
      <c r="E2526" s="26" t="s">
        <v>5447</v>
      </c>
      <c r="F2526" s="27"/>
      <c r="G2526" s="27">
        <v>0</v>
      </c>
      <c r="H2526" s="27">
        <v>0</v>
      </c>
      <c r="I2526" s="27">
        <v>0</v>
      </c>
      <c r="J2526" s="30">
        <f t="shared" si="117"/>
        <v>0</v>
      </c>
      <c r="K2526" s="30">
        <f t="shared" si="118"/>
        <v>0</v>
      </c>
      <c r="L2526" s="26">
        <f t="shared" si="119"/>
        <v>0</v>
      </c>
      <c r="M2526" s="26" t="s">
        <v>10819</v>
      </c>
    </row>
    <row r="2527" spans="1:13" ht="15" customHeight="1">
      <c r="A2527" s="25">
        <v>1749238</v>
      </c>
      <c r="B2527" s="26" t="s">
        <v>5423</v>
      </c>
      <c r="C2527" s="26" t="s">
        <v>10820</v>
      </c>
      <c r="D2527" s="26" t="s">
        <v>10747</v>
      </c>
      <c r="E2527" s="26" t="s">
        <v>5763</v>
      </c>
      <c r="F2527" s="27">
        <v>6137448</v>
      </c>
      <c r="G2527" s="27">
        <v>1</v>
      </c>
      <c r="H2527" s="27">
        <v>0</v>
      </c>
      <c r="I2527" s="27">
        <v>1</v>
      </c>
      <c r="J2527" s="30">
        <f t="shared" si="117"/>
        <v>1</v>
      </c>
      <c r="K2527" s="30">
        <f t="shared" si="118"/>
        <v>0</v>
      </c>
      <c r="L2527" s="26">
        <f t="shared" si="119"/>
        <v>0</v>
      </c>
      <c r="M2527" s="26"/>
    </row>
    <row r="2528" spans="1:13" ht="15" customHeight="1">
      <c r="A2528" s="25">
        <v>1749284</v>
      </c>
      <c r="B2528" s="26" t="s">
        <v>5423</v>
      </c>
      <c r="C2528" s="26" t="s">
        <v>10821</v>
      </c>
      <c r="D2528" s="26" t="s">
        <v>10817</v>
      </c>
      <c r="E2528" s="26" t="s">
        <v>5517</v>
      </c>
      <c r="F2528" s="27">
        <v>6142248</v>
      </c>
      <c r="G2528" s="27">
        <v>1</v>
      </c>
      <c r="H2528" s="27">
        <v>0</v>
      </c>
      <c r="I2528" s="27">
        <v>1</v>
      </c>
      <c r="J2528" s="30">
        <f t="shared" si="117"/>
        <v>1</v>
      </c>
      <c r="K2528" s="30">
        <f t="shared" si="118"/>
        <v>0</v>
      </c>
      <c r="L2528" s="26">
        <f t="shared" si="119"/>
        <v>0</v>
      </c>
      <c r="M2528" s="26"/>
    </row>
    <row r="2529" spans="1:13" ht="15" customHeight="1">
      <c r="A2529" s="25">
        <v>1749323</v>
      </c>
      <c r="B2529" s="26" t="s">
        <v>5423</v>
      </c>
      <c r="C2529" s="26" t="s">
        <v>10822</v>
      </c>
      <c r="D2529" s="26" t="s">
        <v>10817</v>
      </c>
      <c r="E2529" s="26" t="s">
        <v>8392</v>
      </c>
      <c r="F2529" s="27">
        <v>6119780</v>
      </c>
      <c r="G2529" s="27">
        <v>1</v>
      </c>
      <c r="H2529" s="27">
        <v>0</v>
      </c>
      <c r="I2529" s="27">
        <v>1</v>
      </c>
      <c r="J2529" s="30">
        <f t="shared" si="117"/>
        <v>1</v>
      </c>
      <c r="K2529" s="30">
        <f t="shared" si="118"/>
        <v>0</v>
      </c>
      <c r="L2529" s="26">
        <f t="shared" si="119"/>
        <v>0</v>
      </c>
      <c r="M2529" s="26" t="s">
        <v>9423</v>
      </c>
    </row>
    <row r="2530" spans="1:13" ht="15" customHeight="1">
      <c r="A2530" s="25">
        <v>1749537</v>
      </c>
      <c r="B2530" s="26" t="s">
        <v>5427</v>
      </c>
      <c r="C2530" s="26" t="s">
        <v>10823</v>
      </c>
      <c r="D2530" s="26" t="s">
        <v>10824</v>
      </c>
      <c r="E2530" s="26" t="s">
        <v>5763</v>
      </c>
      <c r="F2530" s="27">
        <v>6133947</v>
      </c>
      <c r="G2530" s="27">
        <v>1</v>
      </c>
      <c r="H2530" s="27">
        <v>1</v>
      </c>
      <c r="I2530" s="27">
        <v>1</v>
      </c>
      <c r="J2530" s="30">
        <f t="shared" si="117"/>
        <v>1</v>
      </c>
      <c r="K2530" s="30">
        <f t="shared" si="118"/>
        <v>1</v>
      </c>
      <c r="L2530" s="26">
        <f t="shared" si="119"/>
        <v>1</v>
      </c>
      <c r="M2530" s="26"/>
    </row>
    <row r="2531" spans="1:13" ht="15" customHeight="1">
      <c r="A2531" s="25">
        <v>1749723</v>
      </c>
      <c r="B2531" s="26" t="s">
        <v>5423</v>
      </c>
      <c r="C2531" s="26" t="s">
        <v>10825</v>
      </c>
      <c r="D2531" s="26" t="s">
        <v>10826</v>
      </c>
      <c r="E2531" s="26" t="s">
        <v>5485</v>
      </c>
      <c r="F2531" s="27">
        <v>6133280</v>
      </c>
      <c r="G2531" s="27">
        <v>1</v>
      </c>
      <c r="H2531" s="27">
        <v>0</v>
      </c>
      <c r="I2531" s="27">
        <v>1</v>
      </c>
      <c r="J2531" s="30">
        <f t="shared" si="117"/>
        <v>1</v>
      </c>
      <c r="K2531" s="30">
        <f t="shared" si="118"/>
        <v>0</v>
      </c>
      <c r="L2531" s="26">
        <f t="shared" si="119"/>
        <v>0</v>
      </c>
      <c r="M2531" s="26"/>
    </row>
    <row r="2532" spans="1:13" ht="15" customHeight="1">
      <c r="A2532" s="25">
        <v>1749968</v>
      </c>
      <c r="B2532" s="26" t="s">
        <v>5423</v>
      </c>
      <c r="C2532" s="26" t="s">
        <v>10827</v>
      </c>
      <c r="D2532" s="26" t="s">
        <v>10828</v>
      </c>
      <c r="E2532" s="26" t="s">
        <v>5763</v>
      </c>
      <c r="F2532" s="27">
        <v>5196004</v>
      </c>
      <c r="G2532" s="27">
        <v>1</v>
      </c>
      <c r="H2532" s="27">
        <v>0</v>
      </c>
      <c r="I2532" s="27">
        <v>1</v>
      </c>
      <c r="J2532" s="30">
        <f t="shared" si="117"/>
        <v>1</v>
      </c>
      <c r="K2532" s="30">
        <f t="shared" si="118"/>
        <v>0</v>
      </c>
      <c r="L2532" s="26">
        <f t="shared" si="119"/>
        <v>0</v>
      </c>
      <c r="M2532" s="26"/>
    </row>
    <row r="2533" spans="1:13" ht="15" customHeight="1">
      <c r="A2533" s="25">
        <v>1749972</v>
      </c>
      <c r="B2533" s="26" t="s">
        <v>5427</v>
      </c>
      <c r="C2533" s="26" t="s">
        <v>10829</v>
      </c>
      <c r="D2533" s="26" t="s">
        <v>10826</v>
      </c>
      <c r="E2533" s="26" t="s">
        <v>5550</v>
      </c>
      <c r="F2533" s="27">
        <v>6080227</v>
      </c>
      <c r="G2533" s="27">
        <v>1</v>
      </c>
      <c r="H2533" s="27">
        <v>0</v>
      </c>
      <c r="I2533" s="27">
        <v>1</v>
      </c>
      <c r="J2533" s="30">
        <f t="shared" si="117"/>
        <v>1</v>
      </c>
      <c r="K2533" s="30">
        <f t="shared" si="118"/>
        <v>0</v>
      </c>
      <c r="L2533" s="26">
        <f t="shared" si="119"/>
        <v>0</v>
      </c>
      <c r="M2533" s="26"/>
    </row>
    <row r="2534" spans="1:13" ht="15" customHeight="1">
      <c r="A2534" s="25">
        <v>1750039</v>
      </c>
      <c r="B2534" s="26" t="s">
        <v>5427</v>
      </c>
      <c r="C2534" s="26" t="s">
        <v>10830</v>
      </c>
      <c r="D2534" s="26" t="s">
        <v>10826</v>
      </c>
      <c r="E2534" s="26" t="s">
        <v>5560</v>
      </c>
      <c r="F2534" s="27">
        <v>6099841</v>
      </c>
      <c r="G2534" s="27">
        <v>1</v>
      </c>
      <c r="H2534" s="27">
        <v>1</v>
      </c>
      <c r="I2534" s="27">
        <v>1</v>
      </c>
      <c r="J2534" s="30">
        <f t="shared" si="117"/>
        <v>1</v>
      </c>
      <c r="K2534" s="30">
        <f t="shared" si="118"/>
        <v>1</v>
      </c>
      <c r="L2534" s="26">
        <f t="shared" si="119"/>
        <v>1</v>
      </c>
      <c r="M2534" s="26"/>
    </row>
    <row r="2535" spans="1:13" ht="15" customHeight="1">
      <c r="A2535" s="25">
        <v>1750079</v>
      </c>
      <c r="B2535" s="26" t="s">
        <v>5427</v>
      </c>
      <c r="C2535" s="26" t="s">
        <v>10831</v>
      </c>
      <c r="D2535" s="26" t="s">
        <v>10832</v>
      </c>
      <c r="E2535" s="26" t="s">
        <v>5430</v>
      </c>
      <c r="F2535" s="27">
        <v>6149713</v>
      </c>
      <c r="G2535" s="27">
        <v>0</v>
      </c>
      <c r="H2535" s="27">
        <v>0</v>
      </c>
      <c r="I2535" s="27">
        <v>0</v>
      </c>
      <c r="J2535" s="30">
        <f t="shared" si="117"/>
        <v>0</v>
      </c>
      <c r="K2535" s="30">
        <f t="shared" si="118"/>
        <v>0</v>
      </c>
      <c r="L2535" s="26">
        <f t="shared" si="119"/>
        <v>0</v>
      </c>
      <c r="M2535" s="26">
        <v>0</v>
      </c>
    </row>
    <row r="2536" spans="1:13" ht="15" customHeight="1">
      <c r="A2536" s="25">
        <v>1750080</v>
      </c>
      <c r="B2536" s="26" t="s">
        <v>5423</v>
      </c>
      <c r="C2536" s="26" t="s">
        <v>10833</v>
      </c>
      <c r="D2536" s="26" t="s">
        <v>10817</v>
      </c>
      <c r="E2536" s="26" t="s">
        <v>5540</v>
      </c>
      <c r="F2536" s="27">
        <v>6134854</v>
      </c>
      <c r="G2536" s="27">
        <v>1</v>
      </c>
      <c r="H2536" s="27">
        <v>0</v>
      </c>
      <c r="I2536" s="27">
        <v>1</v>
      </c>
      <c r="J2536" s="30">
        <f t="shared" si="117"/>
        <v>1</v>
      </c>
      <c r="K2536" s="30">
        <f t="shared" si="118"/>
        <v>0</v>
      </c>
      <c r="L2536" s="26">
        <f t="shared" si="119"/>
        <v>0</v>
      </c>
      <c r="M2536" s="26"/>
    </row>
    <row r="2537" spans="1:13" ht="15" customHeight="1">
      <c r="A2537" s="25">
        <v>1750124</v>
      </c>
      <c r="B2537" s="26" t="s">
        <v>5423</v>
      </c>
      <c r="C2537" s="26" t="s">
        <v>10834</v>
      </c>
      <c r="D2537" s="26" t="s">
        <v>10835</v>
      </c>
      <c r="E2537" s="26" t="s">
        <v>5475</v>
      </c>
      <c r="F2537" s="27">
        <v>6145977</v>
      </c>
      <c r="G2537" s="27">
        <v>0</v>
      </c>
      <c r="H2537" s="27">
        <v>0</v>
      </c>
      <c r="I2537" s="27">
        <v>0</v>
      </c>
      <c r="J2537" s="30">
        <f t="shared" si="117"/>
        <v>0</v>
      </c>
      <c r="K2537" s="30">
        <f t="shared" si="118"/>
        <v>0</v>
      </c>
      <c r="L2537" s="26">
        <f t="shared" si="119"/>
        <v>0</v>
      </c>
      <c r="M2537" s="26">
        <v>0</v>
      </c>
    </row>
    <row r="2538" spans="1:13" ht="15" customHeight="1">
      <c r="A2538" s="25">
        <v>1750447</v>
      </c>
      <c r="B2538" s="26" t="s">
        <v>5423</v>
      </c>
      <c r="C2538" s="26" t="s">
        <v>10836</v>
      </c>
      <c r="D2538" s="26" t="s">
        <v>10835</v>
      </c>
      <c r="E2538" s="26" t="s">
        <v>5603</v>
      </c>
      <c r="F2538" s="27">
        <v>6145647</v>
      </c>
      <c r="G2538" s="27">
        <v>1</v>
      </c>
      <c r="H2538" s="27">
        <v>1</v>
      </c>
      <c r="I2538" s="27">
        <v>1</v>
      </c>
      <c r="J2538" s="30">
        <f t="shared" si="117"/>
        <v>1</v>
      </c>
      <c r="K2538" s="30">
        <f t="shared" si="118"/>
        <v>1</v>
      </c>
      <c r="L2538" s="26">
        <f t="shared" si="119"/>
        <v>1</v>
      </c>
      <c r="M2538" s="26"/>
    </row>
    <row r="2539" spans="1:13" ht="15" customHeight="1">
      <c r="A2539" s="25">
        <v>1750568</v>
      </c>
      <c r="B2539" s="26" t="s">
        <v>5427</v>
      </c>
      <c r="C2539" s="26" t="s">
        <v>10837</v>
      </c>
      <c r="D2539" s="26" t="s">
        <v>10838</v>
      </c>
      <c r="E2539" s="26" t="s">
        <v>5436</v>
      </c>
      <c r="F2539" s="27">
        <v>6139738</v>
      </c>
      <c r="G2539" s="27">
        <v>1</v>
      </c>
      <c r="H2539" s="27">
        <v>1</v>
      </c>
      <c r="I2539" s="27">
        <v>1</v>
      </c>
      <c r="J2539" s="30">
        <f t="shared" si="117"/>
        <v>1</v>
      </c>
      <c r="K2539" s="30">
        <f t="shared" si="118"/>
        <v>1</v>
      </c>
      <c r="L2539" s="26">
        <f t="shared" si="119"/>
        <v>1</v>
      </c>
      <c r="M2539" s="26"/>
    </row>
    <row r="2540" spans="1:13" ht="15" customHeight="1">
      <c r="A2540" s="25">
        <v>1751071</v>
      </c>
      <c r="B2540" s="26" t="s">
        <v>5423</v>
      </c>
      <c r="C2540" s="26" t="s">
        <v>10839</v>
      </c>
      <c r="D2540" s="26" t="s">
        <v>10840</v>
      </c>
      <c r="E2540" s="26" t="s">
        <v>5504</v>
      </c>
      <c r="F2540" s="27"/>
      <c r="G2540" s="27">
        <v>0</v>
      </c>
      <c r="H2540" s="27">
        <v>0</v>
      </c>
      <c r="I2540" s="27">
        <v>0</v>
      </c>
      <c r="J2540" s="30">
        <f t="shared" si="117"/>
        <v>0</v>
      </c>
      <c r="K2540" s="30">
        <f t="shared" si="118"/>
        <v>0</v>
      </c>
      <c r="L2540" s="26">
        <f t="shared" si="119"/>
        <v>0</v>
      </c>
      <c r="M2540" s="26" t="s">
        <v>5567</v>
      </c>
    </row>
    <row r="2541" spans="1:13" ht="15" customHeight="1">
      <c r="A2541" s="25">
        <v>1751109</v>
      </c>
      <c r="B2541" s="26" t="s">
        <v>5423</v>
      </c>
      <c r="C2541" s="26" t="s">
        <v>10841</v>
      </c>
      <c r="D2541" s="26" t="s">
        <v>10817</v>
      </c>
      <c r="E2541" s="26" t="s">
        <v>5430</v>
      </c>
      <c r="F2541" s="27"/>
      <c r="G2541" s="27">
        <v>0</v>
      </c>
      <c r="H2541" s="27">
        <v>0</v>
      </c>
      <c r="I2541" s="27">
        <v>0</v>
      </c>
      <c r="J2541" s="30">
        <f t="shared" si="117"/>
        <v>0</v>
      </c>
      <c r="K2541" s="30">
        <f t="shared" si="118"/>
        <v>0</v>
      </c>
      <c r="L2541" s="26">
        <f t="shared" si="119"/>
        <v>0</v>
      </c>
      <c r="M2541" s="26" t="s">
        <v>5557</v>
      </c>
    </row>
    <row r="2542" spans="1:13" ht="15" customHeight="1">
      <c r="A2542" s="25">
        <v>1751126</v>
      </c>
      <c r="B2542" s="26" t="s">
        <v>5423</v>
      </c>
      <c r="C2542" s="26" t="s">
        <v>10842</v>
      </c>
      <c r="D2542" s="26" t="s">
        <v>10843</v>
      </c>
      <c r="E2542" s="26" t="s">
        <v>5763</v>
      </c>
      <c r="F2542" s="27">
        <v>6127975</v>
      </c>
      <c r="G2542" s="27">
        <v>1</v>
      </c>
      <c r="H2542" s="27">
        <v>0</v>
      </c>
      <c r="I2542" s="27">
        <v>1</v>
      </c>
      <c r="J2542" s="30">
        <f t="shared" si="117"/>
        <v>1</v>
      </c>
      <c r="K2542" s="30">
        <f t="shared" si="118"/>
        <v>0</v>
      </c>
      <c r="L2542" s="26">
        <f t="shared" si="119"/>
        <v>0</v>
      </c>
      <c r="M2542" s="26"/>
    </row>
    <row r="2543" spans="1:13" ht="15" customHeight="1">
      <c r="A2543" s="25">
        <v>1751134</v>
      </c>
      <c r="B2543" s="26" t="s">
        <v>5423</v>
      </c>
      <c r="C2543" s="26" t="s">
        <v>10844</v>
      </c>
      <c r="D2543" s="26" t="s">
        <v>10845</v>
      </c>
      <c r="E2543" s="26" t="s">
        <v>5426</v>
      </c>
      <c r="F2543" s="27">
        <v>6147960</v>
      </c>
      <c r="G2543" s="27">
        <v>0</v>
      </c>
      <c r="H2543" s="27">
        <v>0</v>
      </c>
      <c r="I2543" s="27">
        <v>0</v>
      </c>
      <c r="J2543" s="30">
        <f t="shared" si="117"/>
        <v>0</v>
      </c>
      <c r="K2543" s="30">
        <f t="shared" si="118"/>
        <v>0</v>
      </c>
      <c r="L2543" s="26">
        <f t="shared" si="119"/>
        <v>0</v>
      </c>
      <c r="M2543" s="26">
        <v>0</v>
      </c>
    </row>
    <row r="2544" spans="1:13" ht="15" customHeight="1">
      <c r="A2544" s="25">
        <v>1751138</v>
      </c>
      <c r="B2544" s="26" t="s">
        <v>5423</v>
      </c>
      <c r="C2544" s="26" t="s">
        <v>10846</v>
      </c>
      <c r="D2544" s="26" t="s">
        <v>10847</v>
      </c>
      <c r="E2544" s="26" t="s">
        <v>5763</v>
      </c>
      <c r="F2544" s="27">
        <v>6147684</v>
      </c>
      <c r="G2544" s="27">
        <v>1</v>
      </c>
      <c r="H2544" s="27">
        <v>0</v>
      </c>
      <c r="I2544" s="27">
        <v>1</v>
      </c>
      <c r="J2544" s="30">
        <f t="shared" si="117"/>
        <v>1</v>
      </c>
      <c r="K2544" s="30">
        <f t="shared" si="118"/>
        <v>0</v>
      </c>
      <c r="L2544" s="26">
        <f t="shared" si="119"/>
        <v>0</v>
      </c>
      <c r="M2544" s="26"/>
    </row>
    <row r="2545" spans="1:13" ht="15" customHeight="1">
      <c r="A2545" s="25">
        <v>1751142</v>
      </c>
      <c r="B2545" s="26" t="s">
        <v>5423</v>
      </c>
      <c r="C2545" s="26" t="s">
        <v>10848</v>
      </c>
      <c r="D2545" s="26" t="s">
        <v>10840</v>
      </c>
      <c r="E2545" s="26" t="s">
        <v>5504</v>
      </c>
      <c r="F2545" s="27">
        <v>6147253</v>
      </c>
      <c r="G2545" s="27">
        <v>1</v>
      </c>
      <c r="H2545" s="27">
        <v>1</v>
      </c>
      <c r="I2545" s="27">
        <v>1</v>
      </c>
      <c r="J2545" s="30">
        <f t="shared" si="117"/>
        <v>1</v>
      </c>
      <c r="K2545" s="30">
        <f t="shared" si="118"/>
        <v>1</v>
      </c>
      <c r="L2545" s="26">
        <f t="shared" si="119"/>
        <v>1</v>
      </c>
      <c r="M2545" s="26" t="s">
        <v>10849</v>
      </c>
    </row>
    <row r="2546" spans="1:13" ht="15" customHeight="1">
      <c r="A2546" s="25">
        <v>1751532</v>
      </c>
      <c r="B2546" s="26" t="s">
        <v>5423</v>
      </c>
      <c r="C2546" s="26" t="s">
        <v>10850</v>
      </c>
      <c r="D2546" s="26" t="s">
        <v>10845</v>
      </c>
      <c r="E2546" s="26" t="s">
        <v>5458</v>
      </c>
      <c r="F2546" s="27">
        <v>6149326</v>
      </c>
      <c r="G2546" s="27">
        <v>1</v>
      </c>
      <c r="H2546" s="27">
        <v>0</v>
      </c>
      <c r="I2546" s="27">
        <v>1</v>
      </c>
      <c r="J2546" s="30">
        <f t="shared" si="117"/>
        <v>1</v>
      </c>
      <c r="K2546" s="30">
        <f t="shared" si="118"/>
        <v>0</v>
      </c>
      <c r="L2546" s="26">
        <f t="shared" si="119"/>
        <v>0</v>
      </c>
      <c r="M2546" s="26"/>
    </row>
    <row r="2547" spans="1:13" ht="15" customHeight="1">
      <c r="A2547" s="25">
        <v>1751851</v>
      </c>
      <c r="B2547" s="26" t="s">
        <v>5423</v>
      </c>
      <c r="C2547" s="26" t="s">
        <v>10851</v>
      </c>
      <c r="D2547" s="26" t="s">
        <v>10840</v>
      </c>
      <c r="E2547" s="26" t="s">
        <v>5447</v>
      </c>
      <c r="F2547" s="27">
        <v>6149376</v>
      </c>
      <c r="G2547" s="27">
        <v>1</v>
      </c>
      <c r="H2547" s="27">
        <v>0</v>
      </c>
      <c r="I2547" s="27">
        <v>1</v>
      </c>
      <c r="J2547" s="30">
        <f t="shared" si="117"/>
        <v>1</v>
      </c>
      <c r="K2547" s="30">
        <f t="shared" si="118"/>
        <v>0</v>
      </c>
      <c r="L2547" s="26">
        <f t="shared" si="119"/>
        <v>0</v>
      </c>
      <c r="M2547" s="26"/>
    </row>
    <row r="2548" spans="1:13" ht="15" customHeight="1">
      <c r="A2548" s="25">
        <v>1752215</v>
      </c>
      <c r="B2548" s="26" t="s">
        <v>5423</v>
      </c>
      <c r="C2548" s="26" t="s">
        <v>10852</v>
      </c>
      <c r="D2548" s="26" t="s">
        <v>10853</v>
      </c>
      <c r="E2548" s="26" t="s">
        <v>5439</v>
      </c>
      <c r="F2548" s="27">
        <v>6150774</v>
      </c>
      <c r="G2548" s="27">
        <v>0</v>
      </c>
      <c r="H2548" s="27">
        <v>1</v>
      </c>
      <c r="I2548" s="27">
        <v>1</v>
      </c>
      <c r="J2548" s="30">
        <f t="shared" si="117"/>
        <v>0</v>
      </c>
      <c r="K2548" s="30">
        <f t="shared" si="118"/>
        <v>1</v>
      </c>
      <c r="L2548" s="26">
        <f t="shared" si="119"/>
        <v>0</v>
      </c>
      <c r="M2548" s="26"/>
    </row>
    <row r="2549" spans="1:13" ht="15" customHeight="1">
      <c r="A2549" s="25">
        <v>1752219</v>
      </c>
      <c r="B2549" s="26" t="s">
        <v>5423</v>
      </c>
      <c r="C2549" s="26" t="s">
        <v>10854</v>
      </c>
      <c r="D2549" s="26" t="s">
        <v>10847</v>
      </c>
      <c r="E2549" s="26" t="s">
        <v>5522</v>
      </c>
      <c r="F2549" s="27">
        <v>6150773</v>
      </c>
      <c r="G2549" s="27">
        <v>0</v>
      </c>
      <c r="H2549" s="27">
        <v>1</v>
      </c>
      <c r="I2549" s="27">
        <v>1</v>
      </c>
      <c r="J2549" s="30">
        <f t="shared" si="117"/>
        <v>0</v>
      </c>
      <c r="K2549" s="30">
        <f t="shared" si="118"/>
        <v>1</v>
      </c>
      <c r="L2549" s="26">
        <f t="shared" si="119"/>
        <v>0</v>
      </c>
      <c r="M2549" s="26"/>
    </row>
    <row r="2550" spans="1:13" ht="15" customHeight="1">
      <c r="A2550" s="25">
        <v>1752322</v>
      </c>
      <c r="B2550" s="26" t="s">
        <v>5423</v>
      </c>
      <c r="C2550" s="26" t="s">
        <v>10855</v>
      </c>
      <c r="D2550" s="26" t="s">
        <v>10856</v>
      </c>
      <c r="E2550" s="26" t="s">
        <v>5458</v>
      </c>
      <c r="F2550" s="27">
        <v>6150858</v>
      </c>
      <c r="G2550" s="27">
        <v>1</v>
      </c>
      <c r="H2550" s="27">
        <v>0</v>
      </c>
      <c r="I2550" s="27">
        <v>1</v>
      </c>
      <c r="J2550" s="30">
        <f t="shared" si="117"/>
        <v>1</v>
      </c>
      <c r="K2550" s="30">
        <f t="shared" si="118"/>
        <v>0</v>
      </c>
      <c r="L2550" s="26">
        <f t="shared" si="119"/>
        <v>0</v>
      </c>
      <c r="M2550" s="26"/>
    </row>
    <row r="2551" spans="1:13" ht="15" customHeight="1">
      <c r="A2551" s="25">
        <v>1752370</v>
      </c>
      <c r="B2551" s="26" t="s">
        <v>5423</v>
      </c>
      <c r="C2551" s="26" t="s">
        <v>10857</v>
      </c>
      <c r="D2551" s="26" t="s">
        <v>10847</v>
      </c>
      <c r="E2551" s="26" t="s">
        <v>5430</v>
      </c>
      <c r="F2551" s="27">
        <v>6137298</v>
      </c>
      <c r="G2551" s="27">
        <v>1</v>
      </c>
      <c r="H2551" s="27">
        <v>0</v>
      </c>
      <c r="I2551" s="27">
        <v>1</v>
      </c>
      <c r="J2551" s="30">
        <f t="shared" si="117"/>
        <v>1</v>
      </c>
      <c r="K2551" s="30">
        <f t="shared" si="118"/>
        <v>0</v>
      </c>
      <c r="L2551" s="26">
        <f t="shared" si="119"/>
        <v>0</v>
      </c>
      <c r="M2551" s="26"/>
    </row>
    <row r="2552" spans="1:13" ht="15" customHeight="1">
      <c r="A2552" s="25">
        <v>1752468</v>
      </c>
      <c r="B2552" s="26" t="s">
        <v>5423</v>
      </c>
      <c r="C2552" s="26" t="s">
        <v>10858</v>
      </c>
      <c r="D2552" s="26" t="s">
        <v>10847</v>
      </c>
      <c r="E2552" s="26" t="s">
        <v>5480</v>
      </c>
      <c r="F2552" s="27">
        <v>6152884</v>
      </c>
      <c r="G2552" s="27">
        <v>0</v>
      </c>
      <c r="H2552" s="27">
        <v>0</v>
      </c>
      <c r="I2552" s="27">
        <v>0</v>
      </c>
      <c r="J2552" s="30">
        <f t="shared" si="117"/>
        <v>0</v>
      </c>
      <c r="K2552" s="30">
        <f t="shared" si="118"/>
        <v>0</v>
      </c>
      <c r="L2552" s="26">
        <f t="shared" si="119"/>
        <v>0</v>
      </c>
      <c r="M2552" s="26">
        <v>0</v>
      </c>
    </row>
    <row r="2553" spans="1:13" ht="15" customHeight="1">
      <c r="A2553" s="25">
        <v>1752481</v>
      </c>
      <c r="B2553" s="26" t="s">
        <v>5423</v>
      </c>
      <c r="C2553" s="26" t="s">
        <v>10859</v>
      </c>
      <c r="D2553" s="26" t="s">
        <v>10847</v>
      </c>
      <c r="E2553" s="26" t="s">
        <v>5488</v>
      </c>
      <c r="F2553" s="27">
        <v>6151961</v>
      </c>
      <c r="G2553" s="27">
        <v>1</v>
      </c>
      <c r="H2553" s="27">
        <v>0</v>
      </c>
      <c r="I2553" s="27">
        <v>1</v>
      </c>
      <c r="J2553" s="30">
        <f t="shared" si="117"/>
        <v>1</v>
      </c>
      <c r="K2553" s="30">
        <f t="shared" si="118"/>
        <v>0</v>
      </c>
      <c r="L2553" s="26">
        <f t="shared" si="119"/>
        <v>0</v>
      </c>
      <c r="M2553" s="26"/>
    </row>
    <row r="2554" spans="1:13" ht="15" customHeight="1">
      <c r="A2554" s="25">
        <v>1752590</v>
      </c>
      <c r="B2554" s="26" t="s">
        <v>5423</v>
      </c>
      <c r="C2554" s="26" t="s">
        <v>10860</v>
      </c>
      <c r="D2554" s="26" t="s">
        <v>10861</v>
      </c>
      <c r="E2554" s="26" t="s">
        <v>5426</v>
      </c>
      <c r="F2554" s="27">
        <v>6133049</v>
      </c>
      <c r="G2554" s="27">
        <v>1</v>
      </c>
      <c r="H2554" s="27">
        <v>0</v>
      </c>
      <c r="I2554" s="27">
        <v>1</v>
      </c>
      <c r="J2554" s="30">
        <f t="shared" si="117"/>
        <v>1</v>
      </c>
      <c r="K2554" s="30">
        <f t="shared" si="118"/>
        <v>0</v>
      </c>
      <c r="L2554" s="26">
        <f t="shared" si="119"/>
        <v>0</v>
      </c>
      <c r="M2554" s="26"/>
    </row>
    <row r="2555" spans="1:13" ht="15" customHeight="1">
      <c r="A2555" s="25">
        <v>1752597</v>
      </c>
      <c r="B2555" s="26" t="s">
        <v>5423</v>
      </c>
      <c r="C2555" s="26" t="s">
        <v>10862</v>
      </c>
      <c r="D2555" s="26" t="s">
        <v>10847</v>
      </c>
      <c r="E2555" s="26" t="s">
        <v>5485</v>
      </c>
      <c r="F2555" s="27">
        <v>1836675</v>
      </c>
      <c r="G2555" s="27">
        <v>1</v>
      </c>
      <c r="H2555" s="27">
        <v>0</v>
      </c>
      <c r="I2555" s="27">
        <v>1</v>
      </c>
      <c r="J2555" s="30">
        <f t="shared" si="117"/>
        <v>1</v>
      </c>
      <c r="K2555" s="30">
        <f t="shared" si="118"/>
        <v>0</v>
      </c>
      <c r="L2555" s="26">
        <f t="shared" si="119"/>
        <v>0</v>
      </c>
      <c r="M2555" s="26"/>
    </row>
    <row r="2556" spans="1:13" ht="15" customHeight="1">
      <c r="A2556" s="25">
        <v>1752653</v>
      </c>
      <c r="B2556" s="26" t="s">
        <v>5423</v>
      </c>
      <c r="C2556" s="26" t="s">
        <v>10863</v>
      </c>
      <c r="D2556" s="26" t="s">
        <v>10864</v>
      </c>
      <c r="E2556" s="26" t="s">
        <v>5468</v>
      </c>
      <c r="F2556" s="27">
        <v>6151963</v>
      </c>
      <c r="G2556" s="27">
        <v>1</v>
      </c>
      <c r="H2556" s="27">
        <v>0</v>
      </c>
      <c r="I2556" s="27">
        <v>1</v>
      </c>
      <c r="J2556" s="30">
        <f t="shared" si="117"/>
        <v>1</v>
      </c>
      <c r="K2556" s="30">
        <f t="shared" si="118"/>
        <v>0</v>
      </c>
      <c r="L2556" s="26">
        <f t="shared" si="119"/>
        <v>0</v>
      </c>
      <c r="M2556" s="26"/>
    </row>
    <row r="2557" spans="1:13" ht="15" customHeight="1">
      <c r="A2557" s="25">
        <v>1752671</v>
      </c>
      <c r="B2557" s="26" t="s">
        <v>5423</v>
      </c>
      <c r="C2557" s="26" t="s">
        <v>10865</v>
      </c>
      <c r="D2557" s="26" t="s">
        <v>10847</v>
      </c>
      <c r="E2557" s="26" t="s">
        <v>5891</v>
      </c>
      <c r="F2557" s="27">
        <v>6142908</v>
      </c>
      <c r="G2557" s="27">
        <v>1</v>
      </c>
      <c r="H2557" s="27">
        <v>1</v>
      </c>
      <c r="I2557" s="27">
        <v>1</v>
      </c>
      <c r="J2557" s="30">
        <f t="shared" si="117"/>
        <v>1</v>
      </c>
      <c r="K2557" s="30">
        <f t="shared" si="118"/>
        <v>1</v>
      </c>
      <c r="L2557" s="26">
        <f t="shared" si="119"/>
        <v>1</v>
      </c>
      <c r="M2557" s="26"/>
    </row>
    <row r="2558" spans="1:13" ht="15" customHeight="1">
      <c r="A2558" s="25">
        <v>1752692</v>
      </c>
      <c r="B2558" s="26" t="s">
        <v>5423</v>
      </c>
      <c r="C2558" s="26" t="s">
        <v>10866</v>
      </c>
      <c r="D2558" s="26" t="s">
        <v>10867</v>
      </c>
      <c r="E2558" s="26" t="s">
        <v>5426</v>
      </c>
      <c r="F2558" s="27">
        <v>6151746</v>
      </c>
      <c r="G2558" s="27">
        <v>1</v>
      </c>
      <c r="H2558" s="27">
        <v>1</v>
      </c>
      <c r="I2558" s="27">
        <v>1</v>
      </c>
      <c r="J2558" s="30">
        <f t="shared" si="117"/>
        <v>1</v>
      </c>
      <c r="K2558" s="30">
        <f t="shared" si="118"/>
        <v>1</v>
      </c>
      <c r="L2558" s="26">
        <f t="shared" si="119"/>
        <v>1</v>
      </c>
      <c r="M2558" s="26"/>
    </row>
    <row r="2559" spans="1:13" ht="15" customHeight="1">
      <c r="A2559" s="25">
        <v>1752760</v>
      </c>
      <c r="B2559" s="26" t="s">
        <v>5423</v>
      </c>
      <c r="C2559" s="26" t="s">
        <v>10868</v>
      </c>
      <c r="D2559" s="26" t="s">
        <v>10847</v>
      </c>
      <c r="E2559" s="26" t="s">
        <v>5455</v>
      </c>
      <c r="F2559" s="27">
        <v>6140759</v>
      </c>
      <c r="G2559" s="27">
        <v>0</v>
      </c>
      <c r="H2559" s="27">
        <v>1</v>
      </c>
      <c r="I2559" s="27">
        <v>1</v>
      </c>
      <c r="J2559" s="30">
        <f t="shared" si="117"/>
        <v>0</v>
      </c>
      <c r="K2559" s="30">
        <f t="shared" si="118"/>
        <v>1</v>
      </c>
      <c r="L2559" s="26">
        <f t="shared" si="119"/>
        <v>0</v>
      </c>
      <c r="M2559" s="26"/>
    </row>
    <row r="2560" spans="1:13" ht="15" customHeight="1">
      <c r="A2560" s="25">
        <v>1752823</v>
      </c>
      <c r="B2560" s="26" t="s">
        <v>5427</v>
      </c>
      <c r="C2560" s="26" t="s">
        <v>10869</v>
      </c>
      <c r="D2560" s="26" t="s">
        <v>10870</v>
      </c>
      <c r="E2560" s="26" t="s">
        <v>5504</v>
      </c>
      <c r="F2560" s="27">
        <v>6154283</v>
      </c>
      <c r="G2560" s="27">
        <v>1</v>
      </c>
      <c r="H2560" s="27">
        <v>0</v>
      </c>
      <c r="I2560" s="27">
        <v>1</v>
      </c>
      <c r="J2560" s="30">
        <f t="shared" si="117"/>
        <v>1</v>
      </c>
      <c r="K2560" s="30">
        <f t="shared" si="118"/>
        <v>0</v>
      </c>
      <c r="L2560" s="26">
        <f t="shared" si="119"/>
        <v>0</v>
      </c>
      <c r="M2560" s="26"/>
    </row>
    <row r="2561" spans="1:13" ht="15" customHeight="1">
      <c r="A2561" s="25">
        <v>1753025</v>
      </c>
      <c r="B2561" s="26" t="s">
        <v>5427</v>
      </c>
      <c r="C2561" s="26" t="s">
        <v>10871</v>
      </c>
      <c r="D2561" s="26" t="s">
        <v>10810</v>
      </c>
      <c r="E2561" s="26" t="s">
        <v>5522</v>
      </c>
      <c r="F2561" s="27">
        <v>6146671</v>
      </c>
      <c r="G2561" s="27">
        <v>1</v>
      </c>
      <c r="H2561" s="27">
        <v>0</v>
      </c>
      <c r="I2561" s="27">
        <v>1</v>
      </c>
      <c r="J2561" s="30">
        <f t="shared" si="117"/>
        <v>1</v>
      </c>
      <c r="K2561" s="30">
        <f t="shared" si="118"/>
        <v>0</v>
      </c>
      <c r="L2561" s="26">
        <f t="shared" si="119"/>
        <v>0</v>
      </c>
      <c r="M2561" s="26"/>
    </row>
    <row r="2562" spans="1:13" ht="15" customHeight="1">
      <c r="A2562" s="25">
        <v>1753138</v>
      </c>
      <c r="B2562" s="26" t="s">
        <v>5427</v>
      </c>
      <c r="C2562" s="26" t="s">
        <v>10872</v>
      </c>
      <c r="D2562" s="26" t="s">
        <v>10867</v>
      </c>
      <c r="E2562" s="26" t="s">
        <v>5968</v>
      </c>
      <c r="F2562" s="27">
        <v>6153860</v>
      </c>
      <c r="G2562" s="27">
        <v>1</v>
      </c>
      <c r="H2562" s="27">
        <v>0</v>
      </c>
      <c r="I2562" s="27">
        <v>1</v>
      </c>
      <c r="J2562" s="30">
        <f t="shared" ref="J2562:J2625" si="120">IF(G2562&gt;0,1,0)</f>
        <v>1</v>
      </c>
      <c r="K2562" s="30">
        <f t="shared" ref="K2562:K2625" si="121">IF(H2562&gt;0,1,0)</f>
        <v>0</v>
      </c>
      <c r="L2562" s="26">
        <f t="shared" ref="L2562:L2625" si="122">IF(G2562&gt;0,IF(H2562&gt;0,1,0),0)</f>
        <v>0</v>
      </c>
      <c r="M2562" s="26"/>
    </row>
    <row r="2563" spans="1:13" ht="15" customHeight="1">
      <c r="A2563" s="25">
        <v>1753342</v>
      </c>
      <c r="B2563" s="26" t="s">
        <v>5423</v>
      </c>
      <c r="C2563" s="26" t="s">
        <v>10873</v>
      </c>
      <c r="D2563" s="26" t="s">
        <v>10810</v>
      </c>
      <c r="E2563" s="26" t="s">
        <v>5452</v>
      </c>
      <c r="F2563" s="27">
        <v>6154941</v>
      </c>
      <c r="G2563" s="27">
        <v>0</v>
      </c>
      <c r="H2563" s="27">
        <v>0</v>
      </c>
      <c r="I2563" s="27">
        <v>0</v>
      </c>
      <c r="J2563" s="30">
        <f t="shared" si="120"/>
        <v>0</v>
      </c>
      <c r="K2563" s="30">
        <f t="shared" si="121"/>
        <v>0</v>
      </c>
      <c r="L2563" s="26">
        <f t="shared" si="122"/>
        <v>0</v>
      </c>
      <c r="M2563" s="26">
        <v>0</v>
      </c>
    </row>
    <row r="2564" spans="1:13" ht="15" customHeight="1">
      <c r="A2564" s="25">
        <v>1753372</v>
      </c>
      <c r="B2564" s="26" t="s">
        <v>5423</v>
      </c>
      <c r="C2564" s="26" t="s">
        <v>10874</v>
      </c>
      <c r="D2564" s="26" t="s">
        <v>10875</v>
      </c>
      <c r="E2564" s="26" t="s">
        <v>5458</v>
      </c>
      <c r="F2564" s="27"/>
      <c r="G2564" s="27">
        <v>0</v>
      </c>
      <c r="H2564" s="27">
        <v>0</v>
      </c>
      <c r="I2564" s="27">
        <v>0</v>
      </c>
      <c r="J2564" s="30">
        <f t="shared" si="120"/>
        <v>0</v>
      </c>
      <c r="K2564" s="30">
        <f t="shared" si="121"/>
        <v>0</v>
      </c>
      <c r="L2564" s="26">
        <f t="shared" si="122"/>
        <v>0</v>
      </c>
      <c r="M2564" s="26" t="s">
        <v>8216</v>
      </c>
    </row>
    <row r="2565" spans="1:13" ht="15" customHeight="1">
      <c r="A2565" s="25">
        <v>1753853</v>
      </c>
      <c r="B2565" s="26" t="s">
        <v>5423</v>
      </c>
      <c r="C2565" s="26" t="s">
        <v>10876</v>
      </c>
      <c r="D2565" s="26" t="s">
        <v>10877</v>
      </c>
      <c r="E2565" s="26" t="s">
        <v>5532</v>
      </c>
      <c r="F2565" s="27">
        <v>6154765</v>
      </c>
      <c r="G2565" s="27">
        <v>0</v>
      </c>
      <c r="H2565" s="27">
        <v>0</v>
      </c>
      <c r="I2565" s="27">
        <v>0</v>
      </c>
      <c r="J2565" s="30">
        <f t="shared" si="120"/>
        <v>0</v>
      </c>
      <c r="K2565" s="30">
        <f t="shared" si="121"/>
        <v>0</v>
      </c>
      <c r="L2565" s="26">
        <f t="shared" si="122"/>
        <v>0</v>
      </c>
      <c r="M2565" s="26" t="s">
        <v>5567</v>
      </c>
    </row>
    <row r="2566" spans="1:13" ht="15" customHeight="1">
      <c r="A2566" s="25">
        <v>1753881</v>
      </c>
      <c r="B2566" s="26" t="s">
        <v>5423</v>
      </c>
      <c r="C2566" s="26" t="s">
        <v>10878</v>
      </c>
      <c r="D2566" s="26" t="s">
        <v>10877</v>
      </c>
      <c r="E2566" s="26" t="s">
        <v>5535</v>
      </c>
      <c r="F2566" s="27">
        <v>6154792</v>
      </c>
      <c r="G2566" s="27">
        <v>1</v>
      </c>
      <c r="H2566" s="27">
        <v>1</v>
      </c>
      <c r="I2566" s="27">
        <v>1</v>
      </c>
      <c r="J2566" s="30">
        <f t="shared" si="120"/>
        <v>1</v>
      </c>
      <c r="K2566" s="30">
        <f t="shared" si="121"/>
        <v>1</v>
      </c>
      <c r="L2566" s="26">
        <f t="shared" si="122"/>
        <v>1</v>
      </c>
      <c r="M2566" s="26"/>
    </row>
    <row r="2567" spans="1:13" ht="15" customHeight="1">
      <c r="A2567" s="25">
        <v>1753894</v>
      </c>
      <c r="B2567" s="26" t="s">
        <v>5427</v>
      </c>
      <c r="C2567" s="26" t="s">
        <v>10879</v>
      </c>
      <c r="D2567" s="26" t="s">
        <v>10877</v>
      </c>
      <c r="E2567" s="26" t="s">
        <v>5436</v>
      </c>
      <c r="F2567" s="27">
        <v>6154769</v>
      </c>
      <c r="G2567" s="27">
        <v>1</v>
      </c>
      <c r="H2567" s="27">
        <v>1</v>
      </c>
      <c r="I2567" s="27">
        <v>1</v>
      </c>
      <c r="J2567" s="30">
        <f t="shared" si="120"/>
        <v>1</v>
      </c>
      <c r="K2567" s="30">
        <f t="shared" si="121"/>
        <v>1</v>
      </c>
      <c r="L2567" s="26">
        <f t="shared" si="122"/>
        <v>1</v>
      </c>
      <c r="M2567" s="26"/>
    </row>
    <row r="2568" spans="1:13" ht="15" customHeight="1">
      <c r="A2568" s="25">
        <v>1753973</v>
      </c>
      <c r="B2568" s="26" t="s">
        <v>5423</v>
      </c>
      <c r="C2568" s="26" t="s">
        <v>10880</v>
      </c>
      <c r="D2568" s="26" t="s">
        <v>10877</v>
      </c>
      <c r="E2568" s="26" t="s">
        <v>5455</v>
      </c>
      <c r="F2568" s="27">
        <v>6155330</v>
      </c>
      <c r="G2568" s="27">
        <v>1</v>
      </c>
      <c r="H2568" s="27">
        <v>1</v>
      </c>
      <c r="I2568" s="27">
        <v>1</v>
      </c>
      <c r="J2568" s="30">
        <f t="shared" si="120"/>
        <v>1</v>
      </c>
      <c r="K2568" s="30">
        <f t="shared" si="121"/>
        <v>1</v>
      </c>
      <c r="L2568" s="26">
        <f t="shared" si="122"/>
        <v>1</v>
      </c>
      <c r="M2568" s="26"/>
    </row>
    <row r="2569" spans="1:13" ht="15" customHeight="1">
      <c r="A2569" s="25">
        <v>1754261</v>
      </c>
      <c r="B2569" s="26" t="s">
        <v>5427</v>
      </c>
      <c r="C2569" s="26" t="s">
        <v>10881</v>
      </c>
      <c r="D2569" s="26" t="s">
        <v>10870</v>
      </c>
      <c r="E2569" s="26" t="s">
        <v>6541</v>
      </c>
      <c r="F2569" s="27">
        <v>6156454</v>
      </c>
      <c r="G2569" s="27">
        <v>1</v>
      </c>
      <c r="H2569" s="27">
        <v>0</v>
      </c>
      <c r="I2569" s="27">
        <v>1</v>
      </c>
      <c r="J2569" s="30">
        <f t="shared" si="120"/>
        <v>1</v>
      </c>
      <c r="K2569" s="30">
        <f t="shared" si="121"/>
        <v>0</v>
      </c>
      <c r="L2569" s="26">
        <f t="shared" si="122"/>
        <v>0</v>
      </c>
      <c r="M2569" s="26"/>
    </row>
    <row r="2570" spans="1:13" ht="15" customHeight="1">
      <c r="A2570" s="25">
        <v>1754286</v>
      </c>
      <c r="B2570" s="26" t="s">
        <v>5427</v>
      </c>
      <c r="C2570" s="26" t="s">
        <v>10882</v>
      </c>
      <c r="D2570" s="26" t="s">
        <v>10883</v>
      </c>
      <c r="E2570" s="26" t="s">
        <v>5463</v>
      </c>
      <c r="F2570" s="27">
        <v>6142961</v>
      </c>
      <c r="G2570" s="27">
        <v>0</v>
      </c>
      <c r="H2570" s="27">
        <v>1</v>
      </c>
      <c r="I2570" s="27">
        <v>1</v>
      </c>
      <c r="J2570" s="30">
        <f t="shared" si="120"/>
        <v>0</v>
      </c>
      <c r="K2570" s="30">
        <f t="shared" si="121"/>
        <v>1</v>
      </c>
      <c r="L2570" s="26">
        <f t="shared" si="122"/>
        <v>0</v>
      </c>
      <c r="M2570" s="26"/>
    </row>
    <row r="2571" spans="1:13" ht="15" customHeight="1">
      <c r="A2571" s="25">
        <v>1754299</v>
      </c>
      <c r="B2571" s="26" t="s">
        <v>5427</v>
      </c>
      <c r="C2571" s="26" t="s">
        <v>10884</v>
      </c>
      <c r="D2571" s="26" t="s">
        <v>10885</v>
      </c>
      <c r="E2571" s="26" t="s">
        <v>8392</v>
      </c>
      <c r="F2571" s="27">
        <v>6156572</v>
      </c>
      <c r="G2571" s="27">
        <v>1</v>
      </c>
      <c r="H2571" s="27">
        <v>0</v>
      </c>
      <c r="I2571" s="27">
        <v>1</v>
      </c>
      <c r="J2571" s="30">
        <f t="shared" si="120"/>
        <v>1</v>
      </c>
      <c r="K2571" s="30">
        <f t="shared" si="121"/>
        <v>0</v>
      </c>
      <c r="L2571" s="26">
        <f t="shared" si="122"/>
        <v>0</v>
      </c>
      <c r="M2571" s="26"/>
    </row>
    <row r="2572" spans="1:13" ht="15" customHeight="1">
      <c r="A2572" s="25">
        <v>1754328</v>
      </c>
      <c r="B2572" s="26" t="s">
        <v>5423</v>
      </c>
      <c r="C2572" s="26" t="s">
        <v>10886</v>
      </c>
      <c r="D2572" s="26" t="s">
        <v>10867</v>
      </c>
      <c r="E2572" s="26" t="s">
        <v>5491</v>
      </c>
      <c r="F2572" s="27">
        <v>6157457</v>
      </c>
      <c r="G2572" s="27">
        <v>0</v>
      </c>
      <c r="H2572" s="27">
        <v>0</v>
      </c>
      <c r="I2572" s="27">
        <v>0</v>
      </c>
      <c r="J2572" s="30">
        <f t="shared" si="120"/>
        <v>0</v>
      </c>
      <c r="K2572" s="30">
        <f t="shared" si="121"/>
        <v>0</v>
      </c>
      <c r="L2572" s="26">
        <f t="shared" si="122"/>
        <v>0</v>
      </c>
      <c r="M2572" s="26">
        <v>0</v>
      </c>
    </row>
    <row r="2573" spans="1:13" ht="15" customHeight="1">
      <c r="A2573" s="25">
        <v>1754352</v>
      </c>
      <c r="B2573" s="26" t="s">
        <v>5423</v>
      </c>
      <c r="C2573" s="26" t="s">
        <v>10887</v>
      </c>
      <c r="D2573" s="26" t="s">
        <v>10888</v>
      </c>
      <c r="E2573" s="26" t="s">
        <v>5426</v>
      </c>
      <c r="F2573" s="27">
        <v>6156574</v>
      </c>
      <c r="G2573" s="27">
        <v>1</v>
      </c>
      <c r="H2573" s="27">
        <v>1</v>
      </c>
      <c r="I2573" s="27">
        <v>1</v>
      </c>
      <c r="J2573" s="30">
        <f t="shared" si="120"/>
        <v>1</v>
      </c>
      <c r="K2573" s="30">
        <f t="shared" si="121"/>
        <v>1</v>
      </c>
      <c r="L2573" s="26">
        <f t="shared" si="122"/>
        <v>1</v>
      </c>
      <c r="M2573" s="26"/>
    </row>
    <row r="2574" spans="1:13" ht="15" customHeight="1">
      <c r="A2574" s="25">
        <v>1754361</v>
      </c>
      <c r="B2574" s="26" t="s">
        <v>5423</v>
      </c>
      <c r="C2574" s="26" t="s">
        <v>10889</v>
      </c>
      <c r="D2574" s="26" t="s">
        <v>10867</v>
      </c>
      <c r="E2574" s="26" t="s">
        <v>5532</v>
      </c>
      <c r="F2574" s="27"/>
      <c r="G2574" s="27">
        <v>0</v>
      </c>
      <c r="H2574" s="27">
        <v>0</v>
      </c>
      <c r="I2574" s="27">
        <v>0</v>
      </c>
      <c r="J2574" s="30">
        <f t="shared" si="120"/>
        <v>0</v>
      </c>
      <c r="K2574" s="30">
        <f t="shared" si="121"/>
        <v>0</v>
      </c>
      <c r="L2574" s="26">
        <f t="shared" si="122"/>
        <v>0</v>
      </c>
      <c r="M2574" s="26" t="s">
        <v>5557</v>
      </c>
    </row>
    <row r="2575" spans="1:13" ht="15" customHeight="1">
      <c r="A2575" s="25">
        <v>1754720</v>
      </c>
      <c r="B2575" s="26" t="s">
        <v>5423</v>
      </c>
      <c r="C2575" s="26" t="s">
        <v>10890</v>
      </c>
      <c r="D2575" s="26" t="s">
        <v>10877</v>
      </c>
      <c r="E2575" s="26" t="s">
        <v>5452</v>
      </c>
      <c r="F2575" s="27">
        <v>6158167</v>
      </c>
      <c r="G2575" s="27">
        <v>0</v>
      </c>
      <c r="H2575" s="27">
        <v>0</v>
      </c>
      <c r="I2575" s="27">
        <v>0</v>
      </c>
      <c r="J2575" s="30">
        <f t="shared" si="120"/>
        <v>0</v>
      </c>
      <c r="K2575" s="30">
        <f t="shared" si="121"/>
        <v>0</v>
      </c>
      <c r="L2575" s="26">
        <f t="shared" si="122"/>
        <v>0</v>
      </c>
      <c r="M2575" s="26">
        <v>0</v>
      </c>
    </row>
    <row r="2576" spans="1:13" ht="15" customHeight="1">
      <c r="A2576" s="25">
        <v>1754807</v>
      </c>
      <c r="B2576" s="26" t="s">
        <v>5423</v>
      </c>
      <c r="C2576" s="26" t="s">
        <v>10891</v>
      </c>
      <c r="D2576" s="26" t="s">
        <v>10892</v>
      </c>
      <c r="E2576" s="26" t="s">
        <v>5455</v>
      </c>
      <c r="F2576" s="27">
        <v>6158263</v>
      </c>
      <c r="G2576" s="27">
        <v>0</v>
      </c>
      <c r="H2576" s="27">
        <v>0</v>
      </c>
      <c r="I2576" s="27">
        <v>0</v>
      </c>
      <c r="J2576" s="30">
        <f t="shared" si="120"/>
        <v>0</v>
      </c>
      <c r="K2576" s="30">
        <f t="shared" si="121"/>
        <v>0</v>
      </c>
      <c r="L2576" s="26">
        <f t="shared" si="122"/>
        <v>0</v>
      </c>
      <c r="M2576" s="26">
        <v>0</v>
      </c>
    </row>
    <row r="2577" spans="1:13" ht="15" customHeight="1">
      <c r="A2577" s="25">
        <v>1754932</v>
      </c>
      <c r="B2577" s="26" t="s">
        <v>5427</v>
      </c>
      <c r="C2577" s="26" t="s">
        <v>10893</v>
      </c>
      <c r="D2577" s="26" t="s">
        <v>10810</v>
      </c>
      <c r="E2577" s="26" t="s">
        <v>5439</v>
      </c>
      <c r="F2577" s="27">
        <v>6148405</v>
      </c>
      <c r="G2577" s="27">
        <v>1</v>
      </c>
      <c r="H2577" s="27">
        <v>0</v>
      </c>
      <c r="I2577" s="27">
        <v>1</v>
      </c>
      <c r="J2577" s="30">
        <f t="shared" si="120"/>
        <v>1</v>
      </c>
      <c r="K2577" s="30">
        <f t="shared" si="121"/>
        <v>0</v>
      </c>
      <c r="L2577" s="26">
        <f t="shared" si="122"/>
        <v>0</v>
      </c>
      <c r="M2577" s="26"/>
    </row>
    <row r="2578" spans="1:13" ht="15" customHeight="1">
      <c r="A2578" s="25">
        <v>1755068</v>
      </c>
      <c r="B2578" s="26" t="s">
        <v>5427</v>
      </c>
      <c r="C2578" s="26" t="s">
        <v>10894</v>
      </c>
      <c r="D2578" s="26" t="s">
        <v>10895</v>
      </c>
      <c r="E2578" s="26" t="s">
        <v>6102</v>
      </c>
      <c r="F2578" s="27">
        <v>6150276</v>
      </c>
      <c r="G2578" s="27">
        <v>1</v>
      </c>
      <c r="H2578" s="27">
        <v>1</v>
      </c>
      <c r="I2578" s="27">
        <v>1</v>
      </c>
      <c r="J2578" s="30">
        <f t="shared" si="120"/>
        <v>1</v>
      </c>
      <c r="K2578" s="30">
        <f t="shared" si="121"/>
        <v>1</v>
      </c>
      <c r="L2578" s="26">
        <f t="shared" si="122"/>
        <v>1</v>
      </c>
      <c r="M2578" s="26"/>
    </row>
    <row r="2579" spans="1:13" ht="15" customHeight="1">
      <c r="A2579" s="25">
        <v>1755173</v>
      </c>
      <c r="B2579" s="26" t="s">
        <v>5423</v>
      </c>
      <c r="C2579" s="26" t="s">
        <v>10896</v>
      </c>
      <c r="D2579" s="26" t="s">
        <v>10897</v>
      </c>
      <c r="E2579" s="26" t="s">
        <v>5455</v>
      </c>
      <c r="F2579" s="27">
        <v>6158670</v>
      </c>
      <c r="G2579" s="27">
        <v>0</v>
      </c>
      <c r="H2579" s="27">
        <v>0</v>
      </c>
      <c r="I2579" s="27">
        <v>0</v>
      </c>
      <c r="J2579" s="30">
        <f t="shared" si="120"/>
        <v>0</v>
      </c>
      <c r="K2579" s="30">
        <f t="shared" si="121"/>
        <v>0</v>
      </c>
      <c r="L2579" s="26">
        <f t="shared" si="122"/>
        <v>0</v>
      </c>
      <c r="M2579" s="26">
        <v>0</v>
      </c>
    </row>
    <row r="2580" spans="1:13" ht="15" customHeight="1">
      <c r="A2580" s="25">
        <v>1755228</v>
      </c>
      <c r="B2580" s="26" t="s">
        <v>5427</v>
      </c>
      <c r="C2580" s="26" t="s">
        <v>10898</v>
      </c>
      <c r="D2580" s="26" t="s">
        <v>10892</v>
      </c>
      <c r="E2580" s="26" t="s">
        <v>5968</v>
      </c>
      <c r="F2580" s="27">
        <v>6141148</v>
      </c>
      <c r="G2580" s="27">
        <v>0</v>
      </c>
      <c r="H2580" s="27">
        <v>0</v>
      </c>
      <c r="I2580" s="27">
        <v>0</v>
      </c>
      <c r="J2580" s="30">
        <f t="shared" si="120"/>
        <v>0</v>
      </c>
      <c r="K2580" s="30">
        <f t="shared" si="121"/>
        <v>0</v>
      </c>
      <c r="L2580" s="26">
        <f t="shared" si="122"/>
        <v>0</v>
      </c>
      <c r="M2580" s="26">
        <v>0</v>
      </c>
    </row>
    <row r="2581" spans="1:13" ht="15" customHeight="1">
      <c r="A2581" s="25">
        <v>1755294</v>
      </c>
      <c r="B2581" s="26" t="s">
        <v>5423</v>
      </c>
      <c r="C2581" s="26" t="s">
        <v>10899</v>
      </c>
      <c r="D2581" s="26" t="s">
        <v>10900</v>
      </c>
      <c r="E2581" s="26" t="s">
        <v>5603</v>
      </c>
      <c r="F2581" s="27">
        <v>6159031</v>
      </c>
      <c r="G2581" s="27">
        <v>0</v>
      </c>
      <c r="H2581" s="27">
        <v>1</v>
      </c>
      <c r="I2581" s="27">
        <v>1</v>
      </c>
      <c r="J2581" s="30">
        <f t="shared" si="120"/>
        <v>0</v>
      </c>
      <c r="K2581" s="30">
        <f t="shared" si="121"/>
        <v>1</v>
      </c>
      <c r="L2581" s="26">
        <f t="shared" si="122"/>
        <v>0</v>
      </c>
      <c r="M2581" s="26"/>
    </row>
    <row r="2582" spans="1:13" ht="15" customHeight="1">
      <c r="A2582" s="25">
        <v>1755385</v>
      </c>
      <c r="B2582" s="26" t="s">
        <v>5423</v>
      </c>
      <c r="C2582" s="26" t="s">
        <v>10901</v>
      </c>
      <c r="D2582" s="26" t="s">
        <v>10902</v>
      </c>
      <c r="E2582" s="26" t="s">
        <v>5683</v>
      </c>
      <c r="F2582" s="27">
        <v>6159201</v>
      </c>
      <c r="G2582" s="27">
        <v>1</v>
      </c>
      <c r="H2582" s="27">
        <v>0</v>
      </c>
      <c r="I2582" s="27">
        <v>1</v>
      </c>
      <c r="J2582" s="30">
        <f t="shared" si="120"/>
        <v>1</v>
      </c>
      <c r="K2582" s="30">
        <f t="shared" si="121"/>
        <v>0</v>
      </c>
      <c r="L2582" s="26">
        <f t="shared" si="122"/>
        <v>0</v>
      </c>
      <c r="M2582" s="26"/>
    </row>
    <row r="2583" spans="1:13" ht="15" customHeight="1">
      <c r="A2583" s="25">
        <v>1755410</v>
      </c>
      <c r="B2583" s="26" t="s">
        <v>5423</v>
      </c>
      <c r="C2583" s="26" t="s">
        <v>10903</v>
      </c>
      <c r="D2583" s="26" t="s">
        <v>10904</v>
      </c>
      <c r="E2583" s="26" t="s">
        <v>5455</v>
      </c>
      <c r="F2583" s="27">
        <v>6159532</v>
      </c>
      <c r="G2583" s="27">
        <v>1</v>
      </c>
      <c r="H2583" s="27">
        <v>1</v>
      </c>
      <c r="I2583" s="27">
        <v>1</v>
      </c>
      <c r="J2583" s="30">
        <f t="shared" si="120"/>
        <v>1</v>
      </c>
      <c r="K2583" s="30">
        <f t="shared" si="121"/>
        <v>1</v>
      </c>
      <c r="L2583" s="26">
        <f t="shared" si="122"/>
        <v>1</v>
      </c>
      <c r="M2583" s="26"/>
    </row>
    <row r="2584" spans="1:13" ht="15" customHeight="1">
      <c r="A2584" s="25">
        <v>1755842</v>
      </c>
      <c r="B2584" s="26" t="s">
        <v>5423</v>
      </c>
      <c r="C2584" s="26" t="s">
        <v>10905</v>
      </c>
      <c r="D2584" s="26" t="s">
        <v>10906</v>
      </c>
      <c r="E2584" s="26" t="s">
        <v>5480</v>
      </c>
      <c r="F2584" s="27">
        <v>6161788</v>
      </c>
      <c r="G2584" s="27">
        <v>0</v>
      </c>
      <c r="H2584" s="27">
        <v>0</v>
      </c>
      <c r="I2584" s="27">
        <v>0</v>
      </c>
      <c r="J2584" s="30">
        <f t="shared" si="120"/>
        <v>0</v>
      </c>
      <c r="K2584" s="30">
        <f t="shared" si="121"/>
        <v>0</v>
      </c>
      <c r="L2584" s="26">
        <f t="shared" si="122"/>
        <v>0</v>
      </c>
      <c r="M2584" s="26">
        <v>0</v>
      </c>
    </row>
    <row r="2585" spans="1:13" ht="15" customHeight="1">
      <c r="A2585" s="25">
        <v>1755884</v>
      </c>
      <c r="B2585" s="26" t="s">
        <v>5427</v>
      </c>
      <c r="C2585" s="26" t="s">
        <v>10907</v>
      </c>
      <c r="D2585" s="26" t="s">
        <v>10908</v>
      </c>
      <c r="E2585" s="26" t="s">
        <v>5480</v>
      </c>
      <c r="F2585" s="27">
        <v>6139621</v>
      </c>
      <c r="G2585" s="27">
        <v>1</v>
      </c>
      <c r="H2585" s="27">
        <v>1</v>
      </c>
      <c r="I2585" s="27">
        <v>1</v>
      </c>
      <c r="J2585" s="30">
        <f t="shared" si="120"/>
        <v>1</v>
      </c>
      <c r="K2585" s="30">
        <f t="shared" si="121"/>
        <v>1</v>
      </c>
      <c r="L2585" s="26">
        <f t="shared" si="122"/>
        <v>1</v>
      </c>
      <c r="M2585" s="26"/>
    </row>
    <row r="2586" spans="1:13" ht="15" customHeight="1">
      <c r="A2586" s="25">
        <v>1755889</v>
      </c>
      <c r="B2586" s="26" t="s">
        <v>5423</v>
      </c>
      <c r="C2586" s="26" t="s">
        <v>10909</v>
      </c>
      <c r="D2586" s="26" t="s">
        <v>10910</v>
      </c>
      <c r="E2586" s="26" t="s">
        <v>5468</v>
      </c>
      <c r="F2586" s="27">
        <v>6161305</v>
      </c>
      <c r="G2586" s="27">
        <v>0</v>
      </c>
      <c r="H2586" s="27">
        <v>0</v>
      </c>
      <c r="I2586" s="27">
        <v>0</v>
      </c>
      <c r="J2586" s="30">
        <f t="shared" si="120"/>
        <v>0</v>
      </c>
      <c r="K2586" s="30">
        <f t="shared" si="121"/>
        <v>0</v>
      </c>
      <c r="L2586" s="26">
        <f t="shared" si="122"/>
        <v>0</v>
      </c>
      <c r="M2586" s="26">
        <v>0</v>
      </c>
    </row>
    <row r="2587" spans="1:13" ht="15" customHeight="1">
      <c r="A2587" s="25">
        <v>1755914</v>
      </c>
      <c r="B2587" s="26" t="s">
        <v>5423</v>
      </c>
      <c r="C2587" s="26" t="s">
        <v>10911</v>
      </c>
      <c r="D2587" s="26" t="s">
        <v>10912</v>
      </c>
      <c r="E2587" s="26" t="s">
        <v>5455</v>
      </c>
      <c r="F2587" s="27">
        <v>6160544</v>
      </c>
      <c r="G2587" s="27">
        <v>1</v>
      </c>
      <c r="H2587" s="27">
        <v>0</v>
      </c>
      <c r="I2587" s="27">
        <v>1</v>
      </c>
      <c r="J2587" s="30">
        <f t="shared" si="120"/>
        <v>1</v>
      </c>
      <c r="K2587" s="30">
        <f t="shared" si="121"/>
        <v>0</v>
      </c>
      <c r="L2587" s="26">
        <f t="shared" si="122"/>
        <v>0</v>
      </c>
      <c r="M2587" s="26"/>
    </row>
    <row r="2588" spans="1:13" ht="15" customHeight="1">
      <c r="A2588" s="25">
        <v>1755966</v>
      </c>
      <c r="B2588" s="26" t="s">
        <v>5423</v>
      </c>
      <c r="C2588" s="26" t="s">
        <v>10913</v>
      </c>
      <c r="D2588" s="26" t="s">
        <v>10892</v>
      </c>
      <c r="E2588" s="26" t="s">
        <v>5535</v>
      </c>
      <c r="F2588" s="27">
        <v>6161073</v>
      </c>
      <c r="G2588" s="27">
        <v>1</v>
      </c>
      <c r="H2588" s="27">
        <v>0</v>
      </c>
      <c r="I2588" s="27">
        <v>1</v>
      </c>
      <c r="J2588" s="30">
        <f t="shared" si="120"/>
        <v>1</v>
      </c>
      <c r="K2588" s="30">
        <f t="shared" si="121"/>
        <v>0</v>
      </c>
      <c r="L2588" s="26">
        <f t="shared" si="122"/>
        <v>0</v>
      </c>
      <c r="M2588" s="26"/>
    </row>
    <row r="2589" spans="1:13" ht="15" customHeight="1">
      <c r="A2589" s="25">
        <v>1756022</v>
      </c>
      <c r="B2589" s="26" t="s">
        <v>5427</v>
      </c>
      <c r="C2589" s="26" t="s">
        <v>10914</v>
      </c>
      <c r="D2589" s="26" t="s">
        <v>10915</v>
      </c>
      <c r="E2589" s="26" t="s">
        <v>5504</v>
      </c>
      <c r="F2589" s="27">
        <v>6160679</v>
      </c>
      <c r="G2589" s="27">
        <v>1</v>
      </c>
      <c r="H2589" s="27">
        <v>1</v>
      </c>
      <c r="I2589" s="27">
        <v>1</v>
      </c>
      <c r="J2589" s="30">
        <f t="shared" si="120"/>
        <v>1</v>
      </c>
      <c r="K2589" s="30">
        <f t="shared" si="121"/>
        <v>1</v>
      </c>
      <c r="L2589" s="26">
        <f t="shared" si="122"/>
        <v>1</v>
      </c>
      <c r="M2589" s="26"/>
    </row>
    <row r="2590" spans="1:13" ht="15" customHeight="1">
      <c r="A2590" s="25">
        <v>1756034</v>
      </c>
      <c r="B2590" s="26" t="s">
        <v>5423</v>
      </c>
      <c r="C2590" s="26" t="s">
        <v>10916</v>
      </c>
      <c r="D2590" s="26" t="s">
        <v>10910</v>
      </c>
      <c r="E2590" s="26" t="s">
        <v>5491</v>
      </c>
      <c r="F2590" s="27">
        <v>6136143</v>
      </c>
      <c r="G2590" s="27">
        <v>1</v>
      </c>
      <c r="H2590" s="27">
        <v>0</v>
      </c>
      <c r="I2590" s="27">
        <v>1</v>
      </c>
      <c r="J2590" s="30">
        <f t="shared" si="120"/>
        <v>1</v>
      </c>
      <c r="K2590" s="30">
        <f t="shared" si="121"/>
        <v>0</v>
      </c>
      <c r="L2590" s="26">
        <f t="shared" si="122"/>
        <v>0</v>
      </c>
      <c r="M2590" s="26"/>
    </row>
    <row r="2591" spans="1:13" ht="15" customHeight="1">
      <c r="A2591" s="25">
        <v>1756338</v>
      </c>
      <c r="B2591" s="26" t="s">
        <v>5423</v>
      </c>
      <c r="C2591" s="26" t="s">
        <v>10917</v>
      </c>
      <c r="D2591" s="26" t="s">
        <v>10918</v>
      </c>
      <c r="E2591" s="26" t="s">
        <v>5522</v>
      </c>
      <c r="F2591" s="27">
        <v>6127181</v>
      </c>
      <c r="G2591" s="27">
        <v>1</v>
      </c>
      <c r="H2591" s="27">
        <v>1</v>
      </c>
      <c r="I2591" s="27">
        <v>1</v>
      </c>
      <c r="J2591" s="30">
        <f t="shared" si="120"/>
        <v>1</v>
      </c>
      <c r="K2591" s="30">
        <f t="shared" si="121"/>
        <v>1</v>
      </c>
      <c r="L2591" s="26">
        <f t="shared" si="122"/>
        <v>1</v>
      </c>
      <c r="M2591" s="26"/>
    </row>
    <row r="2592" spans="1:13" ht="15" customHeight="1">
      <c r="A2592" s="25">
        <v>1756349</v>
      </c>
      <c r="B2592" s="26" t="s">
        <v>5423</v>
      </c>
      <c r="C2592" s="26" t="s">
        <v>10919</v>
      </c>
      <c r="D2592" s="26" t="s">
        <v>10920</v>
      </c>
      <c r="E2592" s="26" t="s">
        <v>5586</v>
      </c>
      <c r="F2592" s="27">
        <v>6069247</v>
      </c>
      <c r="G2592" s="27">
        <v>0</v>
      </c>
      <c r="H2592" s="27">
        <v>1</v>
      </c>
      <c r="I2592" s="27">
        <v>1</v>
      </c>
      <c r="J2592" s="30">
        <f t="shared" si="120"/>
        <v>0</v>
      </c>
      <c r="K2592" s="30">
        <f t="shared" si="121"/>
        <v>1</v>
      </c>
      <c r="L2592" s="26">
        <f t="shared" si="122"/>
        <v>0</v>
      </c>
      <c r="M2592" s="26"/>
    </row>
    <row r="2593" spans="1:13" ht="15" customHeight="1">
      <c r="A2593" s="25">
        <v>1756489</v>
      </c>
      <c r="B2593" s="26" t="s">
        <v>5423</v>
      </c>
      <c r="C2593" s="26" t="s">
        <v>10921</v>
      </c>
      <c r="D2593" s="26" t="s">
        <v>10922</v>
      </c>
      <c r="E2593" s="26" t="s">
        <v>5485</v>
      </c>
      <c r="F2593" s="27"/>
      <c r="G2593" s="27">
        <v>0</v>
      </c>
      <c r="H2593" s="27">
        <v>0</v>
      </c>
      <c r="I2593" s="27">
        <v>0</v>
      </c>
      <c r="J2593" s="30">
        <f t="shared" si="120"/>
        <v>0</v>
      </c>
      <c r="K2593" s="30">
        <f t="shared" si="121"/>
        <v>0</v>
      </c>
      <c r="L2593" s="26">
        <f t="shared" si="122"/>
        <v>0</v>
      </c>
      <c r="M2593" s="26" t="s">
        <v>5557</v>
      </c>
    </row>
    <row r="2594" spans="1:13" ht="15" customHeight="1">
      <c r="A2594" s="25">
        <v>1756509</v>
      </c>
      <c r="B2594" s="26" t="s">
        <v>5423</v>
      </c>
      <c r="C2594" s="26" t="s">
        <v>10923</v>
      </c>
      <c r="D2594" s="26" t="s">
        <v>10875</v>
      </c>
      <c r="E2594" s="26" t="s">
        <v>5540</v>
      </c>
      <c r="F2594" s="27">
        <v>6163026</v>
      </c>
      <c r="G2594" s="27">
        <v>0</v>
      </c>
      <c r="H2594" s="27">
        <v>0</v>
      </c>
      <c r="I2594" s="27">
        <v>0</v>
      </c>
      <c r="J2594" s="30">
        <f t="shared" si="120"/>
        <v>0</v>
      </c>
      <c r="K2594" s="30">
        <f t="shared" si="121"/>
        <v>0</v>
      </c>
      <c r="L2594" s="26">
        <f t="shared" si="122"/>
        <v>0</v>
      </c>
      <c r="M2594" s="26">
        <v>0</v>
      </c>
    </row>
    <row r="2595" spans="1:13" ht="15" customHeight="1">
      <c r="A2595" s="25">
        <v>1756515</v>
      </c>
      <c r="B2595" s="26" t="s">
        <v>5427</v>
      </c>
      <c r="C2595" s="26" t="s">
        <v>10924</v>
      </c>
      <c r="D2595" s="26" t="s">
        <v>10875</v>
      </c>
      <c r="E2595" s="26" t="s">
        <v>8392</v>
      </c>
      <c r="F2595" s="27">
        <v>6036860</v>
      </c>
      <c r="G2595" s="27">
        <v>0</v>
      </c>
      <c r="H2595" s="27">
        <v>0</v>
      </c>
      <c r="I2595" s="27">
        <v>0</v>
      </c>
      <c r="J2595" s="30">
        <f t="shared" si="120"/>
        <v>0</v>
      </c>
      <c r="K2595" s="30">
        <f t="shared" si="121"/>
        <v>0</v>
      </c>
      <c r="L2595" s="26">
        <f t="shared" si="122"/>
        <v>0</v>
      </c>
      <c r="M2595" s="26">
        <v>0</v>
      </c>
    </row>
    <row r="2596" spans="1:13" ht="15" customHeight="1">
      <c r="A2596" s="25">
        <v>1756629</v>
      </c>
      <c r="B2596" s="26" t="s">
        <v>5423</v>
      </c>
      <c r="C2596" s="26" t="s">
        <v>10925</v>
      </c>
      <c r="D2596" s="26" t="s">
        <v>10926</v>
      </c>
      <c r="E2596" s="26" t="s">
        <v>5430</v>
      </c>
      <c r="F2596" s="27"/>
      <c r="G2596" s="27">
        <v>0</v>
      </c>
      <c r="H2596" s="27">
        <v>0</v>
      </c>
      <c r="I2596" s="27">
        <v>0</v>
      </c>
      <c r="J2596" s="30">
        <f t="shared" si="120"/>
        <v>0</v>
      </c>
      <c r="K2596" s="30">
        <f t="shared" si="121"/>
        <v>0</v>
      </c>
      <c r="L2596" s="26">
        <f t="shared" si="122"/>
        <v>0</v>
      </c>
      <c r="M2596" s="26" t="s">
        <v>5557</v>
      </c>
    </row>
    <row r="2597" spans="1:13" ht="15" customHeight="1">
      <c r="A2597" s="25">
        <v>1756757</v>
      </c>
      <c r="B2597" s="26" t="s">
        <v>5423</v>
      </c>
      <c r="C2597" s="26" t="s">
        <v>10927</v>
      </c>
      <c r="D2597" s="26" t="s">
        <v>10928</v>
      </c>
      <c r="E2597" s="26" t="s">
        <v>5475</v>
      </c>
      <c r="F2597" s="27">
        <v>6156531</v>
      </c>
      <c r="G2597" s="27">
        <v>1</v>
      </c>
      <c r="H2597" s="27">
        <v>0</v>
      </c>
      <c r="I2597" s="27">
        <v>1</v>
      </c>
      <c r="J2597" s="30">
        <f t="shared" si="120"/>
        <v>1</v>
      </c>
      <c r="K2597" s="30">
        <f t="shared" si="121"/>
        <v>0</v>
      </c>
      <c r="L2597" s="26">
        <f t="shared" si="122"/>
        <v>0</v>
      </c>
      <c r="M2597" s="26"/>
    </row>
    <row r="2598" spans="1:13" ht="15" customHeight="1">
      <c r="A2598" s="25">
        <v>1756952</v>
      </c>
      <c r="B2598" s="26" t="s">
        <v>5423</v>
      </c>
      <c r="C2598" s="26" t="s">
        <v>10929</v>
      </c>
      <c r="D2598" s="26" t="s">
        <v>10930</v>
      </c>
      <c r="E2598" s="26" t="s">
        <v>5452</v>
      </c>
      <c r="F2598" s="27">
        <v>6157747</v>
      </c>
      <c r="G2598" s="27">
        <v>1</v>
      </c>
      <c r="H2598" s="27">
        <v>0</v>
      </c>
      <c r="I2598" s="27">
        <v>1</v>
      </c>
      <c r="J2598" s="30">
        <f t="shared" si="120"/>
        <v>1</v>
      </c>
      <c r="K2598" s="30">
        <f t="shared" si="121"/>
        <v>0</v>
      </c>
      <c r="L2598" s="26">
        <f t="shared" si="122"/>
        <v>0</v>
      </c>
      <c r="M2598" s="26"/>
    </row>
    <row r="2599" spans="1:13" ht="15" customHeight="1">
      <c r="A2599" s="25">
        <v>1757195</v>
      </c>
      <c r="B2599" s="26" t="s">
        <v>5423</v>
      </c>
      <c r="C2599" s="26" t="s">
        <v>10931</v>
      </c>
      <c r="D2599" s="26" t="s">
        <v>10932</v>
      </c>
      <c r="E2599" s="26" t="s">
        <v>5488</v>
      </c>
      <c r="F2599" s="27">
        <v>5959451</v>
      </c>
      <c r="G2599" s="27">
        <v>0</v>
      </c>
      <c r="H2599" s="27">
        <v>0</v>
      </c>
      <c r="I2599" s="27">
        <v>0</v>
      </c>
      <c r="J2599" s="30">
        <f t="shared" si="120"/>
        <v>0</v>
      </c>
      <c r="K2599" s="30">
        <f t="shared" si="121"/>
        <v>0</v>
      </c>
      <c r="L2599" s="26">
        <f t="shared" si="122"/>
        <v>0</v>
      </c>
      <c r="M2599" s="26" t="s">
        <v>5557</v>
      </c>
    </row>
    <row r="2600" spans="1:13" ht="15" customHeight="1">
      <c r="A2600" s="25">
        <v>1757200</v>
      </c>
      <c r="B2600" s="26" t="s">
        <v>5423</v>
      </c>
      <c r="C2600" s="26" t="s">
        <v>10933</v>
      </c>
      <c r="D2600" s="26" t="s">
        <v>10934</v>
      </c>
      <c r="E2600" s="26" t="s">
        <v>5455</v>
      </c>
      <c r="F2600" s="27">
        <v>6165238</v>
      </c>
      <c r="G2600" s="27">
        <v>0</v>
      </c>
      <c r="H2600" s="27">
        <v>0</v>
      </c>
      <c r="I2600" s="27">
        <v>0</v>
      </c>
      <c r="J2600" s="30">
        <f t="shared" si="120"/>
        <v>0</v>
      </c>
      <c r="K2600" s="30">
        <f t="shared" si="121"/>
        <v>0</v>
      </c>
      <c r="L2600" s="26">
        <f t="shared" si="122"/>
        <v>0</v>
      </c>
      <c r="M2600" s="26">
        <v>0</v>
      </c>
    </row>
    <row r="2601" spans="1:13" ht="15" customHeight="1">
      <c r="A2601" s="25">
        <v>1757205</v>
      </c>
      <c r="B2601" s="26" t="s">
        <v>5423</v>
      </c>
      <c r="C2601" s="26" t="s">
        <v>10935</v>
      </c>
      <c r="D2601" s="26" t="s">
        <v>10932</v>
      </c>
      <c r="E2601" s="26" t="s">
        <v>5522</v>
      </c>
      <c r="F2601" s="27">
        <v>6163756</v>
      </c>
      <c r="G2601" s="27">
        <v>1</v>
      </c>
      <c r="H2601" s="27">
        <v>1</v>
      </c>
      <c r="I2601" s="27">
        <v>1</v>
      </c>
      <c r="J2601" s="30">
        <f t="shared" si="120"/>
        <v>1</v>
      </c>
      <c r="K2601" s="30">
        <f t="shared" si="121"/>
        <v>1</v>
      </c>
      <c r="L2601" s="26">
        <f t="shared" si="122"/>
        <v>1</v>
      </c>
      <c r="M2601" s="26"/>
    </row>
    <row r="2602" spans="1:13" ht="15" customHeight="1">
      <c r="A2602" s="25">
        <v>1757266</v>
      </c>
      <c r="B2602" s="26" t="s">
        <v>5423</v>
      </c>
      <c r="C2602" s="26" t="s">
        <v>10936</v>
      </c>
      <c r="D2602" s="26" t="s">
        <v>10932</v>
      </c>
      <c r="E2602" s="26" t="s">
        <v>5430</v>
      </c>
      <c r="F2602" s="27">
        <v>6163983</v>
      </c>
      <c r="G2602" s="27">
        <v>1</v>
      </c>
      <c r="H2602" s="27">
        <v>1</v>
      </c>
      <c r="I2602" s="27">
        <v>1</v>
      </c>
      <c r="J2602" s="30">
        <f t="shared" si="120"/>
        <v>1</v>
      </c>
      <c r="K2602" s="30">
        <f t="shared" si="121"/>
        <v>1</v>
      </c>
      <c r="L2602" s="26">
        <f t="shared" si="122"/>
        <v>1</v>
      </c>
      <c r="M2602" s="26"/>
    </row>
    <row r="2603" spans="1:13" ht="15" customHeight="1">
      <c r="A2603" s="25">
        <v>1757268</v>
      </c>
      <c r="B2603" s="26" t="s">
        <v>5423</v>
      </c>
      <c r="C2603" s="26" t="s">
        <v>10937</v>
      </c>
      <c r="D2603" s="26" t="s">
        <v>10932</v>
      </c>
      <c r="E2603" s="26" t="s">
        <v>5603</v>
      </c>
      <c r="F2603" s="27">
        <v>6164146</v>
      </c>
      <c r="G2603" s="27">
        <v>1</v>
      </c>
      <c r="H2603" s="27">
        <v>1</v>
      </c>
      <c r="I2603" s="27">
        <v>1</v>
      </c>
      <c r="J2603" s="30">
        <f t="shared" si="120"/>
        <v>1</v>
      </c>
      <c r="K2603" s="30">
        <f t="shared" si="121"/>
        <v>1</v>
      </c>
      <c r="L2603" s="26">
        <f t="shared" si="122"/>
        <v>1</v>
      </c>
      <c r="M2603" s="26"/>
    </row>
    <row r="2604" spans="1:13" ht="15" customHeight="1">
      <c r="A2604" s="25">
        <v>1757321</v>
      </c>
      <c r="B2604" s="26" t="s">
        <v>5427</v>
      </c>
      <c r="C2604" s="26" t="s">
        <v>10938</v>
      </c>
      <c r="D2604" s="26" t="s">
        <v>10902</v>
      </c>
      <c r="E2604" s="26" t="s">
        <v>5455</v>
      </c>
      <c r="F2604" s="27">
        <v>6165061</v>
      </c>
      <c r="G2604" s="27">
        <v>1</v>
      </c>
      <c r="H2604" s="27">
        <v>1</v>
      </c>
      <c r="I2604" s="27">
        <v>1</v>
      </c>
      <c r="J2604" s="30">
        <f t="shared" si="120"/>
        <v>1</v>
      </c>
      <c r="K2604" s="30">
        <f t="shared" si="121"/>
        <v>1</v>
      </c>
      <c r="L2604" s="26">
        <f t="shared" si="122"/>
        <v>1</v>
      </c>
      <c r="M2604" s="26" t="s">
        <v>8169</v>
      </c>
    </row>
    <row r="2605" spans="1:13" ht="15" customHeight="1">
      <c r="A2605" s="25">
        <v>1757383</v>
      </c>
      <c r="B2605" s="26" t="s">
        <v>5423</v>
      </c>
      <c r="C2605" s="26" t="s">
        <v>10939</v>
      </c>
      <c r="D2605" s="26" t="s">
        <v>10932</v>
      </c>
      <c r="E2605" s="26" t="s">
        <v>5447</v>
      </c>
      <c r="F2605" s="27">
        <v>6050719</v>
      </c>
      <c r="G2605" s="27">
        <v>1</v>
      </c>
      <c r="H2605" s="27">
        <v>1</v>
      </c>
      <c r="I2605" s="27">
        <v>1</v>
      </c>
      <c r="J2605" s="30">
        <f t="shared" si="120"/>
        <v>1</v>
      </c>
      <c r="K2605" s="30">
        <f t="shared" si="121"/>
        <v>1</v>
      </c>
      <c r="L2605" s="26">
        <f t="shared" si="122"/>
        <v>1</v>
      </c>
      <c r="M2605" s="26"/>
    </row>
    <row r="2606" spans="1:13" ht="15" customHeight="1">
      <c r="A2606" s="25">
        <v>1757404</v>
      </c>
      <c r="B2606" s="26" t="s">
        <v>5423</v>
      </c>
      <c r="C2606" s="26" t="s">
        <v>10940</v>
      </c>
      <c r="D2606" s="26" t="s">
        <v>10875</v>
      </c>
      <c r="E2606" s="26" t="s">
        <v>5517</v>
      </c>
      <c r="F2606" s="27">
        <v>6165997</v>
      </c>
      <c r="G2606" s="27">
        <v>0</v>
      </c>
      <c r="H2606" s="27">
        <v>0</v>
      </c>
      <c r="I2606" s="27">
        <v>0</v>
      </c>
      <c r="J2606" s="30">
        <f t="shared" si="120"/>
        <v>0</v>
      </c>
      <c r="K2606" s="30">
        <f t="shared" si="121"/>
        <v>0</v>
      </c>
      <c r="L2606" s="26">
        <f t="shared" si="122"/>
        <v>0</v>
      </c>
      <c r="M2606" s="26">
        <v>0</v>
      </c>
    </row>
    <row r="2607" spans="1:13" ht="15" customHeight="1">
      <c r="A2607" s="25">
        <v>1757502</v>
      </c>
      <c r="B2607" s="26" t="s">
        <v>5427</v>
      </c>
      <c r="C2607" s="26" t="s">
        <v>10941</v>
      </c>
      <c r="D2607" s="26" t="s">
        <v>10942</v>
      </c>
      <c r="E2607" s="26" t="s">
        <v>5426</v>
      </c>
      <c r="F2607" s="27">
        <v>6165996</v>
      </c>
      <c r="G2607" s="27">
        <v>0</v>
      </c>
      <c r="H2607" s="27">
        <v>0</v>
      </c>
      <c r="I2607" s="27">
        <v>0</v>
      </c>
      <c r="J2607" s="30">
        <f t="shared" si="120"/>
        <v>0</v>
      </c>
      <c r="K2607" s="30">
        <f t="shared" si="121"/>
        <v>0</v>
      </c>
      <c r="L2607" s="26">
        <f t="shared" si="122"/>
        <v>0</v>
      </c>
      <c r="M2607" s="26">
        <v>0</v>
      </c>
    </row>
    <row r="2608" spans="1:13" ht="15" customHeight="1">
      <c r="A2608" s="25">
        <v>1757535</v>
      </c>
      <c r="B2608" s="26" t="s">
        <v>5423</v>
      </c>
      <c r="C2608" s="26" t="s">
        <v>10943</v>
      </c>
      <c r="D2608" s="26" t="s">
        <v>10928</v>
      </c>
      <c r="E2608" s="26" t="s">
        <v>5455</v>
      </c>
      <c r="F2608" s="27">
        <v>5292584</v>
      </c>
      <c r="G2608" s="27">
        <v>0</v>
      </c>
      <c r="H2608" s="27">
        <v>0</v>
      </c>
      <c r="I2608" s="27">
        <v>0</v>
      </c>
      <c r="J2608" s="30">
        <f t="shared" si="120"/>
        <v>0</v>
      </c>
      <c r="K2608" s="30">
        <f t="shared" si="121"/>
        <v>0</v>
      </c>
      <c r="L2608" s="26">
        <f t="shared" si="122"/>
        <v>0</v>
      </c>
      <c r="M2608" s="26" t="s">
        <v>5557</v>
      </c>
    </row>
    <row r="2609" spans="1:13" ht="15" customHeight="1">
      <c r="A2609" s="25">
        <v>1757548</v>
      </c>
      <c r="B2609" s="26" t="s">
        <v>5423</v>
      </c>
      <c r="C2609" s="26" t="s">
        <v>10944</v>
      </c>
      <c r="D2609" s="26" t="s">
        <v>10875</v>
      </c>
      <c r="E2609" s="26" t="s">
        <v>5475</v>
      </c>
      <c r="F2609" s="27">
        <v>5955132</v>
      </c>
      <c r="G2609" s="27">
        <v>1</v>
      </c>
      <c r="H2609" s="27">
        <v>1</v>
      </c>
      <c r="I2609" s="27">
        <v>1</v>
      </c>
      <c r="J2609" s="30">
        <f t="shared" si="120"/>
        <v>1</v>
      </c>
      <c r="K2609" s="30">
        <f t="shared" si="121"/>
        <v>1</v>
      </c>
      <c r="L2609" s="26">
        <f t="shared" si="122"/>
        <v>1</v>
      </c>
      <c r="M2609" s="26"/>
    </row>
    <row r="2610" spans="1:13" ht="15" customHeight="1">
      <c r="A2610" s="25">
        <v>1757566</v>
      </c>
      <c r="B2610" s="26" t="s">
        <v>5427</v>
      </c>
      <c r="C2610" s="26" t="s">
        <v>10945</v>
      </c>
      <c r="D2610" s="26" t="s">
        <v>10946</v>
      </c>
      <c r="E2610" s="26" t="s">
        <v>6123</v>
      </c>
      <c r="F2610" s="27">
        <v>6165229</v>
      </c>
      <c r="G2610" s="27">
        <v>0</v>
      </c>
      <c r="H2610" s="27">
        <v>1</v>
      </c>
      <c r="I2610" s="27">
        <v>1</v>
      </c>
      <c r="J2610" s="30">
        <f t="shared" si="120"/>
        <v>0</v>
      </c>
      <c r="K2610" s="30">
        <f t="shared" si="121"/>
        <v>1</v>
      </c>
      <c r="L2610" s="26">
        <f t="shared" si="122"/>
        <v>0</v>
      </c>
      <c r="M2610" s="26"/>
    </row>
    <row r="2611" spans="1:13" ht="15" customHeight="1">
      <c r="A2611" s="25">
        <v>1757569</v>
      </c>
      <c r="B2611" s="26" t="s">
        <v>5423</v>
      </c>
      <c r="C2611" s="26" t="s">
        <v>10947</v>
      </c>
      <c r="D2611" s="26" t="s">
        <v>10875</v>
      </c>
      <c r="E2611" s="26" t="s">
        <v>5545</v>
      </c>
      <c r="F2611" s="27">
        <v>6054755</v>
      </c>
      <c r="G2611" s="27">
        <v>1</v>
      </c>
      <c r="H2611" s="27">
        <v>0</v>
      </c>
      <c r="I2611" s="27">
        <v>1</v>
      </c>
      <c r="J2611" s="30">
        <f t="shared" si="120"/>
        <v>1</v>
      </c>
      <c r="K2611" s="30">
        <f t="shared" si="121"/>
        <v>0</v>
      </c>
      <c r="L2611" s="26">
        <f t="shared" si="122"/>
        <v>0</v>
      </c>
      <c r="M2611" s="26"/>
    </row>
    <row r="2612" spans="1:13" ht="15" customHeight="1">
      <c r="A2612" s="25">
        <v>1757578</v>
      </c>
      <c r="B2612" s="26" t="s">
        <v>5423</v>
      </c>
      <c r="C2612" s="26" t="s">
        <v>10948</v>
      </c>
      <c r="D2612" s="26" t="s">
        <v>10949</v>
      </c>
      <c r="E2612" s="26" t="s">
        <v>5447</v>
      </c>
      <c r="F2612" s="27">
        <v>6142103</v>
      </c>
      <c r="G2612" s="27">
        <v>1</v>
      </c>
      <c r="H2612" s="27">
        <v>0</v>
      </c>
      <c r="I2612" s="27">
        <v>1</v>
      </c>
      <c r="J2612" s="30">
        <f t="shared" si="120"/>
        <v>1</v>
      </c>
      <c r="K2612" s="30">
        <f t="shared" si="121"/>
        <v>0</v>
      </c>
      <c r="L2612" s="26">
        <f t="shared" si="122"/>
        <v>0</v>
      </c>
      <c r="M2612" s="26"/>
    </row>
    <row r="2613" spans="1:13" ht="15" customHeight="1">
      <c r="A2613" s="25">
        <v>1757611</v>
      </c>
      <c r="B2613" s="26" t="s">
        <v>5423</v>
      </c>
      <c r="C2613" s="26" t="s">
        <v>10950</v>
      </c>
      <c r="D2613" s="26" t="s">
        <v>10928</v>
      </c>
      <c r="E2613" s="26" t="s">
        <v>5452</v>
      </c>
      <c r="F2613" s="27">
        <v>6166024</v>
      </c>
      <c r="G2613" s="27">
        <v>0</v>
      </c>
      <c r="H2613" s="27">
        <v>0</v>
      </c>
      <c r="I2613" s="27">
        <v>0</v>
      </c>
      <c r="J2613" s="30">
        <f t="shared" si="120"/>
        <v>0</v>
      </c>
      <c r="K2613" s="30">
        <f t="shared" si="121"/>
        <v>0</v>
      </c>
      <c r="L2613" s="26">
        <f t="shared" si="122"/>
        <v>0</v>
      </c>
      <c r="M2613" s="26">
        <v>0</v>
      </c>
    </row>
    <row r="2614" spans="1:13" ht="15" customHeight="1">
      <c r="A2614" s="25">
        <v>1757615</v>
      </c>
      <c r="B2614" s="26" t="s">
        <v>5423</v>
      </c>
      <c r="C2614" s="26" t="s">
        <v>10951</v>
      </c>
      <c r="D2614" s="26" t="s">
        <v>10952</v>
      </c>
      <c r="E2614" s="26" t="s">
        <v>5458</v>
      </c>
      <c r="F2614" s="27">
        <v>6131092</v>
      </c>
      <c r="G2614" s="27">
        <v>1</v>
      </c>
      <c r="H2614" s="27">
        <v>0</v>
      </c>
      <c r="I2614" s="27">
        <v>1</v>
      </c>
      <c r="J2614" s="30">
        <f t="shared" si="120"/>
        <v>1</v>
      </c>
      <c r="K2614" s="30">
        <f t="shared" si="121"/>
        <v>0</v>
      </c>
      <c r="L2614" s="26">
        <f t="shared" si="122"/>
        <v>0</v>
      </c>
      <c r="M2614" s="26"/>
    </row>
    <row r="2615" spans="1:13" ht="15" customHeight="1">
      <c r="A2615" s="25">
        <v>1757692</v>
      </c>
      <c r="B2615" s="26" t="s">
        <v>5427</v>
      </c>
      <c r="C2615" s="26" t="s">
        <v>10953</v>
      </c>
      <c r="D2615" s="26" t="s">
        <v>10928</v>
      </c>
      <c r="E2615" s="26" t="s">
        <v>5455</v>
      </c>
      <c r="F2615" s="27">
        <v>6166040</v>
      </c>
      <c r="G2615" s="27">
        <v>0</v>
      </c>
      <c r="H2615" s="27">
        <v>0</v>
      </c>
      <c r="I2615" s="27">
        <v>0</v>
      </c>
      <c r="J2615" s="30">
        <f t="shared" si="120"/>
        <v>0</v>
      </c>
      <c r="K2615" s="30">
        <f t="shared" si="121"/>
        <v>0</v>
      </c>
      <c r="L2615" s="26">
        <f t="shared" si="122"/>
        <v>0</v>
      </c>
      <c r="M2615" s="26">
        <v>0</v>
      </c>
    </row>
    <row r="2616" spans="1:13" ht="15" customHeight="1">
      <c r="A2616" s="25">
        <v>1757704</v>
      </c>
      <c r="B2616" s="26" t="s">
        <v>5427</v>
      </c>
      <c r="C2616" s="26" t="s">
        <v>10954</v>
      </c>
      <c r="D2616" s="26" t="s">
        <v>10875</v>
      </c>
      <c r="E2616" s="26" t="s">
        <v>5683</v>
      </c>
      <c r="F2616" s="27">
        <v>6148181</v>
      </c>
      <c r="G2616" s="27">
        <v>1</v>
      </c>
      <c r="H2616" s="27">
        <v>0</v>
      </c>
      <c r="I2616" s="27">
        <v>1</v>
      </c>
      <c r="J2616" s="30">
        <f t="shared" si="120"/>
        <v>1</v>
      </c>
      <c r="K2616" s="30">
        <f t="shared" si="121"/>
        <v>0</v>
      </c>
      <c r="L2616" s="26">
        <f t="shared" si="122"/>
        <v>0</v>
      </c>
      <c r="M2616" s="26"/>
    </row>
    <row r="2617" spans="1:13" ht="15" customHeight="1">
      <c r="A2617" s="25">
        <v>1757964</v>
      </c>
      <c r="B2617" s="26" t="s">
        <v>5427</v>
      </c>
      <c r="C2617" s="26" t="s">
        <v>10955</v>
      </c>
      <c r="D2617" s="26" t="s">
        <v>10949</v>
      </c>
      <c r="E2617" s="26" t="s">
        <v>5550</v>
      </c>
      <c r="F2617" s="27">
        <v>6140649</v>
      </c>
      <c r="G2617" s="27">
        <v>1</v>
      </c>
      <c r="H2617" s="27">
        <v>0</v>
      </c>
      <c r="I2617" s="27">
        <v>1</v>
      </c>
      <c r="J2617" s="30">
        <f t="shared" si="120"/>
        <v>1</v>
      </c>
      <c r="K2617" s="30">
        <f t="shared" si="121"/>
        <v>0</v>
      </c>
      <c r="L2617" s="26">
        <f t="shared" si="122"/>
        <v>0</v>
      </c>
      <c r="M2617" s="26"/>
    </row>
    <row r="2618" spans="1:13" ht="15" customHeight="1">
      <c r="A2618" s="25">
        <v>1758158</v>
      </c>
      <c r="B2618" s="26" t="s">
        <v>5427</v>
      </c>
      <c r="C2618" s="26" t="s">
        <v>10956</v>
      </c>
      <c r="D2618" s="26" t="s">
        <v>10932</v>
      </c>
      <c r="E2618" s="26" t="s">
        <v>5522</v>
      </c>
      <c r="F2618" s="27">
        <v>5892659</v>
      </c>
      <c r="G2618" s="27">
        <v>1</v>
      </c>
      <c r="H2618" s="27">
        <v>1</v>
      </c>
      <c r="I2618" s="27">
        <v>1</v>
      </c>
      <c r="J2618" s="30">
        <f t="shared" si="120"/>
        <v>1</v>
      </c>
      <c r="K2618" s="30">
        <f t="shared" si="121"/>
        <v>1</v>
      </c>
      <c r="L2618" s="26">
        <f t="shared" si="122"/>
        <v>1</v>
      </c>
      <c r="M2618" s="26"/>
    </row>
    <row r="2619" spans="1:13" ht="15" customHeight="1">
      <c r="A2619" s="25">
        <v>1758284</v>
      </c>
      <c r="B2619" s="26" t="s">
        <v>5427</v>
      </c>
      <c r="C2619" s="26" t="s">
        <v>10957</v>
      </c>
      <c r="D2619" s="26" t="s">
        <v>10958</v>
      </c>
      <c r="E2619" s="26" t="s">
        <v>5430</v>
      </c>
      <c r="F2619" s="27">
        <v>6127496</v>
      </c>
      <c r="G2619" s="27">
        <v>1</v>
      </c>
      <c r="H2619" s="27">
        <v>0</v>
      </c>
      <c r="I2619" s="27">
        <v>1</v>
      </c>
      <c r="J2619" s="30">
        <f t="shared" si="120"/>
        <v>1</v>
      </c>
      <c r="K2619" s="30">
        <f t="shared" si="121"/>
        <v>0</v>
      </c>
      <c r="L2619" s="26">
        <f t="shared" si="122"/>
        <v>0</v>
      </c>
      <c r="M2619" s="26"/>
    </row>
    <row r="2620" spans="1:13" ht="15" customHeight="1">
      <c r="A2620" s="25">
        <v>1758586</v>
      </c>
      <c r="B2620" s="26" t="s">
        <v>5423</v>
      </c>
      <c r="C2620" s="26" t="s">
        <v>10959</v>
      </c>
      <c r="D2620" s="26" t="s">
        <v>10895</v>
      </c>
      <c r="E2620" s="26" t="s">
        <v>5540</v>
      </c>
      <c r="F2620" s="27">
        <v>6167709</v>
      </c>
      <c r="G2620" s="27">
        <v>1</v>
      </c>
      <c r="H2620" s="27">
        <v>1</v>
      </c>
      <c r="I2620" s="27">
        <v>1</v>
      </c>
      <c r="J2620" s="30">
        <f t="shared" si="120"/>
        <v>1</v>
      </c>
      <c r="K2620" s="30">
        <f t="shared" si="121"/>
        <v>1</v>
      </c>
      <c r="L2620" s="26">
        <f t="shared" si="122"/>
        <v>1</v>
      </c>
      <c r="M2620" s="26"/>
    </row>
    <row r="2621" spans="1:13" ht="15" customHeight="1">
      <c r="A2621" s="25">
        <v>1758593</v>
      </c>
      <c r="B2621" s="26" t="s">
        <v>5423</v>
      </c>
      <c r="C2621" s="26" t="s">
        <v>10960</v>
      </c>
      <c r="D2621" s="26" t="s">
        <v>10961</v>
      </c>
      <c r="E2621" s="26" t="s">
        <v>5436</v>
      </c>
      <c r="F2621" s="27">
        <v>6167736</v>
      </c>
      <c r="G2621" s="27">
        <v>0</v>
      </c>
      <c r="H2621" s="27">
        <v>1</v>
      </c>
      <c r="I2621" s="27">
        <v>1</v>
      </c>
      <c r="J2621" s="30">
        <f t="shared" si="120"/>
        <v>0</v>
      </c>
      <c r="K2621" s="30">
        <f t="shared" si="121"/>
        <v>1</v>
      </c>
      <c r="L2621" s="26">
        <f t="shared" si="122"/>
        <v>0</v>
      </c>
      <c r="M2621" s="26"/>
    </row>
    <row r="2622" spans="1:13" ht="15" customHeight="1">
      <c r="A2622" s="25">
        <v>1758673</v>
      </c>
      <c r="B2622" s="26" t="s">
        <v>5423</v>
      </c>
      <c r="C2622" s="26" t="s">
        <v>10962</v>
      </c>
      <c r="D2622" s="26" t="s">
        <v>10958</v>
      </c>
      <c r="E2622" s="26" t="s">
        <v>5610</v>
      </c>
      <c r="F2622" s="27">
        <v>6168722</v>
      </c>
      <c r="G2622" s="27">
        <v>0</v>
      </c>
      <c r="H2622" s="27">
        <v>0</v>
      </c>
      <c r="I2622" s="27">
        <v>0</v>
      </c>
      <c r="J2622" s="30">
        <f t="shared" si="120"/>
        <v>0</v>
      </c>
      <c r="K2622" s="30">
        <f t="shared" si="121"/>
        <v>0</v>
      </c>
      <c r="L2622" s="26">
        <f t="shared" si="122"/>
        <v>0</v>
      </c>
      <c r="M2622" s="26">
        <v>0</v>
      </c>
    </row>
    <row r="2623" spans="1:13" ht="15" customHeight="1">
      <c r="A2623" s="25">
        <v>1758687</v>
      </c>
      <c r="B2623" s="26" t="s">
        <v>5423</v>
      </c>
      <c r="C2623" s="26" t="s">
        <v>10963</v>
      </c>
      <c r="D2623" s="26" t="s">
        <v>10964</v>
      </c>
      <c r="E2623" s="26" t="s">
        <v>5436</v>
      </c>
      <c r="F2623" s="27">
        <v>6144743</v>
      </c>
      <c r="G2623" s="27">
        <v>1</v>
      </c>
      <c r="H2623" s="27">
        <v>0</v>
      </c>
      <c r="I2623" s="27">
        <v>1</v>
      </c>
      <c r="J2623" s="30">
        <f t="shared" si="120"/>
        <v>1</v>
      </c>
      <c r="K2623" s="30">
        <f t="shared" si="121"/>
        <v>0</v>
      </c>
      <c r="L2623" s="26">
        <f t="shared" si="122"/>
        <v>0</v>
      </c>
      <c r="M2623" s="26"/>
    </row>
    <row r="2624" spans="1:13" ht="15" customHeight="1">
      <c r="A2624" s="25">
        <v>1758868</v>
      </c>
      <c r="B2624" s="26" t="s">
        <v>5423</v>
      </c>
      <c r="C2624" s="26" t="s">
        <v>10965</v>
      </c>
      <c r="D2624" s="26" t="s">
        <v>10966</v>
      </c>
      <c r="E2624" s="26" t="s">
        <v>5455</v>
      </c>
      <c r="F2624" s="27">
        <v>5807997</v>
      </c>
      <c r="G2624" s="27">
        <v>1</v>
      </c>
      <c r="H2624" s="27">
        <v>0</v>
      </c>
      <c r="I2624" s="27">
        <v>1</v>
      </c>
      <c r="J2624" s="30">
        <f t="shared" si="120"/>
        <v>1</v>
      </c>
      <c r="K2624" s="30">
        <f t="shared" si="121"/>
        <v>0</v>
      </c>
      <c r="L2624" s="26">
        <f t="shared" si="122"/>
        <v>0</v>
      </c>
      <c r="M2624" s="26"/>
    </row>
    <row r="2625" spans="1:13" ht="15" customHeight="1">
      <c r="A2625" s="25">
        <v>1758876</v>
      </c>
      <c r="B2625" s="26" t="s">
        <v>5423</v>
      </c>
      <c r="C2625" s="26" t="s">
        <v>10967</v>
      </c>
      <c r="D2625" s="26" t="s">
        <v>10968</v>
      </c>
      <c r="E2625" s="26" t="s">
        <v>5447</v>
      </c>
      <c r="F2625" s="27">
        <v>6170073</v>
      </c>
      <c r="G2625" s="27">
        <v>0</v>
      </c>
      <c r="H2625" s="27">
        <v>0</v>
      </c>
      <c r="I2625" s="27">
        <v>0</v>
      </c>
      <c r="J2625" s="30">
        <f t="shared" si="120"/>
        <v>0</v>
      </c>
      <c r="K2625" s="30">
        <f t="shared" si="121"/>
        <v>0</v>
      </c>
      <c r="L2625" s="26">
        <f t="shared" si="122"/>
        <v>0</v>
      </c>
      <c r="M2625" s="26">
        <v>0</v>
      </c>
    </row>
    <row r="2626" spans="1:13" ht="15" customHeight="1">
      <c r="A2626" s="25">
        <v>1758935</v>
      </c>
      <c r="B2626" s="26" t="s">
        <v>5423</v>
      </c>
      <c r="C2626" s="26" t="s">
        <v>10969</v>
      </c>
      <c r="D2626" s="26" t="s">
        <v>10895</v>
      </c>
      <c r="E2626" s="26" t="s">
        <v>5447</v>
      </c>
      <c r="F2626" s="27">
        <v>6168806</v>
      </c>
      <c r="G2626" s="27">
        <v>1</v>
      </c>
      <c r="H2626" s="27">
        <v>1</v>
      </c>
      <c r="I2626" s="27">
        <v>1</v>
      </c>
      <c r="J2626" s="30">
        <f t="shared" ref="J2626:J2689" si="123">IF(G2626&gt;0,1,0)</f>
        <v>1</v>
      </c>
      <c r="K2626" s="30">
        <f t="shared" ref="K2626:K2689" si="124">IF(H2626&gt;0,1,0)</f>
        <v>1</v>
      </c>
      <c r="L2626" s="26">
        <f t="shared" ref="L2626:L2689" si="125">IF(G2626&gt;0,IF(H2626&gt;0,1,0),0)</f>
        <v>1</v>
      </c>
      <c r="M2626" s="26"/>
    </row>
    <row r="2627" spans="1:13" ht="15" customHeight="1">
      <c r="A2627" s="25">
        <v>1758964</v>
      </c>
      <c r="B2627" s="26" t="s">
        <v>5423</v>
      </c>
      <c r="C2627" s="26" t="s">
        <v>10970</v>
      </c>
      <c r="D2627" s="26" t="s">
        <v>10971</v>
      </c>
      <c r="E2627" s="26" t="s">
        <v>5458</v>
      </c>
      <c r="F2627" s="27"/>
      <c r="G2627" s="27">
        <v>0</v>
      </c>
      <c r="H2627" s="27">
        <v>0</v>
      </c>
      <c r="I2627" s="27">
        <v>0</v>
      </c>
      <c r="J2627" s="30">
        <f t="shared" si="123"/>
        <v>0</v>
      </c>
      <c r="K2627" s="30">
        <f t="shared" si="124"/>
        <v>0</v>
      </c>
      <c r="L2627" s="26">
        <f t="shared" si="125"/>
        <v>0</v>
      </c>
      <c r="M2627" s="26" t="s">
        <v>8147</v>
      </c>
    </row>
    <row r="2628" spans="1:13" ht="15" customHeight="1">
      <c r="A2628" s="25">
        <v>1759014</v>
      </c>
      <c r="B2628" s="26" t="s">
        <v>5423</v>
      </c>
      <c r="C2628" s="26" t="s">
        <v>10972</v>
      </c>
      <c r="D2628" s="26" t="s">
        <v>10973</v>
      </c>
      <c r="E2628" s="26" t="s">
        <v>5683</v>
      </c>
      <c r="F2628" s="27">
        <v>6170328</v>
      </c>
      <c r="G2628" s="27">
        <v>0</v>
      </c>
      <c r="H2628" s="27">
        <v>0</v>
      </c>
      <c r="I2628" s="27">
        <v>0</v>
      </c>
      <c r="J2628" s="30">
        <f t="shared" si="123"/>
        <v>0</v>
      </c>
      <c r="K2628" s="30">
        <f t="shared" si="124"/>
        <v>0</v>
      </c>
      <c r="L2628" s="26">
        <f t="shared" si="125"/>
        <v>0</v>
      </c>
      <c r="M2628" s="26">
        <v>0</v>
      </c>
    </row>
    <row r="2629" spans="1:13" ht="15" customHeight="1">
      <c r="A2629" s="25">
        <v>1759359</v>
      </c>
      <c r="B2629" s="26" t="s">
        <v>5423</v>
      </c>
      <c r="C2629" s="26" t="s">
        <v>10974</v>
      </c>
      <c r="D2629" s="26" t="s">
        <v>10902</v>
      </c>
      <c r="E2629" s="26" t="s">
        <v>5488</v>
      </c>
      <c r="F2629" s="27">
        <v>6170032</v>
      </c>
      <c r="G2629" s="27">
        <v>0</v>
      </c>
      <c r="H2629" s="27">
        <v>0</v>
      </c>
      <c r="I2629" s="27">
        <v>0</v>
      </c>
      <c r="J2629" s="30">
        <f t="shared" si="123"/>
        <v>0</v>
      </c>
      <c r="K2629" s="30">
        <f t="shared" si="124"/>
        <v>0</v>
      </c>
      <c r="L2629" s="26">
        <f t="shared" si="125"/>
        <v>0</v>
      </c>
      <c r="M2629" s="26">
        <v>0</v>
      </c>
    </row>
    <row r="2630" spans="1:13" ht="15" customHeight="1">
      <c r="A2630" s="25">
        <v>1759365</v>
      </c>
      <c r="B2630" s="26" t="s">
        <v>5423</v>
      </c>
      <c r="C2630" s="26" t="s">
        <v>10975</v>
      </c>
      <c r="D2630" s="26" t="s">
        <v>10976</v>
      </c>
      <c r="E2630" s="26" t="s">
        <v>5475</v>
      </c>
      <c r="F2630" s="27">
        <v>6148688</v>
      </c>
      <c r="G2630" s="27">
        <v>1</v>
      </c>
      <c r="H2630" s="27">
        <v>1</v>
      </c>
      <c r="I2630" s="27">
        <v>1</v>
      </c>
      <c r="J2630" s="30">
        <f t="shared" si="123"/>
        <v>1</v>
      </c>
      <c r="K2630" s="30">
        <f t="shared" si="124"/>
        <v>1</v>
      </c>
      <c r="L2630" s="26">
        <f t="shared" si="125"/>
        <v>1</v>
      </c>
      <c r="M2630" s="26"/>
    </row>
    <row r="2631" spans="1:13" ht="15" customHeight="1">
      <c r="A2631" s="25">
        <v>1759416</v>
      </c>
      <c r="B2631" s="26" t="s">
        <v>5423</v>
      </c>
      <c r="C2631" s="26" t="s">
        <v>10977</v>
      </c>
      <c r="D2631" s="26" t="s">
        <v>10902</v>
      </c>
      <c r="E2631" s="26" t="s">
        <v>5522</v>
      </c>
      <c r="F2631" s="27">
        <v>6170070</v>
      </c>
      <c r="G2631" s="27">
        <v>0</v>
      </c>
      <c r="H2631" s="27">
        <v>0</v>
      </c>
      <c r="I2631" s="27">
        <v>0</v>
      </c>
      <c r="J2631" s="30">
        <f t="shared" si="123"/>
        <v>0</v>
      </c>
      <c r="K2631" s="30">
        <f t="shared" si="124"/>
        <v>0</v>
      </c>
      <c r="L2631" s="26">
        <f t="shared" si="125"/>
        <v>0</v>
      </c>
      <c r="M2631" s="26">
        <v>0</v>
      </c>
    </row>
    <row r="2632" spans="1:13" ht="15" customHeight="1">
      <c r="A2632" s="25">
        <v>1759418</v>
      </c>
      <c r="B2632" s="26" t="s">
        <v>5427</v>
      </c>
      <c r="C2632" s="26" t="s">
        <v>10978</v>
      </c>
      <c r="D2632" s="26" t="s">
        <v>10968</v>
      </c>
      <c r="E2632" s="26" t="s">
        <v>5442</v>
      </c>
      <c r="F2632" s="27">
        <v>6159707</v>
      </c>
      <c r="G2632" s="27">
        <v>1</v>
      </c>
      <c r="H2632" s="27">
        <v>0</v>
      </c>
      <c r="I2632" s="27">
        <v>1</v>
      </c>
      <c r="J2632" s="30">
        <f t="shared" si="123"/>
        <v>1</v>
      </c>
      <c r="K2632" s="30">
        <f t="shared" si="124"/>
        <v>0</v>
      </c>
      <c r="L2632" s="26">
        <f t="shared" si="125"/>
        <v>0</v>
      </c>
      <c r="M2632" s="26"/>
    </row>
    <row r="2633" spans="1:13" ht="15" customHeight="1">
      <c r="A2633" s="25">
        <v>1759446</v>
      </c>
      <c r="B2633" s="26" t="s">
        <v>5423</v>
      </c>
      <c r="C2633" s="26" t="s">
        <v>10979</v>
      </c>
      <c r="D2633" s="26" t="s">
        <v>10968</v>
      </c>
      <c r="E2633" s="26" t="s">
        <v>5463</v>
      </c>
      <c r="F2633" s="27">
        <v>5854213</v>
      </c>
      <c r="G2633" s="27">
        <v>1</v>
      </c>
      <c r="H2633" s="27">
        <v>1</v>
      </c>
      <c r="I2633" s="27">
        <v>1</v>
      </c>
      <c r="J2633" s="30">
        <f t="shared" si="123"/>
        <v>1</v>
      </c>
      <c r="K2633" s="30">
        <f t="shared" si="124"/>
        <v>1</v>
      </c>
      <c r="L2633" s="26">
        <f t="shared" si="125"/>
        <v>1</v>
      </c>
      <c r="M2633" s="26"/>
    </row>
    <row r="2634" spans="1:13" ht="15" customHeight="1">
      <c r="A2634" s="25">
        <v>1759575</v>
      </c>
      <c r="B2634" s="26" t="s">
        <v>5423</v>
      </c>
      <c r="C2634" s="26" t="s">
        <v>10980</v>
      </c>
      <c r="D2634" s="26" t="s">
        <v>10981</v>
      </c>
      <c r="E2634" s="26" t="s">
        <v>5514</v>
      </c>
      <c r="F2634" s="27">
        <v>6169874</v>
      </c>
      <c r="G2634" s="27">
        <v>1</v>
      </c>
      <c r="H2634" s="27">
        <v>1</v>
      </c>
      <c r="I2634" s="27">
        <v>1</v>
      </c>
      <c r="J2634" s="30">
        <f t="shared" si="123"/>
        <v>1</v>
      </c>
      <c r="K2634" s="30">
        <f t="shared" si="124"/>
        <v>1</v>
      </c>
      <c r="L2634" s="26">
        <f t="shared" si="125"/>
        <v>1</v>
      </c>
      <c r="M2634" s="26"/>
    </row>
    <row r="2635" spans="1:13" ht="15" customHeight="1">
      <c r="A2635" s="25">
        <v>1759660</v>
      </c>
      <c r="B2635" s="26" t="s">
        <v>5423</v>
      </c>
      <c r="C2635" s="26" t="s">
        <v>10982</v>
      </c>
      <c r="D2635" s="26" t="s">
        <v>10981</v>
      </c>
      <c r="E2635" s="26" t="s">
        <v>5488</v>
      </c>
      <c r="F2635" s="27">
        <v>6169989</v>
      </c>
      <c r="G2635" s="27">
        <v>0</v>
      </c>
      <c r="H2635" s="27">
        <v>0</v>
      </c>
      <c r="I2635" s="27">
        <v>0</v>
      </c>
      <c r="J2635" s="30">
        <f t="shared" si="123"/>
        <v>0</v>
      </c>
      <c r="K2635" s="30">
        <f t="shared" si="124"/>
        <v>0</v>
      </c>
      <c r="L2635" s="26">
        <f t="shared" si="125"/>
        <v>0</v>
      </c>
      <c r="M2635" s="26">
        <v>0</v>
      </c>
    </row>
    <row r="2636" spans="1:13" ht="15" customHeight="1">
      <c r="A2636" s="25">
        <v>1759705</v>
      </c>
      <c r="B2636" s="26" t="s">
        <v>5423</v>
      </c>
      <c r="C2636" s="26" t="s">
        <v>10983</v>
      </c>
      <c r="D2636" s="26" t="s">
        <v>10981</v>
      </c>
      <c r="E2636" s="26" t="s">
        <v>5433</v>
      </c>
      <c r="F2636" s="27">
        <v>4797820</v>
      </c>
      <c r="G2636" s="27">
        <v>1</v>
      </c>
      <c r="H2636" s="27">
        <v>1</v>
      </c>
      <c r="I2636" s="27">
        <v>1</v>
      </c>
      <c r="J2636" s="30">
        <f t="shared" si="123"/>
        <v>1</v>
      </c>
      <c r="K2636" s="30">
        <f t="shared" si="124"/>
        <v>1</v>
      </c>
      <c r="L2636" s="26">
        <f t="shared" si="125"/>
        <v>1</v>
      </c>
      <c r="M2636" s="26"/>
    </row>
    <row r="2637" spans="1:13" ht="15" customHeight="1">
      <c r="A2637" s="25">
        <v>1759711</v>
      </c>
      <c r="B2637" s="26" t="s">
        <v>5427</v>
      </c>
      <c r="C2637" s="26" t="s">
        <v>10984</v>
      </c>
      <c r="D2637" s="26" t="s">
        <v>10981</v>
      </c>
      <c r="E2637" s="26" t="s">
        <v>5707</v>
      </c>
      <c r="F2637" s="27">
        <v>3879489</v>
      </c>
      <c r="G2637" s="27">
        <v>1</v>
      </c>
      <c r="H2637" s="27">
        <v>1</v>
      </c>
      <c r="I2637" s="27">
        <v>1</v>
      </c>
      <c r="J2637" s="30">
        <f t="shared" si="123"/>
        <v>1</v>
      </c>
      <c r="K2637" s="30">
        <f t="shared" si="124"/>
        <v>1</v>
      </c>
      <c r="L2637" s="26">
        <f t="shared" si="125"/>
        <v>1</v>
      </c>
      <c r="M2637" s="26"/>
    </row>
    <row r="2638" spans="1:13" ht="15" customHeight="1">
      <c r="A2638" s="25">
        <v>1759742</v>
      </c>
      <c r="B2638" s="26" t="s">
        <v>5423</v>
      </c>
      <c r="C2638" s="26" t="s">
        <v>10985</v>
      </c>
      <c r="D2638" s="26" t="s">
        <v>10981</v>
      </c>
      <c r="E2638" s="26" t="s">
        <v>5488</v>
      </c>
      <c r="F2638" s="27">
        <v>6169999</v>
      </c>
      <c r="G2638" s="27">
        <v>1</v>
      </c>
      <c r="H2638" s="27">
        <v>1</v>
      </c>
      <c r="I2638" s="27">
        <v>1</v>
      </c>
      <c r="J2638" s="30">
        <f t="shared" si="123"/>
        <v>1</v>
      </c>
      <c r="K2638" s="30">
        <f t="shared" si="124"/>
        <v>1</v>
      </c>
      <c r="L2638" s="26">
        <f t="shared" si="125"/>
        <v>1</v>
      </c>
      <c r="M2638" s="26"/>
    </row>
    <row r="2639" spans="1:13" ht="15" customHeight="1">
      <c r="A2639" s="25">
        <v>1759779</v>
      </c>
      <c r="B2639" s="26" t="s">
        <v>5423</v>
      </c>
      <c r="C2639" s="26" t="s">
        <v>10986</v>
      </c>
      <c r="D2639" s="26" t="s">
        <v>10987</v>
      </c>
      <c r="E2639" s="26" t="s">
        <v>5603</v>
      </c>
      <c r="F2639" s="27">
        <v>6170543</v>
      </c>
      <c r="G2639" s="27">
        <v>1</v>
      </c>
      <c r="H2639" s="27">
        <v>1</v>
      </c>
      <c r="I2639" s="27">
        <v>1</v>
      </c>
      <c r="J2639" s="30">
        <f t="shared" si="123"/>
        <v>1</v>
      </c>
      <c r="K2639" s="30">
        <f t="shared" si="124"/>
        <v>1</v>
      </c>
      <c r="L2639" s="26">
        <f t="shared" si="125"/>
        <v>1</v>
      </c>
      <c r="M2639" s="26"/>
    </row>
    <row r="2640" spans="1:13" ht="15" customHeight="1">
      <c r="A2640" s="25">
        <v>1760069</v>
      </c>
      <c r="B2640" s="26" t="s">
        <v>5423</v>
      </c>
      <c r="C2640" s="26" t="s">
        <v>10988</v>
      </c>
      <c r="D2640" s="26" t="s">
        <v>10989</v>
      </c>
      <c r="E2640" s="26" t="s">
        <v>5433</v>
      </c>
      <c r="F2640" s="27">
        <v>6078094</v>
      </c>
      <c r="G2640" s="27">
        <v>1</v>
      </c>
      <c r="H2640" s="27">
        <v>0</v>
      </c>
      <c r="I2640" s="27">
        <v>1</v>
      </c>
      <c r="J2640" s="30">
        <f t="shared" si="123"/>
        <v>1</v>
      </c>
      <c r="K2640" s="30">
        <f t="shared" si="124"/>
        <v>0</v>
      </c>
      <c r="L2640" s="26">
        <f t="shared" si="125"/>
        <v>0</v>
      </c>
      <c r="M2640" s="26"/>
    </row>
    <row r="2641" spans="1:13" ht="15" customHeight="1">
      <c r="A2641" s="25">
        <v>1760141</v>
      </c>
      <c r="B2641" s="26" t="s">
        <v>5423</v>
      </c>
      <c r="C2641" s="26" t="s">
        <v>10990</v>
      </c>
      <c r="D2641" s="26" t="s">
        <v>10989</v>
      </c>
      <c r="E2641" s="26" t="s">
        <v>5603</v>
      </c>
      <c r="F2641" s="27">
        <v>6173191</v>
      </c>
      <c r="G2641" s="27">
        <v>0</v>
      </c>
      <c r="H2641" s="27">
        <v>0</v>
      </c>
      <c r="I2641" s="27">
        <v>0</v>
      </c>
      <c r="J2641" s="30">
        <f t="shared" si="123"/>
        <v>0</v>
      </c>
      <c r="K2641" s="30">
        <f t="shared" si="124"/>
        <v>0</v>
      </c>
      <c r="L2641" s="26">
        <f t="shared" si="125"/>
        <v>0</v>
      </c>
      <c r="M2641" s="26">
        <v>0</v>
      </c>
    </row>
    <row r="2642" spans="1:13" ht="15" customHeight="1">
      <c r="A2642" s="25">
        <v>1760185</v>
      </c>
      <c r="B2642" s="26" t="s">
        <v>5423</v>
      </c>
      <c r="C2642" s="26" t="s">
        <v>10991</v>
      </c>
      <c r="D2642" s="26" t="s">
        <v>10989</v>
      </c>
      <c r="E2642" s="26" t="s">
        <v>5480</v>
      </c>
      <c r="F2642" s="27">
        <v>6173201</v>
      </c>
      <c r="G2642" s="27">
        <v>0</v>
      </c>
      <c r="H2642" s="27">
        <v>0</v>
      </c>
      <c r="I2642" s="27">
        <v>0</v>
      </c>
      <c r="J2642" s="30">
        <f t="shared" si="123"/>
        <v>0</v>
      </c>
      <c r="K2642" s="30">
        <f t="shared" si="124"/>
        <v>0</v>
      </c>
      <c r="L2642" s="26">
        <f t="shared" si="125"/>
        <v>0</v>
      </c>
      <c r="M2642" s="26">
        <v>0</v>
      </c>
    </row>
    <row r="2643" spans="1:13" ht="15" customHeight="1">
      <c r="A2643" s="25">
        <v>1760256</v>
      </c>
      <c r="B2643" s="26" t="s">
        <v>5423</v>
      </c>
      <c r="C2643" s="26" t="s">
        <v>10992</v>
      </c>
      <c r="D2643" s="26" t="s">
        <v>10993</v>
      </c>
      <c r="E2643" s="26" t="s">
        <v>5522</v>
      </c>
      <c r="F2643" s="27">
        <v>4780040</v>
      </c>
      <c r="G2643" s="27">
        <v>1</v>
      </c>
      <c r="H2643" s="27">
        <v>0</v>
      </c>
      <c r="I2643" s="27">
        <v>1</v>
      </c>
      <c r="J2643" s="30">
        <f t="shared" si="123"/>
        <v>1</v>
      </c>
      <c r="K2643" s="30">
        <f t="shared" si="124"/>
        <v>0</v>
      </c>
      <c r="L2643" s="26">
        <f t="shared" si="125"/>
        <v>0</v>
      </c>
      <c r="M2643" s="26"/>
    </row>
    <row r="2644" spans="1:13" ht="15" customHeight="1">
      <c r="A2644" s="25">
        <v>1760790</v>
      </c>
      <c r="B2644" s="26" t="s">
        <v>5423</v>
      </c>
      <c r="C2644" s="26" t="s">
        <v>10994</v>
      </c>
      <c r="D2644" s="26" t="s">
        <v>10995</v>
      </c>
      <c r="E2644" s="26" t="s">
        <v>5433</v>
      </c>
      <c r="F2644" s="27">
        <v>6173796</v>
      </c>
      <c r="G2644" s="27">
        <v>0</v>
      </c>
      <c r="H2644" s="27">
        <v>0</v>
      </c>
      <c r="I2644" s="27">
        <v>0</v>
      </c>
      <c r="J2644" s="30">
        <f t="shared" si="123"/>
        <v>0</v>
      </c>
      <c r="K2644" s="30">
        <f t="shared" si="124"/>
        <v>0</v>
      </c>
      <c r="L2644" s="26">
        <f t="shared" si="125"/>
        <v>0</v>
      </c>
      <c r="M2644" s="26">
        <v>0</v>
      </c>
    </row>
    <row r="2645" spans="1:13" ht="15" customHeight="1">
      <c r="A2645" s="25">
        <v>1760899</v>
      </c>
      <c r="B2645" s="26" t="s">
        <v>5427</v>
      </c>
      <c r="C2645" s="26" t="s">
        <v>10996</v>
      </c>
      <c r="D2645" s="26" t="s">
        <v>10989</v>
      </c>
      <c r="E2645" s="26" t="s">
        <v>5586</v>
      </c>
      <c r="F2645" s="27">
        <v>6174547</v>
      </c>
      <c r="G2645" s="27">
        <v>0</v>
      </c>
      <c r="H2645" s="27">
        <v>0</v>
      </c>
      <c r="I2645" s="27">
        <v>0</v>
      </c>
      <c r="J2645" s="30">
        <f t="shared" si="123"/>
        <v>0</v>
      </c>
      <c r="K2645" s="30">
        <f t="shared" si="124"/>
        <v>0</v>
      </c>
      <c r="L2645" s="26">
        <f t="shared" si="125"/>
        <v>0</v>
      </c>
      <c r="M2645" s="26">
        <v>0</v>
      </c>
    </row>
    <row r="2646" spans="1:13" ht="15" customHeight="1">
      <c r="A2646" s="25">
        <v>1760905</v>
      </c>
      <c r="B2646" s="26" t="s">
        <v>5423</v>
      </c>
      <c r="C2646" s="26" t="s">
        <v>10997</v>
      </c>
      <c r="D2646" s="26" t="s">
        <v>10993</v>
      </c>
      <c r="E2646" s="26" t="s">
        <v>5504</v>
      </c>
      <c r="F2646" s="27">
        <v>6173795</v>
      </c>
      <c r="G2646" s="27">
        <v>0</v>
      </c>
      <c r="H2646" s="27">
        <v>0</v>
      </c>
      <c r="I2646" s="27">
        <v>0</v>
      </c>
      <c r="J2646" s="30">
        <f t="shared" si="123"/>
        <v>0</v>
      </c>
      <c r="K2646" s="30">
        <f t="shared" si="124"/>
        <v>0</v>
      </c>
      <c r="L2646" s="26">
        <f t="shared" si="125"/>
        <v>0</v>
      </c>
      <c r="M2646" s="26">
        <v>0</v>
      </c>
    </row>
    <row r="2647" spans="1:13" ht="15" customHeight="1">
      <c r="A2647" s="25">
        <v>1760936</v>
      </c>
      <c r="B2647" s="26" t="s">
        <v>5423</v>
      </c>
      <c r="C2647" s="26" t="s">
        <v>10998</v>
      </c>
      <c r="D2647" s="26" t="s">
        <v>10989</v>
      </c>
      <c r="E2647" s="26" t="s">
        <v>5458</v>
      </c>
      <c r="F2647" s="27">
        <v>4515951</v>
      </c>
      <c r="G2647" s="27">
        <v>0</v>
      </c>
      <c r="H2647" s="27">
        <v>0</v>
      </c>
      <c r="I2647" s="27">
        <v>0</v>
      </c>
      <c r="J2647" s="30">
        <f t="shared" si="123"/>
        <v>0</v>
      </c>
      <c r="K2647" s="30">
        <f t="shared" si="124"/>
        <v>0</v>
      </c>
      <c r="L2647" s="26">
        <f t="shared" si="125"/>
        <v>0</v>
      </c>
      <c r="M2647" s="26">
        <v>0</v>
      </c>
    </row>
    <row r="2648" spans="1:13" ht="15" customHeight="1">
      <c r="A2648" s="25">
        <v>1761106</v>
      </c>
      <c r="B2648" s="26" t="s">
        <v>5423</v>
      </c>
      <c r="C2648" s="26" t="s">
        <v>10999</v>
      </c>
      <c r="D2648" s="26" t="s">
        <v>10895</v>
      </c>
      <c r="E2648" s="26" t="s">
        <v>5433</v>
      </c>
      <c r="F2648" s="27"/>
      <c r="G2648" s="27">
        <v>0</v>
      </c>
      <c r="H2648" s="27">
        <v>0</v>
      </c>
      <c r="I2648" s="27">
        <v>0</v>
      </c>
      <c r="J2648" s="30">
        <f t="shared" si="123"/>
        <v>0</v>
      </c>
      <c r="K2648" s="30">
        <f t="shared" si="124"/>
        <v>0</v>
      </c>
      <c r="L2648" s="26">
        <f t="shared" si="125"/>
        <v>0</v>
      </c>
      <c r="M2648" s="26" t="s">
        <v>5557</v>
      </c>
    </row>
    <row r="2649" spans="1:13" ht="15" customHeight="1">
      <c r="A2649" s="25">
        <v>1761108</v>
      </c>
      <c r="B2649" s="26" t="s">
        <v>5423</v>
      </c>
      <c r="C2649" s="26" t="s">
        <v>11000</v>
      </c>
      <c r="D2649" s="26" t="s">
        <v>10993</v>
      </c>
      <c r="E2649" s="26" t="s">
        <v>5468</v>
      </c>
      <c r="F2649" s="27">
        <v>6174107</v>
      </c>
      <c r="G2649" s="27">
        <v>0</v>
      </c>
      <c r="H2649" s="27">
        <v>1</v>
      </c>
      <c r="I2649" s="27">
        <v>1</v>
      </c>
      <c r="J2649" s="30">
        <f t="shared" si="123"/>
        <v>0</v>
      </c>
      <c r="K2649" s="30">
        <f t="shared" si="124"/>
        <v>1</v>
      </c>
      <c r="L2649" s="26">
        <f t="shared" si="125"/>
        <v>0</v>
      </c>
      <c r="M2649" s="26"/>
    </row>
    <row r="2650" spans="1:13" ht="15" customHeight="1">
      <c r="A2650" s="25">
        <v>1761214</v>
      </c>
      <c r="B2650" s="26" t="s">
        <v>5423</v>
      </c>
      <c r="C2650" s="26" t="s">
        <v>11001</v>
      </c>
      <c r="D2650" s="26" t="s">
        <v>11002</v>
      </c>
      <c r="E2650" s="26" t="s">
        <v>5491</v>
      </c>
      <c r="F2650" s="27">
        <v>6170439</v>
      </c>
      <c r="G2650" s="27">
        <v>1</v>
      </c>
      <c r="H2650" s="27">
        <v>1</v>
      </c>
      <c r="I2650" s="27">
        <v>1</v>
      </c>
      <c r="J2650" s="30">
        <f t="shared" si="123"/>
        <v>1</v>
      </c>
      <c r="K2650" s="30">
        <f t="shared" si="124"/>
        <v>1</v>
      </c>
      <c r="L2650" s="26">
        <f t="shared" si="125"/>
        <v>1</v>
      </c>
      <c r="M2650" s="26"/>
    </row>
    <row r="2651" spans="1:13" ht="15" customHeight="1">
      <c r="A2651" s="25">
        <v>1761261</v>
      </c>
      <c r="B2651" s="26" t="s">
        <v>5427</v>
      </c>
      <c r="C2651" s="26" t="s">
        <v>11003</v>
      </c>
      <c r="D2651" s="26" t="s">
        <v>10687</v>
      </c>
      <c r="E2651" s="26" t="s">
        <v>5891</v>
      </c>
      <c r="F2651" s="27">
        <v>6174393</v>
      </c>
      <c r="G2651" s="27">
        <v>1</v>
      </c>
      <c r="H2651" s="27">
        <v>0</v>
      </c>
      <c r="I2651" s="27">
        <v>1</v>
      </c>
      <c r="J2651" s="30">
        <f t="shared" si="123"/>
        <v>1</v>
      </c>
      <c r="K2651" s="30">
        <f t="shared" si="124"/>
        <v>0</v>
      </c>
      <c r="L2651" s="26">
        <f t="shared" si="125"/>
        <v>0</v>
      </c>
      <c r="M2651" s="26"/>
    </row>
    <row r="2652" spans="1:13" ht="15" customHeight="1">
      <c r="A2652" s="25">
        <v>1761277</v>
      </c>
      <c r="B2652" s="26" t="s">
        <v>5423</v>
      </c>
      <c r="C2652" s="26" t="s">
        <v>11004</v>
      </c>
      <c r="D2652" s="26" t="s">
        <v>11005</v>
      </c>
      <c r="E2652" s="26" t="s">
        <v>8392</v>
      </c>
      <c r="F2652" s="27">
        <v>6175046</v>
      </c>
      <c r="G2652" s="27">
        <v>1</v>
      </c>
      <c r="H2652" s="27">
        <v>1</v>
      </c>
      <c r="I2652" s="27">
        <v>1</v>
      </c>
      <c r="J2652" s="30">
        <f t="shared" si="123"/>
        <v>1</v>
      </c>
      <c r="K2652" s="30">
        <f t="shared" si="124"/>
        <v>1</v>
      </c>
      <c r="L2652" s="26">
        <f t="shared" si="125"/>
        <v>1</v>
      </c>
      <c r="M2652" s="26"/>
    </row>
    <row r="2653" spans="1:13" ht="15" customHeight="1">
      <c r="A2653" s="25">
        <v>1761497</v>
      </c>
      <c r="B2653" s="26" t="s">
        <v>5427</v>
      </c>
      <c r="C2653" s="26" t="s">
        <v>11006</v>
      </c>
      <c r="D2653" s="26" t="s">
        <v>10993</v>
      </c>
      <c r="E2653" s="26" t="s">
        <v>5436</v>
      </c>
      <c r="F2653" s="27">
        <v>6170581</v>
      </c>
      <c r="G2653" s="27">
        <v>1</v>
      </c>
      <c r="H2653" s="27">
        <v>0</v>
      </c>
      <c r="I2653" s="27">
        <v>1</v>
      </c>
      <c r="J2653" s="30">
        <f t="shared" si="123"/>
        <v>1</v>
      </c>
      <c r="K2653" s="30">
        <f t="shared" si="124"/>
        <v>0</v>
      </c>
      <c r="L2653" s="26">
        <f t="shared" si="125"/>
        <v>0</v>
      </c>
      <c r="M2653" s="26"/>
    </row>
    <row r="2654" spans="1:13" ht="15" customHeight="1">
      <c r="A2654" s="25">
        <v>1761498</v>
      </c>
      <c r="B2654" s="26" t="s">
        <v>5423</v>
      </c>
      <c r="C2654" s="26" t="s">
        <v>11007</v>
      </c>
      <c r="D2654" s="26" t="s">
        <v>11005</v>
      </c>
      <c r="E2654" s="26" t="s">
        <v>5447</v>
      </c>
      <c r="F2654" s="27">
        <v>6175179</v>
      </c>
      <c r="G2654" s="27">
        <v>0</v>
      </c>
      <c r="H2654" s="27">
        <v>1</v>
      </c>
      <c r="I2654" s="27">
        <v>1</v>
      </c>
      <c r="J2654" s="30">
        <f t="shared" si="123"/>
        <v>0</v>
      </c>
      <c r="K2654" s="30">
        <f t="shared" si="124"/>
        <v>1</v>
      </c>
      <c r="L2654" s="26">
        <f t="shared" si="125"/>
        <v>0</v>
      </c>
      <c r="M2654" s="26"/>
    </row>
    <row r="2655" spans="1:13" ht="15" customHeight="1">
      <c r="A2655" s="25">
        <v>1761658</v>
      </c>
      <c r="B2655" s="26" t="s">
        <v>5423</v>
      </c>
      <c r="C2655" s="26" t="s">
        <v>11008</v>
      </c>
      <c r="D2655" s="26" t="s">
        <v>10687</v>
      </c>
      <c r="E2655" s="26" t="s">
        <v>7130</v>
      </c>
      <c r="F2655" s="27">
        <v>6175209</v>
      </c>
      <c r="G2655" s="27">
        <v>1</v>
      </c>
      <c r="H2655" s="27">
        <v>1</v>
      </c>
      <c r="I2655" s="27">
        <v>1</v>
      </c>
      <c r="J2655" s="30">
        <f t="shared" si="123"/>
        <v>1</v>
      </c>
      <c r="K2655" s="30">
        <f t="shared" si="124"/>
        <v>1</v>
      </c>
      <c r="L2655" s="26">
        <f t="shared" si="125"/>
        <v>1</v>
      </c>
      <c r="M2655" s="26"/>
    </row>
    <row r="2656" spans="1:13" ht="15" customHeight="1">
      <c r="A2656" s="25">
        <v>1761671</v>
      </c>
      <c r="B2656" s="26" t="s">
        <v>5423</v>
      </c>
      <c r="C2656" s="26" t="s">
        <v>11009</v>
      </c>
      <c r="D2656" s="26" t="s">
        <v>10895</v>
      </c>
      <c r="E2656" s="26" t="s">
        <v>5535</v>
      </c>
      <c r="F2656" s="27">
        <v>6175268</v>
      </c>
      <c r="G2656" s="27">
        <v>1</v>
      </c>
      <c r="H2656" s="27">
        <v>0</v>
      </c>
      <c r="I2656" s="27">
        <v>1</v>
      </c>
      <c r="J2656" s="30">
        <f t="shared" si="123"/>
        <v>1</v>
      </c>
      <c r="K2656" s="30">
        <f t="shared" si="124"/>
        <v>0</v>
      </c>
      <c r="L2656" s="26">
        <f t="shared" si="125"/>
        <v>0</v>
      </c>
      <c r="M2656" s="26"/>
    </row>
    <row r="2657" spans="1:13" ht="15" customHeight="1">
      <c r="A2657" s="25">
        <v>1761802</v>
      </c>
      <c r="B2657" s="26" t="s">
        <v>5423</v>
      </c>
      <c r="C2657" s="26" t="s">
        <v>11010</v>
      </c>
      <c r="D2657" s="26" t="s">
        <v>10687</v>
      </c>
      <c r="E2657" s="26" t="s">
        <v>5514</v>
      </c>
      <c r="F2657" s="27">
        <v>6168517</v>
      </c>
      <c r="G2657" s="27">
        <v>1</v>
      </c>
      <c r="H2657" s="27">
        <v>0</v>
      </c>
      <c r="I2657" s="27">
        <v>1</v>
      </c>
      <c r="J2657" s="30">
        <f t="shared" si="123"/>
        <v>1</v>
      </c>
      <c r="K2657" s="30">
        <f t="shared" si="124"/>
        <v>0</v>
      </c>
      <c r="L2657" s="26">
        <f t="shared" si="125"/>
        <v>0</v>
      </c>
      <c r="M2657" s="26"/>
    </row>
    <row r="2658" spans="1:13" ht="15" customHeight="1">
      <c r="A2658" s="25">
        <v>1761834</v>
      </c>
      <c r="B2658" s="26" t="s">
        <v>5423</v>
      </c>
      <c r="C2658" s="26" t="s">
        <v>11011</v>
      </c>
      <c r="D2658" s="26" t="s">
        <v>11012</v>
      </c>
      <c r="E2658" s="26" t="s">
        <v>5610</v>
      </c>
      <c r="F2658" s="27">
        <v>6175856</v>
      </c>
      <c r="G2658" s="27">
        <v>1</v>
      </c>
      <c r="H2658" s="27">
        <v>0</v>
      </c>
      <c r="I2658" s="27">
        <v>1</v>
      </c>
      <c r="J2658" s="30">
        <f t="shared" si="123"/>
        <v>1</v>
      </c>
      <c r="K2658" s="30">
        <f t="shared" si="124"/>
        <v>0</v>
      </c>
      <c r="L2658" s="26">
        <f t="shared" si="125"/>
        <v>0</v>
      </c>
      <c r="M2658" s="26"/>
    </row>
    <row r="2659" spans="1:13" ht="15" customHeight="1">
      <c r="A2659" s="25">
        <v>1761906</v>
      </c>
      <c r="B2659" s="26" t="s">
        <v>5427</v>
      </c>
      <c r="C2659" s="26" t="s">
        <v>11013</v>
      </c>
      <c r="D2659" s="26" t="s">
        <v>10895</v>
      </c>
      <c r="E2659" s="26" t="s">
        <v>5540</v>
      </c>
      <c r="F2659" s="27">
        <v>6177190</v>
      </c>
      <c r="G2659" s="27">
        <v>0</v>
      </c>
      <c r="H2659" s="27">
        <v>0</v>
      </c>
      <c r="I2659" s="27">
        <v>0</v>
      </c>
      <c r="J2659" s="30">
        <f t="shared" si="123"/>
        <v>0</v>
      </c>
      <c r="K2659" s="30">
        <f t="shared" si="124"/>
        <v>0</v>
      </c>
      <c r="L2659" s="26">
        <f t="shared" si="125"/>
        <v>0</v>
      </c>
      <c r="M2659" s="26">
        <v>0</v>
      </c>
    </row>
    <row r="2660" spans="1:13" ht="15" customHeight="1">
      <c r="A2660" s="25">
        <v>1761912</v>
      </c>
      <c r="B2660" s="26" t="s">
        <v>5423</v>
      </c>
      <c r="C2660" s="26" t="s">
        <v>11014</v>
      </c>
      <c r="D2660" s="26" t="s">
        <v>10895</v>
      </c>
      <c r="E2660" s="26" t="s">
        <v>5455</v>
      </c>
      <c r="F2660" s="27">
        <v>6177164</v>
      </c>
      <c r="G2660" s="27">
        <v>0</v>
      </c>
      <c r="H2660" s="27">
        <v>0</v>
      </c>
      <c r="I2660" s="27">
        <v>0</v>
      </c>
      <c r="J2660" s="30">
        <f t="shared" si="123"/>
        <v>0</v>
      </c>
      <c r="K2660" s="30">
        <f t="shared" si="124"/>
        <v>0</v>
      </c>
      <c r="L2660" s="26">
        <f t="shared" si="125"/>
        <v>0</v>
      </c>
      <c r="M2660" s="26">
        <v>0</v>
      </c>
    </row>
    <row r="2661" spans="1:13" ht="15" customHeight="1">
      <c r="A2661" s="25">
        <v>1762029</v>
      </c>
      <c r="B2661" s="26" t="s">
        <v>5423</v>
      </c>
      <c r="C2661" s="26" t="s">
        <v>11015</v>
      </c>
      <c r="D2661" s="26" t="s">
        <v>10895</v>
      </c>
      <c r="E2661" s="26" t="s">
        <v>5540</v>
      </c>
      <c r="F2661" s="27">
        <v>6164379</v>
      </c>
      <c r="G2661" s="27">
        <v>1</v>
      </c>
      <c r="H2661" s="27">
        <v>1</v>
      </c>
      <c r="I2661" s="27">
        <v>1</v>
      </c>
      <c r="J2661" s="30">
        <f t="shared" si="123"/>
        <v>1</v>
      </c>
      <c r="K2661" s="30">
        <f t="shared" si="124"/>
        <v>1</v>
      </c>
      <c r="L2661" s="26">
        <f t="shared" si="125"/>
        <v>1</v>
      </c>
      <c r="M2661" s="26" t="s">
        <v>9595</v>
      </c>
    </row>
    <row r="2662" spans="1:13" ht="15" customHeight="1">
      <c r="A2662" s="25">
        <v>1762404</v>
      </c>
      <c r="B2662" s="26" t="s">
        <v>5423</v>
      </c>
      <c r="C2662" s="26" t="s">
        <v>11016</v>
      </c>
      <c r="D2662" s="26" t="s">
        <v>11017</v>
      </c>
      <c r="E2662" s="26" t="s">
        <v>5455</v>
      </c>
      <c r="F2662" s="27">
        <v>6171289</v>
      </c>
      <c r="G2662" s="27">
        <v>1</v>
      </c>
      <c r="H2662" s="27">
        <v>0</v>
      </c>
      <c r="I2662" s="27">
        <v>1</v>
      </c>
      <c r="J2662" s="30">
        <f t="shared" si="123"/>
        <v>1</v>
      </c>
      <c r="K2662" s="30">
        <f t="shared" si="124"/>
        <v>0</v>
      </c>
      <c r="L2662" s="26">
        <f t="shared" si="125"/>
        <v>0</v>
      </c>
      <c r="M2662" s="26"/>
    </row>
    <row r="2663" spans="1:13" ht="15" customHeight="1">
      <c r="A2663" s="25">
        <v>1762546</v>
      </c>
      <c r="B2663" s="26" t="s">
        <v>5423</v>
      </c>
      <c r="C2663" s="26" t="s">
        <v>11018</v>
      </c>
      <c r="D2663" s="26" t="s">
        <v>11019</v>
      </c>
      <c r="E2663" s="26" t="s">
        <v>5540</v>
      </c>
      <c r="F2663" s="27">
        <v>6165145</v>
      </c>
      <c r="G2663" s="27">
        <v>1</v>
      </c>
      <c r="H2663" s="27">
        <v>0</v>
      </c>
      <c r="I2663" s="27">
        <v>1</v>
      </c>
      <c r="J2663" s="30">
        <f t="shared" si="123"/>
        <v>1</v>
      </c>
      <c r="K2663" s="30">
        <f t="shared" si="124"/>
        <v>0</v>
      </c>
      <c r="L2663" s="26">
        <f t="shared" si="125"/>
        <v>0</v>
      </c>
      <c r="M2663" s="26"/>
    </row>
    <row r="2664" spans="1:13" ht="15" customHeight="1">
      <c r="A2664" s="25">
        <v>1763287</v>
      </c>
      <c r="B2664" s="26" t="s">
        <v>5423</v>
      </c>
      <c r="C2664" s="26" t="s">
        <v>11020</v>
      </c>
      <c r="D2664" s="26" t="s">
        <v>10926</v>
      </c>
      <c r="E2664" s="26" t="s">
        <v>5430</v>
      </c>
      <c r="F2664" s="27">
        <v>6179081</v>
      </c>
      <c r="G2664" s="27">
        <v>1</v>
      </c>
      <c r="H2664" s="27">
        <v>1</v>
      </c>
      <c r="I2664" s="27">
        <v>1</v>
      </c>
      <c r="J2664" s="30">
        <f t="shared" si="123"/>
        <v>1</v>
      </c>
      <c r="K2664" s="30">
        <f t="shared" si="124"/>
        <v>1</v>
      </c>
      <c r="L2664" s="26">
        <f t="shared" si="125"/>
        <v>1</v>
      </c>
      <c r="M2664" s="26"/>
    </row>
    <row r="2665" spans="1:13" ht="15" customHeight="1">
      <c r="A2665" s="25">
        <v>1763346</v>
      </c>
      <c r="B2665" s="26" t="s">
        <v>5423</v>
      </c>
      <c r="C2665" s="26" t="s">
        <v>11021</v>
      </c>
      <c r="D2665" s="26" t="s">
        <v>11022</v>
      </c>
      <c r="E2665" s="26" t="s">
        <v>5433</v>
      </c>
      <c r="F2665" s="27">
        <v>6179241</v>
      </c>
      <c r="G2665" s="27">
        <v>1</v>
      </c>
      <c r="H2665" s="27">
        <v>1</v>
      </c>
      <c r="I2665" s="27">
        <v>1</v>
      </c>
      <c r="J2665" s="30">
        <f t="shared" si="123"/>
        <v>1</v>
      </c>
      <c r="K2665" s="30">
        <f t="shared" si="124"/>
        <v>1</v>
      </c>
      <c r="L2665" s="26">
        <f t="shared" si="125"/>
        <v>1</v>
      </c>
      <c r="M2665" s="26"/>
    </row>
    <row r="2666" spans="1:13" ht="15" customHeight="1">
      <c r="A2666" s="25">
        <v>1763375</v>
      </c>
      <c r="B2666" s="26" t="s">
        <v>5423</v>
      </c>
      <c r="C2666" s="26" t="s">
        <v>11023</v>
      </c>
      <c r="D2666" s="26" t="s">
        <v>10687</v>
      </c>
      <c r="E2666" s="26" t="s">
        <v>5517</v>
      </c>
      <c r="F2666" s="27">
        <v>6179839</v>
      </c>
      <c r="G2666" s="27">
        <v>0</v>
      </c>
      <c r="H2666" s="27">
        <v>0</v>
      </c>
      <c r="I2666" s="27">
        <v>0</v>
      </c>
      <c r="J2666" s="30">
        <f t="shared" si="123"/>
        <v>0</v>
      </c>
      <c r="K2666" s="30">
        <f t="shared" si="124"/>
        <v>0</v>
      </c>
      <c r="L2666" s="26">
        <f t="shared" si="125"/>
        <v>0</v>
      </c>
      <c r="M2666" s="26">
        <v>0</v>
      </c>
    </row>
    <row r="2667" spans="1:13" ht="15" customHeight="1">
      <c r="A2667" s="25">
        <v>1763394</v>
      </c>
      <c r="B2667" s="26" t="s">
        <v>5423</v>
      </c>
      <c r="C2667" s="26" t="s">
        <v>11024</v>
      </c>
      <c r="D2667" s="26" t="s">
        <v>11025</v>
      </c>
      <c r="E2667" s="26" t="s">
        <v>5504</v>
      </c>
      <c r="F2667" s="27">
        <v>6179726</v>
      </c>
      <c r="G2667" s="27">
        <v>1</v>
      </c>
      <c r="H2667" s="27">
        <v>1</v>
      </c>
      <c r="I2667" s="27">
        <v>1</v>
      </c>
      <c r="J2667" s="30">
        <f t="shared" si="123"/>
        <v>1</v>
      </c>
      <c r="K2667" s="30">
        <f t="shared" si="124"/>
        <v>1</v>
      </c>
      <c r="L2667" s="26">
        <f t="shared" si="125"/>
        <v>1</v>
      </c>
      <c r="M2667" s="26"/>
    </row>
    <row r="2668" spans="1:13" ht="15" customHeight="1">
      <c r="A2668" s="25">
        <v>1763412</v>
      </c>
      <c r="B2668" s="26" t="s">
        <v>5423</v>
      </c>
      <c r="C2668" s="26" t="s">
        <v>11026</v>
      </c>
      <c r="D2668" s="26" t="s">
        <v>11027</v>
      </c>
      <c r="E2668" s="26" t="s">
        <v>5522</v>
      </c>
      <c r="F2668" s="27">
        <v>5114247</v>
      </c>
      <c r="G2668" s="27">
        <v>0</v>
      </c>
      <c r="H2668" s="27">
        <v>0</v>
      </c>
      <c r="I2668" s="27">
        <v>0</v>
      </c>
      <c r="J2668" s="30">
        <f t="shared" si="123"/>
        <v>0</v>
      </c>
      <c r="K2668" s="30">
        <f t="shared" si="124"/>
        <v>0</v>
      </c>
      <c r="L2668" s="26">
        <f t="shared" si="125"/>
        <v>0</v>
      </c>
      <c r="M2668" s="26" t="s">
        <v>5557</v>
      </c>
    </row>
    <row r="2669" spans="1:13" ht="15" customHeight="1">
      <c r="A2669" s="25">
        <v>1763418</v>
      </c>
      <c r="B2669" s="26" t="s">
        <v>5423</v>
      </c>
      <c r="C2669" s="26" t="s">
        <v>11028</v>
      </c>
      <c r="D2669" s="26" t="s">
        <v>10926</v>
      </c>
      <c r="E2669" s="26" t="s">
        <v>5535</v>
      </c>
      <c r="F2669" s="27">
        <v>6179253</v>
      </c>
      <c r="G2669" s="27">
        <v>1</v>
      </c>
      <c r="H2669" s="27">
        <v>1</v>
      </c>
      <c r="I2669" s="27">
        <v>1</v>
      </c>
      <c r="J2669" s="30">
        <f t="shared" si="123"/>
        <v>1</v>
      </c>
      <c r="K2669" s="30">
        <f t="shared" si="124"/>
        <v>1</v>
      </c>
      <c r="L2669" s="26">
        <f t="shared" si="125"/>
        <v>1</v>
      </c>
      <c r="M2669" s="26"/>
    </row>
    <row r="2670" spans="1:13" ht="15" customHeight="1">
      <c r="A2670" s="25">
        <v>1763596</v>
      </c>
      <c r="B2670" s="26" t="s">
        <v>5423</v>
      </c>
      <c r="C2670" s="26" t="s">
        <v>11029</v>
      </c>
      <c r="D2670" s="26" t="s">
        <v>11027</v>
      </c>
      <c r="E2670" s="26" t="s">
        <v>5586</v>
      </c>
      <c r="F2670" s="27">
        <v>5086172</v>
      </c>
      <c r="G2670" s="27">
        <v>0</v>
      </c>
      <c r="H2670" s="27">
        <v>0</v>
      </c>
      <c r="I2670" s="27">
        <v>0</v>
      </c>
      <c r="J2670" s="30">
        <f t="shared" si="123"/>
        <v>0</v>
      </c>
      <c r="K2670" s="30">
        <f t="shared" si="124"/>
        <v>0</v>
      </c>
      <c r="L2670" s="26">
        <f t="shared" si="125"/>
        <v>0</v>
      </c>
      <c r="M2670" s="26" t="s">
        <v>5557</v>
      </c>
    </row>
    <row r="2671" spans="1:13" ht="15" customHeight="1">
      <c r="A2671" s="25">
        <v>1763606</v>
      </c>
      <c r="B2671" s="26" t="s">
        <v>5423</v>
      </c>
      <c r="C2671" s="26" t="s">
        <v>11030</v>
      </c>
      <c r="D2671" s="26" t="s">
        <v>11031</v>
      </c>
      <c r="E2671" s="26" t="s">
        <v>5463</v>
      </c>
      <c r="F2671" s="27">
        <v>6180898</v>
      </c>
      <c r="G2671" s="27">
        <v>0</v>
      </c>
      <c r="H2671" s="27">
        <v>0</v>
      </c>
      <c r="I2671" s="27">
        <v>0</v>
      </c>
      <c r="J2671" s="30">
        <f t="shared" si="123"/>
        <v>0</v>
      </c>
      <c r="K2671" s="30">
        <f t="shared" si="124"/>
        <v>0</v>
      </c>
      <c r="L2671" s="26">
        <f t="shared" si="125"/>
        <v>0</v>
      </c>
      <c r="M2671" s="26">
        <v>0</v>
      </c>
    </row>
    <row r="2672" spans="1:13" ht="15" customHeight="1">
      <c r="A2672" s="25">
        <v>1763656</v>
      </c>
      <c r="B2672" s="26" t="s">
        <v>5423</v>
      </c>
      <c r="C2672" s="26" t="s">
        <v>11032</v>
      </c>
      <c r="D2672" s="26" t="s">
        <v>11025</v>
      </c>
      <c r="E2672" s="26" t="s">
        <v>5452</v>
      </c>
      <c r="F2672" s="27">
        <v>6132739</v>
      </c>
      <c r="G2672" s="27">
        <v>1</v>
      </c>
      <c r="H2672" s="27">
        <v>1</v>
      </c>
      <c r="I2672" s="27">
        <v>1</v>
      </c>
      <c r="J2672" s="30">
        <f t="shared" si="123"/>
        <v>1</v>
      </c>
      <c r="K2672" s="30">
        <f t="shared" si="124"/>
        <v>1</v>
      </c>
      <c r="L2672" s="26">
        <f t="shared" si="125"/>
        <v>1</v>
      </c>
      <c r="M2672" s="26"/>
    </row>
    <row r="2673" spans="1:13" ht="15" customHeight="1">
      <c r="A2673" s="25">
        <v>1763708</v>
      </c>
      <c r="B2673" s="26" t="s">
        <v>5423</v>
      </c>
      <c r="C2673" s="26" t="s">
        <v>11033</v>
      </c>
      <c r="D2673" s="26" t="s">
        <v>11027</v>
      </c>
      <c r="E2673" s="26" t="s">
        <v>5522</v>
      </c>
      <c r="F2673" s="27">
        <v>1758303</v>
      </c>
      <c r="G2673" s="27">
        <v>0</v>
      </c>
      <c r="H2673" s="27">
        <v>0</v>
      </c>
      <c r="I2673" s="27">
        <v>0</v>
      </c>
      <c r="J2673" s="30">
        <f t="shared" si="123"/>
        <v>0</v>
      </c>
      <c r="K2673" s="30">
        <f t="shared" si="124"/>
        <v>0</v>
      </c>
      <c r="L2673" s="26">
        <f t="shared" si="125"/>
        <v>0</v>
      </c>
      <c r="M2673" s="26" t="s">
        <v>5557</v>
      </c>
    </row>
    <row r="2674" spans="1:13" ht="15" customHeight="1">
      <c r="A2674" s="25">
        <v>1763760</v>
      </c>
      <c r="B2674" s="26" t="s">
        <v>5423</v>
      </c>
      <c r="C2674" s="26" t="s">
        <v>11034</v>
      </c>
      <c r="D2674" s="26" t="s">
        <v>11035</v>
      </c>
      <c r="E2674" s="26" t="s">
        <v>5501</v>
      </c>
      <c r="F2674" s="27">
        <v>6180978</v>
      </c>
      <c r="G2674" s="27">
        <v>1</v>
      </c>
      <c r="H2674" s="27">
        <v>0</v>
      </c>
      <c r="I2674" s="27">
        <v>1</v>
      </c>
      <c r="J2674" s="30">
        <f t="shared" si="123"/>
        <v>1</v>
      </c>
      <c r="K2674" s="30">
        <f t="shared" si="124"/>
        <v>0</v>
      </c>
      <c r="L2674" s="26">
        <f t="shared" si="125"/>
        <v>0</v>
      </c>
      <c r="M2674" s="26" t="s">
        <v>10175</v>
      </c>
    </row>
    <row r="2675" spans="1:13" ht="15" customHeight="1">
      <c r="A2675" s="25">
        <v>1763949</v>
      </c>
      <c r="B2675" s="26" t="s">
        <v>5427</v>
      </c>
      <c r="C2675" s="26" t="s">
        <v>11036</v>
      </c>
      <c r="D2675" s="26" t="s">
        <v>11037</v>
      </c>
      <c r="E2675" s="26" t="s">
        <v>5452</v>
      </c>
      <c r="F2675" s="27">
        <v>6181958</v>
      </c>
      <c r="G2675" s="27">
        <v>1</v>
      </c>
      <c r="H2675" s="27">
        <v>0</v>
      </c>
      <c r="I2675" s="27">
        <v>1</v>
      </c>
      <c r="J2675" s="30">
        <f t="shared" si="123"/>
        <v>1</v>
      </c>
      <c r="K2675" s="30">
        <f t="shared" si="124"/>
        <v>0</v>
      </c>
      <c r="L2675" s="26">
        <f t="shared" si="125"/>
        <v>0</v>
      </c>
      <c r="M2675" s="26"/>
    </row>
    <row r="2676" spans="1:13" ht="15" customHeight="1">
      <c r="A2676" s="25">
        <v>1764124</v>
      </c>
      <c r="B2676" s="26" t="s">
        <v>5423</v>
      </c>
      <c r="C2676" s="26" t="s">
        <v>11038</v>
      </c>
      <c r="D2676" s="26" t="s">
        <v>11031</v>
      </c>
      <c r="E2676" s="26" t="s">
        <v>5439</v>
      </c>
      <c r="F2676" s="27">
        <v>6182836</v>
      </c>
      <c r="G2676" s="27">
        <v>0</v>
      </c>
      <c r="H2676" s="27">
        <v>0</v>
      </c>
      <c r="I2676" s="27">
        <v>0</v>
      </c>
      <c r="J2676" s="30">
        <f t="shared" si="123"/>
        <v>0</v>
      </c>
      <c r="K2676" s="30">
        <f t="shared" si="124"/>
        <v>0</v>
      </c>
      <c r="L2676" s="26">
        <f t="shared" si="125"/>
        <v>0</v>
      </c>
      <c r="M2676" s="26">
        <v>0</v>
      </c>
    </row>
    <row r="2677" spans="1:13" ht="15" customHeight="1">
      <c r="A2677" s="25">
        <v>1764157</v>
      </c>
      <c r="B2677" s="26" t="s">
        <v>5427</v>
      </c>
      <c r="C2677" s="26" t="s">
        <v>11039</v>
      </c>
      <c r="D2677" s="26" t="s">
        <v>11025</v>
      </c>
      <c r="E2677" s="26" t="s">
        <v>5603</v>
      </c>
      <c r="F2677" s="27">
        <v>5455113</v>
      </c>
      <c r="G2677" s="27">
        <v>0</v>
      </c>
      <c r="H2677" s="27">
        <v>0</v>
      </c>
      <c r="I2677" s="27">
        <v>0</v>
      </c>
      <c r="J2677" s="30">
        <f t="shared" si="123"/>
        <v>0</v>
      </c>
      <c r="K2677" s="30">
        <f t="shared" si="124"/>
        <v>0</v>
      </c>
      <c r="L2677" s="26">
        <f t="shared" si="125"/>
        <v>0</v>
      </c>
      <c r="M2677" s="26" t="s">
        <v>5557</v>
      </c>
    </row>
    <row r="2678" spans="1:13" ht="15" customHeight="1">
      <c r="A2678" s="25">
        <v>1764263</v>
      </c>
      <c r="B2678" s="26" t="s">
        <v>5427</v>
      </c>
      <c r="C2678" s="26" t="s">
        <v>11040</v>
      </c>
      <c r="D2678" s="26" t="s">
        <v>11025</v>
      </c>
      <c r="E2678" s="26" t="s">
        <v>5458</v>
      </c>
      <c r="F2678" s="27">
        <v>6182215</v>
      </c>
      <c r="G2678" s="27">
        <v>0</v>
      </c>
      <c r="H2678" s="27">
        <v>0</v>
      </c>
      <c r="I2678" s="27">
        <v>0</v>
      </c>
      <c r="J2678" s="30">
        <f t="shared" si="123"/>
        <v>0</v>
      </c>
      <c r="K2678" s="30">
        <f t="shared" si="124"/>
        <v>0</v>
      </c>
      <c r="L2678" s="26">
        <f t="shared" si="125"/>
        <v>0</v>
      </c>
      <c r="M2678" s="26" t="s">
        <v>5557</v>
      </c>
    </row>
    <row r="2679" spans="1:13" ht="15" customHeight="1">
      <c r="A2679" s="25">
        <v>1764670</v>
      </c>
      <c r="B2679" s="26" t="s">
        <v>5427</v>
      </c>
      <c r="C2679" s="26" t="s">
        <v>11041</v>
      </c>
      <c r="D2679" s="26" t="s">
        <v>11042</v>
      </c>
      <c r="E2679" s="26" t="s">
        <v>5514</v>
      </c>
      <c r="F2679" s="27">
        <v>6182975</v>
      </c>
      <c r="G2679" s="27">
        <v>1</v>
      </c>
      <c r="H2679" s="27">
        <v>0</v>
      </c>
      <c r="I2679" s="27">
        <v>1</v>
      </c>
      <c r="J2679" s="30">
        <f t="shared" si="123"/>
        <v>1</v>
      </c>
      <c r="K2679" s="30">
        <f t="shared" si="124"/>
        <v>0</v>
      </c>
      <c r="L2679" s="26">
        <f t="shared" si="125"/>
        <v>0</v>
      </c>
      <c r="M2679" s="26"/>
    </row>
    <row r="2680" spans="1:13" ht="15" customHeight="1">
      <c r="A2680" s="25">
        <v>1764671</v>
      </c>
      <c r="B2680" s="26" t="s">
        <v>5423</v>
      </c>
      <c r="C2680" s="26" t="s">
        <v>11043</v>
      </c>
      <c r="D2680" s="26" t="s">
        <v>11042</v>
      </c>
      <c r="E2680" s="26" t="s">
        <v>5491</v>
      </c>
      <c r="F2680" s="27">
        <v>6183512</v>
      </c>
      <c r="G2680" s="27">
        <v>0</v>
      </c>
      <c r="H2680" s="27">
        <v>0</v>
      </c>
      <c r="I2680" s="27">
        <v>0</v>
      </c>
      <c r="J2680" s="30">
        <f t="shared" si="123"/>
        <v>0</v>
      </c>
      <c r="K2680" s="30">
        <f t="shared" si="124"/>
        <v>0</v>
      </c>
      <c r="L2680" s="26">
        <f t="shared" si="125"/>
        <v>0</v>
      </c>
      <c r="M2680" s="26">
        <v>0</v>
      </c>
    </row>
    <row r="2681" spans="1:13" ht="15" customHeight="1">
      <c r="A2681" s="25">
        <v>1764899</v>
      </c>
      <c r="B2681" s="26" t="s">
        <v>5423</v>
      </c>
      <c r="C2681" s="26" t="s">
        <v>11044</v>
      </c>
      <c r="D2681" s="26" t="s">
        <v>10926</v>
      </c>
      <c r="E2681" s="26" t="s">
        <v>5540</v>
      </c>
      <c r="F2681" s="27">
        <v>6155622</v>
      </c>
      <c r="G2681" s="27">
        <v>1</v>
      </c>
      <c r="H2681" s="27">
        <v>0</v>
      </c>
      <c r="I2681" s="27">
        <v>1</v>
      </c>
      <c r="J2681" s="30">
        <f t="shared" si="123"/>
        <v>1</v>
      </c>
      <c r="K2681" s="30">
        <f t="shared" si="124"/>
        <v>0</v>
      </c>
      <c r="L2681" s="26">
        <f t="shared" si="125"/>
        <v>0</v>
      </c>
      <c r="M2681" s="26"/>
    </row>
    <row r="2682" spans="1:13" ht="15" customHeight="1">
      <c r="A2682" s="25">
        <v>1764988</v>
      </c>
      <c r="B2682" s="26" t="s">
        <v>5427</v>
      </c>
      <c r="C2682" s="26" t="s">
        <v>11045</v>
      </c>
      <c r="D2682" s="26" t="s">
        <v>11012</v>
      </c>
      <c r="E2682" s="26" t="s">
        <v>5468</v>
      </c>
      <c r="F2682" s="27">
        <v>5894322</v>
      </c>
      <c r="G2682" s="27">
        <v>1</v>
      </c>
      <c r="H2682" s="27">
        <v>0</v>
      </c>
      <c r="I2682" s="27">
        <v>1</v>
      </c>
      <c r="J2682" s="30">
        <f t="shared" si="123"/>
        <v>1</v>
      </c>
      <c r="K2682" s="30">
        <f t="shared" si="124"/>
        <v>0</v>
      </c>
      <c r="L2682" s="26">
        <f t="shared" si="125"/>
        <v>0</v>
      </c>
      <c r="M2682" s="26"/>
    </row>
    <row r="2683" spans="1:13" ht="15" customHeight="1">
      <c r="A2683" s="25">
        <v>1765045</v>
      </c>
      <c r="B2683" s="26" t="s">
        <v>5427</v>
      </c>
      <c r="C2683" s="26" t="s">
        <v>11046</v>
      </c>
      <c r="D2683" s="26" t="s">
        <v>11047</v>
      </c>
      <c r="E2683" s="26" t="s">
        <v>5535</v>
      </c>
      <c r="F2683" s="27">
        <v>5327934</v>
      </c>
      <c r="G2683" s="27">
        <v>1</v>
      </c>
      <c r="H2683" s="27">
        <v>1</v>
      </c>
      <c r="I2683" s="27">
        <v>1</v>
      </c>
      <c r="J2683" s="30">
        <f t="shared" si="123"/>
        <v>1</v>
      </c>
      <c r="K2683" s="30">
        <f t="shared" si="124"/>
        <v>1</v>
      </c>
      <c r="L2683" s="26">
        <f t="shared" si="125"/>
        <v>1</v>
      </c>
      <c r="M2683" s="26"/>
    </row>
    <row r="2684" spans="1:13" ht="15" customHeight="1">
      <c r="A2684" s="25">
        <v>1765119</v>
      </c>
      <c r="B2684" s="26" t="s">
        <v>5423</v>
      </c>
      <c r="C2684" s="26" t="s">
        <v>11048</v>
      </c>
      <c r="D2684" s="26" t="s">
        <v>10915</v>
      </c>
      <c r="E2684" s="26" t="s">
        <v>5452</v>
      </c>
      <c r="F2684" s="27">
        <v>6183788</v>
      </c>
      <c r="G2684" s="27">
        <v>1</v>
      </c>
      <c r="H2684" s="27">
        <v>1</v>
      </c>
      <c r="I2684" s="27">
        <v>1</v>
      </c>
      <c r="J2684" s="30">
        <f t="shared" si="123"/>
        <v>1</v>
      </c>
      <c r="K2684" s="30">
        <f t="shared" si="124"/>
        <v>1</v>
      </c>
      <c r="L2684" s="26">
        <f t="shared" si="125"/>
        <v>1</v>
      </c>
      <c r="M2684" s="26"/>
    </row>
    <row r="2685" spans="1:13" ht="15" customHeight="1">
      <c r="A2685" s="25">
        <v>1765135</v>
      </c>
      <c r="B2685" s="26" t="s">
        <v>5423</v>
      </c>
      <c r="C2685" s="26" t="s">
        <v>11049</v>
      </c>
      <c r="D2685" s="26" t="s">
        <v>11050</v>
      </c>
      <c r="E2685" s="26" t="s">
        <v>5468</v>
      </c>
      <c r="F2685" s="27">
        <v>6170571</v>
      </c>
      <c r="G2685" s="27">
        <v>1</v>
      </c>
      <c r="H2685" s="27">
        <v>0</v>
      </c>
      <c r="I2685" s="27">
        <v>1</v>
      </c>
      <c r="J2685" s="30">
        <f t="shared" si="123"/>
        <v>1</v>
      </c>
      <c r="K2685" s="30">
        <f t="shared" si="124"/>
        <v>0</v>
      </c>
      <c r="L2685" s="26">
        <f t="shared" si="125"/>
        <v>0</v>
      </c>
      <c r="M2685" s="26"/>
    </row>
    <row r="2686" spans="1:13" ht="15" customHeight="1">
      <c r="A2686" s="25">
        <v>1765291</v>
      </c>
      <c r="B2686" s="26" t="s">
        <v>5427</v>
      </c>
      <c r="C2686" s="26" t="s">
        <v>11051</v>
      </c>
      <c r="D2686" s="26" t="s">
        <v>11052</v>
      </c>
      <c r="E2686" s="26" t="s">
        <v>5458</v>
      </c>
      <c r="F2686" s="27">
        <v>6182264</v>
      </c>
      <c r="G2686" s="27">
        <v>1</v>
      </c>
      <c r="H2686" s="27">
        <v>1</v>
      </c>
      <c r="I2686" s="27">
        <v>1</v>
      </c>
      <c r="J2686" s="30">
        <f t="shared" si="123"/>
        <v>1</v>
      </c>
      <c r="K2686" s="30">
        <f t="shared" si="124"/>
        <v>1</v>
      </c>
      <c r="L2686" s="26">
        <f t="shared" si="125"/>
        <v>1</v>
      </c>
      <c r="M2686" s="26" t="s">
        <v>8169</v>
      </c>
    </row>
    <row r="2687" spans="1:13" ht="15" customHeight="1">
      <c r="A2687" s="25">
        <v>1765357</v>
      </c>
      <c r="B2687" s="26" t="s">
        <v>5423</v>
      </c>
      <c r="C2687" s="26" t="s">
        <v>11053</v>
      </c>
      <c r="D2687" s="26" t="s">
        <v>11054</v>
      </c>
      <c r="E2687" s="26" t="s">
        <v>5455</v>
      </c>
      <c r="F2687" s="27">
        <v>5406308</v>
      </c>
      <c r="G2687" s="27">
        <v>0</v>
      </c>
      <c r="H2687" s="27">
        <v>0</v>
      </c>
      <c r="I2687" s="27">
        <v>0</v>
      </c>
      <c r="J2687" s="30">
        <f t="shared" si="123"/>
        <v>0</v>
      </c>
      <c r="K2687" s="30">
        <f t="shared" si="124"/>
        <v>0</v>
      </c>
      <c r="L2687" s="26">
        <f t="shared" si="125"/>
        <v>0</v>
      </c>
      <c r="M2687" s="26" t="s">
        <v>5557</v>
      </c>
    </row>
    <row r="2688" spans="1:13" ht="15" customHeight="1">
      <c r="A2688" s="25">
        <v>1765494</v>
      </c>
      <c r="B2688" s="26" t="s">
        <v>5423</v>
      </c>
      <c r="C2688" s="26" t="s">
        <v>11055</v>
      </c>
      <c r="D2688" s="26" t="s">
        <v>11012</v>
      </c>
      <c r="E2688" s="26" t="s">
        <v>5455</v>
      </c>
      <c r="F2688" s="27">
        <v>5255712</v>
      </c>
      <c r="G2688" s="27">
        <v>0</v>
      </c>
      <c r="H2688" s="27">
        <v>0</v>
      </c>
      <c r="I2688" s="27">
        <v>0</v>
      </c>
      <c r="J2688" s="30">
        <f t="shared" si="123"/>
        <v>0</v>
      </c>
      <c r="K2688" s="30">
        <f t="shared" si="124"/>
        <v>0</v>
      </c>
      <c r="L2688" s="26">
        <f t="shared" si="125"/>
        <v>0</v>
      </c>
      <c r="M2688" s="26" t="s">
        <v>5557</v>
      </c>
    </row>
    <row r="2689" spans="1:13" ht="15" customHeight="1">
      <c r="A2689" s="25">
        <v>1765632</v>
      </c>
      <c r="B2689" s="26" t="s">
        <v>5427</v>
      </c>
      <c r="C2689" s="26" t="s">
        <v>11056</v>
      </c>
      <c r="D2689" s="26" t="s">
        <v>11057</v>
      </c>
      <c r="E2689" s="26" t="s">
        <v>5763</v>
      </c>
      <c r="F2689" s="27">
        <v>5990874</v>
      </c>
      <c r="G2689" s="27">
        <v>1</v>
      </c>
      <c r="H2689" s="27">
        <v>0</v>
      </c>
      <c r="I2689" s="27">
        <v>1</v>
      </c>
      <c r="J2689" s="30">
        <f t="shared" si="123"/>
        <v>1</v>
      </c>
      <c r="K2689" s="30">
        <f t="shared" si="124"/>
        <v>0</v>
      </c>
      <c r="L2689" s="26">
        <f t="shared" si="125"/>
        <v>0</v>
      </c>
      <c r="M2689" s="26" t="s">
        <v>9595</v>
      </c>
    </row>
    <row r="2690" spans="1:13" ht="15" customHeight="1">
      <c r="A2690" s="25">
        <v>1765727</v>
      </c>
      <c r="B2690" s="26" t="s">
        <v>5427</v>
      </c>
      <c r="C2690" s="26" t="s">
        <v>11058</v>
      </c>
      <c r="D2690" s="26" t="s">
        <v>11057</v>
      </c>
      <c r="E2690" s="26" t="s">
        <v>5463</v>
      </c>
      <c r="F2690" s="27">
        <v>5650468</v>
      </c>
      <c r="G2690" s="27">
        <v>1</v>
      </c>
      <c r="H2690" s="27">
        <v>1</v>
      </c>
      <c r="I2690" s="27">
        <v>1</v>
      </c>
      <c r="J2690" s="30">
        <f t="shared" ref="J2690:J2753" si="126">IF(G2690&gt;0,1,0)</f>
        <v>1</v>
      </c>
      <c r="K2690" s="30">
        <f t="shared" ref="K2690:K2753" si="127">IF(H2690&gt;0,1,0)</f>
        <v>1</v>
      </c>
      <c r="L2690" s="26">
        <f t="shared" ref="L2690:L2753" si="128">IF(G2690&gt;0,IF(H2690&gt;0,1,0),0)</f>
        <v>1</v>
      </c>
      <c r="M2690" s="26"/>
    </row>
    <row r="2691" spans="1:13" ht="15" customHeight="1">
      <c r="A2691" s="25">
        <v>1765730</v>
      </c>
      <c r="B2691" s="26" t="s">
        <v>5423</v>
      </c>
      <c r="C2691" s="26" t="s">
        <v>11059</v>
      </c>
      <c r="D2691" s="26" t="s">
        <v>10926</v>
      </c>
      <c r="E2691" s="26" t="s">
        <v>5452</v>
      </c>
      <c r="F2691" s="27">
        <v>6132681</v>
      </c>
      <c r="G2691" s="27">
        <v>1</v>
      </c>
      <c r="H2691" s="27">
        <v>1</v>
      </c>
      <c r="I2691" s="27">
        <v>1</v>
      </c>
      <c r="J2691" s="30">
        <f t="shared" si="126"/>
        <v>1</v>
      </c>
      <c r="K2691" s="30">
        <f t="shared" si="127"/>
        <v>1</v>
      </c>
      <c r="L2691" s="26">
        <f t="shared" si="128"/>
        <v>1</v>
      </c>
      <c r="M2691" s="26"/>
    </row>
    <row r="2692" spans="1:13" ht="15" customHeight="1">
      <c r="A2692" s="25">
        <v>1765733</v>
      </c>
      <c r="B2692" s="26" t="s">
        <v>5423</v>
      </c>
      <c r="C2692" s="26" t="s">
        <v>11060</v>
      </c>
      <c r="D2692" s="26" t="s">
        <v>11057</v>
      </c>
      <c r="E2692" s="26" t="s">
        <v>5452</v>
      </c>
      <c r="F2692" s="27">
        <v>6174537</v>
      </c>
      <c r="G2692" s="27">
        <v>1</v>
      </c>
      <c r="H2692" s="27">
        <v>0</v>
      </c>
      <c r="I2692" s="27">
        <v>1</v>
      </c>
      <c r="J2692" s="30">
        <f t="shared" si="126"/>
        <v>1</v>
      </c>
      <c r="K2692" s="30">
        <f t="shared" si="127"/>
        <v>0</v>
      </c>
      <c r="L2692" s="26">
        <f t="shared" si="128"/>
        <v>0</v>
      </c>
      <c r="M2692" s="26"/>
    </row>
    <row r="2693" spans="1:13" ht="15" customHeight="1">
      <c r="A2693" s="25">
        <v>1765815</v>
      </c>
      <c r="B2693" s="26" t="s">
        <v>5423</v>
      </c>
      <c r="C2693" s="26" t="s">
        <v>11061</v>
      </c>
      <c r="D2693" s="26" t="s">
        <v>11062</v>
      </c>
      <c r="E2693" s="26" t="s">
        <v>5452</v>
      </c>
      <c r="F2693" s="27">
        <v>5480334</v>
      </c>
      <c r="G2693" s="27">
        <v>1</v>
      </c>
      <c r="H2693" s="27">
        <v>0</v>
      </c>
      <c r="I2693" s="27">
        <v>1</v>
      </c>
      <c r="J2693" s="30">
        <f t="shared" si="126"/>
        <v>1</v>
      </c>
      <c r="K2693" s="30">
        <f t="shared" si="127"/>
        <v>0</v>
      </c>
      <c r="L2693" s="26">
        <f t="shared" si="128"/>
        <v>0</v>
      </c>
      <c r="M2693" s="26"/>
    </row>
    <row r="2694" spans="1:13" ht="15" customHeight="1">
      <c r="A2694" s="25">
        <v>1765841</v>
      </c>
      <c r="B2694" s="26" t="s">
        <v>5423</v>
      </c>
      <c r="C2694" s="26" t="s">
        <v>11063</v>
      </c>
      <c r="D2694" s="26" t="s">
        <v>11064</v>
      </c>
      <c r="E2694" s="26" t="s">
        <v>5540</v>
      </c>
      <c r="F2694" s="27">
        <v>6186886</v>
      </c>
      <c r="G2694" s="27">
        <v>0</v>
      </c>
      <c r="H2694" s="27">
        <v>0</v>
      </c>
      <c r="I2694" s="27">
        <v>0</v>
      </c>
      <c r="J2694" s="30">
        <f t="shared" si="126"/>
        <v>0</v>
      </c>
      <c r="K2694" s="30">
        <f t="shared" si="127"/>
        <v>0</v>
      </c>
      <c r="L2694" s="26">
        <f t="shared" si="128"/>
        <v>0</v>
      </c>
      <c r="M2694" s="26">
        <v>0</v>
      </c>
    </row>
    <row r="2695" spans="1:13" ht="15" customHeight="1">
      <c r="A2695" s="25">
        <v>1765857</v>
      </c>
      <c r="B2695" s="26" t="s">
        <v>5423</v>
      </c>
      <c r="C2695" s="26" t="s">
        <v>11065</v>
      </c>
      <c r="D2695" s="26" t="s">
        <v>10915</v>
      </c>
      <c r="E2695" s="26" t="s">
        <v>5491</v>
      </c>
      <c r="F2695" s="27">
        <v>6186053</v>
      </c>
      <c r="G2695" s="27">
        <v>1</v>
      </c>
      <c r="H2695" s="27">
        <v>1</v>
      </c>
      <c r="I2695" s="27">
        <v>1</v>
      </c>
      <c r="J2695" s="30">
        <f t="shared" si="126"/>
        <v>1</v>
      </c>
      <c r="K2695" s="30">
        <f t="shared" si="127"/>
        <v>1</v>
      </c>
      <c r="L2695" s="26">
        <f t="shared" si="128"/>
        <v>1</v>
      </c>
      <c r="M2695" s="26" t="s">
        <v>8209</v>
      </c>
    </row>
    <row r="2696" spans="1:13" ht="15" customHeight="1">
      <c r="A2696" s="25">
        <v>1765862</v>
      </c>
      <c r="B2696" s="26" t="s">
        <v>5423</v>
      </c>
      <c r="C2696" s="26" t="s">
        <v>11066</v>
      </c>
      <c r="D2696" s="26" t="s">
        <v>10915</v>
      </c>
      <c r="E2696" s="26" t="s">
        <v>5455</v>
      </c>
      <c r="F2696" s="27">
        <v>5963956</v>
      </c>
      <c r="G2696" s="27">
        <v>1</v>
      </c>
      <c r="H2696" s="27">
        <v>0</v>
      </c>
      <c r="I2696" s="27">
        <v>1</v>
      </c>
      <c r="J2696" s="30">
        <f t="shared" si="126"/>
        <v>1</v>
      </c>
      <c r="K2696" s="30">
        <f t="shared" si="127"/>
        <v>0</v>
      </c>
      <c r="L2696" s="26">
        <f t="shared" si="128"/>
        <v>0</v>
      </c>
      <c r="M2696" s="26"/>
    </row>
    <row r="2697" spans="1:13" ht="15" customHeight="1">
      <c r="A2697" s="25">
        <v>1765888</v>
      </c>
      <c r="B2697" s="26" t="s">
        <v>5427</v>
      </c>
      <c r="C2697" s="26" t="s">
        <v>11067</v>
      </c>
      <c r="D2697" s="26" t="s">
        <v>11057</v>
      </c>
      <c r="E2697" s="26" t="s">
        <v>5485</v>
      </c>
      <c r="F2697" s="27">
        <v>4370188</v>
      </c>
      <c r="G2697" s="27">
        <v>1</v>
      </c>
      <c r="H2697" s="27">
        <v>0</v>
      </c>
      <c r="I2697" s="27">
        <v>1</v>
      </c>
      <c r="J2697" s="30">
        <f t="shared" si="126"/>
        <v>1</v>
      </c>
      <c r="K2697" s="30">
        <f t="shared" si="127"/>
        <v>0</v>
      </c>
      <c r="L2697" s="26">
        <f t="shared" si="128"/>
        <v>0</v>
      </c>
      <c r="M2697" s="26"/>
    </row>
    <row r="2698" spans="1:13" ht="15" customHeight="1">
      <c r="A2698" s="25">
        <v>1766206</v>
      </c>
      <c r="B2698" s="26" t="s">
        <v>5427</v>
      </c>
      <c r="C2698" s="26" t="s">
        <v>11068</v>
      </c>
      <c r="D2698" s="26" t="s">
        <v>10915</v>
      </c>
      <c r="E2698" s="26" t="s">
        <v>5458</v>
      </c>
      <c r="F2698" s="27">
        <v>6187419</v>
      </c>
      <c r="G2698" s="27">
        <v>1</v>
      </c>
      <c r="H2698" s="27">
        <v>0</v>
      </c>
      <c r="I2698" s="27">
        <v>1</v>
      </c>
      <c r="J2698" s="30">
        <f t="shared" si="126"/>
        <v>1</v>
      </c>
      <c r="K2698" s="30">
        <f t="shared" si="127"/>
        <v>0</v>
      </c>
      <c r="L2698" s="26">
        <f t="shared" si="128"/>
        <v>0</v>
      </c>
      <c r="M2698" s="26"/>
    </row>
    <row r="2699" spans="1:13" ht="15" customHeight="1">
      <c r="A2699" s="25">
        <v>1766244</v>
      </c>
      <c r="B2699" s="26" t="s">
        <v>5423</v>
      </c>
      <c r="C2699" s="26" t="s">
        <v>11069</v>
      </c>
      <c r="D2699" s="26" t="s">
        <v>11070</v>
      </c>
      <c r="E2699" s="26" t="s">
        <v>5763</v>
      </c>
      <c r="F2699" s="27">
        <v>6187421</v>
      </c>
      <c r="G2699" s="27">
        <v>1</v>
      </c>
      <c r="H2699" s="27">
        <v>0</v>
      </c>
      <c r="I2699" s="27">
        <v>1</v>
      </c>
      <c r="J2699" s="30">
        <f t="shared" si="126"/>
        <v>1</v>
      </c>
      <c r="K2699" s="30">
        <f t="shared" si="127"/>
        <v>0</v>
      </c>
      <c r="L2699" s="26">
        <f t="shared" si="128"/>
        <v>0</v>
      </c>
      <c r="M2699" s="26" t="s">
        <v>9990</v>
      </c>
    </row>
    <row r="2700" spans="1:13" ht="15" customHeight="1">
      <c r="A2700" s="25">
        <v>1766348</v>
      </c>
      <c r="B2700" s="26" t="s">
        <v>5423</v>
      </c>
      <c r="C2700" s="26" t="s">
        <v>11071</v>
      </c>
      <c r="D2700" s="26" t="s">
        <v>11072</v>
      </c>
      <c r="E2700" s="26" t="s">
        <v>5452</v>
      </c>
      <c r="F2700" s="27">
        <v>4844298</v>
      </c>
      <c r="G2700" s="27">
        <v>1</v>
      </c>
      <c r="H2700" s="27">
        <v>1</v>
      </c>
      <c r="I2700" s="27">
        <v>1</v>
      </c>
      <c r="J2700" s="30">
        <f t="shared" si="126"/>
        <v>1</v>
      </c>
      <c r="K2700" s="30">
        <f t="shared" si="127"/>
        <v>1</v>
      </c>
      <c r="L2700" s="26">
        <f t="shared" si="128"/>
        <v>1</v>
      </c>
      <c r="M2700" s="26"/>
    </row>
    <row r="2701" spans="1:13" ht="15" customHeight="1">
      <c r="A2701" s="25">
        <v>1766373</v>
      </c>
      <c r="B2701" s="26" t="s">
        <v>5427</v>
      </c>
      <c r="C2701" s="26" t="s">
        <v>11073</v>
      </c>
      <c r="D2701" s="26" t="s">
        <v>10915</v>
      </c>
      <c r="E2701" s="26" t="s">
        <v>5463</v>
      </c>
      <c r="F2701" s="27">
        <v>6184867</v>
      </c>
      <c r="G2701" s="27">
        <v>1</v>
      </c>
      <c r="H2701" s="27">
        <v>0</v>
      </c>
      <c r="I2701" s="27">
        <v>1</v>
      </c>
      <c r="J2701" s="30">
        <f t="shared" si="126"/>
        <v>1</v>
      </c>
      <c r="K2701" s="30">
        <f t="shared" si="127"/>
        <v>0</v>
      </c>
      <c r="L2701" s="26">
        <f t="shared" si="128"/>
        <v>0</v>
      </c>
      <c r="M2701" s="26"/>
    </row>
    <row r="2702" spans="1:13" ht="15" customHeight="1">
      <c r="A2702" s="25">
        <v>1766658</v>
      </c>
      <c r="B2702" s="26" t="s">
        <v>5423</v>
      </c>
      <c r="C2702" s="26" t="s">
        <v>11074</v>
      </c>
      <c r="D2702" s="26" t="s">
        <v>11052</v>
      </c>
      <c r="E2702" s="26" t="s">
        <v>5535</v>
      </c>
      <c r="F2702" s="27">
        <v>6187660</v>
      </c>
      <c r="G2702" s="27">
        <v>1</v>
      </c>
      <c r="H2702" s="27">
        <v>1</v>
      </c>
      <c r="I2702" s="27">
        <v>1</v>
      </c>
      <c r="J2702" s="30">
        <f t="shared" si="126"/>
        <v>1</v>
      </c>
      <c r="K2702" s="30">
        <f t="shared" si="127"/>
        <v>1</v>
      </c>
      <c r="L2702" s="26">
        <f t="shared" si="128"/>
        <v>1</v>
      </c>
      <c r="M2702" s="26"/>
    </row>
    <row r="2703" spans="1:13" ht="15" customHeight="1">
      <c r="A2703" s="25">
        <v>1766724</v>
      </c>
      <c r="B2703" s="26" t="s">
        <v>5423</v>
      </c>
      <c r="C2703" s="26" t="s">
        <v>11075</v>
      </c>
      <c r="D2703" s="26" t="s">
        <v>11052</v>
      </c>
      <c r="E2703" s="26" t="s">
        <v>5458</v>
      </c>
      <c r="F2703" s="27">
        <v>6187810</v>
      </c>
      <c r="G2703" s="27">
        <v>1</v>
      </c>
      <c r="H2703" s="27">
        <v>1</v>
      </c>
      <c r="I2703" s="27">
        <v>1</v>
      </c>
      <c r="J2703" s="30">
        <f t="shared" si="126"/>
        <v>1</v>
      </c>
      <c r="K2703" s="30">
        <f t="shared" si="127"/>
        <v>1</v>
      </c>
      <c r="L2703" s="26">
        <f t="shared" si="128"/>
        <v>1</v>
      </c>
      <c r="M2703" s="26"/>
    </row>
    <row r="2704" spans="1:13" ht="15" customHeight="1">
      <c r="A2704" s="25">
        <v>1767480</v>
      </c>
      <c r="B2704" s="26" t="s">
        <v>5423</v>
      </c>
      <c r="C2704" s="26" t="s">
        <v>11076</v>
      </c>
      <c r="D2704" s="26" t="s">
        <v>11064</v>
      </c>
      <c r="E2704" s="26" t="s">
        <v>5532</v>
      </c>
      <c r="F2704" s="27">
        <v>6191332</v>
      </c>
      <c r="G2704" s="27">
        <v>0</v>
      </c>
      <c r="H2704" s="27">
        <v>0</v>
      </c>
      <c r="I2704" s="27">
        <v>0</v>
      </c>
      <c r="J2704" s="30">
        <f t="shared" si="126"/>
        <v>0</v>
      </c>
      <c r="K2704" s="30">
        <f t="shared" si="127"/>
        <v>0</v>
      </c>
      <c r="L2704" s="26">
        <f t="shared" si="128"/>
        <v>0</v>
      </c>
      <c r="M2704" s="26">
        <v>0</v>
      </c>
    </row>
    <row r="2705" spans="1:13" ht="15" customHeight="1">
      <c r="A2705" s="25">
        <v>1767505</v>
      </c>
      <c r="B2705" s="26" t="s">
        <v>5427</v>
      </c>
      <c r="C2705" s="26" t="s">
        <v>11077</v>
      </c>
      <c r="D2705" s="26" t="s">
        <v>11078</v>
      </c>
      <c r="E2705" s="26" t="s">
        <v>5452</v>
      </c>
      <c r="F2705" s="27">
        <v>5515026</v>
      </c>
      <c r="G2705" s="27">
        <v>1</v>
      </c>
      <c r="H2705" s="27">
        <v>0</v>
      </c>
      <c r="I2705" s="27">
        <v>1</v>
      </c>
      <c r="J2705" s="30">
        <f t="shared" si="126"/>
        <v>1</v>
      </c>
      <c r="K2705" s="30">
        <f t="shared" si="127"/>
        <v>0</v>
      </c>
      <c r="L2705" s="26">
        <f t="shared" si="128"/>
        <v>0</v>
      </c>
      <c r="M2705" s="26"/>
    </row>
    <row r="2706" spans="1:13" ht="15" customHeight="1">
      <c r="A2706" s="25">
        <v>1767626</v>
      </c>
      <c r="B2706" s="26" t="s">
        <v>5427</v>
      </c>
      <c r="C2706" s="26" t="s">
        <v>11079</v>
      </c>
      <c r="D2706" s="26" t="s">
        <v>11064</v>
      </c>
      <c r="E2706" s="26" t="s">
        <v>5463</v>
      </c>
      <c r="F2706" s="27">
        <v>5940125</v>
      </c>
      <c r="G2706" s="27">
        <v>1</v>
      </c>
      <c r="H2706" s="27">
        <v>0</v>
      </c>
      <c r="I2706" s="27">
        <v>1</v>
      </c>
      <c r="J2706" s="30">
        <f t="shared" si="126"/>
        <v>1</v>
      </c>
      <c r="K2706" s="30">
        <f t="shared" si="127"/>
        <v>0</v>
      </c>
      <c r="L2706" s="26">
        <f t="shared" si="128"/>
        <v>0</v>
      </c>
      <c r="M2706" s="26"/>
    </row>
    <row r="2707" spans="1:13" ht="15" customHeight="1">
      <c r="A2707" s="25">
        <v>1767797</v>
      </c>
      <c r="B2707" s="26" t="s">
        <v>5423</v>
      </c>
      <c r="C2707" s="26" t="s">
        <v>11080</v>
      </c>
      <c r="D2707" s="26" t="s">
        <v>11078</v>
      </c>
      <c r="E2707" s="26" t="s">
        <v>5540</v>
      </c>
      <c r="F2707" s="27">
        <v>6172981</v>
      </c>
      <c r="G2707" s="27">
        <v>1</v>
      </c>
      <c r="H2707" s="27">
        <v>1</v>
      </c>
      <c r="I2707" s="27">
        <v>1</v>
      </c>
      <c r="J2707" s="30">
        <f t="shared" si="126"/>
        <v>1</v>
      </c>
      <c r="K2707" s="30">
        <f t="shared" si="127"/>
        <v>1</v>
      </c>
      <c r="L2707" s="26">
        <f t="shared" si="128"/>
        <v>1</v>
      </c>
      <c r="M2707" s="26"/>
    </row>
    <row r="2708" spans="1:13" ht="15" customHeight="1">
      <c r="A2708" s="25">
        <v>1767912</v>
      </c>
      <c r="B2708" s="26" t="s">
        <v>5423</v>
      </c>
      <c r="C2708" s="26" t="s">
        <v>11081</v>
      </c>
      <c r="D2708" s="26" t="s">
        <v>11082</v>
      </c>
      <c r="E2708" s="26" t="s">
        <v>5485</v>
      </c>
      <c r="F2708" s="27">
        <v>4891401</v>
      </c>
      <c r="G2708" s="27">
        <v>1</v>
      </c>
      <c r="H2708" s="27">
        <v>1</v>
      </c>
      <c r="I2708" s="27">
        <v>1</v>
      </c>
      <c r="J2708" s="30">
        <f t="shared" si="126"/>
        <v>1</v>
      </c>
      <c r="K2708" s="30">
        <f t="shared" si="127"/>
        <v>1</v>
      </c>
      <c r="L2708" s="26">
        <f t="shared" si="128"/>
        <v>1</v>
      </c>
      <c r="M2708" s="26" t="s">
        <v>9423</v>
      </c>
    </row>
    <row r="2709" spans="1:13" ht="15" customHeight="1">
      <c r="A2709" s="25">
        <v>1768025</v>
      </c>
      <c r="B2709" s="26" t="s">
        <v>5427</v>
      </c>
      <c r="C2709" s="26" t="s">
        <v>11083</v>
      </c>
      <c r="D2709" s="26" t="s">
        <v>11084</v>
      </c>
      <c r="E2709" s="26" t="s">
        <v>6541</v>
      </c>
      <c r="F2709" s="27">
        <v>6191450</v>
      </c>
      <c r="G2709" s="27">
        <v>1</v>
      </c>
      <c r="H2709" s="27">
        <v>0</v>
      </c>
      <c r="I2709" s="27">
        <v>1</v>
      </c>
      <c r="J2709" s="30">
        <f t="shared" si="126"/>
        <v>1</v>
      </c>
      <c r="K2709" s="30">
        <f t="shared" si="127"/>
        <v>0</v>
      </c>
      <c r="L2709" s="26">
        <f t="shared" si="128"/>
        <v>0</v>
      </c>
      <c r="M2709" s="26"/>
    </row>
    <row r="2710" spans="1:13" ht="15" customHeight="1">
      <c r="A2710" s="25">
        <v>1768116</v>
      </c>
      <c r="B2710" s="26" t="s">
        <v>5423</v>
      </c>
      <c r="C2710" s="26" t="s">
        <v>11085</v>
      </c>
      <c r="D2710" s="26" t="s">
        <v>11086</v>
      </c>
      <c r="E2710" s="26" t="s">
        <v>5514</v>
      </c>
      <c r="F2710" s="27">
        <v>6191631</v>
      </c>
      <c r="G2710" s="27">
        <v>1</v>
      </c>
      <c r="H2710" s="27">
        <v>0</v>
      </c>
      <c r="I2710" s="27">
        <v>1</v>
      </c>
      <c r="J2710" s="30">
        <f t="shared" si="126"/>
        <v>1</v>
      </c>
      <c r="K2710" s="30">
        <f t="shared" si="127"/>
        <v>0</v>
      </c>
      <c r="L2710" s="26">
        <f t="shared" si="128"/>
        <v>0</v>
      </c>
      <c r="M2710" s="26"/>
    </row>
    <row r="2711" spans="1:13" ht="15" customHeight="1">
      <c r="A2711" s="25">
        <v>1768177</v>
      </c>
      <c r="B2711" s="26" t="s">
        <v>5423</v>
      </c>
      <c r="C2711" s="26" t="s">
        <v>11087</v>
      </c>
      <c r="D2711" s="26" t="s">
        <v>11088</v>
      </c>
      <c r="E2711" s="26" t="s">
        <v>5535</v>
      </c>
      <c r="F2711" s="27">
        <v>6191756</v>
      </c>
      <c r="G2711" s="27">
        <v>0</v>
      </c>
      <c r="H2711" s="27">
        <v>0</v>
      </c>
      <c r="I2711" s="27">
        <v>0</v>
      </c>
      <c r="J2711" s="30">
        <f t="shared" si="126"/>
        <v>0</v>
      </c>
      <c r="K2711" s="30">
        <f t="shared" si="127"/>
        <v>0</v>
      </c>
      <c r="L2711" s="26">
        <f t="shared" si="128"/>
        <v>0</v>
      </c>
      <c r="M2711" s="26">
        <v>0</v>
      </c>
    </row>
    <row r="2712" spans="1:13" ht="15" customHeight="1">
      <c r="A2712" s="25">
        <v>1768232</v>
      </c>
      <c r="B2712" s="26" t="s">
        <v>5423</v>
      </c>
      <c r="C2712" s="26" t="s">
        <v>11089</v>
      </c>
      <c r="D2712" s="26" t="s">
        <v>11002</v>
      </c>
      <c r="E2712" s="26" t="s">
        <v>5455</v>
      </c>
      <c r="F2712" s="27">
        <v>4987672</v>
      </c>
      <c r="G2712" s="27">
        <v>0</v>
      </c>
      <c r="H2712" s="27">
        <v>0</v>
      </c>
      <c r="I2712" s="27">
        <v>0</v>
      </c>
      <c r="J2712" s="30">
        <f t="shared" si="126"/>
        <v>0</v>
      </c>
      <c r="K2712" s="30">
        <f t="shared" si="127"/>
        <v>0</v>
      </c>
      <c r="L2712" s="26">
        <f t="shared" si="128"/>
        <v>0</v>
      </c>
      <c r="M2712" s="26" t="s">
        <v>5557</v>
      </c>
    </row>
    <row r="2713" spans="1:13" ht="15" customHeight="1">
      <c r="A2713" s="25">
        <v>1768364</v>
      </c>
      <c r="B2713" s="26" t="s">
        <v>5423</v>
      </c>
      <c r="C2713" s="26" t="s">
        <v>11090</v>
      </c>
      <c r="D2713" s="26" t="s">
        <v>11050</v>
      </c>
      <c r="E2713" s="26" t="s">
        <v>5426</v>
      </c>
      <c r="F2713" s="27">
        <v>5515514</v>
      </c>
      <c r="G2713" s="27">
        <v>0</v>
      </c>
      <c r="H2713" s="27">
        <v>0</v>
      </c>
      <c r="I2713" s="27">
        <v>0</v>
      </c>
      <c r="J2713" s="30">
        <f t="shared" si="126"/>
        <v>0</v>
      </c>
      <c r="K2713" s="30">
        <f t="shared" si="127"/>
        <v>0</v>
      </c>
      <c r="L2713" s="26">
        <f t="shared" si="128"/>
        <v>0</v>
      </c>
      <c r="M2713" s="26" t="s">
        <v>5557</v>
      </c>
    </row>
    <row r="2714" spans="1:13" ht="15" customHeight="1">
      <c r="A2714" s="25">
        <v>1768495</v>
      </c>
      <c r="B2714" s="26" t="s">
        <v>5423</v>
      </c>
      <c r="C2714" s="26" t="s">
        <v>11091</v>
      </c>
      <c r="D2714" s="26" t="s">
        <v>11054</v>
      </c>
      <c r="E2714" s="26" t="s">
        <v>5683</v>
      </c>
      <c r="F2714" s="27">
        <v>6192772</v>
      </c>
      <c r="G2714" s="27">
        <v>0</v>
      </c>
      <c r="H2714" s="27">
        <v>1</v>
      </c>
      <c r="I2714" s="27">
        <v>1</v>
      </c>
      <c r="J2714" s="30">
        <f t="shared" si="126"/>
        <v>0</v>
      </c>
      <c r="K2714" s="30">
        <f t="shared" si="127"/>
        <v>1</v>
      </c>
      <c r="L2714" s="26">
        <f t="shared" si="128"/>
        <v>0</v>
      </c>
      <c r="M2714" s="26"/>
    </row>
    <row r="2715" spans="1:13" ht="15" customHeight="1">
      <c r="A2715" s="25">
        <v>1768536</v>
      </c>
      <c r="B2715" s="26" t="s">
        <v>5423</v>
      </c>
      <c r="C2715" s="26" t="s">
        <v>11092</v>
      </c>
      <c r="D2715" s="26" t="s">
        <v>11086</v>
      </c>
      <c r="E2715" s="26" t="s">
        <v>5475</v>
      </c>
      <c r="F2715" s="27">
        <v>6193974</v>
      </c>
      <c r="G2715" s="27">
        <v>0</v>
      </c>
      <c r="H2715" s="27">
        <v>0</v>
      </c>
      <c r="I2715" s="27">
        <v>0</v>
      </c>
      <c r="J2715" s="30">
        <f t="shared" si="126"/>
        <v>0</v>
      </c>
      <c r="K2715" s="30">
        <f t="shared" si="127"/>
        <v>0</v>
      </c>
      <c r="L2715" s="26">
        <f t="shared" si="128"/>
        <v>0</v>
      </c>
      <c r="M2715" s="26">
        <v>0</v>
      </c>
    </row>
    <row r="2716" spans="1:13" ht="15" customHeight="1">
      <c r="A2716" s="25">
        <v>1768555</v>
      </c>
      <c r="B2716" s="26" t="s">
        <v>5423</v>
      </c>
      <c r="C2716" s="26" t="s">
        <v>11093</v>
      </c>
      <c r="D2716" s="26" t="s">
        <v>11086</v>
      </c>
      <c r="E2716" s="26" t="s">
        <v>5455</v>
      </c>
      <c r="F2716" s="27">
        <v>5651423</v>
      </c>
      <c r="G2716" s="27">
        <v>1</v>
      </c>
      <c r="H2716" s="27">
        <v>0</v>
      </c>
      <c r="I2716" s="27">
        <v>1</v>
      </c>
      <c r="J2716" s="30">
        <f t="shared" si="126"/>
        <v>1</v>
      </c>
      <c r="K2716" s="30">
        <f t="shared" si="127"/>
        <v>0</v>
      </c>
      <c r="L2716" s="26">
        <f t="shared" si="128"/>
        <v>0</v>
      </c>
      <c r="M2716" s="26"/>
    </row>
    <row r="2717" spans="1:13" ht="15" customHeight="1">
      <c r="A2717" s="25">
        <v>1768615</v>
      </c>
      <c r="B2717" s="26" t="s">
        <v>5423</v>
      </c>
      <c r="C2717" s="26" t="s">
        <v>11094</v>
      </c>
      <c r="D2717" s="26" t="s">
        <v>11095</v>
      </c>
      <c r="E2717" s="26" t="s">
        <v>5468</v>
      </c>
      <c r="F2717" s="27"/>
      <c r="G2717" s="27">
        <v>0</v>
      </c>
      <c r="H2717" s="27">
        <v>0</v>
      </c>
      <c r="I2717" s="27">
        <v>0</v>
      </c>
      <c r="J2717" s="30">
        <f t="shared" si="126"/>
        <v>0</v>
      </c>
      <c r="K2717" s="30">
        <f t="shared" si="127"/>
        <v>0</v>
      </c>
      <c r="L2717" s="26">
        <f t="shared" si="128"/>
        <v>0</v>
      </c>
      <c r="M2717" s="26" t="s">
        <v>5557</v>
      </c>
    </row>
    <row r="2718" spans="1:13" ht="15" customHeight="1">
      <c r="A2718" s="25">
        <v>1768622</v>
      </c>
      <c r="B2718" s="26" t="s">
        <v>5423</v>
      </c>
      <c r="C2718" s="26" t="s">
        <v>11096</v>
      </c>
      <c r="D2718" s="26" t="s">
        <v>11097</v>
      </c>
      <c r="E2718" s="26" t="s">
        <v>5436</v>
      </c>
      <c r="F2718" s="27"/>
      <c r="G2718" s="27">
        <v>0</v>
      </c>
      <c r="H2718" s="27">
        <v>0</v>
      </c>
      <c r="I2718" s="27">
        <v>0</v>
      </c>
      <c r="J2718" s="30">
        <f t="shared" si="126"/>
        <v>0</v>
      </c>
      <c r="K2718" s="30">
        <f t="shared" si="127"/>
        <v>0</v>
      </c>
      <c r="L2718" s="26">
        <f t="shared" si="128"/>
        <v>0</v>
      </c>
      <c r="M2718" s="26" t="s">
        <v>5557</v>
      </c>
    </row>
    <row r="2719" spans="1:13" ht="15" customHeight="1">
      <c r="A2719" s="25">
        <v>1768638</v>
      </c>
      <c r="B2719" s="26" t="s">
        <v>5423</v>
      </c>
      <c r="C2719" s="26" t="s">
        <v>11098</v>
      </c>
      <c r="D2719" s="26" t="s">
        <v>11086</v>
      </c>
      <c r="E2719" s="26" t="s">
        <v>5532</v>
      </c>
      <c r="F2719" s="27">
        <v>6193368</v>
      </c>
      <c r="G2719" s="27">
        <v>1</v>
      </c>
      <c r="H2719" s="27">
        <v>0</v>
      </c>
      <c r="I2719" s="27">
        <v>1</v>
      </c>
      <c r="J2719" s="30">
        <f t="shared" si="126"/>
        <v>1</v>
      </c>
      <c r="K2719" s="30">
        <f t="shared" si="127"/>
        <v>0</v>
      </c>
      <c r="L2719" s="26">
        <f t="shared" si="128"/>
        <v>0</v>
      </c>
      <c r="M2719" s="26"/>
    </row>
    <row r="2720" spans="1:13" ht="15" customHeight="1">
      <c r="A2720" s="25">
        <v>1768658</v>
      </c>
      <c r="B2720" s="26" t="s">
        <v>5427</v>
      </c>
      <c r="C2720" s="26" t="s">
        <v>11099</v>
      </c>
      <c r="D2720" s="26" t="s">
        <v>11086</v>
      </c>
      <c r="E2720" s="26" t="s">
        <v>5488</v>
      </c>
      <c r="F2720" s="27">
        <v>6193941</v>
      </c>
      <c r="G2720" s="27">
        <v>0</v>
      </c>
      <c r="H2720" s="27">
        <v>0</v>
      </c>
      <c r="I2720" s="27">
        <v>0</v>
      </c>
      <c r="J2720" s="30">
        <f t="shared" si="126"/>
        <v>0</v>
      </c>
      <c r="K2720" s="30">
        <f t="shared" si="127"/>
        <v>0</v>
      </c>
      <c r="L2720" s="26">
        <f t="shared" si="128"/>
        <v>0</v>
      </c>
      <c r="M2720" s="26">
        <v>0</v>
      </c>
    </row>
    <row r="2721" spans="1:13" ht="15" customHeight="1">
      <c r="A2721" s="25">
        <v>1768699</v>
      </c>
      <c r="B2721" s="26" t="s">
        <v>5427</v>
      </c>
      <c r="C2721" s="26" t="s">
        <v>11100</v>
      </c>
      <c r="D2721" s="26" t="s">
        <v>11086</v>
      </c>
      <c r="E2721" s="26" t="s">
        <v>5491</v>
      </c>
      <c r="F2721" s="27">
        <v>6185255</v>
      </c>
      <c r="G2721" s="27">
        <v>1</v>
      </c>
      <c r="H2721" s="27">
        <v>0</v>
      </c>
      <c r="I2721" s="27">
        <v>1</v>
      </c>
      <c r="J2721" s="30">
        <f t="shared" si="126"/>
        <v>1</v>
      </c>
      <c r="K2721" s="30">
        <f t="shared" si="127"/>
        <v>0</v>
      </c>
      <c r="L2721" s="26">
        <f t="shared" si="128"/>
        <v>0</v>
      </c>
      <c r="M2721" s="26"/>
    </row>
    <row r="2722" spans="1:13" ht="15" customHeight="1">
      <c r="A2722" s="25">
        <v>1768725</v>
      </c>
      <c r="B2722" s="26" t="s">
        <v>5423</v>
      </c>
      <c r="C2722" s="26" t="s">
        <v>11101</v>
      </c>
      <c r="D2722" s="26" t="s">
        <v>11102</v>
      </c>
      <c r="E2722" s="26" t="s">
        <v>5504</v>
      </c>
      <c r="F2722" s="27">
        <v>6193043</v>
      </c>
      <c r="G2722" s="27">
        <v>1</v>
      </c>
      <c r="H2722" s="27">
        <v>0</v>
      </c>
      <c r="I2722" s="27">
        <v>1</v>
      </c>
      <c r="J2722" s="30">
        <f t="shared" si="126"/>
        <v>1</v>
      </c>
      <c r="K2722" s="30">
        <f t="shared" si="127"/>
        <v>0</v>
      </c>
      <c r="L2722" s="26">
        <f t="shared" si="128"/>
        <v>0</v>
      </c>
      <c r="M2722" s="26"/>
    </row>
    <row r="2723" spans="1:13" ht="15" customHeight="1">
      <c r="A2723" s="25">
        <v>1768727</v>
      </c>
      <c r="B2723" s="26" t="s">
        <v>5423</v>
      </c>
      <c r="C2723" s="26" t="s">
        <v>11103</v>
      </c>
      <c r="D2723" s="26" t="s">
        <v>11104</v>
      </c>
      <c r="E2723" s="26" t="s">
        <v>5458</v>
      </c>
      <c r="F2723" s="27"/>
      <c r="G2723" s="27">
        <v>0</v>
      </c>
      <c r="H2723" s="27">
        <v>0</v>
      </c>
      <c r="I2723" s="27">
        <v>0</v>
      </c>
      <c r="J2723" s="30">
        <f t="shared" si="126"/>
        <v>0</v>
      </c>
      <c r="K2723" s="30">
        <f t="shared" si="127"/>
        <v>0</v>
      </c>
      <c r="L2723" s="26">
        <f t="shared" si="128"/>
        <v>0</v>
      </c>
      <c r="M2723" s="26" t="s">
        <v>8017</v>
      </c>
    </row>
    <row r="2724" spans="1:13" ht="15" customHeight="1">
      <c r="A2724" s="25">
        <v>1768965</v>
      </c>
      <c r="B2724" s="26" t="s">
        <v>5423</v>
      </c>
      <c r="C2724" s="26" t="s">
        <v>11105</v>
      </c>
      <c r="D2724" s="26" t="s">
        <v>11086</v>
      </c>
      <c r="E2724" s="26" t="s">
        <v>5540</v>
      </c>
      <c r="F2724" s="27"/>
      <c r="G2724" s="27">
        <v>0</v>
      </c>
      <c r="H2724" s="27">
        <v>0</v>
      </c>
      <c r="I2724" s="27">
        <v>0</v>
      </c>
      <c r="J2724" s="30">
        <f t="shared" si="126"/>
        <v>0</v>
      </c>
      <c r="K2724" s="30">
        <f t="shared" si="127"/>
        <v>0</v>
      </c>
      <c r="L2724" s="26">
        <f t="shared" si="128"/>
        <v>0</v>
      </c>
      <c r="M2724" s="26" t="s">
        <v>5557</v>
      </c>
    </row>
    <row r="2725" spans="1:13" ht="15" customHeight="1">
      <c r="A2725" s="25">
        <v>1768972</v>
      </c>
      <c r="B2725" s="26" t="s">
        <v>5427</v>
      </c>
      <c r="C2725" s="26" t="s">
        <v>11106</v>
      </c>
      <c r="D2725" s="26" t="s">
        <v>11107</v>
      </c>
      <c r="E2725" s="26" t="s">
        <v>6075</v>
      </c>
      <c r="F2725" s="27">
        <v>6175676</v>
      </c>
      <c r="G2725" s="27">
        <v>1</v>
      </c>
      <c r="H2725" s="27">
        <v>1</v>
      </c>
      <c r="I2725" s="27">
        <v>1</v>
      </c>
      <c r="J2725" s="30">
        <f t="shared" si="126"/>
        <v>1</v>
      </c>
      <c r="K2725" s="30">
        <f t="shared" si="127"/>
        <v>1</v>
      </c>
      <c r="L2725" s="26">
        <f t="shared" si="128"/>
        <v>1</v>
      </c>
      <c r="M2725" s="26"/>
    </row>
    <row r="2726" spans="1:13" ht="15" customHeight="1">
      <c r="A2726" s="25">
        <v>1769138</v>
      </c>
      <c r="B2726" s="26" t="s">
        <v>5423</v>
      </c>
      <c r="C2726" s="26" t="s">
        <v>11108</v>
      </c>
      <c r="D2726" s="26" t="s">
        <v>11109</v>
      </c>
      <c r="E2726" s="26" t="s">
        <v>5439</v>
      </c>
      <c r="F2726" s="27">
        <v>6016473</v>
      </c>
      <c r="G2726" s="27">
        <v>1</v>
      </c>
      <c r="H2726" s="27">
        <v>1</v>
      </c>
      <c r="I2726" s="27">
        <v>1</v>
      </c>
      <c r="J2726" s="30">
        <f t="shared" si="126"/>
        <v>1</v>
      </c>
      <c r="K2726" s="30">
        <f t="shared" si="127"/>
        <v>1</v>
      </c>
      <c r="L2726" s="26">
        <f t="shared" si="128"/>
        <v>1</v>
      </c>
      <c r="M2726" s="26"/>
    </row>
    <row r="2727" spans="1:13" ht="15" customHeight="1">
      <c r="A2727" s="25">
        <v>1769562</v>
      </c>
      <c r="B2727" s="26" t="s">
        <v>5423</v>
      </c>
      <c r="C2727" s="26" t="s">
        <v>11110</v>
      </c>
      <c r="D2727" s="26" t="s">
        <v>11111</v>
      </c>
      <c r="E2727" s="26" t="s">
        <v>5475</v>
      </c>
      <c r="F2727" s="27">
        <v>6136262</v>
      </c>
      <c r="G2727" s="27">
        <v>1</v>
      </c>
      <c r="H2727" s="27">
        <v>0</v>
      </c>
      <c r="I2727" s="27">
        <v>1</v>
      </c>
      <c r="J2727" s="30">
        <f t="shared" si="126"/>
        <v>1</v>
      </c>
      <c r="K2727" s="30">
        <f t="shared" si="127"/>
        <v>0</v>
      </c>
      <c r="L2727" s="26">
        <f t="shared" si="128"/>
        <v>0</v>
      </c>
      <c r="M2727" s="26"/>
    </row>
    <row r="2728" spans="1:13" ht="15" customHeight="1">
      <c r="A2728" s="25">
        <v>1769636</v>
      </c>
      <c r="B2728" s="26" t="s">
        <v>5423</v>
      </c>
      <c r="C2728" s="26" t="s">
        <v>11112</v>
      </c>
      <c r="D2728" s="26" t="s">
        <v>11111</v>
      </c>
      <c r="E2728" s="26" t="s">
        <v>5458</v>
      </c>
      <c r="F2728" s="27">
        <v>6195996</v>
      </c>
      <c r="G2728" s="27">
        <v>0</v>
      </c>
      <c r="H2728" s="27">
        <v>0</v>
      </c>
      <c r="I2728" s="27">
        <v>0</v>
      </c>
      <c r="J2728" s="30">
        <f t="shared" si="126"/>
        <v>0</v>
      </c>
      <c r="K2728" s="30">
        <f t="shared" si="127"/>
        <v>0</v>
      </c>
      <c r="L2728" s="26">
        <f t="shared" si="128"/>
        <v>0</v>
      </c>
      <c r="M2728" s="26">
        <v>0</v>
      </c>
    </row>
    <row r="2729" spans="1:13" ht="15" customHeight="1">
      <c r="A2729" s="25">
        <v>1769677</v>
      </c>
      <c r="B2729" s="26" t="s">
        <v>5423</v>
      </c>
      <c r="C2729" s="26" t="s">
        <v>11113</v>
      </c>
      <c r="D2729" s="26" t="s">
        <v>11111</v>
      </c>
      <c r="E2729" s="26" t="s">
        <v>5517</v>
      </c>
      <c r="F2729" s="27">
        <v>6196001</v>
      </c>
      <c r="G2729" s="27">
        <v>0</v>
      </c>
      <c r="H2729" s="27">
        <v>0</v>
      </c>
      <c r="I2729" s="27">
        <v>0</v>
      </c>
      <c r="J2729" s="30">
        <f t="shared" si="126"/>
        <v>0</v>
      </c>
      <c r="K2729" s="30">
        <f t="shared" si="127"/>
        <v>0</v>
      </c>
      <c r="L2729" s="26">
        <f t="shared" si="128"/>
        <v>0</v>
      </c>
      <c r="M2729" s="26">
        <v>0</v>
      </c>
    </row>
    <row r="2730" spans="1:13" ht="15" customHeight="1">
      <c r="A2730" s="25">
        <v>1769752</v>
      </c>
      <c r="B2730" s="26" t="s">
        <v>5427</v>
      </c>
      <c r="C2730" s="26" t="s">
        <v>11114</v>
      </c>
      <c r="D2730" s="26" t="s">
        <v>11102</v>
      </c>
      <c r="E2730" s="26" t="s">
        <v>5514</v>
      </c>
      <c r="F2730" s="27">
        <v>6196477</v>
      </c>
      <c r="G2730" s="27">
        <v>0</v>
      </c>
      <c r="H2730" s="27">
        <v>0</v>
      </c>
      <c r="I2730" s="27">
        <v>0</v>
      </c>
      <c r="J2730" s="30">
        <f t="shared" si="126"/>
        <v>0</v>
      </c>
      <c r="K2730" s="30">
        <f t="shared" si="127"/>
        <v>0</v>
      </c>
      <c r="L2730" s="26">
        <f t="shared" si="128"/>
        <v>0</v>
      </c>
      <c r="M2730" s="26">
        <v>0</v>
      </c>
    </row>
    <row r="2731" spans="1:13" ht="15" customHeight="1">
      <c r="A2731" s="25">
        <v>1769757</v>
      </c>
      <c r="B2731" s="26" t="s">
        <v>5423</v>
      </c>
      <c r="C2731" s="26" t="s">
        <v>11115</v>
      </c>
      <c r="D2731" s="26" t="s">
        <v>11111</v>
      </c>
      <c r="E2731" s="26" t="s">
        <v>5452</v>
      </c>
      <c r="F2731" s="27">
        <v>6196576</v>
      </c>
      <c r="G2731" s="27">
        <v>0</v>
      </c>
      <c r="H2731" s="27">
        <v>0</v>
      </c>
      <c r="I2731" s="27">
        <v>0</v>
      </c>
      <c r="J2731" s="30">
        <f t="shared" si="126"/>
        <v>0</v>
      </c>
      <c r="K2731" s="30">
        <f t="shared" si="127"/>
        <v>0</v>
      </c>
      <c r="L2731" s="26">
        <f t="shared" si="128"/>
        <v>0</v>
      </c>
      <c r="M2731" s="26">
        <v>0</v>
      </c>
    </row>
    <row r="2732" spans="1:13" ht="15" customHeight="1">
      <c r="A2732" s="25">
        <v>1769875</v>
      </c>
      <c r="B2732" s="26" t="s">
        <v>5423</v>
      </c>
      <c r="C2732" s="26" t="s">
        <v>11116</v>
      </c>
      <c r="D2732" s="26" t="s">
        <v>11111</v>
      </c>
      <c r="E2732" s="26" t="s">
        <v>5522</v>
      </c>
      <c r="F2732" s="27">
        <v>5291832</v>
      </c>
      <c r="G2732" s="27">
        <v>0</v>
      </c>
      <c r="H2732" s="27">
        <v>0</v>
      </c>
      <c r="I2732" s="27">
        <v>0</v>
      </c>
      <c r="J2732" s="30">
        <f t="shared" si="126"/>
        <v>0</v>
      </c>
      <c r="K2732" s="30">
        <f t="shared" si="127"/>
        <v>0</v>
      </c>
      <c r="L2732" s="26">
        <f t="shared" si="128"/>
        <v>0</v>
      </c>
      <c r="M2732" s="26" t="s">
        <v>5557</v>
      </c>
    </row>
    <row r="2733" spans="1:13" ht="15" customHeight="1">
      <c r="A2733" s="25">
        <v>1769878</v>
      </c>
      <c r="B2733" s="26" t="s">
        <v>5423</v>
      </c>
      <c r="C2733" s="26" t="s">
        <v>11117</v>
      </c>
      <c r="D2733" s="26" t="s">
        <v>11111</v>
      </c>
      <c r="E2733" s="26" t="s">
        <v>5458</v>
      </c>
      <c r="F2733" s="27">
        <v>4992077</v>
      </c>
      <c r="G2733" s="27">
        <v>0</v>
      </c>
      <c r="H2733" s="27">
        <v>0</v>
      </c>
      <c r="I2733" s="27">
        <v>0</v>
      </c>
      <c r="J2733" s="30">
        <f t="shared" si="126"/>
        <v>0</v>
      </c>
      <c r="K2733" s="30">
        <f t="shared" si="127"/>
        <v>0</v>
      </c>
      <c r="L2733" s="26">
        <f t="shared" si="128"/>
        <v>0</v>
      </c>
      <c r="M2733" s="26" t="s">
        <v>5557</v>
      </c>
    </row>
    <row r="2734" spans="1:13" ht="15" customHeight="1">
      <c r="A2734" s="25">
        <v>1769881</v>
      </c>
      <c r="B2734" s="26" t="s">
        <v>5427</v>
      </c>
      <c r="C2734" s="26" t="s">
        <v>11118</v>
      </c>
      <c r="D2734" s="26" t="s">
        <v>11119</v>
      </c>
      <c r="E2734" s="26" t="s">
        <v>5436</v>
      </c>
      <c r="F2734" s="27">
        <v>6196119</v>
      </c>
      <c r="G2734" s="27">
        <v>1</v>
      </c>
      <c r="H2734" s="27">
        <v>1</v>
      </c>
      <c r="I2734" s="27">
        <v>1</v>
      </c>
      <c r="J2734" s="30">
        <f t="shared" si="126"/>
        <v>1</v>
      </c>
      <c r="K2734" s="30">
        <f t="shared" si="127"/>
        <v>1</v>
      </c>
      <c r="L2734" s="26">
        <f t="shared" si="128"/>
        <v>1</v>
      </c>
      <c r="M2734" s="26"/>
    </row>
    <row r="2735" spans="1:13" ht="15" customHeight="1">
      <c r="A2735" s="25">
        <v>1769884</v>
      </c>
      <c r="B2735" s="26" t="s">
        <v>5423</v>
      </c>
      <c r="C2735" s="26" t="s">
        <v>11120</v>
      </c>
      <c r="D2735" s="26" t="s">
        <v>11119</v>
      </c>
      <c r="E2735" s="26" t="s">
        <v>5455</v>
      </c>
      <c r="F2735" s="27">
        <v>6196152</v>
      </c>
      <c r="G2735" s="27">
        <v>0</v>
      </c>
      <c r="H2735" s="27">
        <v>0</v>
      </c>
      <c r="I2735" s="27">
        <v>0</v>
      </c>
      <c r="J2735" s="30">
        <f t="shared" si="126"/>
        <v>0</v>
      </c>
      <c r="K2735" s="30">
        <f t="shared" si="127"/>
        <v>0</v>
      </c>
      <c r="L2735" s="26">
        <f t="shared" si="128"/>
        <v>0</v>
      </c>
      <c r="M2735" s="26" t="s">
        <v>5567</v>
      </c>
    </row>
    <row r="2736" spans="1:13" ht="15" customHeight="1">
      <c r="A2736" s="25">
        <v>1769958</v>
      </c>
      <c r="B2736" s="26" t="s">
        <v>5423</v>
      </c>
      <c r="C2736" s="26" t="s">
        <v>11121</v>
      </c>
      <c r="D2736" s="26" t="s">
        <v>11054</v>
      </c>
      <c r="E2736" s="26" t="s">
        <v>5968</v>
      </c>
      <c r="F2736" s="27">
        <v>6196384</v>
      </c>
      <c r="G2736" s="27">
        <v>1</v>
      </c>
      <c r="H2736" s="27">
        <v>1</v>
      </c>
      <c r="I2736" s="27">
        <v>1</v>
      </c>
      <c r="J2736" s="30">
        <f t="shared" si="126"/>
        <v>1</v>
      </c>
      <c r="K2736" s="30">
        <f t="shared" si="127"/>
        <v>1</v>
      </c>
      <c r="L2736" s="26">
        <f t="shared" si="128"/>
        <v>1</v>
      </c>
      <c r="M2736" s="26"/>
    </row>
    <row r="2737" spans="1:13" ht="15" customHeight="1">
      <c r="A2737" s="25">
        <v>1769975</v>
      </c>
      <c r="B2737" s="26" t="s">
        <v>5423</v>
      </c>
      <c r="C2737" s="26" t="s">
        <v>11122</v>
      </c>
      <c r="D2737" s="26" t="s">
        <v>11119</v>
      </c>
      <c r="E2737" s="26" t="s">
        <v>5455</v>
      </c>
      <c r="F2737" s="27">
        <v>6095002</v>
      </c>
      <c r="G2737" s="27">
        <v>1</v>
      </c>
      <c r="H2737" s="27">
        <v>0</v>
      </c>
      <c r="I2737" s="27">
        <v>1</v>
      </c>
      <c r="J2737" s="30">
        <f t="shared" si="126"/>
        <v>1</v>
      </c>
      <c r="K2737" s="30">
        <f t="shared" si="127"/>
        <v>0</v>
      </c>
      <c r="L2737" s="26">
        <f t="shared" si="128"/>
        <v>0</v>
      </c>
      <c r="M2737" s="26"/>
    </row>
    <row r="2738" spans="1:13" ht="15" customHeight="1">
      <c r="A2738" s="25">
        <v>1770186</v>
      </c>
      <c r="B2738" s="26" t="s">
        <v>5423</v>
      </c>
      <c r="C2738" s="26" t="s">
        <v>11123</v>
      </c>
      <c r="D2738" s="26" t="s">
        <v>11124</v>
      </c>
      <c r="E2738" s="26" t="s">
        <v>5452</v>
      </c>
      <c r="F2738" s="27">
        <v>6197285</v>
      </c>
      <c r="G2738" s="27">
        <v>1</v>
      </c>
      <c r="H2738" s="27">
        <v>0</v>
      </c>
      <c r="I2738" s="27">
        <v>1</v>
      </c>
      <c r="J2738" s="30">
        <f t="shared" si="126"/>
        <v>1</v>
      </c>
      <c r="K2738" s="30">
        <f t="shared" si="127"/>
        <v>0</v>
      </c>
      <c r="L2738" s="26">
        <f t="shared" si="128"/>
        <v>0</v>
      </c>
      <c r="M2738" s="26"/>
    </row>
    <row r="2739" spans="1:13" ht="15" customHeight="1">
      <c r="A2739" s="25">
        <v>1770207</v>
      </c>
      <c r="B2739" s="26" t="s">
        <v>5423</v>
      </c>
      <c r="C2739" s="26" t="s">
        <v>11125</v>
      </c>
      <c r="D2739" s="26" t="s">
        <v>11095</v>
      </c>
      <c r="E2739" s="26" t="s">
        <v>5480</v>
      </c>
      <c r="F2739" s="27">
        <v>5495162</v>
      </c>
      <c r="G2739" s="27">
        <v>0</v>
      </c>
      <c r="H2739" s="27">
        <v>0</v>
      </c>
      <c r="I2739" s="27">
        <v>0</v>
      </c>
      <c r="J2739" s="30">
        <f t="shared" si="126"/>
        <v>0</v>
      </c>
      <c r="K2739" s="30">
        <f t="shared" si="127"/>
        <v>0</v>
      </c>
      <c r="L2739" s="26">
        <f t="shared" si="128"/>
        <v>0</v>
      </c>
      <c r="M2739" s="26" t="s">
        <v>5557</v>
      </c>
    </row>
    <row r="2740" spans="1:13" ht="15" customHeight="1">
      <c r="A2740" s="25">
        <v>1770217</v>
      </c>
      <c r="B2740" s="26" t="s">
        <v>5423</v>
      </c>
      <c r="C2740" s="26" t="s">
        <v>11126</v>
      </c>
      <c r="D2740" s="26" t="s">
        <v>11127</v>
      </c>
      <c r="E2740" s="26" t="s">
        <v>5455</v>
      </c>
      <c r="F2740" s="27">
        <v>6183244</v>
      </c>
      <c r="G2740" s="27">
        <v>1</v>
      </c>
      <c r="H2740" s="27">
        <v>1</v>
      </c>
      <c r="I2740" s="27">
        <v>1</v>
      </c>
      <c r="J2740" s="30">
        <f t="shared" si="126"/>
        <v>1</v>
      </c>
      <c r="K2740" s="30">
        <f t="shared" si="127"/>
        <v>1</v>
      </c>
      <c r="L2740" s="26">
        <f t="shared" si="128"/>
        <v>1</v>
      </c>
      <c r="M2740" s="26"/>
    </row>
    <row r="2741" spans="1:13" ht="15" customHeight="1">
      <c r="A2741" s="25">
        <v>1770391</v>
      </c>
      <c r="B2741" s="26" t="s">
        <v>5427</v>
      </c>
      <c r="C2741" s="26" t="s">
        <v>11128</v>
      </c>
      <c r="D2741" s="26" t="s">
        <v>11129</v>
      </c>
      <c r="E2741" s="26" t="s">
        <v>5455</v>
      </c>
      <c r="F2741" s="27">
        <v>6199666</v>
      </c>
      <c r="G2741" s="27">
        <v>0</v>
      </c>
      <c r="H2741" s="27">
        <v>0</v>
      </c>
      <c r="I2741" s="27">
        <v>0</v>
      </c>
      <c r="J2741" s="30">
        <f t="shared" si="126"/>
        <v>0</v>
      </c>
      <c r="K2741" s="30">
        <f t="shared" si="127"/>
        <v>0</v>
      </c>
      <c r="L2741" s="26">
        <f t="shared" si="128"/>
        <v>0</v>
      </c>
      <c r="M2741" s="26">
        <v>0</v>
      </c>
    </row>
    <row r="2742" spans="1:13" ht="15" customHeight="1">
      <c r="A2742" s="25">
        <v>1770783</v>
      </c>
      <c r="B2742" s="26" t="s">
        <v>5423</v>
      </c>
      <c r="C2742" s="26" t="s">
        <v>11130</v>
      </c>
      <c r="D2742" s="26" t="s">
        <v>11131</v>
      </c>
      <c r="E2742" s="26" t="s">
        <v>5436</v>
      </c>
      <c r="F2742" s="27">
        <v>6198744</v>
      </c>
      <c r="G2742" s="27">
        <v>1</v>
      </c>
      <c r="H2742" s="27">
        <v>1</v>
      </c>
      <c r="I2742" s="27">
        <v>1</v>
      </c>
      <c r="J2742" s="30">
        <f t="shared" si="126"/>
        <v>1</v>
      </c>
      <c r="K2742" s="30">
        <f t="shared" si="127"/>
        <v>1</v>
      </c>
      <c r="L2742" s="26">
        <f t="shared" si="128"/>
        <v>1</v>
      </c>
      <c r="M2742" s="26"/>
    </row>
    <row r="2743" spans="1:13" ht="15" customHeight="1">
      <c r="A2743" s="25">
        <v>1770810</v>
      </c>
      <c r="B2743" s="26" t="s">
        <v>5427</v>
      </c>
      <c r="C2743" s="26" t="s">
        <v>11132</v>
      </c>
      <c r="D2743" s="26" t="s">
        <v>11124</v>
      </c>
      <c r="E2743" s="26" t="s">
        <v>5968</v>
      </c>
      <c r="F2743" s="27">
        <v>6199667</v>
      </c>
      <c r="G2743" s="27">
        <v>0</v>
      </c>
      <c r="H2743" s="27">
        <v>0</v>
      </c>
      <c r="I2743" s="27">
        <v>0</v>
      </c>
      <c r="J2743" s="30">
        <f t="shared" si="126"/>
        <v>0</v>
      </c>
      <c r="K2743" s="30">
        <f t="shared" si="127"/>
        <v>0</v>
      </c>
      <c r="L2743" s="26">
        <f t="shared" si="128"/>
        <v>0</v>
      </c>
      <c r="M2743" s="26">
        <v>0</v>
      </c>
    </row>
    <row r="2744" spans="1:13" ht="15" customHeight="1">
      <c r="A2744" s="25">
        <v>1770904</v>
      </c>
      <c r="B2744" s="26" t="s">
        <v>5427</v>
      </c>
      <c r="C2744" s="26" t="s">
        <v>11133</v>
      </c>
      <c r="D2744" s="26" t="s">
        <v>11134</v>
      </c>
      <c r="E2744" s="26" t="s">
        <v>5480</v>
      </c>
      <c r="F2744" s="27">
        <v>5405243</v>
      </c>
      <c r="G2744" s="27">
        <v>0</v>
      </c>
      <c r="H2744" s="27">
        <v>0</v>
      </c>
      <c r="I2744" s="27">
        <v>0</v>
      </c>
      <c r="J2744" s="30">
        <f t="shared" si="126"/>
        <v>0</v>
      </c>
      <c r="K2744" s="30">
        <f t="shared" si="127"/>
        <v>0</v>
      </c>
      <c r="L2744" s="26">
        <f t="shared" si="128"/>
        <v>0</v>
      </c>
      <c r="M2744" s="26" t="s">
        <v>5557</v>
      </c>
    </row>
    <row r="2745" spans="1:13" ht="15" customHeight="1">
      <c r="A2745" s="25">
        <v>1770907</v>
      </c>
      <c r="B2745" s="26" t="s">
        <v>5427</v>
      </c>
      <c r="C2745" s="26" t="s">
        <v>11135</v>
      </c>
      <c r="D2745" s="26" t="s">
        <v>11136</v>
      </c>
      <c r="E2745" s="26" t="s">
        <v>5485</v>
      </c>
      <c r="F2745" s="27"/>
      <c r="G2745" s="27">
        <v>0</v>
      </c>
      <c r="H2745" s="27">
        <v>0</v>
      </c>
      <c r="I2745" s="27">
        <v>0</v>
      </c>
      <c r="J2745" s="30">
        <f t="shared" si="126"/>
        <v>0</v>
      </c>
      <c r="K2745" s="30">
        <f t="shared" si="127"/>
        <v>0</v>
      </c>
      <c r="L2745" s="26">
        <f t="shared" si="128"/>
        <v>0</v>
      </c>
      <c r="M2745" s="26" t="s">
        <v>8017</v>
      </c>
    </row>
    <row r="2746" spans="1:13" ht="15" customHeight="1">
      <c r="A2746" s="25">
        <v>1770973</v>
      </c>
      <c r="B2746" s="26" t="s">
        <v>5423</v>
      </c>
      <c r="C2746" s="26" t="s">
        <v>11137</v>
      </c>
      <c r="D2746" s="26" t="s">
        <v>11138</v>
      </c>
      <c r="E2746" s="26" t="s">
        <v>5447</v>
      </c>
      <c r="F2746" s="27">
        <v>6199118</v>
      </c>
      <c r="G2746" s="27">
        <v>1</v>
      </c>
      <c r="H2746" s="27">
        <v>0</v>
      </c>
      <c r="I2746" s="27">
        <v>1</v>
      </c>
      <c r="J2746" s="30">
        <f t="shared" si="126"/>
        <v>1</v>
      </c>
      <c r="K2746" s="30">
        <f t="shared" si="127"/>
        <v>0</v>
      </c>
      <c r="L2746" s="26">
        <f t="shared" si="128"/>
        <v>0</v>
      </c>
      <c r="M2746" s="26"/>
    </row>
    <row r="2747" spans="1:13" ht="15" customHeight="1">
      <c r="A2747" s="25">
        <v>1771033</v>
      </c>
      <c r="B2747" s="26" t="s">
        <v>5423</v>
      </c>
      <c r="C2747" s="26" t="s">
        <v>11139</v>
      </c>
      <c r="D2747" s="26" t="s">
        <v>11140</v>
      </c>
      <c r="E2747" s="26" t="s">
        <v>5488</v>
      </c>
      <c r="F2747" s="27">
        <v>6190050</v>
      </c>
      <c r="G2747" s="27">
        <v>1</v>
      </c>
      <c r="H2747" s="27">
        <v>0</v>
      </c>
      <c r="I2747" s="27">
        <v>1</v>
      </c>
      <c r="J2747" s="30">
        <f t="shared" si="126"/>
        <v>1</v>
      </c>
      <c r="K2747" s="30">
        <f t="shared" si="127"/>
        <v>0</v>
      </c>
      <c r="L2747" s="26">
        <f t="shared" si="128"/>
        <v>0</v>
      </c>
      <c r="M2747" s="26"/>
    </row>
    <row r="2748" spans="1:13" ht="15" customHeight="1">
      <c r="A2748" s="25">
        <v>1771067</v>
      </c>
      <c r="B2748" s="26" t="s">
        <v>5423</v>
      </c>
      <c r="C2748" s="26" t="s">
        <v>11141</v>
      </c>
      <c r="D2748" s="26" t="s">
        <v>11138</v>
      </c>
      <c r="E2748" s="26" t="s">
        <v>5436</v>
      </c>
      <c r="F2748" s="27">
        <v>6199439</v>
      </c>
      <c r="G2748" s="27">
        <v>1</v>
      </c>
      <c r="H2748" s="27">
        <v>0</v>
      </c>
      <c r="I2748" s="27">
        <v>1</v>
      </c>
      <c r="J2748" s="30">
        <f t="shared" si="126"/>
        <v>1</v>
      </c>
      <c r="K2748" s="30">
        <f t="shared" si="127"/>
        <v>0</v>
      </c>
      <c r="L2748" s="26">
        <f t="shared" si="128"/>
        <v>0</v>
      </c>
      <c r="M2748" s="26"/>
    </row>
    <row r="2749" spans="1:13" ht="15" customHeight="1">
      <c r="A2749" s="25">
        <v>1771272</v>
      </c>
      <c r="B2749" s="26" t="s">
        <v>5423</v>
      </c>
      <c r="C2749" s="26" t="s">
        <v>11142</v>
      </c>
      <c r="D2749" s="26" t="s">
        <v>11143</v>
      </c>
      <c r="E2749" s="26" t="s">
        <v>5458</v>
      </c>
      <c r="F2749" s="27">
        <v>5175332</v>
      </c>
      <c r="G2749" s="27">
        <v>0</v>
      </c>
      <c r="H2749" s="27">
        <v>0</v>
      </c>
      <c r="I2749" s="27">
        <v>0</v>
      </c>
      <c r="J2749" s="30">
        <f t="shared" si="126"/>
        <v>0</v>
      </c>
      <c r="K2749" s="30">
        <f t="shared" si="127"/>
        <v>0</v>
      </c>
      <c r="L2749" s="26">
        <f t="shared" si="128"/>
        <v>0</v>
      </c>
      <c r="M2749" s="26" t="s">
        <v>5557</v>
      </c>
    </row>
    <row r="2750" spans="1:13" ht="15" customHeight="1">
      <c r="A2750" s="25">
        <v>1771693</v>
      </c>
      <c r="B2750" s="26" t="s">
        <v>5423</v>
      </c>
      <c r="C2750" s="26" t="s">
        <v>11144</v>
      </c>
      <c r="D2750" s="26" t="s">
        <v>11145</v>
      </c>
      <c r="E2750" s="26" t="s">
        <v>5488</v>
      </c>
      <c r="F2750" s="27">
        <v>6201064</v>
      </c>
      <c r="G2750" s="27">
        <v>0</v>
      </c>
      <c r="H2750" s="27">
        <v>0</v>
      </c>
      <c r="I2750" s="27">
        <v>0</v>
      </c>
      <c r="J2750" s="30">
        <f t="shared" si="126"/>
        <v>0</v>
      </c>
      <c r="K2750" s="30">
        <f t="shared" si="127"/>
        <v>0</v>
      </c>
      <c r="L2750" s="26">
        <f t="shared" si="128"/>
        <v>0</v>
      </c>
      <c r="M2750" s="26">
        <v>0</v>
      </c>
    </row>
    <row r="2751" spans="1:13" ht="15" customHeight="1">
      <c r="A2751" s="25">
        <v>1771710</v>
      </c>
      <c r="B2751" s="26" t="s">
        <v>5423</v>
      </c>
      <c r="C2751" s="26" t="s">
        <v>11146</v>
      </c>
      <c r="D2751" s="26" t="s">
        <v>11138</v>
      </c>
      <c r="E2751" s="26" t="s">
        <v>5430</v>
      </c>
      <c r="F2751" s="27">
        <v>6197683</v>
      </c>
      <c r="G2751" s="27">
        <v>1</v>
      </c>
      <c r="H2751" s="27">
        <v>0</v>
      </c>
      <c r="I2751" s="27">
        <v>1</v>
      </c>
      <c r="J2751" s="30">
        <f t="shared" si="126"/>
        <v>1</v>
      </c>
      <c r="K2751" s="30">
        <f t="shared" si="127"/>
        <v>0</v>
      </c>
      <c r="L2751" s="26">
        <f t="shared" si="128"/>
        <v>0</v>
      </c>
      <c r="M2751" s="26"/>
    </row>
    <row r="2752" spans="1:13" ht="15" customHeight="1">
      <c r="A2752" s="25">
        <v>1771739</v>
      </c>
      <c r="B2752" s="26" t="s">
        <v>5423</v>
      </c>
      <c r="C2752" s="26" t="s">
        <v>11147</v>
      </c>
      <c r="D2752" s="26" t="s">
        <v>11136</v>
      </c>
      <c r="E2752" s="26" t="s">
        <v>5488</v>
      </c>
      <c r="F2752" s="27">
        <v>6201438</v>
      </c>
      <c r="G2752" s="27">
        <v>1</v>
      </c>
      <c r="H2752" s="27">
        <v>0</v>
      </c>
      <c r="I2752" s="27">
        <v>1</v>
      </c>
      <c r="J2752" s="30">
        <f t="shared" si="126"/>
        <v>1</v>
      </c>
      <c r="K2752" s="30">
        <f t="shared" si="127"/>
        <v>0</v>
      </c>
      <c r="L2752" s="26">
        <f t="shared" si="128"/>
        <v>0</v>
      </c>
      <c r="M2752" s="26"/>
    </row>
    <row r="2753" spans="1:13" ht="15" customHeight="1">
      <c r="A2753" s="25">
        <v>1771765</v>
      </c>
      <c r="B2753" s="26" t="s">
        <v>5423</v>
      </c>
      <c r="C2753" s="26" t="s">
        <v>11148</v>
      </c>
      <c r="D2753" s="26" t="s">
        <v>11138</v>
      </c>
      <c r="E2753" s="26" t="s">
        <v>5452</v>
      </c>
      <c r="F2753" s="27">
        <v>6202280</v>
      </c>
      <c r="G2753" s="27">
        <v>0</v>
      </c>
      <c r="H2753" s="27">
        <v>0</v>
      </c>
      <c r="I2753" s="27">
        <v>0</v>
      </c>
      <c r="J2753" s="30">
        <f t="shared" si="126"/>
        <v>0</v>
      </c>
      <c r="K2753" s="30">
        <f t="shared" si="127"/>
        <v>0</v>
      </c>
      <c r="L2753" s="26">
        <f t="shared" si="128"/>
        <v>0</v>
      </c>
      <c r="M2753" s="26">
        <v>0</v>
      </c>
    </row>
    <row r="2754" spans="1:13" ht="15" customHeight="1">
      <c r="A2754" s="25">
        <v>1771768</v>
      </c>
      <c r="B2754" s="26" t="s">
        <v>5423</v>
      </c>
      <c r="C2754" s="26" t="s">
        <v>11149</v>
      </c>
      <c r="D2754" s="26" t="s">
        <v>11136</v>
      </c>
      <c r="E2754" s="26" t="s">
        <v>5540</v>
      </c>
      <c r="F2754" s="27">
        <v>6187801</v>
      </c>
      <c r="G2754" s="27">
        <v>1</v>
      </c>
      <c r="H2754" s="27">
        <v>1</v>
      </c>
      <c r="I2754" s="27">
        <v>1</v>
      </c>
      <c r="J2754" s="30">
        <f t="shared" ref="J2754:J2817" si="129">IF(G2754&gt;0,1,0)</f>
        <v>1</v>
      </c>
      <c r="K2754" s="30">
        <f t="shared" ref="K2754:K2817" si="130">IF(H2754&gt;0,1,0)</f>
        <v>1</v>
      </c>
      <c r="L2754" s="26">
        <f t="shared" ref="L2754:L2817" si="131">IF(G2754&gt;0,IF(H2754&gt;0,1,0),0)</f>
        <v>1</v>
      </c>
      <c r="M2754" s="26"/>
    </row>
    <row r="2755" spans="1:13" ht="15" customHeight="1">
      <c r="A2755" s="25">
        <v>1771775</v>
      </c>
      <c r="B2755" s="26" t="s">
        <v>5427</v>
      </c>
      <c r="C2755" s="26" t="s">
        <v>11150</v>
      </c>
      <c r="D2755" s="26" t="s">
        <v>11138</v>
      </c>
      <c r="E2755" s="26" t="s">
        <v>5447</v>
      </c>
      <c r="F2755" s="27">
        <v>5850793</v>
      </c>
      <c r="G2755" s="27">
        <v>1</v>
      </c>
      <c r="H2755" s="27">
        <v>0</v>
      </c>
      <c r="I2755" s="27">
        <v>1</v>
      </c>
      <c r="J2755" s="30">
        <f t="shared" si="129"/>
        <v>1</v>
      </c>
      <c r="K2755" s="30">
        <f t="shared" si="130"/>
        <v>0</v>
      </c>
      <c r="L2755" s="26">
        <f t="shared" si="131"/>
        <v>0</v>
      </c>
      <c r="M2755" s="26"/>
    </row>
    <row r="2756" spans="1:13" ht="15" customHeight="1">
      <c r="A2756" s="25">
        <v>1771916</v>
      </c>
      <c r="B2756" s="26" t="s">
        <v>5423</v>
      </c>
      <c r="C2756" s="26" t="s">
        <v>11151</v>
      </c>
      <c r="D2756" s="26" t="s">
        <v>11054</v>
      </c>
      <c r="E2756" s="26" t="s">
        <v>5586</v>
      </c>
      <c r="F2756" s="27"/>
      <c r="G2756" s="27">
        <v>0</v>
      </c>
      <c r="H2756" s="27">
        <v>0</v>
      </c>
      <c r="I2756" s="27">
        <v>0</v>
      </c>
      <c r="J2756" s="30">
        <f t="shared" si="129"/>
        <v>0</v>
      </c>
      <c r="K2756" s="30">
        <f t="shared" si="130"/>
        <v>0</v>
      </c>
      <c r="L2756" s="26">
        <f t="shared" si="131"/>
        <v>0</v>
      </c>
      <c r="M2756" s="26" t="s">
        <v>5557</v>
      </c>
    </row>
    <row r="2757" spans="1:13" ht="15" customHeight="1">
      <c r="A2757" s="25">
        <v>1772002</v>
      </c>
      <c r="B2757" s="26" t="s">
        <v>5423</v>
      </c>
      <c r="C2757" s="26" t="s">
        <v>11152</v>
      </c>
      <c r="D2757" s="26" t="s">
        <v>11136</v>
      </c>
      <c r="E2757" s="26" t="s">
        <v>5455</v>
      </c>
      <c r="F2757" s="27">
        <v>6158908</v>
      </c>
      <c r="G2757" s="27">
        <v>1</v>
      </c>
      <c r="H2757" s="27">
        <v>0</v>
      </c>
      <c r="I2757" s="27">
        <v>1</v>
      </c>
      <c r="J2757" s="30">
        <f t="shared" si="129"/>
        <v>1</v>
      </c>
      <c r="K2757" s="30">
        <f t="shared" si="130"/>
        <v>0</v>
      </c>
      <c r="L2757" s="26">
        <f t="shared" si="131"/>
        <v>0</v>
      </c>
      <c r="M2757" s="26"/>
    </row>
    <row r="2758" spans="1:13" ht="15" customHeight="1">
      <c r="A2758" s="25">
        <v>1772342</v>
      </c>
      <c r="B2758" s="26" t="s">
        <v>5423</v>
      </c>
      <c r="C2758" s="26" t="s">
        <v>11153</v>
      </c>
      <c r="D2758" s="26" t="s">
        <v>11154</v>
      </c>
      <c r="E2758" s="26" t="s">
        <v>5468</v>
      </c>
      <c r="F2758" s="27">
        <v>6175456</v>
      </c>
      <c r="G2758" s="27">
        <v>1</v>
      </c>
      <c r="H2758" s="27">
        <v>0</v>
      </c>
      <c r="I2758" s="27">
        <v>1</v>
      </c>
      <c r="J2758" s="30">
        <f t="shared" si="129"/>
        <v>1</v>
      </c>
      <c r="K2758" s="30">
        <f t="shared" si="130"/>
        <v>0</v>
      </c>
      <c r="L2758" s="26">
        <f t="shared" si="131"/>
        <v>0</v>
      </c>
      <c r="M2758" s="26"/>
    </row>
    <row r="2759" spans="1:13" ht="15" customHeight="1">
      <c r="A2759" s="25">
        <v>1772385</v>
      </c>
      <c r="B2759" s="26" t="s">
        <v>5423</v>
      </c>
      <c r="C2759" s="26" t="s">
        <v>11155</v>
      </c>
      <c r="D2759" s="26" t="s">
        <v>11136</v>
      </c>
      <c r="E2759" s="26" t="s">
        <v>5610</v>
      </c>
      <c r="F2759" s="27">
        <v>4724650</v>
      </c>
      <c r="G2759" s="27">
        <v>1</v>
      </c>
      <c r="H2759" s="27">
        <v>1</v>
      </c>
      <c r="I2759" s="27">
        <v>1</v>
      </c>
      <c r="J2759" s="30">
        <f t="shared" si="129"/>
        <v>1</v>
      </c>
      <c r="K2759" s="30">
        <f t="shared" si="130"/>
        <v>1</v>
      </c>
      <c r="L2759" s="26">
        <f t="shared" si="131"/>
        <v>1</v>
      </c>
      <c r="M2759" s="26"/>
    </row>
    <row r="2760" spans="1:13" ht="15" customHeight="1">
      <c r="A2760" s="25">
        <v>1772420</v>
      </c>
      <c r="B2760" s="26" t="s">
        <v>5423</v>
      </c>
      <c r="C2760" s="26" t="s">
        <v>11156</v>
      </c>
      <c r="D2760" s="26" t="s">
        <v>11157</v>
      </c>
      <c r="E2760" s="26" t="s">
        <v>5535</v>
      </c>
      <c r="F2760" s="27">
        <v>6202760</v>
      </c>
      <c r="G2760" s="27">
        <v>1</v>
      </c>
      <c r="H2760" s="27">
        <v>0</v>
      </c>
      <c r="I2760" s="27">
        <v>1</v>
      </c>
      <c r="J2760" s="30">
        <f t="shared" si="129"/>
        <v>1</v>
      </c>
      <c r="K2760" s="30">
        <f t="shared" si="130"/>
        <v>0</v>
      </c>
      <c r="L2760" s="26">
        <f t="shared" si="131"/>
        <v>0</v>
      </c>
      <c r="M2760" s="26"/>
    </row>
    <row r="2761" spans="1:13" ht="15" customHeight="1">
      <c r="A2761" s="25">
        <v>1772510</v>
      </c>
      <c r="B2761" s="26" t="s">
        <v>5423</v>
      </c>
      <c r="C2761" s="26" t="s">
        <v>11158</v>
      </c>
      <c r="D2761" s="26" t="s">
        <v>11138</v>
      </c>
      <c r="E2761" s="26" t="s">
        <v>5504</v>
      </c>
      <c r="F2761" s="27">
        <v>6199230</v>
      </c>
      <c r="G2761" s="27">
        <v>1</v>
      </c>
      <c r="H2761" s="27">
        <v>0</v>
      </c>
      <c r="I2761" s="27">
        <v>1</v>
      </c>
      <c r="J2761" s="30">
        <f t="shared" si="129"/>
        <v>1</v>
      </c>
      <c r="K2761" s="30">
        <f t="shared" si="130"/>
        <v>0</v>
      </c>
      <c r="L2761" s="26">
        <f t="shared" si="131"/>
        <v>0</v>
      </c>
      <c r="M2761" s="26"/>
    </row>
    <row r="2762" spans="1:13" ht="15" customHeight="1">
      <c r="A2762" s="25">
        <v>1772581</v>
      </c>
      <c r="B2762" s="26" t="s">
        <v>5423</v>
      </c>
      <c r="C2762" s="26" t="s">
        <v>11159</v>
      </c>
      <c r="D2762" s="26" t="s">
        <v>11160</v>
      </c>
      <c r="E2762" s="26" t="s">
        <v>5442</v>
      </c>
      <c r="F2762" s="27">
        <v>6203028</v>
      </c>
      <c r="G2762" s="27">
        <v>0</v>
      </c>
      <c r="H2762" s="27">
        <v>0</v>
      </c>
      <c r="I2762" s="27">
        <v>0</v>
      </c>
      <c r="J2762" s="30">
        <f t="shared" si="129"/>
        <v>0</v>
      </c>
      <c r="K2762" s="30">
        <f t="shared" si="130"/>
        <v>0</v>
      </c>
      <c r="L2762" s="26">
        <f t="shared" si="131"/>
        <v>0</v>
      </c>
      <c r="M2762" s="26">
        <v>0</v>
      </c>
    </row>
    <row r="2763" spans="1:13" ht="15" customHeight="1">
      <c r="A2763" s="25">
        <v>1772768</v>
      </c>
      <c r="B2763" s="26" t="s">
        <v>5427</v>
      </c>
      <c r="C2763" s="26" t="s">
        <v>11161</v>
      </c>
      <c r="D2763" s="26" t="s">
        <v>11162</v>
      </c>
      <c r="E2763" s="26" t="s">
        <v>5504</v>
      </c>
      <c r="F2763" s="27">
        <v>6181394</v>
      </c>
      <c r="G2763" s="27">
        <v>1</v>
      </c>
      <c r="H2763" s="27">
        <v>0</v>
      </c>
      <c r="I2763" s="27">
        <v>1</v>
      </c>
      <c r="J2763" s="30">
        <f t="shared" si="129"/>
        <v>1</v>
      </c>
      <c r="K2763" s="30">
        <f t="shared" si="130"/>
        <v>0</v>
      </c>
      <c r="L2763" s="26">
        <f t="shared" si="131"/>
        <v>0</v>
      </c>
      <c r="M2763" s="26"/>
    </row>
    <row r="2764" spans="1:13" ht="15" customHeight="1">
      <c r="A2764" s="25">
        <v>1772876</v>
      </c>
      <c r="B2764" s="26" t="s">
        <v>5423</v>
      </c>
      <c r="C2764" s="26" t="s">
        <v>11163</v>
      </c>
      <c r="D2764" s="26" t="s">
        <v>11164</v>
      </c>
      <c r="E2764" s="26" t="s">
        <v>5475</v>
      </c>
      <c r="F2764" s="27">
        <v>5467755</v>
      </c>
      <c r="G2764" s="27">
        <v>0</v>
      </c>
      <c r="H2764" s="27">
        <v>0</v>
      </c>
      <c r="I2764" s="27">
        <v>0</v>
      </c>
      <c r="J2764" s="30">
        <f t="shared" si="129"/>
        <v>0</v>
      </c>
      <c r="K2764" s="30">
        <f t="shared" si="130"/>
        <v>0</v>
      </c>
      <c r="L2764" s="26">
        <f t="shared" si="131"/>
        <v>0</v>
      </c>
      <c r="M2764" s="26" t="s">
        <v>5557</v>
      </c>
    </row>
    <row r="2765" spans="1:13" ht="15" customHeight="1">
      <c r="A2765" s="25">
        <v>1773096</v>
      </c>
      <c r="B2765" s="26" t="s">
        <v>5423</v>
      </c>
      <c r="C2765" s="26" t="s">
        <v>11165</v>
      </c>
      <c r="D2765" s="26" t="s">
        <v>11160</v>
      </c>
      <c r="E2765" s="26" t="s">
        <v>5545</v>
      </c>
      <c r="F2765" s="27">
        <v>5103239</v>
      </c>
      <c r="G2765" s="27">
        <v>0</v>
      </c>
      <c r="H2765" s="27">
        <v>0</v>
      </c>
      <c r="I2765" s="27">
        <v>0</v>
      </c>
      <c r="J2765" s="30">
        <f t="shared" si="129"/>
        <v>0</v>
      </c>
      <c r="K2765" s="30">
        <f t="shared" si="130"/>
        <v>0</v>
      </c>
      <c r="L2765" s="26">
        <f t="shared" si="131"/>
        <v>0</v>
      </c>
      <c r="M2765" s="26" t="s">
        <v>5557</v>
      </c>
    </row>
    <row r="2766" spans="1:13" ht="15" customHeight="1">
      <c r="A2766" s="25">
        <v>1773166</v>
      </c>
      <c r="B2766" s="26" t="s">
        <v>5427</v>
      </c>
      <c r="C2766" s="26" t="s">
        <v>11166</v>
      </c>
      <c r="D2766" s="26" t="s">
        <v>11167</v>
      </c>
      <c r="E2766" s="26" t="s">
        <v>5545</v>
      </c>
      <c r="F2766" s="27">
        <v>5335125</v>
      </c>
      <c r="G2766" s="27">
        <v>0</v>
      </c>
      <c r="H2766" s="27">
        <v>0</v>
      </c>
      <c r="I2766" s="27">
        <v>0</v>
      </c>
      <c r="J2766" s="30">
        <f t="shared" si="129"/>
        <v>0</v>
      </c>
      <c r="K2766" s="30">
        <f t="shared" si="130"/>
        <v>0</v>
      </c>
      <c r="L2766" s="26">
        <f t="shared" si="131"/>
        <v>0</v>
      </c>
      <c r="M2766" s="26" t="s">
        <v>5557</v>
      </c>
    </row>
    <row r="2767" spans="1:13" ht="15" customHeight="1">
      <c r="A2767" s="25">
        <v>1773174</v>
      </c>
      <c r="B2767" s="26" t="s">
        <v>5423</v>
      </c>
      <c r="C2767" s="26" t="s">
        <v>11168</v>
      </c>
      <c r="D2767" s="26" t="s">
        <v>11084</v>
      </c>
      <c r="E2767" s="26" t="s">
        <v>5475</v>
      </c>
      <c r="F2767" s="27">
        <v>6204737</v>
      </c>
      <c r="G2767" s="27">
        <v>1</v>
      </c>
      <c r="H2767" s="27">
        <v>1</v>
      </c>
      <c r="I2767" s="27">
        <v>1</v>
      </c>
      <c r="J2767" s="30">
        <f t="shared" si="129"/>
        <v>1</v>
      </c>
      <c r="K2767" s="30">
        <f t="shared" si="130"/>
        <v>1</v>
      </c>
      <c r="L2767" s="26">
        <f t="shared" si="131"/>
        <v>1</v>
      </c>
      <c r="M2767" s="26"/>
    </row>
    <row r="2768" spans="1:13" ht="15" customHeight="1">
      <c r="A2768" s="25">
        <v>1773191</v>
      </c>
      <c r="B2768" s="26" t="s">
        <v>5427</v>
      </c>
      <c r="C2768" s="26" t="s">
        <v>11169</v>
      </c>
      <c r="D2768" s="26" t="s">
        <v>11084</v>
      </c>
      <c r="E2768" s="26" t="s">
        <v>5603</v>
      </c>
      <c r="F2768" s="27">
        <v>5342260</v>
      </c>
      <c r="G2768" s="27">
        <v>1</v>
      </c>
      <c r="H2768" s="27">
        <v>1</v>
      </c>
      <c r="I2768" s="27">
        <v>1</v>
      </c>
      <c r="J2768" s="30">
        <f t="shared" si="129"/>
        <v>1</v>
      </c>
      <c r="K2768" s="30">
        <f t="shared" si="130"/>
        <v>1</v>
      </c>
      <c r="L2768" s="26">
        <f t="shared" si="131"/>
        <v>1</v>
      </c>
      <c r="M2768" s="26" t="s">
        <v>11170</v>
      </c>
    </row>
    <row r="2769" spans="1:13" ht="15" customHeight="1">
      <c r="A2769" s="25">
        <v>1773240</v>
      </c>
      <c r="B2769" s="26" t="s">
        <v>5423</v>
      </c>
      <c r="C2769" s="26" t="s">
        <v>11171</v>
      </c>
      <c r="D2769" s="26" t="s">
        <v>11172</v>
      </c>
      <c r="E2769" s="26" t="s">
        <v>5447</v>
      </c>
      <c r="F2769" s="27">
        <v>6205110</v>
      </c>
      <c r="G2769" s="27">
        <v>1</v>
      </c>
      <c r="H2769" s="27">
        <v>1</v>
      </c>
      <c r="I2769" s="27">
        <v>1</v>
      </c>
      <c r="J2769" s="30">
        <f t="shared" si="129"/>
        <v>1</v>
      </c>
      <c r="K2769" s="30">
        <f t="shared" si="130"/>
        <v>1</v>
      </c>
      <c r="L2769" s="26">
        <f t="shared" si="131"/>
        <v>1</v>
      </c>
      <c r="M2769" s="26"/>
    </row>
    <row r="2770" spans="1:13" ht="15" customHeight="1">
      <c r="A2770" s="25">
        <v>1773294</v>
      </c>
      <c r="B2770" s="26" t="s">
        <v>5423</v>
      </c>
      <c r="C2770" s="26" t="s">
        <v>11173</v>
      </c>
      <c r="D2770" s="26" t="s">
        <v>11167</v>
      </c>
      <c r="E2770" s="26" t="s">
        <v>5442</v>
      </c>
      <c r="F2770" s="27">
        <v>5064548</v>
      </c>
      <c r="G2770" s="27">
        <v>0</v>
      </c>
      <c r="H2770" s="27">
        <v>0</v>
      </c>
      <c r="I2770" s="27">
        <v>0</v>
      </c>
      <c r="J2770" s="30">
        <f t="shared" si="129"/>
        <v>0</v>
      </c>
      <c r="K2770" s="30">
        <f t="shared" si="130"/>
        <v>0</v>
      </c>
      <c r="L2770" s="26">
        <f t="shared" si="131"/>
        <v>0</v>
      </c>
      <c r="M2770" s="26" t="s">
        <v>5557</v>
      </c>
    </row>
    <row r="2771" spans="1:13" ht="15" customHeight="1">
      <c r="A2771" s="25">
        <v>1773401</v>
      </c>
      <c r="B2771" s="26" t="s">
        <v>5423</v>
      </c>
      <c r="C2771" s="26" t="s">
        <v>11174</v>
      </c>
      <c r="D2771" s="26" t="s">
        <v>11175</v>
      </c>
      <c r="E2771" s="26" t="s">
        <v>5522</v>
      </c>
      <c r="F2771" s="27">
        <v>6205874</v>
      </c>
      <c r="G2771" s="27">
        <v>0</v>
      </c>
      <c r="H2771" s="27">
        <v>0</v>
      </c>
      <c r="I2771" s="27">
        <v>0</v>
      </c>
      <c r="J2771" s="30">
        <f t="shared" si="129"/>
        <v>0</v>
      </c>
      <c r="K2771" s="30">
        <f t="shared" si="130"/>
        <v>0</v>
      </c>
      <c r="L2771" s="26">
        <f t="shared" si="131"/>
        <v>0</v>
      </c>
      <c r="M2771" s="26">
        <v>0</v>
      </c>
    </row>
    <row r="2772" spans="1:13" ht="15" customHeight="1">
      <c r="A2772" s="25">
        <v>1773449</v>
      </c>
      <c r="B2772" s="26" t="s">
        <v>5423</v>
      </c>
      <c r="C2772" s="26" t="s">
        <v>11176</v>
      </c>
      <c r="D2772" s="26" t="s">
        <v>11175</v>
      </c>
      <c r="E2772" s="26" t="s">
        <v>5586</v>
      </c>
      <c r="F2772" s="27">
        <v>6205924</v>
      </c>
      <c r="G2772" s="27">
        <v>0</v>
      </c>
      <c r="H2772" s="27">
        <v>0</v>
      </c>
      <c r="I2772" s="27">
        <v>0</v>
      </c>
      <c r="J2772" s="30">
        <f t="shared" si="129"/>
        <v>0</v>
      </c>
      <c r="K2772" s="30">
        <f t="shared" si="130"/>
        <v>0</v>
      </c>
      <c r="L2772" s="26">
        <f t="shared" si="131"/>
        <v>0</v>
      </c>
      <c r="M2772" s="26">
        <v>0</v>
      </c>
    </row>
    <row r="2773" spans="1:13" ht="15" customHeight="1">
      <c r="A2773" s="25">
        <v>1773463</v>
      </c>
      <c r="B2773" s="26" t="s">
        <v>5427</v>
      </c>
      <c r="C2773" s="26" t="s">
        <v>11177</v>
      </c>
      <c r="D2773" s="26" t="s">
        <v>11175</v>
      </c>
      <c r="E2773" s="26" t="s">
        <v>5683</v>
      </c>
      <c r="F2773" s="27">
        <v>6205872</v>
      </c>
      <c r="G2773" s="27">
        <v>0</v>
      </c>
      <c r="H2773" s="27">
        <v>0</v>
      </c>
      <c r="I2773" s="27">
        <v>0</v>
      </c>
      <c r="J2773" s="30">
        <f t="shared" si="129"/>
        <v>0</v>
      </c>
      <c r="K2773" s="30">
        <f t="shared" si="130"/>
        <v>0</v>
      </c>
      <c r="L2773" s="26">
        <f t="shared" si="131"/>
        <v>0</v>
      </c>
      <c r="M2773" s="26">
        <v>0</v>
      </c>
    </row>
    <row r="2774" spans="1:13" ht="15" customHeight="1">
      <c r="A2774" s="25">
        <v>1773634</v>
      </c>
      <c r="B2774" s="26" t="s">
        <v>5423</v>
      </c>
      <c r="C2774" s="26" t="s">
        <v>11178</v>
      </c>
      <c r="D2774" s="26" t="s">
        <v>11084</v>
      </c>
      <c r="E2774" s="26" t="s">
        <v>5468</v>
      </c>
      <c r="F2774" s="27">
        <v>6205958</v>
      </c>
      <c r="G2774" s="27">
        <v>1</v>
      </c>
      <c r="H2774" s="27">
        <v>1</v>
      </c>
      <c r="I2774" s="27">
        <v>1</v>
      </c>
      <c r="J2774" s="30">
        <f t="shared" si="129"/>
        <v>1</v>
      </c>
      <c r="K2774" s="30">
        <f t="shared" si="130"/>
        <v>1</v>
      </c>
      <c r="L2774" s="26">
        <f t="shared" si="131"/>
        <v>1</v>
      </c>
      <c r="M2774" s="26"/>
    </row>
    <row r="2775" spans="1:13" ht="15" customHeight="1">
      <c r="A2775" s="25">
        <v>1773763</v>
      </c>
      <c r="B2775" s="26" t="s">
        <v>5427</v>
      </c>
      <c r="C2775" s="26" t="s">
        <v>11179</v>
      </c>
      <c r="D2775" s="26" t="s">
        <v>11180</v>
      </c>
      <c r="E2775" s="26" t="s">
        <v>5452</v>
      </c>
      <c r="F2775" s="27">
        <v>6190897</v>
      </c>
      <c r="G2775" s="27">
        <v>1</v>
      </c>
      <c r="H2775" s="27">
        <v>0</v>
      </c>
      <c r="I2775" s="27">
        <v>1</v>
      </c>
      <c r="J2775" s="30">
        <f t="shared" si="129"/>
        <v>1</v>
      </c>
      <c r="K2775" s="30">
        <f t="shared" si="130"/>
        <v>0</v>
      </c>
      <c r="L2775" s="26">
        <f t="shared" si="131"/>
        <v>0</v>
      </c>
      <c r="M2775" s="26"/>
    </row>
    <row r="2776" spans="1:13" ht="15" customHeight="1">
      <c r="A2776" s="25">
        <v>1773860</v>
      </c>
      <c r="B2776" s="26" t="s">
        <v>5423</v>
      </c>
      <c r="C2776" s="26" t="s">
        <v>11181</v>
      </c>
      <c r="D2776" s="26" t="s">
        <v>11172</v>
      </c>
      <c r="E2776" s="26" t="s">
        <v>5455</v>
      </c>
      <c r="F2776" s="27">
        <v>6207079</v>
      </c>
      <c r="G2776" s="27">
        <v>1</v>
      </c>
      <c r="H2776" s="27">
        <v>0</v>
      </c>
      <c r="I2776" s="27">
        <v>1</v>
      </c>
      <c r="J2776" s="30">
        <f t="shared" si="129"/>
        <v>1</v>
      </c>
      <c r="K2776" s="30">
        <f t="shared" si="130"/>
        <v>0</v>
      </c>
      <c r="L2776" s="26">
        <f t="shared" si="131"/>
        <v>0</v>
      </c>
      <c r="M2776" s="26"/>
    </row>
    <row r="2777" spans="1:13" ht="15" customHeight="1">
      <c r="A2777" s="25">
        <v>1773955</v>
      </c>
      <c r="B2777" s="26" t="s">
        <v>5423</v>
      </c>
      <c r="C2777" s="26" t="s">
        <v>11182</v>
      </c>
      <c r="D2777" s="26" t="s">
        <v>11175</v>
      </c>
      <c r="E2777" s="26" t="s">
        <v>5475</v>
      </c>
      <c r="F2777" s="27">
        <v>6192686</v>
      </c>
      <c r="G2777" s="27">
        <v>1</v>
      </c>
      <c r="H2777" s="27">
        <v>0</v>
      </c>
      <c r="I2777" s="27">
        <v>1</v>
      </c>
      <c r="J2777" s="30">
        <f t="shared" si="129"/>
        <v>1</v>
      </c>
      <c r="K2777" s="30">
        <f t="shared" si="130"/>
        <v>0</v>
      </c>
      <c r="L2777" s="26">
        <f t="shared" si="131"/>
        <v>0</v>
      </c>
      <c r="M2777" s="26"/>
    </row>
    <row r="2778" spans="1:13" ht="15" customHeight="1">
      <c r="A2778" s="25">
        <v>1773980</v>
      </c>
      <c r="B2778" s="26" t="s">
        <v>5423</v>
      </c>
      <c r="C2778" s="26" t="s">
        <v>11183</v>
      </c>
      <c r="D2778" s="26" t="s">
        <v>11175</v>
      </c>
      <c r="E2778" s="26" t="s">
        <v>5586</v>
      </c>
      <c r="F2778" s="27">
        <v>6208108</v>
      </c>
      <c r="G2778" s="27">
        <v>0</v>
      </c>
      <c r="H2778" s="27">
        <v>0</v>
      </c>
      <c r="I2778" s="27">
        <v>0</v>
      </c>
      <c r="J2778" s="30">
        <f t="shared" si="129"/>
        <v>0</v>
      </c>
      <c r="K2778" s="30">
        <f t="shared" si="130"/>
        <v>0</v>
      </c>
      <c r="L2778" s="26">
        <f t="shared" si="131"/>
        <v>0</v>
      </c>
      <c r="M2778" s="26">
        <v>0</v>
      </c>
    </row>
    <row r="2779" spans="1:13" ht="15" customHeight="1">
      <c r="A2779" s="25">
        <v>1774040</v>
      </c>
      <c r="B2779" s="26" t="s">
        <v>5427</v>
      </c>
      <c r="C2779" s="26" t="s">
        <v>11184</v>
      </c>
      <c r="D2779" s="26" t="s">
        <v>11185</v>
      </c>
      <c r="E2779" s="26" t="s">
        <v>5455</v>
      </c>
      <c r="F2779" s="27">
        <v>5410678</v>
      </c>
      <c r="G2779" s="27">
        <v>0</v>
      </c>
      <c r="H2779" s="27">
        <v>0</v>
      </c>
      <c r="I2779" s="27">
        <v>0</v>
      </c>
      <c r="J2779" s="30">
        <f t="shared" si="129"/>
        <v>0</v>
      </c>
      <c r="K2779" s="30">
        <f t="shared" si="130"/>
        <v>0</v>
      </c>
      <c r="L2779" s="26">
        <f t="shared" si="131"/>
        <v>0</v>
      </c>
      <c r="M2779" s="26" t="s">
        <v>5557</v>
      </c>
    </row>
    <row r="2780" spans="1:13" ht="15" customHeight="1">
      <c r="A2780" s="25">
        <v>1774043</v>
      </c>
      <c r="B2780" s="26" t="s">
        <v>5423</v>
      </c>
      <c r="C2780" s="26" t="s">
        <v>11186</v>
      </c>
      <c r="D2780" s="26" t="s">
        <v>11187</v>
      </c>
      <c r="E2780" s="26" t="s">
        <v>5683</v>
      </c>
      <c r="F2780" s="27">
        <v>4017478</v>
      </c>
      <c r="G2780" s="27">
        <v>1</v>
      </c>
      <c r="H2780" s="27">
        <v>0</v>
      </c>
      <c r="I2780" s="27">
        <v>1</v>
      </c>
      <c r="J2780" s="30">
        <f t="shared" si="129"/>
        <v>1</v>
      </c>
      <c r="K2780" s="30">
        <f t="shared" si="130"/>
        <v>0</v>
      </c>
      <c r="L2780" s="26">
        <f t="shared" si="131"/>
        <v>0</v>
      </c>
      <c r="M2780" s="26"/>
    </row>
    <row r="2781" spans="1:13" ht="15" customHeight="1">
      <c r="A2781" s="25">
        <v>1774270</v>
      </c>
      <c r="B2781" s="26" t="s">
        <v>5423</v>
      </c>
      <c r="C2781" s="26" t="s">
        <v>11188</v>
      </c>
      <c r="D2781" s="26" t="s">
        <v>11189</v>
      </c>
      <c r="E2781" s="26" t="s">
        <v>5455</v>
      </c>
      <c r="F2781" s="27">
        <v>6168993</v>
      </c>
      <c r="G2781" s="27">
        <v>1</v>
      </c>
      <c r="H2781" s="27">
        <v>0</v>
      </c>
      <c r="I2781" s="27">
        <v>1</v>
      </c>
      <c r="J2781" s="30">
        <f t="shared" si="129"/>
        <v>1</v>
      </c>
      <c r="K2781" s="30">
        <f t="shared" si="130"/>
        <v>0</v>
      </c>
      <c r="L2781" s="26">
        <f t="shared" si="131"/>
        <v>0</v>
      </c>
      <c r="M2781" s="26"/>
    </row>
    <row r="2782" spans="1:13" ht="15" customHeight="1">
      <c r="A2782" s="25">
        <v>1774338</v>
      </c>
      <c r="B2782" s="26" t="s">
        <v>5427</v>
      </c>
      <c r="C2782" s="26" t="s">
        <v>11190</v>
      </c>
      <c r="D2782" s="26" t="s">
        <v>11191</v>
      </c>
      <c r="E2782" s="26" t="s">
        <v>5436</v>
      </c>
      <c r="F2782" s="27">
        <v>6190655</v>
      </c>
      <c r="G2782" s="27">
        <v>1</v>
      </c>
      <c r="H2782" s="27">
        <v>0</v>
      </c>
      <c r="I2782" s="27">
        <v>1</v>
      </c>
      <c r="J2782" s="30">
        <f t="shared" si="129"/>
        <v>1</v>
      </c>
      <c r="K2782" s="30">
        <f t="shared" si="130"/>
        <v>0</v>
      </c>
      <c r="L2782" s="26">
        <f t="shared" si="131"/>
        <v>0</v>
      </c>
      <c r="M2782" s="26"/>
    </row>
    <row r="2783" spans="1:13" ht="15" customHeight="1">
      <c r="A2783" s="25">
        <v>1774449</v>
      </c>
      <c r="B2783" s="26" t="s">
        <v>5423</v>
      </c>
      <c r="C2783" s="26" t="s">
        <v>11192</v>
      </c>
      <c r="D2783" s="26" t="s">
        <v>11193</v>
      </c>
      <c r="E2783" s="26" t="s">
        <v>5475</v>
      </c>
      <c r="F2783" s="27">
        <v>6196550</v>
      </c>
      <c r="G2783" s="27">
        <v>1</v>
      </c>
      <c r="H2783" s="27">
        <v>1</v>
      </c>
      <c r="I2783" s="27">
        <v>1</v>
      </c>
      <c r="J2783" s="30">
        <f t="shared" si="129"/>
        <v>1</v>
      </c>
      <c r="K2783" s="30">
        <f t="shared" si="130"/>
        <v>1</v>
      </c>
      <c r="L2783" s="26">
        <f t="shared" si="131"/>
        <v>1</v>
      </c>
      <c r="M2783" s="26"/>
    </row>
    <row r="2784" spans="1:13" ht="15" customHeight="1">
      <c r="A2784" s="25">
        <v>1774512</v>
      </c>
      <c r="B2784" s="26" t="s">
        <v>5427</v>
      </c>
      <c r="C2784" s="26" t="s">
        <v>11194</v>
      </c>
      <c r="D2784" s="26" t="s">
        <v>11195</v>
      </c>
      <c r="E2784" s="26" t="s">
        <v>5439</v>
      </c>
      <c r="F2784" s="27">
        <v>6077272</v>
      </c>
      <c r="G2784" s="27">
        <v>0</v>
      </c>
      <c r="H2784" s="27">
        <v>0</v>
      </c>
      <c r="I2784" s="27">
        <v>0</v>
      </c>
      <c r="J2784" s="30">
        <f t="shared" si="129"/>
        <v>0</v>
      </c>
      <c r="K2784" s="30">
        <f t="shared" si="130"/>
        <v>0</v>
      </c>
      <c r="L2784" s="26">
        <f t="shared" si="131"/>
        <v>0</v>
      </c>
      <c r="M2784" s="26" t="s">
        <v>8017</v>
      </c>
    </row>
    <row r="2785" spans="1:13" ht="15" customHeight="1">
      <c r="A2785" s="25">
        <v>1774550</v>
      </c>
      <c r="B2785" s="26" t="s">
        <v>5427</v>
      </c>
      <c r="C2785" s="26" t="s">
        <v>11196</v>
      </c>
      <c r="D2785" s="26" t="s">
        <v>11172</v>
      </c>
      <c r="E2785" s="26" t="s">
        <v>5718</v>
      </c>
      <c r="F2785" s="27">
        <v>5421472</v>
      </c>
      <c r="G2785" s="27">
        <v>0</v>
      </c>
      <c r="H2785" s="27">
        <v>0</v>
      </c>
      <c r="I2785" s="27">
        <v>0</v>
      </c>
      <c r="J2785" s="30">
        <f t="shared" si="129"/>
        <v>0</v>
      </c>
      <c r="K2785" s="30">
        <f t="shared" si="130"/>
        <v>0</v>
      </c>
      <c r="L2785" s="26">
        <f t="shared" si="131"/>
        <v>0</v>
      </c>
      <c r="M2785" s="26" t="s">
        <v>5557</v>
      </c>
    </row>
    <row r="2786" spans="1:13" ht="15" customHeight="1">
      <c r="A2786" s="25">
        <v>1774644</v>
      </c>
      <c r="B2786" s="26" t="s">
        <v>5427</v>
      </c>
      <c r="C2786" s="26" t="s">
        <v>11197</v>
      </c>
      <c r="D2786" s="26" t="s">
        <v>11145</v>
      </c>
      <c r="E2786" s="26" t="s">
        <v>5891</v>
      </c>
      <c r="F2786" s="27">
        <v>6208778</v>
      </c>
      <c r="G2786" s="27">
        <v>1</v>
      </c>
      <c r="H2786" s="27">
        <v>0</v>
      </c>
      <c r="I2786" s="27">
        <v>1</v>
      </c>
      <c r="J2786" s="30">
        <f t="shared" si="129"/>
        <v>1</v>
      </c>
      <c r="K2786" s="30">
        <f t="shared" si="130"/>
        <v>0</v>
      </c>
      <c r="L2786" s="26">
        <f t="shared" si="131"/>
        <v>0</v>
      </c>
      <c r="M2786" s="26"/>
    </row>
    <row r="2787" spans="1:13" ht="15" customHeight="1">
      <c r="A2787" s="25">
        <v>1774692</v>
      </c>
      <c r="B2787" s="26" t="s">
        <v>5423</v>
      </c>
      <c r="C2787" s="26" t="s">
        <v>11198</v>
      </c>
      <c r="D2787" s="26" t="s">
        <v>11199</v>
      </c>
      <c r="E2787" s="26" t="s">
        <v>5491</v>
      </c>
      <c r="F2787" s="27">
        <v>6192551</v>
      </c>
      <c r="G2787" s="27">
        <v>1</v>
      </c>
      <c r="H2787" s="27">
        <v>0</v>
      </c>
      <c r="I2787" s="27">
        <v>1</v>
      </c>
      <c r="J2787" s="30">
        <f t="shared" si="129"/>
        <v>1</v>
      </c>
      <c r="K2787" s="30">
        <f t="shared" si="130"/>
        <v>0</v>
      </c>
      <c r="L2787" s="26">
        <f t="shared" si="131"/>
        <v>0</v>
      </c>
      <c r="M2787" s="26"/>
    </row>
    <row r="2788" spans="1:13" ht="15" customHeight="1">
      <c r="A2788" s="25">
        <v>1774752</v>
      </c>
      <c r="B2788" s="26" t="s">
        <v>5423</v>
      </c>
      <c r="C2788" s="26" t="s">
        <v>11200</v>
      </c>
      <c r="D2788" s="26" t="s">
        <v>11145</v>
      </c>
      <c r="E2788" s="26" t="s">
        <v>5436</v>
      </c>
      <c r="F2788" s="27">
        <v>5792125</v>
      </c>
      <c r="G2788" s="27">
        <v>1</v>
      </c>
      <c r="H2788" s="27">
        <v>1</v>
      </c>
      <c r="I2788" s="27">
        <v>1</v>
      </c>
      <c r="J2788" s="30">
        <f t="shared" si="129"/>
        <v>1</v>
      </c>
      <c r="K2788" s="30">
        <f t="shared" si="130"/>
        <v>1</v>
      </c>
      <c r="L2788" s="26">
        <f t="shared" si="131"/>
        <v>1</v>
      </c>
      <c r="M2788" s="26"/>
    </row>
    <row r="2789" spans="1:13" ht="15" customHeight="1">
      <c r="A2789" s="25">
        <v>1774761</v>
      </c>
      <c r="B2789" s="26" t="s">
        <v>5423</v>
      </c>
      <c r="C2789" s="26" t="s">
        <v>11201</v>
      </c>
      <c r="D2789" s="26" t="s">
        <v>11202</v>
      </c>
      <c r="E2789" s="26" t="s">
        <v>5504</v>
      </c>
      <c r="F2789" s="27">
        <v>6209025</v>
      </c>
      <c r="G2789" s="27">
        <v>1</v>
      </c>
      <c r="H2789" s="27">
        <v>0</v>
      </c>
      <c r="I2789" s="27">
        <v>1</v>
      </c>
      <c r="J2789" s="30">
        <f t="shared" si="129"/>
        <v>1</v>
      </c>
      <c r="K2789" s="30">
        <f t="shared" si="130"/>
        <v>0</v>
      </c>
      <c r="L2789" s="26">
        <f t="shared" si="131"/>
        <v>0</v>
      </c>
      <c r="M2789" s="26"/>
    </row>
    <row r="2790" spans="1:13" ht="15" customHeight="1">
      <c r="A2790" s="25">
        <v>1774786</v>
      </c>
      <c r="B2790" s="26" t="s">
        <v>5427</v>
      </c>
      <c r="C2790" s="26" t="s">
        <v>11203</v>
      </c>
      <c r="D2790" s="26" t="s">
        <v>11204</v>
      </c>
      <c r="E2790" s="26" t="s">
        <v>5514</v>
      </c>
      <c r="F2790" s="27">
        <v>6171188</v>
      </c>
      <c r="G2790" s="27">
        <v>1</v>
      </c>
      <c r="H2790" s="27">
        <v>1</v>
      </c>
      <c r="I2790" s="27">
        <v>1</v>
      </c>
      <c r="J2790" s="30">
        <f t="shared" si="129"/>
        <v>1</v>
      </c>
      <c r="K2790" s="30">
        <f t="shared" si="130"/>
        <v>1</v>
      </c>
      <c r="L2790" s="26">
        <f t="shared" si="131"/>
        <v>1</v>
      </c>
      <c r="M2790" s="26"/>
    </row>
    <row r="2791" spans="1:13" ht="15" customHeight="1">
      <c r="A2791" s="25">
        <v>1774805</v>
      </c>
      <c r="B2791" s="26" t="s">
        <v>5423</v>
      </c>
      <c r="C2791" s="26" t="s">
        <v>11205</v>
      </c>
      <c r="D2791" s="26" t="s">
        <v>11206</v>
      </c>
      <c r="E2791" s="26" t="s">
        <v>5436</v>
      </c>
      <c r="F2791" s="27">
        <v>6210137</v>
      </c>
      <c r="G2791" s="27">
        <v>0</v>
      </c>
      <c r="H2791" s="27">
        <v>0</v>
      </c>
      <c r="I2791" s="27">
        <v>0</v>
      </c>
      <c r="J2791" s="30">
        <f t="shared" si="129"/>
        <v>0</v>
      </c>
      <c r="K2791" s="30">
        <f t="shared" si="130"/>
        <v>0</v>
      </c>
      <c r="L2791" s="26">
        <f t="shared" si="131"/>
        <v>0</v>
      </c>
      <c r="M2791" s="26">
        <v>0</v>
      </c>
    </row>
    <row r="2792" spans="1:13" ht="15" customHeight="1">
      <c r="A2792" s="25">
        <v>1774816</v>
      </c>
      <c r="B2792" s="26" t="s">
        <v>5423</v>
      </c>
      <c r="C2792" s="26" t="s">
        <v>11207</v>
      </c>
      <c r="D2792" s="26" t="s">
        <v>11208</v>
      </c>
      <c r="E2792" s="26" t="s">
        <v>5452</v>
      </c>
      <c r="F2792" s="27">
        <v>6210115</v>
      </c>
      <c r="G2792" s="27">
        <v>0</v>
      </c>
      <c r="H2792" s="27">
        <v>0</v>
      </c>
      <c r="I2792" s="27">
        <v>0</v>
      </c>
      <c r="J2792" s="30">
        <f t="shared" si="129"/>
        <v>0</v>
      </c>
      <c r="K2792" s="30">
        <f t="shared" si="130"/>
        <v>0</v>
      </c>
      <c r="L2792" s="26">
        <f t="shared" si="131"/>
        <v>0</v>
      </c>
      <c r="M2792" s="26">
        <v>0</v>
      </c>
    </row>
    <row r="2793" spans="1:13" ht="15" customHeight="1">
      <c r="A2793" s="25">
        <v>1774967</v>
      </c>
      <c r="B2793" s="26" t="s">
        <v>5427</v>
      </c>
      <c r="C2793" s="26" t="s">
        <v>11209</v>
      </c>
      <c r="D2793" s="26" t="s">
        <v>11210</v>
      </c>
      <c r="E2793" s="26" t="s">
        <v>5463</v>
      </c>
      <c r="F2793" s="27">
        <v>5662856</v>
      </c>
      <c r="G2793" s="27">
        <v>1</v>
      </c>
      <c r="H2793" s="27">
        <v>0</v>
      </c>
      <c r="I2793" s="27">
        <v>1</v>
      </c>
      <c r="J2793" s="30">
        <f t="shared" si="129"/>
        <v>1</v>
      </c>
      <c r="K2793" s="30">
        <f t="shared" si="130"/>
        <v>0</v>
      </c>
      <c r="L2793" s="26">
        <f t="shared" si="131"/>
        <v>0</v>
      </c>
      <c r="M2793" s="26"/>
    </row>
    <row r="2794" spans="1:13" ht="15" customHeight="1">
      <c r="A2794" s="25">
        <v>1775014</v>
      </c>
      <c r="B2794" s="26" t="s">
        <v>5427</v>
      </c>
      <c r="C2794" s="26" t="s">
        <v>11211</v>
      </c>
      <c r="D2794" s="26" t="s">
        <v>11212</v>
      </c>
      <c r="E2794" s="26" t="s">
        <v>5436</v>
      </c>
      <c r="F2794" s="27">
        <v>6210670</v>
      </c>
      <c r="G2794" s="27">
        <v>0</v>
      </c>
      <c r="H2794" s="27">
        <v>0</v>
      </c>
      <c r="I2794" s="27">
        <v>0</v>
      </c>
      <c r="J2794" s="30">
        <f t="shared" si="129"/>
        <v>0</v>
      </c>
      <c r="K2794" s="30">
        <f t="shared" si="130"/>
        <v>0</v>
      </c>
      <c r="L2794" s="26">
        <f t="shared" si="131"/>
        <v>0</v>
      </c>
      <c r="M2794" s="26">
        <v>0</v>
      </c>
    </row>
    <row r="2795" spans="1:13" ht="15" customHeight="1">
      <c r="A2795" s="25">
        <v>1775031</v>
      </c>
      <c r="B2795" s="26" t="s">
        <v>5427</v>
      </c>
      <c r="C2795" s="26" t="s">
        <v>11213</v>
      </c>
      <c r="D2795" s="26" t="s">
        <v>11214</v>
      </c>
      <c r="E2795" s="26" t="s">
        <v>5455</v>
      </c>
      <c r="F2795" s="27">
        <v>6209955</v>
      </c>
      <c r="G2795" s="27">
        <v>1</v>
      </c>
      <c r="H2795" s="27">
        <v>0</v>
      </c>
      <c r="I2795" s="27">
        <v>1</v>
      </c>
      <c r="J2795" s="30">
        <f t="shared" si="129"/>
        <v>1</v>
      </c>
      <c r="K2795" s="30">
        <f t="shared" si="130"/>
        <v>0</v>
      </c>
      <c r="L2795" s="26">
        <f t="shared" si="131"/>
        <v>0</v>
      </c>
      <c r="M2795" s="26" t="s">
        <v>9556</v>
      </c>
    </row>
    <row r="2796" spans="1:13" ht="15" customHeight="1">
      <c r="A2796" s="25">
        <v>1775068</v>
      </c>
      <c r="B2796" s="26" t="s">
        <v>5427</v>
      </c>
      <c r="C2796" s="26" t="s">
        <v>11215</v>
      </c>
      <c r="D2796" s="26" t="s">
        <v>11216</v>
      </c>
      <c r="E2796" s="26" t="s">
        <v>5560</v>
      </c>
      <c r="F2796" s="27">
        <v>6043947</v>
      </c>
      <c r="G2796" s="27">
        <v>0</v>
      </c>
      <c r="H2796" s="27">
        <v>0</v>
      </c>
      <c r="I2796" s="27">
        <v>0</v>
      </c>
      <c r="J2796" s="30">
        <f t="shared" si="129"/>
        <v>0</v>
      </c>
      <c r="K2796" s="30">
        <f t="shared" si="130"/>
        <v>0</v>
      </c>
      <c r="L2796" s="26">
        <f t="shared" si="131"/>
        <v>0</v>
      </c>
      <c r="M2796" s="26" t="s">
        <v>11217</v>
      </c>
    </row>
    <row r="2797" spans="1:13" ht="15" customHeight="1">
      <c r="A2797" s="25">
        <v>1775287</v>
      </c>
      <c r="B2797" s="26" t="s">
        <v>5423</v>
      </c>
      <c r="C2797" s="26" t="s">
        <v>11218</v>
      </c>
      <c r="D2797" s="26" t="s">
        <v>11219</v>
      </c>
      <c r="E2797" s="26" t="s">
        <v>5455</v>
      </c>
      <c r="F2797" s="27">
        <v>6209972</v>
      </c>
      <c r="G2797" s="27">
        <v>1</v>
      </c>
      <c r="H2797" s="27">
        <v>0</v>
      </c>
      <c r="I2797" s="27">
        <v>1</v>
      </c>
      <c r="J2797" s="30">
        <f t="shared" si="129"/>
        <v>1</v>
      </c>
      <c r="K2797" s="30">
        <f t="shared" si="130"/>
        <v>0</v>
      </c>
      <c r="L2797" s="26">
        <f t="shared" si="131"/>
        <v>0</v>
      </c>
      <c r="M2797" s="26"/>
    </row>
    <row r="2798" spans="1:13" ht="15" customHeight="1">
      <c r="A2798" s="25">
        <v>1775401</v>
      </c>
      <c r="B2798" s="26" t="s">
        <v>5423</v>
      </c>
      <c r="C2798" s="26" t="s">
        <v>11220</v>
      </c>
      <c r="D2798" s="26" t="s">
        <v>11221</v>
      </c>
      <c r="E2798" s="26" t="s">
        <v>5535</v>
      </c>
      <c r="F2798" s="27">
        <v>6211892</v>
      </c>
      <c r="G2798" s="27">
        <v>0</v>
      </c>
      <c r="H2798" s="27">
        <v>0</v>
      </c>
      <c r="I2798" s="27">
        <v>0</v>
      </c>
      <c r="J2798" s="30">
        <f t="shared" si="129"/>
        <v>0</v>
      </c>
      <c r="K2798" s="30">
        <f t="shared" si="130"/>
        <v>0</v>
      </c>
      <c r="L2798" s="26">
        <f t="shared" si="131"/>
        <v>0</v>
      </c>
      <c r="M2798" s="26">
        <v>0</v>
      </c>
    </row>
    <row r="2799" spans="1:13" ht="15" customHeight="1">
      <c r="A2799" s="25">
        <v>1775468</v>
      </c>
      <c r="B2799" s="26" t="s">
        <v>5427</v>
      </c>
      <c r="C2799" s="26" t="s">
        <v>11222</v>
      </c>
      <c r="D2799" s="26" t="s">
        <v>11221</v>
      </c>
      <c r="E2799" s="26" t="s">
        <v>5550</v>
      </c>
      <c r="F2799" s="27">
        <v>6211889</v>
      </c>
      <c r="G2799" s="27">
        <v>0</v>
      </c>
      <c r="H2799" s="27">
        <v>0</v>
      </c>
      <c r="I2799" s="27">
        <v>0</v>
      </c>
      <c r="J2799" s="30">
        <f t="shared" si="129"/>
        <v>0</v>
      </c>
      <c r="K2799" s="30">
        <f t="shared" si="130"/>
        <v>0</v>
      </c>
      <c r="L2799" s="26">
        <f t="shared" si="131"/>
        <v>0</v>
      </c>
      <c r="M2799" s="26">
        <v>0</v>
      </c>
    </row>
    <row r="2800" spans="1:13" ht="15" customHeight="1">
      <c r="A2800" s="25">
        <v>1775568</v>
      </c>
      <c r="B2800" s="26" t="s">
        <v>5427</v>
      </c>
      <c r="C2800" s="26" t="s">
        <v>11223</v>
      </c>
      <c r="D2800" s="26" t="s">
        <v>11221</v>
      </c>
      <c r="E2800" s="26" t="s">
        <v>5475</v>
      </c>
      <c r="F2800" s="27">
        <v>6211875</v>
      </c>
      <c r="G2800" s="27">
        <v>0</v>
      </c>
      <c r="H2800" s="27">
        <v>0</v>
      </c>
      <c r="I2800" s="27">
        <v>0</v>
      </c>
      <c r="J2800" s="30">
        <f t="shared" si="129"/>
        <v>0</v>
      </c>
      <c r="K2800" s="30">
        <f t="shared" si="130"/>
        <v>0</v>
      </c>
      <c r="L2800" s="26">
        <f t="shared" si="131"/>
        <v>0</v>
      </c>
      <c r="M2800" s="26">
        <v>0</v>
      </c>
    </row>
    <row r="2801" spans="1:13" ht="15" customHeight="1">
      <c r="A2801" s="25">
        <v>1775576</v>
      </c>
      <c r="B2801" s="26" t="s">
        <v>5423</v>
      </c>
      <c r="C2801" s="26" t="s">
        <v>11224</v>
      </c>
      <c r="D2801" s="26" t="s">
        <v>11221</v>
      </c>
      <c r="E2801" s="26" t="s">
        <v>5452</v>
      </c>
      <c r="F2801" s="27">
        <v>6211232</v>
      </c>
      <c r="G2801" s="27">
        <v>1</v>
      </c>
      <c r="H2801" s="27">
        <v>0</v>
      </c>
      <c r="I2801" s="27">
        <v>1</v>
      </c>
      <c r="J2801" s="30">
        <f t="shared" si="129"/>
        <v>1</v>
      </c>
      <c r="K2801" s="30">
        <f t="shared" si="130"/>
        <v>0</v>
      </c>
      <c r="L2801" s="26">
        <f t="shared" si="131"/>
        <v>0</v>
      </c>
      <c r="M2801" s="26"/>
    </row>
    <row r="2802" spans="1:13" ht="15" customHeight="1">
      <c r="A2802" s="25">
        <v>1776023</v>
      </c>
      <c r="B2802" s="26" t="s">
        <v>5423</v>
      </c>
      <c r="C2802" s="26" t="s">
        <v>11225</v>
      </c>
      <c r="D2802" s="26" t="s">
        <v>11226</v>
      </c>
      <c r="E2802" s="26" t="s">
        <v>5535</v>
      </c>
      <c r="F2802" s="27"/>
      <c r="G2802" s="27">
        <v>0</v>
      </c>
      <c r="H2802" s="27">
        <v>0</v>
      </c>
      <c r="I2802" s="27">
        <v>0</v>
      </c>
      <c r="J2802" s="30">
        <f t="shared" si="129"/>
        <v>0</v>
      </c>
      <c r="K2802" s="30">
        <f t="shared" si="130"/>
        <v>0</v>
      </c>
      <c r="L2802" s="26">
        <f t="shared" si="131"/>
        <v>0</v>
      </c>
      <c r="M2802" s="26" t="s">
        <v>5557</v>
      </c>
    </row>
    <row r="2803" spans="1:13" ht="15" customHeight="1">
      <c r="A2803" s="25">
        <v>1776077</v>
      </c>
      <c r="B2803" s="26" t="s">
        <v>5423</v>
      </c>
      <c r="C2803" s="26" t="s">
        <v>11227</v>
      </c>
      <c r="D2803" s="26" t="s">
        <v>11216</v>
      </c>
      <c r="E2803" s="26" t="s">
        <v>5763</v>
      </c>
      <c r="F2803" s="27">
        <v>6161551</v>
      </c>
      <c r="G2803" s="27">
        <v>1</v>
      </c>
      <c r="H2803" s="27">
        <v>0</v>
      </c>
      <c r="I2803" s="27">
        <v>1</v>
      </c>
      <c r="J2803" s="30">
        <f t="shared" si="129"/>
        <v>1</v>
      </c>
      <c r="K2803" s="30">
        <f t="shared" si="130"/>
        <v>0</v>
      </c>
      <c r="L2803" s="26">
        <f t="shared" si="131"/>
        <v>0</v>
      </c>
      <c r="M2803" s="26"/>
    </row>
    <row r="2804" spans="1:13" ht="15" customHeight="1">
      <c r="A2804" s="25">
        <v>1776082</v>
      </c>
      <c r="B2804" s="26" t="s">
        <v>5427</v>
      </c>
      <c r="C2804" s="26" t="s">
        <v>11228</v>
      </c>
      <c r="D2804" s="26" t="s">
        <v>11104</v>
      </c>
      <c r="E2804" s="26" t="s">
        <v>5781</v>
      </c>
      <c r="F2804" s="27">
        <v>6057438</v>
      </c>
      <c r="G2804" s="27">
        <v>0</v>
      </c>
      <c r="H2804" s="27">
        <v>0</v>
      </c>
      <c r="I2804" s="27">
        <v>0</v>
      </c>
      <c r="J2804" s="30">
        <f t="shared" si="129"/>
        <v>0</v>
      </c>
      <c r="K2804" s="30">
        <f t="shared" si="130"/>
        <v>0</v>
      </c>
      <c r="L2804" s="26">
        <f t="shared" si="131"/>
        <v>0</v>
      </c>
      <c r="M2804" s="26">
        <v>0</v>
      </c>
    </row>
    <row r="2805" spans="1:13" ht="15" customHeight="1">
      <c r="A2805" s="25">
        <v>1776342</v>
      </c>
      <c r="B2805" s="26" t="s">
        <v>5427</v>
      </c>
      <c r="C2805" s="26" t="s">
        <v>11229</v>
      </c>
      <c r="D2805" s="26" t="s">
        <v>11230</v>
      </c>
      <c r="E2805" s="26" t="s">
        <v>5683</v>
      </c>
      <c r="F2805" s="27">
        <v>6212696</v>
      </c>
      <c r="G2805" s="27">
        <v>0</v>
      </c>
      <c r="H2805" s="27">
        <v>0</v>
      </c>
      <c r="I2805" s="27">
        <v>0</v>
      </c>
      <c r="J2805" s="30">
        <f t="shared" si="129"/>
        <v>0</v>
      </c>
      <c r="K2805" s="30">
        <f t="shared" si="130"/>
        <v>0</v>
      </c>
      <c r="L2805" s="26">
        <f t="shared" si="131"/>
        <v>0</v>
      </c>
      <c r="M2805" s="26" t="s">
        <v>5567</v>
      </c>
    </row>
    <row r="2806" spans="1:13" ht="15" customHeight="1">
      <c r="A2806" s="25">
        <v>1776436</v>
      </c>
      <c r="B2806" s="26" t="s">
        <v>5427</v>
      </c>
      <c r="C2806" s="26" t="s">
        <v>11231</v>
      </c>
      <c r="D2806" s="26" t="s">
        <v>11232</v>
      </c>
      <c r="E2806" s="26" t="s">
        <v>8392</v>
      </c>
      <c r="F2806" s="27">
        <v>5873864</v>
      </c>
      <c r="G2806" s="27">
        <v>1</v>
      </c>
      <c r="H2806" s="27">
        <v>1</v>
      </c>
      <c r="I2806" s="27">
        <v>1</v>
      </c>
      <c r="J2806" s="30">
        <f t="shared" si="129"/>
        <v>1</v>
      </c>
      <c r="K2806" s="30">
        <f t="shared" si="130"/>
        <v>1</v>
      </c>
      <c r="L2806" s="26">
        <f t="shared" si="131"/>
        <v>1</v>
      </c>
      <c r="M2806" s="26" t="s">
        <v>8209</v>
      </c>
    </row>
    <row r="2807" spans="1:13" ht="15" customHeight="1">
      <c r="A2807" s="25">
        <v>1776439</v>
      </c>
      <c r="B2807" s="26" t="s">
        <v>5427</v>
      </c>
      <c r="C2807" s="26" t="s">
        <v>11233</v>
      </c>
      <c r="D2807" s="26" t="s">
        <v>11232</v>
      </c>
      <c r="E2807" s="26" t="s">
        <v>5455</v>
      </c>
      <c r="F2807" s="27">
        <v>4653140</v>
      </c>
      <c r="G2807" s="27">
        <v>1</v>
      </c>
      <c r="H2807" s="27">
        <v>1</v>
      </c>
      <c r="I2807" s="27">
        <v>1</v>
      </c>
      <c r="J2807" s="30">
        <f t="shared" si="129"/>
        <v>1</v>
      </c>
      <c r="K2807" s="30">
        <f t="shared" si="130"/>
        <v>1</v>
      </c>
      <c r="L2807" s="26">
        <f t="shared" si="131"/>
        <v>1</v>
      </c>
      <c r="M2807" s="26"/>
    </row>
    <row r="2808" spans="1:13" ht="15" customHeight="1">
      <c r="A2808" s="25">
        <v>1776457</v>
      </c>
      <c r="B2808" s="26" t="s">
        <v>5427</v>
      </c>
      <c r="C2808" s="26" t="s">
        <v>11234</v>
      </c>
      <c r="D2808" s="26" t="s">
        <v>11230</v>
      </c>
      <c r="E2808" s="26" t="s">
        <v>5480</v>
      </c>
      <c r="F2808" s="27">
        <v>5116183</v>
      </c>
      <c r="G2808" s="27">
        <v>1</v>
      </c>
      <c r="H2808" s="27">
        <v>1</v>
      </c>
      <c r="I2808" s="27">
        <v>1</v>
      </c>
      <c r="J2808" s="30">
        <f t="shared" si="129"/>
        <v>1</v>
      </c>
      <c r="K2808" s="30">
        <f t="shared" si="130"/>
        <v>1</v>
      </c>
      <c r="L2808" s="26">
        <f t="shared" si="131"/>
        <v>1</v>
      </c>
      <c r="M2808" s="26"/>
    </row>
    <row r="2809" spans="1:13" ht="15" customHeight="1">
      <c r="A2809" s="25">
        <v>1776471</v>
      </c>
      <c r="B2809" s="26" t="s">
        <v>5423</v>
      </c>
      <c r="C2809" s="26" t="s">
        <v>11235</v>
      </c>
      <c r="D2809" s="26" t="s">
        <v>11230</v>
      </c>
      <c r="E2809" s="26" t="s">
        <v>5458</v>
      </c>
      <c r="F2809" s="27">
        <v>6213118</v>
      </c>
      <c r="G2809" s="27">
        <v>1</v>
      </c>
      <c r="H2809" s="27">
        <v>1</v>
      </c>
      <c r="I2809" s="27">
        <v>1</v>
      </c>
      <c r="J2809" s="30">
        <f t="shared" si="129"/>
        <v>1</v>
      </c>
      <c r="K2809" s="30">
        <f t="shared" si="130"/>
        <v>1</v>
      </c>
      <c r="L2809" s="26">
        <f t="shared" si="131"/>
        <v>1</v>
      </c>
      <c r="M2809" s="26"/>
    </row>
    <row r="2810" spans="1:13" ht="15" customHeight="1">
      <c r="A2810" s="25">
        <v>1776605</v>
      </c>
      <c r="B2810" s="26" t="s">
        <v>5423</v>
      </c>
      <c r="C2810" s="26" t="s">
        <v>11236</v>
      </c>
      <c r="D2810" s="26" t="s">
        <v>11230</v>
      </c>
      <c r="E2810" s="26" t="s">
        <v>5433</v>
      </c>
      <c r="F2810" s="27">
        <v>6213447</v>
      </c>
      <c r="G2810" s="27">
        <v>1</v>
      </c>
      <c r="H2810" s="27">
        <v>1</v>
      </c>
      <c r="I2810" s="27">
        <v>1</v>
      </c>
      <c r="J2810" s="30">
        <f t="shared" si="129"/>
        <v>1</v>
      </c>
      <c r="K2810" s="30">
        <f t="shared" si="130"/>
        <v>1</v>
      </c>
      <c r="L2810" s="26">
        <f t="shared" si="131"/>
        <v>1</v>
      </c>
      <c r="M2810" s="26"/>
    </row>
    <row r="2811" spans="1:13" ht="15" customHeight="1">
      <c r="A2811" s="25">
        <v>1776608</v>
      </c>
      <c r="B2811" s="26" t="s">
        <v>5423</v>
      </c>
      <c r="C2811" s="26" t="s">
        <v>11237</v>
      </c>
      <c r="D2811" s="26" t="s">
        <v>11238</v>
      </c>
      <c r="E2811" s="26" t="s">
        <v>5488</v>
      </c>
      <c r="F2811" s="27">
        <v>6195489</v>
      </c>
      <c r="G2811" s="27">
        <v>1</v>
      </c>
      <c r="H2811" s="27">
        <v>0</v>
      </c>
      <c r="I2811" s="27">
        <v>1</v>
      </c>
      <c r="J2811" s="30">
        <f t="shared" si="129"/>
        <v>1</v>
      </c>
      <c r="K2811" s="30">
        <f t="shared" si="130"/>
        <v>0</v>
      </c>
      <c r="L2811" s="26">
        <f t="shared" si="131"/>
        <v>0</v>
      </c>
      <c r="M2811" s="26"/>
    </row>
    <row r="2812" spans="1:13" ht="15" customHeight="1">
      <c r="A2812" s="25">
        <v>1776696</v>
      </c>
      <c r="B2812" s="26" t="s">
        <v>5427</v>
      </c>
      <c r="C2812" s="26" t="s">
        <v>11239</v>
      </c>
      <c r="D2812" s="26" t="s">
        <v>11199</v>
      </c>
      <c r="E2812" s="26" t="s">
        <v>5458</v>
      </c>
      <c r="F2812" s="27"/>
      <c r="G2812" s="27">
        <v>0</v>
      </c>
      <c r="H2812" s="27">
        <v>0</v>
      </c>
      <c r="I2812" s="27">
        <v>0</v>
      </c>
      <c r="J2812" s="30">
        <f t="shared" si="129"/>
        <v>0</v>
      </c>
      <c r="K2812" s="30">
        <f t="shared" si="130"/>
        <v>0</v>
      </c>
      <c r="L2812" s="26">
        <f t="shared" si="131"/>
        <v>0</v>
      </c>
      <c r="M2812" s="26" t="s">
        <v>5557</v>
      </c>
    </row>
    <row r="2813" spans="1:13" ht="15" customHeight="1">
      <c r="A2813" s="25">
        <v>1776700</v>
      </c>
      <c r="B2813" s="26" t="s">
        <v>5423</v>
      </c>
      <c r="C2813" s="26" t="s">
        <v>11240</v>
      </c>
      <c r="D2813" s="26" t="s">
        <v>11238</v>
      </c>
      <c r="E2813" s="26" t="s">
        <v>5452</v>
      </c>
      <c r="F2813" s="27">
        <v>5344203</v>
      </c>
      <c r="G2813" s="27">
        <v>1</v>
      </c>
      <c r="H2813" s="27">
        <v>0</v>
      </c>
      <c r="I2813" s="27">
        <v>1</v>
      </c>
      <c r="J2813" s="30">
        <f t="shared" si="129"/>
        <v>1</v>
      </c>
      <c r="K2813" s="30">
        <f t="shared" si="130"/>
        <v>0</v>
      </c>
      <c r="L2813" s="26">
        <f t="shared" si="131"/>
        <v>0</v>
      </c>
      <c r="M2813" s="26"/>
    </row>
    <row r="2814" spans="1:13" ht="15" customHeight="1">
      <c r="A2814" s="25">
        <v>1776717</v>
      </c>
      <c r="B2814" s="26" t="s">
        <v>5423</v>
      </c>
      <c r="C2814" s="26" t="s">
        <v>11241</v>
      </c>
      <c r="D2814" s="26" t="s">
        <v>11226</v>
      </c>
      <c r="E2814" s="26" t="s">
        <v>5455</v>
      </c>
      <c r="F2814" s="27">
        <v>6213945</v>
      </c>
      <c r="G2814" s="27">
        <v>0</v>
      </c>
      <c r="H2814" s="27">
        <v>0</v>
      </c>
      <c r="I2814" s="27">
        <v>0</v>
      </c>
      <c r="J2814" s="30">
        <f t="shared" si="129"/>
        <v>0</v>
      </c>
      <c r="K2814" s="30">
        <f t="shared" si="130"/>
        <v>0</v>
      </c>
      <c r="L2814" s="26">
        <f t="shared" si="131"/>
        <v>0</v>
      </c>
      <c r="M2814" s="26">
        <v>0</v>
      </c>
    </row>
    <row r="2815" spans="1:13" ht="15" customHeight="1">
      <c r="A2815" s="25">
        <v>1776937</v>
      </c>
      <c r="B2815" s="26" t="s">
        <v>5427</v>
      </c>
      <c r="C2815" s="26" t="s">
        <v>11242</v>
      </c>
      <c r="D2815" s="26" t="s">
        <v>11104</v>
      </c>
      <c r="E2815" s="26" t="s">
        <v>5507</v>
      </c>
      <c r="F2815" s="27">
        <v>6206790</v>
      </c>
      <c r="G2815" s="27">
        <v>1</v>
      </c>
      <c r="H2815" s="27">
        <v>0</v>
      </c>
      <c r="I2815" s="27">
        <v>1</v>
      </c>
      <c r="J2815" s="30">
        <f t="shared" si="129"/>
        <v>1</v>
      </c>
      <c r="K2815" s="30">
        <f t="shared" si="130"/>
        <v>0</v>
      </c>
      <c r="L2815" s="26">
        <f t="shared" si="131"/>
        <v>0</v>
      </c>
      <c r="M2815" s="26"/>
    </row>
    <row r="2816" spans="1:13" ht="15" customHeight="1">
      <c r="A2816" s="25">
        <v>1777253</v>
      </c>
      <c r="B2816" s="26" t="s">
        <v>5427</v>
      </c>
      <c r="C2816" s="26" t="s">
        <v>11243</v>
      </c>
      <c r="D2816" s="26" t="s">
        <v>11238</v>
      </c>
      <c r="E2816" s="26" t="s">
        <v>5540</v>
      </c>
      <c r="F2816" s="27">
        <v>6216155</v>
      </c>
      <c r="G2816" s="27">
        <v>0</v>
      </c>
      <c r="H2816" s="27">
        <v>0</v>
      </c>
      <c r="I2816" s="27">
        <v>0</v>
      </c>
      <c r="J2816" s="30">
        <f t="shared" si="129"/>
        <v>0</v>
      </c>
      <c r="K2816" s="30">
        <f t="shared" si="130"/>
        <v>0</v>
      </c>
      <c r="L2816" s="26">
        <f t="shared" si="131"/>
        <v>0</v>
      </c>
      <c r="M2816" s="26">
        <v>0</v>
      </c>
    </row>
    <row r="2817" spans="1:13" ht="15" customHeight="1">
      <c r="A2817" s="25">
        <v>1777294</v>
      </c>
      <c r="B2817" s="26" t="s">
        <v>5427</v>
      </c>
      <c r="C2817" s="26" t="s">
        <v>11244</v>
      </c>
      <c r="D2817" s="26" t="s">
        <v>11238</v>
      </c>
      <c r="E2817" s="26" t="s">
        <v>5501</v>
      </c>
      <c r="F2817" s="27">
        <v>6216137</v>
      </c>
      <c r="G2817" s="27">
        <v>0</v>
      </c>
      <c r="H2817" s="27">
        <v>0</v>
      </c>
      <c r="I2817" s="27">
        <v>0</v>
      </c>
      <c r="J2817" s="30">
        <f t="shared" si="129"/>
        <v>0</v>
      </c>
      <c r="K2817" s="30">
        <f t="shared" si="130"/>
        <v>0</v>
      </c>
      <c r="L2817" s="26">
        <f t="shared" si="131"/>
        <v>0</v>
      </c>
      <c r="M2817" s="26">
        <v>0</v>
      </c>
    </row>
    <row r="2818" spans="1:13" ht="15" customHeight="1">
      <c r="A2818" s="25">
        <v>1777355</v>
      </c>
      <c r="B2818" s="26" t="s">
        <v>5423</v>
      </c>
      <c r="C2818" s="26" t="s">
        <v>11245</v>
      </c>
      <c r="D2818" s="26" t="s">
        <v>11246</v>
      </c>
      <c r="E2818" s="26" t="s">
        <v>5433</v>
      </c>
      <c r="F2818" s="27">
        <v>6215451</v>
      </c>
      <c r="G2818" s="27">
        <v>0</v>
      </c>
      <c r="H2818" s="27">
        <v>1</v>
      </c>
      <c r="I2818" s="27">
        <v>1</v>
      </c>
      <c r="J2818" s="30">
        <f t="shared" ref="J2818:J2881" si="132">IF(G2818&gt;0,1,0)</f>
        <v>0</v>
      </c>
      <c r="K2818" s="30">
        <f t="shared" ref="K2818:K2881" si="133">IF(H2818&gt;0,1,0)</f>
        <v>1</v>
      </c>
      <c r="L2818" s="26">
        <f t="shared" ref="L2818:L2881" si="134">IF(G2818&gt;0,IF(H2818&gt;0,1,0),0)</f>
        <v>0</v>
      </c>
      <c r="M2818" s="26"/>
    </row>
    <row r="2819" spans="1:13" ht="15" customHeight="1">
      <c r="A2819" s="25">
        <v>1777369</v>
      </c>
      <c r="B2819" s="26" t="s">
        <v>5423</v>
      </c>
      <c r="C2819" s="26" t="s">
        <v>11247</v>
      </c>
      <c r="D2819" s="26" t="s">
        <v>11248</v>
      </c>
      <c r="E2819" s="26" t="s">
        <v>5439</v>
      </c>
      <c r="F2819" s="27">
        <v>6215344</v>
      </c>
      <c r="G2819" s="27">
        <v>1</v>
      </c>
      <c r="H2819" s="27">
        <v>1</v>
      </c>
      <c r="I2819" s="27">
        <v>1</v>
      </c>
      <c r="J2819" s="30">
        <f t="shared" si="132"/>
        <v>1</v>
      </c>
      <c r="K2819" s="30">
        <f t="shared" si="133"/>
        <v>1</v>
      </c>
      <c r="L2819" s="26">
        <f t="shared" si="134"/>
        <v>1</v>
      </c>
      <c r="M2819" s="26"/>
    </row>
    <row r="2820" spans="1:13" ht="15" customHeight="1">
      <c r="A2820" s="25">
        <v>1777591</v>
      </c>
      <c r="B2820" s="26" t="s">
        <v>5423</v>
      </c>
      <c r="C2820" s="26" t="s">
        <v>11249</v>
      </c>
      <c r="D2820" s="26" t="s">
        <v>11199</v>
      </c>
      <c r="E2820" s="26" t="s">
        <v>5654</v>
      </c>
      <c r="F2820" s="27">
        <v>6184492</v>
      </c>
      <c r="G2820" s="27">
        <v>1</v>
      </c>
      <c r="H2820" s="27">
        <v>0</v>
      </c>
      <c r="I2820" s="27">
        <v>1</v>
      </c>
      <c r="J2820" s="30">
        <f t="shared" si="132"/>
        <v>1</v>
      </c>
      <c r="K2820" s="30">
        <f t="shared" si="133"/>
        <v>0</v>
      </c>
      <c r="L2820" s="26">
        <f t="shared" si="134"/>
        <v>0</v>
      </c>
      <c r="M2820" s="26" t="s">
        <v>8209</v>
      </c>
    </row>
    <row r="2821" spans="1:13" ht="15" customHeight="1">
      <c r="A2821" s="25">
        <v>1777640</v>
      </c>
      <c r="B2821" s="26" t="s">
        <v>5423</v>
      </c>
      <c r="C2821" s="26" t="s">
        <v>11250</v>
      </c>
      <c r="D2821" s="26" t="s">
        <v>11251</v>
      </c>
      <c r="E2821" s="26" t="s">
        <v>5439</v>
      </c>
      <c r="F2821" s="27">
        <v>6217699</v>
      </c>
      <c r="G2821" s="27">
        <v>0</v>
      </c>
      <c r="H2821" s="27">
        <v>0</v>
      </c>
      <c r="I2821" s="27">
        <v>0</v>
      </c>
      <c r="J2821" s="30">
        <f t="shared" si="132"/>
        <v>0</v>
      </c>
      <c r="K2821" s="30">
        <f t="shared" si="133"/>
        <v>0</v>
      </c>
      <c r="L2821" s="26">
        <f t="shared" si="134"/>
        <v>0</v>
      </c>
      <c r="M2821" s="26">
        <v>0</v>
      </c>
    </row>
    <row r="2822" spans="1:13" ht="15" customHeight="1">
      <c r="A2822" s="25">
        <v>1777941</v>
      </c>
      <c r="B2822" s="26" t="s">
        <v>5423</v>
      </c>
      <c r="C2822" s="26" t="s">
        <v>11252</v>
      </c>
      <c r="D2822" s="26" t="s">
        <v>11248</v>
      </c>
      <c r="E2822" s="26" t="s">
        <v>5436</v>
      </c>
      <c r="F2822" s="27"/>
      <c r="G2822" s="27">
        <v>0</v>
      </c>
      <c r="H2822" s="27">
        <v>0</v>
      </c>
      <c r="I2822" s="27">
        <v>0</v>
      </c>
      <c r="J2822" s="30">
        <f t="shared" si="132"/>
        <v>0</v>
      </c>
      <c r="K2822" s="30">
        <f t="shared" si="133"/>
        <v>0</v>
      </c>
      <c r="L2822" s="26">
        <f t="shared" si="134"/>
        <v>0</v>
      </c>
      <c r="M2822" s="26" t="s">
        <v>11253</v>
      </c>
    </row>
    <row r="2823" spans="1:13" ht="15" customHeight="1">
      <c r="A2823" s="25">
        <v>1778224</v>
      </c>
      <c r="B2823" s="26" t="s">
        <v>5427</v>
      </c>
      <c r="C2823" s="26" t="s">
        <v>11254</v>
      </c>
      <c r="D2823" s="26" t="s">
        <v>11251</v>
      </c>
      <c r="E2823" s="26" t="s">
        <v>5485</v>
      </c>
      <c r="F2823" s="27">
        <v>3447037</v>
      </c>
      <c r="G2823" s="27">
        <v>1</v>
      </c>
      <c r="H2823" s="27">
        <v>1</v>
      </c>
      <c r="I2823" s="27">
        <v>1</v>
      </c>
      <c r="J2823" s="30">
        <f t="shared" si="132"/>
        <v>1</v>
      </c>
      <c r="K2823" s="30">
        <f t="shared" si="133"/>
        <v>1</v>
      </c>
      <c r="L2823" s="26">
        <f t="shared" si="134"/>
        <v>1</v>
      </c>
      <c r="M2823" s="26"/>
    </row>
    <row r="2824" spans="1:13" ht="15" customHeight="1">
      <c r="A2824" s="25">
        <v>1778237</v>
      </c>
      <c r="B2824" s="26" t="s">
        <v>5423</v>
      </c>
      <c r="C2824" s="26" t="s">
        <v>11255</v>
      </c>
      <c r="D2824" s="26" t="s">
        <v>11162</v>
      </c>
      <c r="E2824" s="26" t="s">
        <v>5488</v>
      </c>
      <c r="F2824" s="27">
        <v>6194909</v>
      </c>
      <c r="G2824" s="27">
        <v>1</v>
      </c>
      <c r="H2824" s="27">
        <v>0</v>
      </c>
      <c r="I2824" s="27">
        <v>1</v>
      </c>
      <c r="J2824" s="30">
        <f t="shared" si="132"/>
        <v>1</v>
      </c>
      <c r="K2824" s="30">
        <f t="shared" si="133"/>
        <v>0</v>
      </c>
      <c r="L2824" s="26">
        <f t="shared" si="134"/>
        <v>0</v>
      </c>
      <c r="M2824" s="26"/>
    </row>
    <row r="2825" spans="1:13" ht="15" customHeight="1">
      <c r="A2825" s="25">
        <v>1778251</v>
      </c>
      <c r="B2825" s="26" t="s">
        <v>5423</v>
      </c>
      <c r="C2825" s="26" t="s">
        <v>11256</v>
      </c>
      <c r="D2825" s="26" t="s">
        <v>11162</v>
      </c>
      <c r="E2825" s="26" t="s">
        <v>5532</v>
      </c>
      <c r="F2825" s="27">
        <v>6204703</v>
      </c>
      <c r="G2825" s="27">
        <v>1</v>
      </c>
      <c r="H2825" s="27">
        <v>1</v>
      </c>
      <c r="I2825" s="27">
        <v>1</v>
      </c>
      <c r="J2825" s="30">
        <f t="shared" si="132"/>
        <v>1</v>
      </c>
      <c r="K2825" s="30">
        <f t="shared" si="133"/>
        <v>1</v>
      </c>
      <c r="L2825" s="26">
        <f t="shared" si="134"/>
        <v>1</v>
      </c>
      <c r="M2825" s="26"/>
    </row>
    <row r="2826" spans="1:13" ht="15" customHeight="1">
      <c r="A2826" s="25">
        <v>1778346</v>
      </c>
      <c r="B2826" s="26" t="s">
        <v>5423</v>
      </c>
      <c r="C2826" s="26" t="s">
        <v>11257</v>
      </c>
      <c r="D2826" s="26" t="s">
        <v>11162</v>
      </c>
      <c r="E2826" s="26" t="s">
        <v>5514</v>
      </c>
      <c r="F2826" s="27">
        <v>6217690</v>
      </c>
      <c r="G2826" s="27">
        <v>1</v>
      </c>
      <c r="H2826" s="27">
        <v>1</v>
      </c>
      <c r="I2826" s="27">
        <v>1</v>
      </c>
      <c r="J2826" s="30">
        <f t="shared" si="132"/>
        <v>1</v>
      </c>
      <c r="K2826" s="30">
        <f t="shared" si="133"/>
        <v>1</v>
      </c>
      <c r="L2826" s="26">
        <f t="shared" si="134"/>
        <v>1</v>
      </c>
      <c r="M2826" s="26"/>
    </row>
    <row r="2827" spans="1:13" ht="15" customHeight="1">
      <c r="A2827" s="25">
        <v>1778354</v>
      </c>
      <c r="B2827" s="26" t="s">
        <v>5423</v>
      </c>
      <c r="C2827" s="26" t="s">
        <v>11258</v>
      </c>
      <c r="D2827" s="26" t="s">
        <v>11251</v>
      </c>
      <c r="E2827" s="26" t="s">
        <v>5485</v>
      </c>
      <c r="F2827" s="27">
        <v>6215355</v>
      </c>
      <c r="G2827" s="27">
        <v>0</v>
      </c>
      <c r="H2827" s="27">
        <v>1</v>
      </c>
      <c r="I2827" s="27">
        <v>1</v>
      </c>
      <c r="J2827" s="30">
        <f t="shared" si="132"/>
        <v>0</v>
      </c>
      <c r="K2827" s="30">
        <f t="shared" si="133"/>
        <v>1</v>
      </c>
      <c r="L2827" s="26">
        <f t="shared" si="134"/>
        <v>0</v>
      </c>
      <c r="M2827" s="26"/>
    </row>
    <row r="2828" spans="1:13" ht="15" customHeight="1">
      <c r="A2828" s="25">
        <v>1778429</v>
      </c>
      <c r="B2828" s="26" t="s">
        <v>5423</v>
      </c>
      <c r="C2828" s="26" t="s">
        <v>11259</v>
      </c>
      <c r="D2828" s="26" t="s">
        <v>11260</v>
      </c>
      <c r="E2828" s="26" t="s">
        <v>5540</v>
      </c>
      <c r="F2828" s="27">
        <v>5644676</v>
      </c>
      <c r="G2828" s="27">
        <v>0</v>
      </c>
      <c r="H2828" s="27">
        <v>0</v>
      </c>
      <c r="I2828" s="27">
        <v>0</v>
      </c>
      <c r="J2828" s="30">
        <f t="shared" si="132"/>
        <v>0</v>
      </c>
      <c r="K2828" s="30">
        <f t="shared" si="133"/>
        <v>0</v>
      </c>
      <c r="L2828" s="26">
        <f t="shared" si="134"/>
        <v>0</v>
      </c>
      <c r="M2828" s="26">
        <v>0</v>
      </c>
    </row>
    <row r="2829" spans="1:13" ht="15" customHeight="1">
      <c r="A2829" s="25">
        <v>1778432</v>
      </c>
      <c r="B2829" s="26" t="s">
        <v>5427</v>
      </c>
      <c r="C2829" s="26" t="s">
        <v>11261</v>
      </c>
      <c r="D2829" s="26" t="s">
        <v>11262</v>
      </c>
      <c r="E2829" s="26" t="s">
        <v>5463</v>
      </c>
      <c r="F2829" s="27">
        <v>6217665</v>
      </c>
      <c r="G2829" s="27">
        <v>1</v>
      </c>
      <c r="H2829" s="27">
        <v>1</v>
      </c>
      <c r="I2829" s="27">
        <v>1</v>
      </c>
      <c r="J2829" s="30">
        <f t="shared" si="132"/>
        <v>1</v>
      </c>
      <c r="K2829" s="30">
        <f t="shared" si="133"/>
        <v>1</v>
      </c>
      <c r="L2829" s="26">
        <f t="shared" si="134"/>
        <v>1</v>
      </c>
      <c r="M2829" s="26"/>
    </row>
    <row r="2830" spans="1:13" ht="15" customHeight="1">
      <c r="A2830" s="25">
        <v>1778496</v>
      </c>
      <c r="B2830" s="26" t="s">
        <v>5423</v>
      </c>
      <c r="C2830" s="26" t="s">
        <v>11263</v>
      </c>
      <c r="D2830" s="26" t="s">
        <v>11262</v>
      </c>
      <c r="E2830" s="26" t="s">
        <v>5491</v>
      </c>
      <c r="F2830" s="27">
        <v>6173397</v>
      </c>
      <c r="G2830" s="27">
        <v>1</v>
      </c>
      <c r="H2830" s="27">
        <v>1</v>
      </c>
      <c r="I2830" s="27">
        <v>1</v>
      </c>
      <c r="J2830" s="30">
        <f t="shared" si="132"/>
        <v>1</v>
      </c>
      <c r="K2830" s="30">
        <f t="shared" si="133"/>
        <v>1</v>
      </c>
      <c r="L2830" s="26">
        <f t="shared" si="134"/>
        <v>1</v>
      </c>
      <c r="M2830" s="26"/>
    </row>
    <row r="2831" spans="1:13" ht="15" customHeight="1">
      <c r="A2831" s="25">
        <v>1778731</v>
      </c>
      <c r="B2831" s="26" t="s">
        <v>5423</v>
      </c>
      <c r="C2831" s="26" t="s">
        <v>11264</v>
      </c>
      <c r="D2831" s="26" t="s">
        <v>11265</v>
      </c>
      <c r="E2831" s="26" t="s">
        <v>5504</v>
      </c>
      <c r="F2831" s="27">
        <v>6201195</v>
      </c>
      <c r="G2831" s="27">
        <v>1</v>
      </c>
      <c r="H2831" s="27">
        <v>0</v>
      </c>
      <c r="I2831" s="27">
        <v>1</v>
      </c>
      <c r="J2831" s="30">
        <f t="shared" si="132"/>
        <v>1</v>
      </c>
      <c r="K2831" s="30">
        <f t="shared" si="133"/>
        <v>0</v>
      </c>
      <c r="L2831" s="26">
        <f t="shared" si="134"/>
        <v>0</v>
      </c>
      <c r="M2831" s="26"/>
    </row>
    <row r="2832" spans="1:13" ht="15" customHeight="1">
      <c r="A2832" s="25">
        <v>1778748</v>
      </c>
      <c r="B2832" s="26" t="s">
        <v>5423</v>
      </c>
      <c r="C2832" s="26" t="s">
        <v>11266</v>
      </c>
      <c r="D2832" s="26" t="s">
        <v>11262</v>
      </c>
      <c r="E2832" s="26" t="s">
        <v>5458</v>
      </c>
      <c r="F2832" s="27">
        <v>6208580</v>
      </c>
      <c r="G2832" s="27">
        <v>1</v>
      </c>
      <c r="H2832" s="27">
        <v>0</v>
      </c>
      <c r="I2832" s="27">
        <v>1</v>
      </c>
      <c r="J2832" s="30">
        <f t="shared" si="132"/>
        <v>1</v>
      </c>
      <c r="K2832" s="30">
        <f t="shared" si="133"/>
        <v>0</v>
      </c>
      <c r="L2832" s="26">
        <f t="shared" si="134"/>
        <v>0</v>
      </c>
      <c r="M2832" s="26"/>
    </row>
    <row r="2833" spans="1:13" ht="15" customHeight="1">
      <c r="A2833" s="25">
        <v>1778749</v>
      </c>
      <c r="B2833" s="26" t="s">
        <v>5423</v>
      </c>
      <c r="C2833" s="26" t="s">
        <v>11267</v>
      </c>
      <c r="D2833" s="26" t="s">
        <v>11265</v>
      </c>
      <c r="E2833" s="26" t="s">
        <v>5455</v>
      </c>
      <c r="F2833" s="27">
        <v>6212085</v>
      </c>
      <c r="G2833" s="27">
        <v>1</v>
      </c>
      <c r="H2833" s="27">
        <v>0</v>
      </c>
      <c r="I2833" s="27">
        <v>1</v>
      </c>
      <c r="J2833" s="30">
        <f t="shared" si="132"/>
        <v>1</v>
      </c>
      <c r="K2833" s="30">
        <f t="shared" si="133"/>
        <v>0</v>
      </c>
      <c r="L2833" s="26">
        <f t="shared" si="134"/>
        <v>0</v>
      </c>
      <c r="M2833" s="26"/>
    </row>
    <row r="2834" spans="1:13" ht="15" customHeight="1">
      <c r="A2834" s="25">
        <v>1778816</v>
      </c>
      <c r="B2834" s="26" t="s">
        <v>5423</v>
      </c>
      <c r="C2834" s="26" t="s">
        <v>11268</v>
      </c>
      <c r="D2834" s="26" t="s">
        <v>11262</v>
      </c>
      <c r="E2834" s="26" t="s">
        <v>5426</v>
      </c>
      <c r="F2834" s="27">
        <v>6218336</v>
      </c>
      <c r="G2834" s="27">
        <v>0</v>
      </c>
      <c r="H2834" s="27">
        <v>0</v>
      </c>
      <c r="I2834" s="27">
        <v>0</v>
      </c>
      <c r="J2834" s="30">
        <f t="shared" si="132"/>
        <v>0</v>
      </c>
      <c r="K2834" s="30">
        <f t="shared" si="133"/>
        <v>0</v>
      </c>
      <c r="L2834" s="26">
        <f t="shared" si="134"/>
        <v>0</v>
      </c>
      <c r="M2834" s="26">
        <v>0</v>
      </c>
    </row>
    <row r="2835" spans="1:13" ht="15" customHeight="1">
      <c r="A2835" s="25">
        <v>1778864</v>
      </c>
      <c r="B2835" s="26" t="s">
        <v>5423</v>
      </c>
      <c r="C2835" s="26" t="s">
        <v>11269</v>
      </c>
      <c r="D2835" s="26" t="s">
        <v>11265</v>
      </c>
      <c r="E2835" s="26" t="s">
        <v>5683</v>
      </c>
      <c r="F2835" s="27">
        <v>6220196</v>
      </c>
      <c r="G2835" s="27">
        <v>0</v>
      </c>
      <c r="H2835" s="27">
        <v>0</v>
      </c>
      <c r="I2835" s="27">
        <v>0</v>
      </c>
      <c r="J2835" s="30">
        <f t="shared" si="132"/>
        <v>0</v>
      </c>
      <c r="K2835" s="30">
        <f t="shared" si="133"/>
        <v>0</v>
      </c>
      <c r="L2835" s="26">
        <f t="shared" si="134"/>
        <v>0</v>
      </c>
      <c r="M2835" s="26">
        <v>0</v>
      </c>
    </row>
    <row r="2836" spans="1:13" ht="15" customHeight="1">
      <c r="A2836" s="25">
        <v>1778891</v>
      </c>
      <c r="B2836" s="26" t="s">
        <v>5423</v>
      </c>
      <c r="C2836" s="26" t="s">
        <v>11270</v>
      </c>
      <c r="D2836" s="26" t="s">
        <v>11265</v>
      </c>
      <c r="E2836" s="26" t="s">
        <v>5433</v>
      </c>
      <c r="F2836" s="27">
        <v>6200444</v>
      </c>
      <c r="G2836" s="27">
        <v>1</v>
      </c>
      <c r="H2836" s="27">
        <v>0</v>
      </c>
      <c r="I2836" s="27">
        <v>1</v>
      </c>
      <c r="J2836" s="30">
        <f t="shared" si="132"/>
        <v>1</v>
      </c>
      <c r="K2836" s="30">
        <f t="shared" si="133"/>
        <v>0</v>
      </c>
      <c r="L2836" s="26">
        <f t="shared" si="134"/>
        <v>0</v>
      </c>
      <c r="M2836" s="26"/>
    </row>
    <row r="2837" spans="1:13" ht="15" customHeight="1">
      <c r="A2837" s="25">
        <v>1778910</v>
      </c>
      <c r="B2837" s="26" t="s">
        <v>5423</v>
      </c>
      <c r="C2837" s="26" t="s">
        <v>11271</v>
      </c>
      <c r="D2837" s="26" t="s">
        <v>11265</v>
      </c>
      <c r="E2837" s="26" t="s">
        <v>5455</v>
      </c>
      <c r="F2837" s="27">
        <v>6220223</v>
      </c>
      <c r="G2837" s="27">
        <v>0</v>
      </c>
      <c r="H2837" s="27">
        <v>0</v>
      </c>
      <c r="I2837" s="27">
        <v>0</v>
      </c>
      <c r="J2837" s="30">
        <f t="shared" si="132"/>
        <v>0</v>
      </c>
      <c r="K2837" s="30">
        <f t="shared" si="133"/>
        <v>0</v>
      </c>
      <c r="L2837" s="26">
        <f t="shared" si="134"/>
        <v>0</v>
      </c>
      <c r="M2837" s="26">
        <v>0</v>
      </c>
    </row>
    <row r="2838" spans="1:13" ht="15" customHeight="1">
      <c r="A2838" s="25">
        <v>1779058</v>
      </c>
      <c r="B2838" s="26" t="s">
        <v>5427</v>
      </c>
      <c r="C2838" s="26" t="s">
        <v>11272</v>
      </c>
      <c r="D2838" s="26" t="s">
        <v>11273</v>
      </c>
      <c r="E2838" s="26" t="s">
        <v>5772</v>
      </c>
      <c r="F2838" s="27">
        <v>5442261</v>
      </c>
      <c r="G2838" s="27">
        <v>0</v>
      </c>
      <c r="H2838" s="27">
        <v>0</v>
      </c>
      <c r="I2838" s="27">
        <v>0</v>
      </c>
      <c r="J2838" s="30">
        <f t="shared" si="132"/>
        <v>0</v>
      </c>
      <c r="K2838" s="30">
        <f t="shared" si="133"/>
        <v>0</v>
      </c>
      <c r="L2838" s="26">
        <f t="shared" si="134"/>
        <v>0</v>
      </c>
      <c r="M2838" s="26" t="s">
        <v>5557</v>
      </c>
    </row>
    <row r="2839" spans="1:13" ht="15" customHeight="1">
      <c r="A2839" s="25">
        <v>1779209</v>
      </c>
      <c r="B2839" s="26" t="s">
        <v>5423</v>
      </c>
      <c r="C2839" s="26" t="s">
        <v>11274</v>
      </c>
      <c r="D2839" s="26" t="s">
        <v>11162</v>
      </c>
      <c r="E2839" s="26" t="s">
        <v>5504</v>
      </c>
      <c r="F2839" s="27">
        <v>4054258</v>
      </c>
      <c r="G2839" s="27">
        <v>0</v>
      </c>
      <c r="H2839" s="27">
        <v>0</v>
      </c>
      <c r="I2839" s="27">
        <v>0</v>
      </c>
      <c r="J2839" s="30">
        <f t="shared" si="132"/>
        <v>0</v>
      </c>
      <c r="K2839" s="30">
        <f t="shared" si="133"/>
        <v>0</v>
      </c>
      <c r="L2839" s="26">
        <f t="shared" si="134"/>
        <v>0</v>
      </c>
      <c r="M2839" s="26" t="s">
        <v>5557</v>
      </c>
    </row>
    <row r="2840" spans="1:13" ht="15" customHeight="1">
      <c r="A2840" s="25">
        <v>1779225</v>
      </c>
      <c r="B2840" s="26" t="s">
        <v>5427</v>
      </c>
      <c r="C2840" s="26" t="s">
        <v>11275</v>
      </c>
      <c r="D2840" s="26" t="s">
        <v>11276</v>
      </c>
      <c r="E2840" s="26" t="s">
        <v>5426</v>
      </c>
      <c r="F2840" s="27">
        <v>4985370</v>
      </c>
      <c r="G2840" s="27">
        <v>0</v>
      </c>
      <c r="H2840" s="27">
        <v>0</v>
      </c>
      <c r="I2840" s="27">
        <v>0</v>
      </c>
      <c r="J2840" s="30">
        <f t="shared" si="132"/>
        <v>0</v>
      </c>
      <c r="K2840" s="30">
        <f t="shared" si="133"/>
        <v>0</v>
      </c>
      <c r="L2840" s="26">
        <f t="shared" si="134"/>
        <v>0</v>
      </c>
      <c r="M2840" s="26" t="s">
        <v>5557</v>
      </c>
    </row>
    <row r="2841" spans="1:13" ht="15" customHeight="1">
      <c r="A2841" s="25">
        <v>1779389</v>
      </c>
      <c r="B2841" s="26" t="s">
        <v>5427</v>
      </c>
      <c r="C2841" s="26" t="s">
        <v>11277</v>
      </c>
      <c r="D2841" s="26" t="s">
        <v>11278</v>
      </c>
      <c r="E2841" s="26" t="s">
        <v>5532</v>
      </c>
      <c r="F2841" s="27">
        <v>5508616</v>
      </c>
      <c r="G2841" s="27">
        <v>0</v>
      </c>
      <c r="H2841" s="27">
        <v>0</v>
      </c>
      <c r="I2841" s="27">
        <v>0</v>
      </c>
      <c r="J2841" s="30">
        <f t="shared" si="132"/>
        <v>0</v>
      </c>
      <c r="K2841" s="30">
        <f t="shared" si="133"/>
        <v>0</v>
      </c>
      <c r="L2841" s="26">
        <f t="shared" si="134"/>
        <v>0</v>
      </c>
      <c r="M2841" s="26" t="s">
        <v>5557</v>
      </c>
    </row>
    <row r="2842" spans="1:13" ht="15" customHeight="1">
      <c r="A2842" s="25">
        <v>1779401</v>
      </c>
      <c r="B2842" s="26" t="s">
        <v>5423</v>
      </c>
      <c r="C2842" s="26" t="s">
        <v>11279</v>
      </c>
      <c r="D2842" s="26" t="s">
        <v>11280</v>
      </c>
      <c r="E2842" s="26" t="s">
        <v>5452</v>
      </c>
      <c r="F2842" s="27">
        <v>6220653</v>
      </c>
      <c r="G2842" s="27">
        <v>1</v>
      </c>
      <c r="H2842" s="27">
        <v>0</v>
      </c>
      <c r="I2842" s="27">
        <v>1</v>
      </c>
      <c r="J2842" s="30">
        <f t="shared" si="132"/>
        <v>1</v>
      </c>
      <c r="K2842" s="30">
        <f t="shared" si="133"/>
        <v>0</v>
      </c>
      <c r="L2842" s="26">
        <f t="shared" si="134"/>
        <v>0</v>
      </c>
      <c r="M2842" s="26"/>
    </row>
    <row r="2843" spans="1:13" ht="15" customHeight="1">
      <c r="A2843" s="25">
        <v>1779652</v>
      </c>
      <c r="B2843" s="26" t="s">
        <v>5423</v>
      </c>
      <c r="C2843" s="26" t="s">
        <v>11281</v>
      </c>
      <c r="D2843" s="26" t="s">
        <v>11282</v>
      </c>
      <c r="E2843" s="26" t="s">
        <v>5463</v>
      </c>
      <c r="F2843" s="27">
        <v>6189336</v>
      </c>
      <c r="G2843" s="27">
        <v>1</v>
      </c>
      <c r="H2843" s="27">
        <v>1</v>
      </c>
      <c r="I2843" s="27">
        <v>1</v>
      </c>
      <c r="J2843" s="30">
        <f t="shared" si="132"/>
        <v>1</v>
      </c>
      <c r="K2843" s="30">
        <f t="shared" si="133"/>
        <v>1</v>
      </c>
      <c r="L2843" s="26">
        <f t="shared" si="134"/>
        <v>1</v>
      </c>
      <c r="M2843" s="26" t="s">
        <v>8169</v>
      </c>
    </row>
    <row r="2844" spans="1:13" ht="15" customHeight="1">
      <c r="A2844" s="25">
        <v>1779654</v>
      </c>
      <c r="B2844" s="26" t="s">
        <v>5423</v>
      </c>
      <c r="C2844" s="26" t="s">
        <v>11283</v>
      </c>
      <c r="D2844" s="26" t="s">
        <v>11282</v>
      </c>
      <c r="E2844" s="26" t="s">
        <v>5436</v>
      </c>
      <c r="F2844" s="27">
        <v>6220951</v>
      </c>
      <c r="G2844" s="27">
        <v>1</v>
      </c>
      <c r="H2844" s="27">
        <v>1</v>
      </c>
      <c r="I2844" s="27">
        <v>1</v>
      </c>
      <c r="J2844" s="30">
        <f t="shared" si="132"/>
        <v>1</v>
      </c>
      <c r="K2844" s="30">
        <f t="shared" si="133"/>
        <v>1</v>
      </c>
      <c r="L2844" s="26">
        <f t="shared" si="134"/>
        <v>1</v>
      </c>
      <c r="M2844" s="26" t="s">
        <v>8209</v>
      </c>
    </row>
    <row r="2845" spans="1:13" ht="15" customHeight="1">
      <c r="A2845" s="25">
        <v>1779795</v>
      </c>
      <c r="B2845" s="26" t="s">
        <v>5423</v>
      </c>
      <c r="C2845" s="26" t="s">
        <v>11284</v>
      </c>
      <c r="D2845" s="26" t="s">
        <v>11285</v>
      </c>
      <c r="E2845" s="26" t="s">
        <v>5458</v>
      </c>
      <c r="F2845" s="27">
        <v>6221653</v>
      </c>
      <c r="G2845" s="27">
        <v>1</v>
      </c>
      <c r="H2845" s="27">
        <v>1</v>
      </c>
      <c r="I2845" s="27">
        <v>1</v>
      </c>
      <c r="J2845" s="30">
        <f t="shared" si="132"/>
        <v>1</v>
      </c>
      <c r="K2845" s="30">
        <f t="shared" si="133"/>
        <v>1</v>
      </c>
      <c r="L2845" s="26">
        <f t="shared" si="134"/>
        <v>1</v>
      </c>
      <c r="M2845" s="26"/>
    </row>
    <row r="2846" spans="1:13" ht="15" customHeight="1">
      <c r="A2846" s="25">
        <v>1779922</v>
      </c>
      <c r="B2846" s="26" t="s">
        <v>5423</v>
      </c>
      <c r="C2846" s="26" t="s">
        <v>11286</v>
      </c>
      <c r="D2846" s="26" t="s">
        <v>11287</v>
      </c>
      <c r="E2846" s="26" t="s">
        <v>5447</v>
      </c>
      <c r="F2846" s="27">
        <v>6202806</v>
      </c>
      <c r="G2846" s="27">
        <v>0</v>
      </c>
      <c r="H2846" s="27">
        <v>0</v>
      </c>
      <c r="I2846" s="27">
        <v>0</v>
      </c>
      <c r="J2846" s="30">
        <f t="shared" si="132"/>
        <v>0</v>
      </c>
      <c r="K2846" s="30">
        <f t="shared" si="133"/>
        <v>0</v>
      </c>
      <c r="L2846" s="26">
        <f t="shared" si="134"/>
        <v>0</v>
      </c>
      <c r="M2846" s="26">
        <v>0</v>
      </c>
    </row>
    <row r="2847" spans="1:13" ht="15" customHeight="1">
      <c r="A2847" s="25">
        <v>1780094</v>
      </c>
      <c r="B2847" s="26" t="s">
        <v>5423</v>
      </c>
      <c r="C2847" s="26" t="s">
        <v>11288</v>
      </c>
      <c r="D2847" s="26" t="s">
        <v>11276</v>
      </c>
      <c r="E2847" s="26" t="s">
        <v>5430</v>
      </c>
      <c r="F2847" s="27">
        <v>6209497</v>
      </c>
      <c r="G2847" s="27">
        <v>1</v>
      </c>
      <c r="H2847" s="27">
        <v>0</v>
      </c>
      <c r="I2847" s="27">
        <v>1</v>
      </c>
      <c r="J2847" s="30">
        <f t="shared" si="132"/>
        <v>1</v>
      </c>
      <c r="K2847" s="30">
        <f t="shared" si="133"/>
        <v>0</v>
      </c>
      <c r="L2847" s="26">
        <f t="shared" si="134"/>
        <v>0</v>
      </c>
      <c r="M2847" s="26"/>
    </row>
    <row r="2848" spans="1:13" ht="15" customHeight="1">
      <c r="A2848" s="25">
        <v>1780382</v>
      </c>
      <c r="B2848" s="26" t="s">
        <v>5423</v>
      </c>
      <c r="C2848" s="26" t="s">
        <v>11289</v>
      </c>
      <c r="D2848" s="26" t="s">
        <v>11287</v>
      </c>
      <c r="E2848" s="26" t="s">
        <v>5683</v>
      </c>
      <c r="F2848" s="27">
        <v>6223897</v>
      </c>
      <c r="G2848" s="27">
        <v>0</v>
      </c>
      <c r="H2848" s="27">
        <v>0</v>
      </c>
      <c r="I2848" s="27">
        <v>0</v>
      </c>
      <c r="J2848" s="30">
        <f t="shared" si="132"/>
        <v>0</v>
      </c>
      <c r="K2848" s="30">
        <f t="shared" si="133"/>
        <v>0</v>
      </c>
      <c r="L2848" s="26">
        <f t="shared" si="134"/>
        <v>0</v>
      </c>
      <c r="M2848" s="26">
        <v>0</v>
      </c>
    </row>
    <row r="2849" spans="1:13" ht="15" customHeight="1">
      <c r="A2849" s="25">
        <v>1780510</v>
      </c>
      <c r="B2849" s="26" t="s">
        <v>5423</v>
      </c>
      <c r="C2849" s="26" t="s">
        <v>11290</v>
      </c>
      <c r="D2849" s="26" t="s">
        <v>11278</v>
      </c>
      <c r="E2849" s="26" t="s">
        <v>5491</v>
      </c>
      <c r="F2849" s="27">
        <v>2066541</v>
      </c>
      <c r="G2849" s="27">
        <v>1</v>
      </c>
      <c r="H2849" s="27">
        <v>1</v>
      </c>
      <c r="I2849" s="27">
        <v>1</v>
      </c>
      <c r="J2849" s="30">
        <f t="shared" si="132"/>
        <v>1</v>
      </c>
      <c r="K2849" s="30">
        <f t="shared" si="133"/>
        <v>1</v>
      </c>
      <c r="L2849" s="26">
        <f t="shared" si="134"/>
        <v>1</v>
      </c>
      <c r="M2849" s="26"/>
    </row>
    <row r="2850" spans="1:13" ht="15" customHeight="1">
      <c r="A2850" s="25">
        <v>1780717</v>
      </c>
      <c r="B2850" s="26" t="s">
        <v>5423</v>
      </c>
      <c r="C2850" s="26" t="s">
        <v>11291</v>
      </c>
      <c r="D2850" s="26" t="s">
        <v>11285</v>
      </c>
      <c r="E2850" s="26" t="s">
        <v>5535</v>
      </c>
      <c r="F2850" s="27">
        <v>6223921</v>
      </c>
      <c r="G2850" s="27">
        <v>1</v>
      </c>
      <c r="H2850" s="27">
        <v>0</v>
      </c>
      <c r="I2850" s="27">
        <v>1</v>
      </c>
      <c r="J2850" s="30">
        <f t="shared" si="132"/>
        <v>1</v>
      </c>
      <c r="K2850" s="30">
        <f t="shared" si="133"/>
        <v>0</v>
      </c>
      <c r="L2850" s="26">
        <f t="shared" si="134"/>
        <v>0</v>
      </c>
      <c r="M2850" s="26"/>
    </row>
    <row r="2851" spans="1:13" ht="15" customHeight="1">
      <c r="A2851" s="25">
        <v>1780931</v>
      </c>
      <c r="B2851" s="26" t="s">
        <v>5423</v>
      </c>
      <c r="C2851" s="26" t="s">
        <v>11292</v>
      </c>
      <c r="D2851" s="26" t="s">
        <v>11282</v>
      </c>
      <c r="E2851" s="26" t="s">
        <v>5468</v>
      </c>
      <c r="F2851" s="27">
        <v>6224615</v>
      </c>
      <c r="G2851" s="27">
        <v>0</v>
      </c>
      <c r="H2851" s="27">
        <v>0</v>
      </c>
      <c r="I2851" s="27">
        <v>0</v>
      </c>
      <c r="J2851" s="30">
        <f t="shared" si="132"/>
        <v>0</v>
      </c>
      <c r="K2851" s="30">
        <f t="shared" si="133"/>
        <v>0</v>
      </c>
      <c r="L2851" s="26">
        <f t="shared" si="134"/>
        <v>0</v>
      </c>
      <c r="M2851" s="26" t="s">
        <v>5567</v>
      </c>
    </row>
    <row r="2852" spans="1:13" ht="15" customHeight="1">
      <c r="A2852" s="25">
        <v>1781070</v>
      </c>
      <c r="B2852" s="26" t="s">
        <v>5423</v>
      </c>
      <c r="C2852" s="26" t="s">
        <v>11293</v>
      </c>
      <c r="D2852" s="26" t="s">
        <v>11294</v>
      </c>
      <c r="E2852" s="26" t="s">
        <v>5430</v>
      </c>
      <c r="F2852" s="27">
        <v>6199986</v>
      </c>
      <c r="G2852" s="27">
        <v>1</v>
      </c>
      <c r="H2852" s="27">
        <v>0</v>
      </c>
      <c r="I2852" s="27">
        <v>1</v>
      </c>
      <c r="J2852" s="30">
        <f t="shared" si="132"/>
        <v>1</v>
      </c>
      <c r="K2852" s="30">
        <f t="shared" si="133"/>
        <v>0</v>
      </c>
      <c r="L2852" s="26">
        <f t="shared" si="134"/>
        <v>0</v>
      </c>
      <c r="M2852" s="26"/>
    </row>
    <row r="2853" spans="1:13" ht="15" customHeight="1">
      <c r="A2853" s="25">
        <v>1781081</v>
      </c>
      <c r="B2853" s="26" t="s">
        <v>5423</v>
      </c>
      <c r="C2853" s="26" t="s">
        <v>11295</v>
      </c>
      <c r="D2853" s="26" t="s">
        <v>11282</v>
      </c>
      <c r="E2853" s="26" t="s">
        <v>5535</v>
      </c>
      <c r="F2853" s="27">
        <v>6224928</v>
      </c>
      <c r="G2853" s="27">
        <v>1</v>
      </c>
      <c r="H2853" s="27">
        <v>0</v>
      </c>
      <c r="I2853" s="27">
        <v>1</v>
      </c>
      <c r="J2853" s="30">
        <f t="shared" si="132"/>
        <v>1</v>
      </c>
      <c r="K2853" s="30">
        <f t="shared" si="133"/>
        <v>0</v>
      </c>
      <c r="L2853" s="26">
        <f t="shared" si="134"/>
        <v>0</v>
      </c>
      <c r="M2853" s="26"/>
    </row>
    <row r="2854" spans="1:13" ht="15" customHeight="1">
      <c r="A2854" s="25">
        <v>1781607</v>
      </c>
      <c r="B2854" s="26" t="s">
        <v>5427</v>
      </c>
      <c r="C2854" s="26" t="s">
        <v>11296</v>
      </c>
      <c r="D2854" s="26" t="s">
        <v>11297</v>
      </c>
      <c r="E2854" s="26" t="s">
        <v>5891</v>
      </c>
      <c r="F2854" s="27">
        <v>6226474</v>
      </c>
      <c r="G2854" s="27">
        <v>0</v>
      </c>
      <c r="H2854" s="27">
        <v>0</v>
      </c>
      <c r="I2854" s="27">
        <v>0</v>
      </c>
      <c r="J2854" s="30">
        <f t="shared" si="132"/>
        <v>0</v>
      </c>
      <c r="K2854" s="30">
        <f t="shared" si="133"/>
        <v>0</v>
      </c>
      <c r="L2854" s="26">
        <f t="shared" si="134"/>
        <v>0</v>
      </c>
      <c r="M2854" s="26">
        <v>0</v>
      </c>
    </row>
    <row r="2855" spans="1:13" ht="15" customHeight="1">
      <c r="A2855" s="25">
        <v>1781633</v>
      </c>
      <c r="B2855" s="26" t="s">
        <v>5427</v>
      </c>
      <c r="C2855" s="26" t="s">
        <v>11298</v>
      </c>
      <c r="D2855" s="26" t="s">
        <v>11299</v>
      </c>
      <c r="E2855" s="26" t="s">
        <v>5763</v>
      </c>
      <c r="F2855" s="27">
        <v>6226426</v>
      </c>
      <c r="G2855" s="27">
        <v>0</v>
      </c>
      <c r="H2855" s="27">
        <v>0</v>
      </c>
      <c r="I2855" s="27">
        <v>0</v>
      </c>
      <c r="J2855" s="30">
        <f t="shared" si="132"/>
        <v>0</v>
      </c>
      <c r="K2855" s="30">
        <f t="shared" si="133"/>
        <v>0</v>
      </c>
      <c r="L2855" s="26">
        <f t="shared" si="134"/>
        <v>0</v>
      </c>
      <c r="M2855" s="26" t="s">
        <v>5567</v>
      </c>
    </row>
    <row r="2856" spans="1:13" ht="15" customHeight="1">
      <c r="A2856" s="25">
        <v>1781768</v>
      </c>
      <c r="B2856" s="26" t="s">
        <v>5427</v>
      </c>
      <c r="C2856" s="26" t="s">
        <v>11300</v>
      </c>
      <c r="D2856" s="26" t="s">
        <v>11301</v>
      </c>
      <c r="E2856" s="26" t="s">
        <v>5488</v>
      </c>
      <c r="F2856" s="27">
        <v>6228542</v>
      </c>
      <c r="G2856" s="27">
        <v>0</v>
      </c>
      <c r="H2856" s="27">
        <v>0</v>
      </c>
      <c r="I2856" s="27">
        <v>0</v>
      </c>
      <c r="J2856" s="30">
        <f t="shared" si="132"/>
        <v>0</v>
      </c>
      <c r="K2856" s="30">
        <f t="shared" si="133"/>
        <v>0</v>
      </c>
      <c r="L2856" s="26">
        <f t="shared" si="134"/>
        <v>0</v>
      </c>
      <c r="M2856" s="26">
        <v>0</v>
      </c>
    </row>
    <row r="2857" spans="1:13" ht="15" customHeight="1">
      <c r="A2857" s="25">
        <v>1781885</v>
      </c>
      <c r="B2857" s="26" t="s">
        <v>5423</v>
      </c>
      <c r="C2857" s="26" t="s">
        <v>11302</v>
      </c>
      <c r="D2857" s="26" t="s">
        <v>11301</v>
      </c>
      <c r="E2857" s="26" t="s">
        <v>5458</v>
      </c>
      <c r="F2857" s="27">
        <v>6198249</v>
      </c>
      <c r="G2857" s="27">
        <v>1</v>
      </c>
      <c r="H2857" s="27">
        <v>0</v>
      </c>
      <c r="I2857" s="27">
        <v>1</v>
      </c>
      <c r="J2857" s="30">
        <f t="shared" si="132"/>
        <v>1</v>
      </c>
      <c r="K2857" s="30">
        <f t="shared" si="133"/>
        <v>0</v>
      </c>
      <c r="L2857" s="26">
        <f t="shared" si="134"/>
        <v>0</v>
      </c>
      <c r="M2857" s="26"/>
    </row>
    <row r="2858" spans="1:13" ht="15" customHeight="1">
      <c r="A2858" s="25">
        <v>1781980</v>
      </c>
      <c r="B2858" s="26" t="s">
        <v>5423</v>
      </c>
      <c r="C2858" s="26" t="s">
        <v>11303</v>
      </c>
      <c r="D2858" s="26" t="s">
        <v>11301</v>
      </c>
      <c r="E2858" s="26" t="s">
        <v>5430</v>
      </c>
      <c r="F2858" s="27">
        <v>6228506</v>
      </c>
      <c r="G2858" s="27">
        <v>0</v>
      </c>
      <c r="H2858" s="27">
        <v>0</v>
      </c>
      <c r="I2858" s="27">
        <v>0</v>
      </c>
      <c r="J2858" s="30">
        <f t="shared" si="132"/>
        <v>0</v>
      </c>
      <c r="K2858" s="30">
        <f t="shared" si="133"/>
        <v>0</v>
      </c>
      <c r="L2858" s="26">
        <f t="shared" si="134"/>
        <v>0</v>
      </c>
      <c r="M2858" s="26">
        <v>0</v>
      </c>
    </row>
    <row r="2859" spans="1:13" ht="15" customHeight="1">
      <c r="A2859" s="25">
        <v>1782060</v>
      </c>
      <c r="B2859" s="26" t="s">
        <v>5423</v>
      </c>
      <c r="C2859" s="26" t="s">
        <v>11304</v>
      </c>
      <c r="D2859" s="26" t="s">
        <v>11301</v>
      </c>
      <c r="E2859" s="26" t="s">
        <v>5426</v>
      </c>
      <c r="F2859" s="27">
        <v>6226964</v>
      </c>
      <c r="G2859" s="27">
        <v>0</v>
      </c>
      <c r="H2859" s="27">
        <v>0</v>
      </c>
      <c r="I2859" s="27">
        <v>0</v>
      </c>
      <c r="J2859" s="30">
        <f t="shared" si="132"/>
        <v>0</v>
      </c>
      <c r="K2859" s="30">
        <f t="shared" si="133"/>
        <v>0</v>
      </c>
      <c r="L2859" s="26">
        <f t="shared" si="134"/>
        <v>0</v>
      </c>
      <c r="M2859" s="26">
        <v>0</v>
      </c>
    </row>
    <row r="2860" spans="1:13" ht="15" customHeight="1">
      <c r="A2860" s="25">
        <v>1782237</v>
      </c>
      <c r="B2860" s="26" t="s">
        <v>5427</v>
      </c>
      <c r="C2860" s="26" t="s">
        <v>11305</v>
      </c>
      <c r="D2860" s="26" t="s">
        <v>11301</v>
      </c>
      <c r="E2860" s="26" t="s">
        <v>5586</v>
      </c>
      <c r="F2860" s="27">
        <v>6227910</v>
      </c>
      <c r="G2860" s="27">
        <v>0</v>
      </c>
      <c r="H2860" s="27">
        <v>0</v>
      </c>
      <c r="I2860" s="27">
        <v>0</v>
      </c>
      <c r="J2860" s="30">
        <f t="shared" si="132"/>
        <v>0</v>
      </c>
      <c r="K2860" s="30">
        <f t="shared" si="133"/>
        <v>0</v>
      </c>
      <c r="L2860" s="26">
        <f t="shared" si="134"/>
        <v>0</v>
      </c>
      <c r="M2860" s="26">
        <v>0</v>
      </c>
    </row>
    <row r="2861" spans="1:13" ht="15" customHeight="1">
      <c r="A2861" s="25">
        <v>1782244</v>
      </c>
      <c r="B2861" s="26" t="s">
        <v>5427</v>
      </c>
      <c r="C2861" s="26" t="s">
        <v>11306</v>
      </c>
      <c r="D2861" s="26" t="s">
        <v>11307</v>
      </c>
      <c r="E2861" s="26" t="s">
        <v>5430</v>
      </c>
      <c r="F2861" s="27">
        <v>6227945</v>
      </c>
      <c r="G2861" s="27">
        <v>1</v>
      </c>
      <c r="H2861" s="27">
        <v>1</v>
      </c>
      <c r="I2861" s="27">
        <v>1</v>
      </c>
      <c r="J2861" s="30">
        <f t="shared" si="132"/>
        <v>1</v>
      </c>
      <c r="K2861" s="30">
        <f t="shared" si="133"/>
        <v>1</v>
      </c>
      <c r="L2861" s="26">
        <f t="shared" si="134"/>
        <v>1</v>
      </c>
      <c r="M2861" s="26"/>
    </row>
    <row r="2862" spans="1:13" ht="15" customHeight="1">
      <c r="A2862" s="25">
        <v>1782255</v>
      </c>
      <c r="B2862" s="26" t="s">
        <v>5423</v>
      </c>
      <c r="C2862" s="26" t="s">
        <v>11308</v>
      </c>
      <c r="D2862" s="26" t="s">
        <v>11309</v>
      </c>
      <c r="E2862" s="26" t="s">
        <v>5455</v>
      </c>
      <c r="F2862" s="27">
        <v>6229088</v>
      </c>
      <c r="G2862" s="27">
        <v>0</v>
      </c>
      <c r="H2862" s="27">
        <v>0</v>
      </c>
      <c r="I2862" s="27">
        <v>0</v>
      </c>
      <c r="J2862" s="30">
        <f t="shared" si="132"/>
        <v>0</v>
      </c>
      <c r="K2862" s="30">
        <f t="shared" si="133"/>
        <v>0</v>
      </c>
      <c r="L2862" s="26">
        <f t="shared" si="134"/>
        <v>0</v>
      </c>
      <c r="M2862" s="26">
        <v>0</v>
      </c>
    </row>
    <row r="2863" spans="1:13" ht="15" customHeight="1">
      <c r="A2863" s="25">
        <v>1782561</v>
      </c>
      <c r="B2863" s="26" t="s">
        <v>5423</v>
      </c>
      <c r="C2863" s="26" t="s">
        <v>11310</v>
      </c>
      <c r="D2863" s="26" t="s">
        <v>11309</v>
      </c>
      <c r="E2863" s="26" t="s">
        <v>8392</v>
      </c>
      <c r="F2863" s="27">
        <v>6215732</v>
      </c>
      <c r="G2863" s="27">
        <v>1</v>
      </c>
      <c r="H2863" s="27">
        <v>0</v>
      </c>
      <c r="I2863" s="27">
        <v>1</v>
      </c>
      <c r="J2863" s="30">
        <f t="shared" si="132"/>
        <v>1</v>
      </c>
      <c r="K2863" s="30">
        <f t="shared" si="133"/>
        <v>0</v>
      </c>
      <c r="L2863" s="26">
        <f t="shared" si="134"/>
        <v>0</v>
      </c>
      <c r="M2863" s="26"/>
    </row>
    <row r="2864" spans="1:13" ht="15" customHeight="1">
      <c r="A2864" s="25">
        <v>1782577</v>
      </c>
      <c r="B2864" s="26" t="s">
        <v>5423</v>
      </c>
      <c r="C2864" s="26" t="s">
        <v>11311</v>
      </c>
      <c r="D2864" s="26" t="s">
        <v>11309</v>
      </c>
      <c r="E2864" s="26" t="s">
        <v>5442</v>
      </c>
      <c r="F2864" s="27">
        <v>6229091</v>
      </c>
      <c r="G2864" s="27">
        <v>0</v>
      </c>
      <c r="H2864" s="27">
        <v>0</v>
      </c>
      <c r="I2864" s="27">
        <v>0</v>
      </c>
      <c r="J2864" s="30">
        <f t="shared" si="132"/>
        <v>0</v>
      </c>
      <c r="K2864" s="30">
        <f t="shared" si="133"/>
        <v>0</v>
      </c>
      <c r="L2864" s="26">
        <f t="shared" si="134"/>
        <v>0</v>
      </c>
      <c r="M2864" s="26">
        <v>0</v>
      </c>
    </row>
    <row r="2865" spans="1:13" ht="15" customHeight="1">
      <c r="A2865" s="25">
        <v>1782580</v>
      </c>
      <c r="B2865" s="26" t="s">
        <v>5427</v>
      </c>
      <c r="C2865" s="26" t="s">
        <v>11312</v>
      </c>
      <c r="D2865" s="26" t="s">
        <v>11309</v>
      </c>
      <c r="E2865" s="26" t="s">
        <v>5654</v>
      </c>
      <c r="F2865" s="27"/>
      <c r="G2865" s="27">
        <v>0</v>
      </c>
      <c r="H2865" s="27">
        <v>0</v>
      </c>
      <c r="I2865" s="27">
        <v>0</v>
      </c>
      <c r="J2865" s="30">
        <f t="shared" si="132"/>
        <v>0</v>
      </c>
      <c r="K2865" s="30">
        <f t="shared" si="133"/>
        <v>0</v>
      </c>
      <c r="L2865" s="26">
        <f t="shared" si="134"/>
        <v>0</v>
      </c>
      <c r="M2865" s="26" t="s">
        <v>5557</v>
      </c>
    </row>
    <row r="2866" spans="1:13" ht="15" customHeight="1">
      <c r="A2866" s="25">
        <v>1782585</v>
      </c>
      <c r="B2866" s="26" t="s">
        <v>5423</v>
      </c>
      <c r="C2866" s="26" t="s">
        <v>11313</v>
      </c>
      <c r="D2866" s="26" t="s">
        <v>11309</v>
      </c>
      <c r="E2866" s="26" t="s">
        <v>5480</v>
      </c>
      <c r="F2866" s="27">
        <v>6229081</v>
      </c>
      <c r="G2866" s="27">
        <v>0</v>
      </c>
      <c r="H2866" s="27">
        <v>0</v>
      </c>
      <c r="I2866" s="27">
        <v>0</v>
      </c>
      <c r="J2866" s="30">
        <f t="shared" si="132"/>
        <v>0</v>
      </c>
      <c r="K2866" s="30">
        <f t="shared" si="133"/>
        <v>0</v>
      </c>
      <c r="L2866" s="26">
        <f t="shared" si="134"/>
        <v>0</v>
      </c>
      <c r="M2866" s="26">
        <v>0</v>
      </c>
    </row>
    <row r="2867" spans="1:13" ht="15" customHeight="1">
      <c r="A2867" s="25">
        <v>1782765</v>
      </c>
      <c r="B2867" s="26" t="s">
        <v>5427</v>
      </c>
      <c r="C2867" s="26" t="s">
        <v>11314</v>
      </c>
      <c r="D2867" s="26" t="s">
        <v>11315</v>
      </c>
      <c r="E2867" s="26" t="s">
        <v>5475</v>
      </c>
      <c r="F2867" s="27">
        <v>6218985</v>
      </c>
      <c r="G2867" s="27">
        <v>1</v>
      </c>
      <c r="H2867" s="27">
        <v>0</v>
      </c>
      <c r="I2867" s="27">
        <v>1</v>
      </c>
      <c r="J2867" s="30">
        <f t="shared" si="132"/>
        <v>1</v>
      </c>
      <c r="K2867" s="30">
        <f t="shared" si="133"/>
        <v>0</v>
      </c>
      <c r="L2867" s="26">
        <f t="shared" si="134"/>
        <v>0</v>
      </c>
      <c r="M2867" s="26"/>
    </row>
    <row r="2868" spans="1:13" ht="15" customHeight="1">
      <c r="A2868" s="25">
        <v>1782809</v>
      </c>
      <c r="B2868" s="26" t="s">
        <v>5423</v>
      </c>
      <c r="C2868" s="26" t="s">
        <v>11316</v>
      </c>
      <c r="D2868" s="26" t="s">
        <v>11317</v>
      </c>
      <c r="E2868" s="26" t="s">
        <v>5436</v>
      </c>
      <c r="F2868" s="27"/>
      <c r="G2868" s="27">
        <v>0</v>
      </c>
      <c r="H2868" s="27">
        <v>0</v>
      </c>
      <c r="I2868" s="27">
        <v>0</v>
      </c>
      <c r="J2868" s="30">
        <f t="shared" si="132"/>
        <v>0</v>
      </c>
      <c r="K2868" s="30">
        <f t="shared" si="133"/>
        <v>0</v>
      </c>
      <c r="L2868" s="26">
        <f t="shared" si="134"/>
        <v>0</v>
      </c>
      <c r="M2868" s="26" t="s">
        <v>8216</v>
      </c>
    </row>
    <row r="2869" spans="1:13" ht="15" customHeight="1">
      <c r="A2869" s="25">
        <v>1783153</v>
      </c>
      <c r="B2869" s="26" t="s">
        <v>5427</v>
      </c>
      <c r="C2869" s="26" t="s">
        <v>11318</v>
      </c>
      <c r="D2869" s="26" t="s">
        <v>11319</v>
      </c>
      <c r="E2869" s="26" t="s">
        <v>5550</v>
      </c>
      <c r="F2869" s="27">
        <v>6230711</v>
      </c>
      <c r="G2869" s="27">
        <v>0</v>
      </c>
      <c r="H2869" s="27">
        <v>0</v>
      </c>
      <c r="I2869" s="27">
        <v>0</v>
      </c>
      <c r="J2869" s="30">
        <f t="shared" si="132"/>
        <v>0</v>
      </c>
      <c r="K2869" s="30">
        <f t="shared" si="133"/>
        <v>0</v>
      </c>
      <c r="L2869" s="26">
        <f t="shared" si="134"/>
        <v>0</v>
      </c>
      <c r="M2869" s="26">
        <v>0</v>
      </c>
    </row>
    <row r="2870" spans="1:13" ht="15" customHeight="1">
      <c r="A2870" s="25">
        <v>1783177</v>
      </c>
      <c r="B2870" s="26" t="s">
        <v>5423</v>
      </c>
      <c r="C2870" s="26" t="s">
        <v>11320</v>
      </c>
      <c r="D2870" s="26" t="s">
        <v>11321</v>
      </c>
      <c r="E2870" s="26" t="s">
        <v>5455</v>
      </c>
      <c r="F2870" s="27">
        <v>6230710</v>
      </c>
      <c r="G2870" s="27">
        <v>0</v>
      </c>
      <c r="H2870" s="27">
        <v>0</v>
      </c>
      <c r="I2870" s="27">
        <v>0</v>
      </c>
      <c r="J2870" s="30">
        <f t="shared" si="132"/>
        <v>0</v>
      </c>
      <c r="K2870" s="30">
        <f t="shared" si="133"/>
        <v>0</v>
      </c>
      <c r="L2870" s="26">
        <f t="shared" si="134"/>
        <v>0</v>
      </c>
      <c r="M2870" s="26">
        <v>0</v>
      </c>
    </row>
    <row r="2871" spans="1:13" ht="15" customHeight="1">
      <c r="A2871" s="25">
        <v>1783199</v>
      </c>
      <c r="B2871" s="26" t="s">
        <v>5423</v>
      </c>
      <c r="C2871" s="26" t="s">
        <v>11322</v>
      </c>
      <c r="D2871" s="26" t="s">
        <v>11323</v>
      </c>
      <c r="E2871" s="26" t="s">
        <v>5586</v>
      </c>
      <c r="F2871" s="27"/>
      <c r="G2871" s="27">
        <v>0</v>
      </c>
      <c r="H2871" s="27">
        <v>0</v>
      </c>
      <c r="I2871" s="27">
        <v>0</v>
      </c>
      <c r="J2871" s="30">
        <f t="shared" si="132"/>
        <v>0</v>
      </c>
      <c r="K2871" s="30">
        <f t="shared" si="133"/>
        <v>0</v>
      </c>
      <c r="L2871" s="26">
        <f t="shared" si="134"/>
        <v>0</v>
      </c>
      <c r="M2871" s="26" t="s">
        <v>5557</v>
      </c>
    </row>
    <row r="2872" spans="1:13" ht="15" customHeight="1">
      <c r="A2872" s="25">
        <v>1783216</v>
      </c>
      <c r="B2872" s="26" t="s">
        <v>5423</v>
      </c>
      <c r="C2872" s="26" t="s">
        <v>11324</v>
      </c>
      <c r="D2872" s="26" t="s">
        <v>11319</v>
      </c>
      <c r="E2872" s="26" t="s">
        <v>5475</v>
      </c>
      <c r="F2872" s="27">
        <v>6230714</v>
      </c>
      <c r="G2872" s="27">
        <v>0</v>
      </c>
      <c r="H2872" s="27">
        <v>0</v>
      </c>
      <c r="I2872" s="27">
        <v>0</v>
      </c>
      <c r="J2872" s="30">
        <f t="shared" si="132"/>
        <v>0</v>
      </c>
      <c r="K2872" s="30">
        <f t="shared" si="133"/>
        <v>0</v>
      </c>
      <c r="L2872" s="26">
        <f t="shared" si="134"/>
        <v>0</v>
      </c>
      <c r="M2872" s="26">
        <v>0</v>
      </c>
    </row>
    <row r="2873" spans="1:13" ht="15" customHeight="1">
      <c r="A2873" s="25">
        <v>1783224</v>
      </c>
      <c r="B2873" s="26" t="s">
        <v>5423</v>
      </c>
      <c r="C2873" s="26" t="s">
        <v>11325</v>
      </c>
      <c r="D2873" s="26" t="s">
        <v>11319</v>
      </c>
      <c r="E2873" s="26" t="s">
        <v>5532</v>
      </c>
      <c r="F2873" s="27">
        <v>6230695</v>
      </c>
      <c r="G2873" s="27">
        <v>0</v>
      </c>
      <c r="H2873" s="27">
        <v>0</v>
      </c>
      <c r="I2873" s="27">
        <v>0</v>
      </c>
      <c r="J2873" s="30">
        <f t="shared" si="132"/>
        <v>0</v>
      </c>
      <c r="K2873" s="30">
        <f t="shared" si="133"/>
        <v>0</v>
      </c>
      <c r="L2873" s="26">
        <f t="shared" si="134"/>
        <v>0</v>
      </c>
      <c r="M2873" s="26">
        <v>0</v>
      </c>
    </row>
    <row r="2874" spans="1:13" ht="15" customHeight="1">
      <c r="A2874" s="25">
        <v>1783236</v>
      </c>
      <c r="B2874" s="26" t="s">
        <v>5423</v>
      </c>
      <c r="C2874" s="26" t="s">
        <v>11326</v>
      </c>
      <c r="D2874" s="26" t="s">
        <v>11309</v>
      </c>
      <c r="E2874" s="26" t="s">
        <v>5491</v>
      </c>
      <c r="F2874" s="27">
        <v>6157457</v>
      </c>
      <c r="G2874" s="27">
        <v>0</v>
      </c>
      <c r="H2874" s="27">
        <v>0</v>
      </c>
      <c r="I2874" s="27">
        <v>0</v>
      </c>
      <c r="J2874" s="30">
        <f t="shared" si="132"/>
        <v>0</v>
      </c>
      <c r="K2874" s="30">
        <f t="shared" si="133"/>
        <v>0</v>
      </c>
      <c r="L2874" s="26">
        <f t="shared" si="134"/>
        <v>0</v>
      </c>
      <c r="M2874" s="26">
        <v>0</v>
      </c>
    </row>
    <row r="2875" spans="1:13" ht="15" customHeight="1">
      <c r="A2875" s="25">
        <v>1783401</v>
      </c>
      <c r="B2875" s="26" t="s">
        <v>5423</v>
      </c>
      <c r="C2875" s="26" t="s">
        <v>11327</v>
      </c>
      <c r="D2875" s="26" t="s">
        <v>11319</v>
      </c>
      <c r="E2875" s="26" t="s">
        <v>5468</v>
      </c>
      <c r="F2875" s="27">
        <v>6232317</v>
      </c>
      <c r="G2875" s="27">
        <v>0</v>
      </c>
      <c r="H2875" s="27">
        <v>0</v>
      </c>
      <c r="I2875" s="27">
        <v>0</v>
      </c>
      <c r="J2875" s="30">
        <f t="shared" si="132"/>
        <v>0</v>
      </c>
      <c r="K2875" s="30">
        <f t="shared" si="133"/>
        <v>0</v>
      </c>
      <c r="L2875" s="26">
        <f t="shared" si="134"/>
        <v>0</v>
      </c>
      <c r="M2875" s="26">
        <v>0</v>
      </c>
    </row>
    <row r="2876" spans="1:13" ht="15" customHeight="1">
      <c r="A2876" s="25">
        <v>1783611</v>
      </c>
      <c r="B2876" s="26" t="s">
        <v>5423</v>
      </c>
      <c r="C2876" s="26" t="s">
        <v>11328</v>
      </c>
      <c r="D2876" s="26" t="s">
        <v>11319</v>
      </c>
      <c r="E2876" s="26" t="s">
        <v>5485</v>
      </c>
      <c r="F2876" s="27">
        <v>6232259</v>
      </c>
      <c r="G2876" s="27">
        <v>0</v>
      </c>
      <c r="H2876" s="27">
        <v>0</v>
      </c>
      <c r="I2876" s="27">
        <v>0</v>
      </c>
      <c r="J2876" s="30">
        <f t="shared" si="132"/>
        <v>0</v>
      </c>
      <c r="K2876" s="30">
        <f t="shared" si="133"/>
        <v>0</v>
      </c>
      <c r="L2876" s="26">
        <f t="shared" si="134"/>
        <v>0</v>
      </c>
      <c r="M2876" s="26">
        <v>0</v>
      </c>
    </row>
    <row r="2877" spans="1:13" ht="15" customHeight="1">
      <c r="A2877" s="25">
        <v>1783667</v>
      </c>
      <c r="B2877" s="26" t="s">
        <v>5423</v>
      </c>
      <c r="C2877" s="26" t="s">
        <v>11329</v>
      </c>
      <c r="D2877" s="26" t="s">
        <v>11319</v>
      </c>
      <c r="E2877" s="26" t="s">
        <v>5439</v>
      </c>
      <c r="F2877" s="27">
        <v>5373493</v>
      </c>
      <c r="G2877" s="27">
        <v>1</v>
      </c>
      <c r="H2877" s="27">
        <v>0</v>
      </c>
      <c r="I2877" s="27">
        <v>1</v>
      </c>
      <c r="J2877" s="30">
        <f t="shared" si="132"/>
        <v>1</v>
      </c>
      <c r="K2877" s="30">
        <f t="shared" si="133"/>
        <v>0</v>
      </c>
      <c r="L2877" s="26">
        <f t="shared" si="134"/>
        <v>0</v>
      </c>
      <c r="M2877" s="26"/>
    </row>
    <row r="2878" spans="1:13" ht="15" customHeight="1">
      <c r="A2878" s="25">
        <v>1783792</v>
      </c>
      <c r="B2878" s="26" t="s">
        <v>5423</v>
      </c>
      <c r="C2878" s="26" t="s">
        <v>11330</v>
      </c>
      <c r="D2878" s="26" t="s">
        <v>11319</v>
      </c>
      <c r="E2878" s="26" t="s">
        <v>5463</v>
      </c>
      <c r="F2878" s="27">
        <v>6232266</v>
      </c>
      <c r="G2878" s="27">
        <v>0</v>
      </c>
      <c r="H2878" s="27">
        <v>0</v>
      </c>
      <c r="I2878" s="27">
        <v>0</v>
      </c>
      <c r="J2878" s="30">
        <f t="shared" si="132"/>
        <v>0</v>
      </c>
      <c r="K2878" s="30">
        <f t="shared" si="133"/>
        <v>0</v>
      </c>
      <c r="L2878" s="26">
        <f t="shared" si="134"/>
        <v>0</v>
      </c>
      <c r="M2878" s="26">
        <v>0</v>
      </c>
    </row>
    <row r="2879" spans="1:13" ht="15" customHeight="1">
      <c r="A2879" s="25">
        <v>1783980</v>
      </c>
      <c r="B2879" s="26" t="s">
        <v>5427</v>
      </c>
      <c r="C2879" s="26" t="s">
        <v>11331</v>
      </c>
      <c r="D2879" s="26" t="s">
        <v>11309</v>
      </c>
      <c r="E2879" s="26" t="s">
        <v>5433</v>
      </c>
      <c r="F2879" s="27">
        <v>6222233</v>
      </c>
      <c r="G2879" s="27">
        <v>1</v>
      </c>
      <c r="H2879" s="27">
        <v>1</v>
      </c>
      <c r="I2879" s="27">
        <v>1</v>
      </c>
      <c r="J2879" s="30">
        <f t="shared" si="132"/>
        <v>1</v>
      </c>
      <c r="K2879" s="30">
        <f t="shared" si="133"/>
        <v>1</v>
      </c>
      <c r="L2879" s="26">
        <f t="shared" si="134"/>
        <v>1</v>
      </c>
      <c r="M2879" s="26"/>
    </row>
    <row r="2880" spans="1:13" ht="15" customHeight="1">
      <c r="A2880" s="25">
        <v>1783995</v>
      </c>
      <c r="B2880" s="26" t="s">
        <v>5423</v>
      </c>
      <c r="C2880" s="26" t="s">
        <v>11332</v>
      </c>
      <c r="D2880" s="26" t="s">
        <v>11333</v>
      </c>
      <c r="E2880" s="26" t="s">
        <v>5504</v>
      </c>
      <c r="F2880" s="27">
        <v>5978583</v>
      </c>
      <c r="G2880" s="27">
        <v>0</v>
      </c>
      <c r="H2880" s="27">
        <v>0</v>
      </c>
      <c r="I2880" s="27">
        <v>0</v>
      </c>
      <c r="J2880" s="30">
        <f t="shared" si="132"/>
        <v>0</v>
      </c>
      <c r="K2880" s="30">
        <f t="shared" si="133"/>
        <v>0</v>
      </c>
      <c r="L2880" s="26">
        <f t="shared" si="134"/>
        <v>0</v>
      </c>
      <c r="M2880" s="26">
        <v>0</v>
      </c>
    </row>
    <row r="2881" spans="1:13" ht="15" customHeight="1">
      <c r="A2881" s="25">
        <v>1784132</v>
      </c>
      <c r="B2881" s="26" t="s">
        <v>5427</v>
      </c>
      <c r="C2881" s="26" t="s">
        <v>11334</v>
      </c>
      <c r="D2881" s="26" t="s">
        <v>11335</v>
      </c>
      <c r="E2881" s="26" t="s">
        <v>5447</v>
      </c>
      <c r="F2881" s="27">
        <v>6216801</v>
      </c>
      <c r="G2881" s="27">
        <v>1</v>
      </c>
      <c r="H2881" s="27">
        <v>1</v>
      </c>
      <c r="I2881" s="27">
        <v>1</v>
      </c>
      <c r="J2881" s="30">
        <f t="shared" si="132"/>
        <v>1</v>
      </c>
      <c r="K2881" s="30">
        <f t="shared" si="133"/>
        <v>1</v>
      </c>
      <c r="L2881" s="26">
        <f t="shared" si="134"/>
        <v>1</v>
      </c>
      <c r="M2881" s="26"/>
    </row>
    <row r="2882" spans="1:13" ht="15" customHeight="1">
      <c r="A2882" s="25">
        <v>1784494</v>
      </c>
      <c r="B2882" s="26" t="s">
        <v>5423</v>
      </c>
      <c r="C2882" s="26" t="s">
        <v>11336</v>
      </c>
      <c r="D2882" s="26" t="s">
        <v>11337</v>
      </c>
      <c r="E2882" s="26" t="s">
        <v>5447</v>
      </c>
      <c r="F2882" s="27">
        <v>6202191</v>
      </c>
      <c r="G2882" s="27">
        <v>1</v>
      </c>
      <c r="H2882" s="27">
        <v>0</v>
      </c>
      <c r="I2882" s="27">
        <v>1</v>
      </c>
      <c r="J2882" s="30">
        <f t="shared" ref="J2882:J2945" si="135">IF(G2882&gt;0,1,0)</f>
        <v>1</v>
      </c>
      <c r="K2882" s="30">
        <f t="shared" ref="K2882:K2945" si="136">IF(H2882&gt;0,1,0)</f>
        <v>0</v>
      </c>
      <c r="L2882" s="26">
        <f t="shared" ref="L2882:L2945" si="137">IF(G2882&gt;0,IF(H2882&gt;0,1,0),0)</f>
        <v>0</v>
      </c>
      <c r="M2882" s="26"/>
    </row>
    <row r="2883" spans="1:13" ht="15" customHeight="1">
      <c r="A2883" s="25">
        <v>1784543</v>
      </c>
      <c r="B2883" s="26" t="s">
        <v>5423</v>
      </c>
      <c r="C2883" s="26" t="s">
        <v>11338</v>
      </c>
      <c r="D2883" s="26" t="s">
        <v>11337</v>
      </c>
      <c r="E2883" s="26" t="s">
        <v>5522</v>
      </c>
      <c r="F2883" s="27">
        <v>5805119</v>
      </c>
      <c r="G2883" s="27">
        <v>1</v>
      </c>
      <c r="H2883" s="27">
        <v>0</v>
      </c>
      <c r="I2883" s="27">
        <v>1</v>
      </c>
      <c r="J2883" s="30">
        <f t="shared" si="135"/>
        <v>1</v>
      </c>
      <c r="K2883" s="30">
        <f t="shared" si="136"/>
        <v>0</v>
      </c>
      <c r="L2883" s="26">
        <f t="shared" si="137"/>
        <v>0</v>
      </c>
      <c r="M2883" s="26"/>
    </row>
    <row r="2884" spans="1:13" ht="15" customHeight="1">
      <c r="A2884" s="25">
        <v>1784654</v>
      </c>
      <c r="B2884" s="26" t="s">
        <v>5423</v>
      </c>
      <c r="C2884" s="26" t="s">
        <v>11339</v>
      </c>
      <c r="D2884" s="26" t="s">
        <v>11340</v>
      </c>
      <c r="E2884" s="26" t="s">
        <v>5535</v>
      </c>
      <c r="F2884" s="27">
        <v>6211361</v>
      </c>
      <c r="G2884" s="27">
        <v>0</v>
      </c>
      <c r="H2884" s="27">
        <v>1</v>
      </c>
      <c r="I2884" s="27">
        <v>1</v>
      </c>
      <c r="J2884" s="30">
        <f t="shared" si="135"/>
        <v>0</v>
      </c>
      <c r="K2884" s="30">
        <f t="shared" si="136"/>
        <v>1</v>
      </c>
      <c r="L2884" s="26">
        <f t="shared" si="137"/>
        <v>0</v>
      </c>
      <c r="M2884" s="26"/>
    </row>
    <row r="2885" spans="1:13" ht="15" customHeight="1">
      <c r="A2885" s="25">
        <v>1784760</v>
      </c>
      <c r="B2885" s="26" t="s">
        <v>5423</v>
      </c>
      <c r="C2885" s="26" t="s">
        <v>11341</v>
      </c>
      <c r="D2885" s="26" t="s">
        <v>11342</v>
      </c>
      <c r="E2885" s="26" t="s">
        <v>5683</v>
      </c>
      <c r="F2885" s="27">
        <v>6224408</v>
      </c>
      <c r="G2885" s="27">
        <v>1</v>
      </c>
      <c r="H2885" s="27">
        <v>0</v>
      </c>
      <c r="I2885" s="27">
        <v>1</v>
      </c>
      <c r="J2885" s="30">
        <f t="shared" si="135"/>
        <v>1</v>
      </c>
      <c r="K2885" s="30">
        <f t="shared" si="136"/>
        <v>0</v>
      </c>
      <c r="L2885" s="26">
        <f t="shared" si="137"/>
        <v>0</v>
      </c>
      <c r="M2885" s="26"/>
    </row>
    <row r="2886" spans="1:13" ht="15" customHeight="1">
      <c r="A2886" s="25">
        <v>1784805</v>
      </c>
      <c r="B2886" s="26" t="s">
        <v>5427</v>
      </c>
      <c r="C2886" s="26" t="s">
        <v>11343</v>
      </c>
      <c r="D2886" s="26" t="s">
        <v>11344</v>
      </c>
      <c r="E2886" s="26" t="s">
        <v>6541</v>
      </c>
      <c r="F2886" s="27">
        <v>6235019</v>
      </c>
      <c r="G2886" s="27">
        <v>0</v>
      </c>
      <c r="H2886" s="27">
        <v>0</v>
      </c>
      <c r="I2886" s="27">
        <v>0</v>
      </c>
      <c r="J2886" s="30">
        <f t="shared" si="135"/>
        <v>0</v>
      </c>
      <c r="K2886" s="30">
        <f t="shared" si="136"/>
        <v>0</v>
      </c>
      <c r="L2886" s="26">
        <f t="shared" si="137"/>
        <v>0</v>
      </c>
      <c r="M2886" s="26">
        <v>0</v>
      </c>
    </row>
    <row r="2887" spans="1:13" ht="15" customHeight="1">
      <c r="A2887" s="25">
        <v>1784871</v>
      </c>
      <c r="B2887" s="26" t="s">
        <v>5423</v>
      </c>
      <c r="C2887" s="26" t="s">
        <v>11345</v>
      </c>
      <c r="D2887" s="26" t="s">
        <v>11335</v>
      </c>
      <c r="E2887" s="26" t="s">
        <v>5447</v>
      </c>
      <c r="F2887" s="27">
        <v>5999939</v>
      </c>
      <c r="G2887" s="27">
        <v>1</v>
      </c>
      <c r="H2887" s="27">
        <v>0</v>
      </c>
      <c r="I2887" s="27">
        <v>1</v>
      </c>
      <c r="J2887" s="30">
        <f t="shared" si="135"/>
        <v>1</v>
      </c>
      <c r="K2887" s="30">
        <f t="shared" si="136"/>
        <v>0</v>
      </c>
      <c r="L2887" s="26">
        <f t="shared" si="137"/>
        <v>0</v>
      </c>
      <c r="M2887" s="26"/>
    </row>
    <row r="2888" spans="1:13" ht="15" customHeight="1">
      <c r="A2888" s="25">
        <v>1784886</v>
      </c>
      <c r="B2888" s="26" t="s">
        <v>5427</v>
      </c>
      <c r="C2888" s="26" t="s">
        <v>11346</v>
      </c>
      <c r="D2888" s="26" t="s">
        <v>11347</v>
      </c>
      <c r="E2888" s="26" t="s">
        <v>5763</v>
      </c>
      <c r="F2888" s="27">
        <v>5659634</v>
      </c>
      <c r="G2888" s="27">
        <v>1</v>
      </c>
      <c r="H2888" s="27">
        <v>0</v>
      </c>
      <c r="I2888" s="27">
        <v>1</v>
      </c>
      <c r="J2888" s="30">
        <f t="shared" si="135"/>
        <v>1</v>
      </c>
      <c r="K2888" s="30">
        <f t="shared" si="136"/>
        <v>0</v>
      </c>
      <c r="L2888" s="26">
        <f t="shared" si="137"/>
        <v>0</v>
      </c>
      <c r="M2888" s="26"/>
    </row>
    <row r="2889" spans="1:13" ht="15" customHeight="1">
      <c r="A2889" s="25">
        <v>1785001</v>
      </c>
      <c r="B2889" s="26" t="s">
        <v>5423</v>
      </c>
      <c r="C2889" s="26" t="s">
        <v>11348</v>
      </c>
      <c r="D2889" s="26" t="s">
        <v>11349</v>
      </c>
      <c r="E2889" s="26" t="s">
        <v>5430</v>
      </c>
      <c r="F2889" s="27">
        <v>6225061</v>
      </c>
      <c r="G2889" s="27">
        <v>0</v>
      </c>
      <c r="H2889" s="27">
        <v>0</v>
      </c>
      <c r="I2889" s="27">
        <v>0</v>
      </c>
      <c r="J2889" s="30">
        <f t="shared" si="135"/>
        <v>0</v>
      </c>
      <c r="K2889" s="30">
        <f t="shared" si="136"/>
        <v>0</v>
      </c>
      <c r="L2889" s="26">
        <f t="shared" si="137"/>
        <v>0</v>
      </c>
      <c r="M2889" s="26">
        <v>0</v>
      </c>
    </row>
    <row r="2890" spans="1:13" ht="15" customHeight="1">
      <c r="A2890" s="25">
        <v>1785265</v>
      </c>
      <c r="B2890" s="26" t="s">
        <v>5423</v>
      </c>
      <c r="C2890" s="26" t="s">
        <v>11350</v>
      </c>
      <c r="D2890" s="26" t="s">
        <v>11349</v>
      </c>
      <c r="E2890" s="26" t="s">
        <v>5485</v>
      </c>
      <c r="F2890" s="27">
        <v>5736754</v>
      </c>
      <c r="G2890" s="27">
        <v>1</v>
      </c>
      <c r="H2890" s="27">
        <v>0</v>
      </c>
      <c r="I2890" s="27">
        <v>1</v>
      </c>
      <c r="J2890" s="30">
        <f t="shared" si="135"/>
        <v>1</v>
      </c>
      <c r="K2890" s="30">
        <f t="shared" si="136"/>
        <v>0</v>
      </c>
      <c r="L2890" s="26">
        <f t="shared" si="137"/>
        <v>0</v>
      </c>
      <c r="M2890" s="26"/>
    </row>
    <row r="2891" spans="1:13" ht="15" customHeight="1">
      <c r="A2891" s="25">
        <v>1785310</v>
      </c>
      <c r="B2891" s="26" t="s">
        <v>5423</v>
      </c>
      <c r="C2891" s="26" t="s">
        <v>11351</v>
      </c>
      <c r="D2891" s="26" t="s">
        <v>11352</v>
      </c>
      <c r="E2891" s="26" t="s">
        <v>5452</v>
      </c>
      <c r="F2891" s="27">
        <v>6236783</v>
      </c>
      <c r="G2891" s="27">
        <v>0</v>
      </c>
      <c r="H2891" s="27">
        <v>0</v>
      </c>
      <c r="I2891" s="27">
        <v>0</v>
      </c>
      <c r="J2891" s="30">
        <f t="shared" si="135"/>
        <v>0</v>
      </c>
      <c r="K2891" s="30">
        <f t="shared" si="136"/>
        <v>0</v>
      </c>
      <c r="L2891" s="26">
        <f t="shared" si="137"/>
        <v>0</v>
      </c>
      <c r="M2891" s="26">
        <v>0</v>
      </c>
    </row>
    <row r="2892" spans="1:13" ht="15" customHeight="1">
      <c r="A2892" s="25">
        <v>1785327</v>
      </c>
      <c r="B2892" s="26" t="s">
        <v>5423</v>
      </c>
      <c r="C2892" s="26" t="s">
        <v>11353</v>
      </c>
      <c r="D2892" s="26" t="s">
        <v>11349</v>
      </c>
      <c r="E2892" s="26" t="s">
        <v>5540</v>
      </c>
      <c r="F2892" s="27">
        <v>6236775</v>
      </c>
      <c r="G2892" s="27">
        <v>0</v>
      </c>
      <c r="H2892" s="27">
        <v>0</v>
      </c>
      <c r="I2892" s="27">
        <v>0</v>
      </c>
      <c r="J2892" s="30">
        <f t="shared" si="135"/>
        <v>0</v>
      </c>
      <c r="K2892" s="30">
        <f t="shared" si="136"/>
        <v>0</v>
      </c>
      <c r="L2892" s="26">
        <f t="shared" si="137"/>
        <v>0</v>
      </c>
      <c r="M2892" s="26">
        <v>0</v>
      </c>
    </row>
    <row r="2893" spans="1:13" ht="15" customHeight="1">
      <c r="A2893" s="25">
        <v>1785545</v>
      </c>
      <c r="B2893" s="26" t="s">
        <v>5423</v>
      </c>
      <c r="C2893" s="26" t="s">
        <v>11354</v>
      </c>
      <c r="D2893" s="26" t="s">
        <v>11355</v>
      </c>
      <c r="E2893" s="26" t="s">
        <v>5491</v>
      </c>
      <c r="F2893" s="27">
        <v>6173397</v>
      </c>
      <c r="G2893" s="27">
        <v>0</v>
      </c>
      <c r="H2893" s="27">
        <v>0</v>
      </c>
      <c r="I2893" s="27">
        <v>0</v>
      </c>
      <c r="J2893" s="30">
        <f t="shared" si="135"/>
        <v>0</v>
      </c>
      <c r="K2893" s="30">
        <f t="shared" si="136"/>
        <v>0</v>
      </c>
      <c r="L2893" s="26">
        <f t="shared" si="137"/>
        <v>0</v>
      </c>
      <c r="M2893" s="26" t="s">
        <v>11356</v>
      </c>
    </row>
    <row r="2894" spans="1:13" ht="15" customHeight="1">
      <c r="A2894" s="25">
        <v>1785762</v>
      </c>
      <c r="B2894" s="26" t="s">
        <v>5423</v>
      </c>
      <c r="C2894" s="26" t="s">
        <v>11357</v>
      </c>
      <c r="D2894" s="26" t="s">
        <v>11358</v>
      </c>
      <c r="E2894" s="26" t="s">
        <v>5517</v>
      </c>
      <c r="F2894" s="27">
        <v>6237316</v>
      </c>
      <c r="G2894" s="27">
        <v>0</v>
      </c>
      <c r="H2894" s="27">
        <v>0</v>
      </c>
      <c r="I2894" s="27">
        <v>0</v>
      </c>
      <c r="J2894" s="30">
        <f t="shared" si="135"/>
        <v>0</v>
      </c>
      <c r="K2894" s="30">
        <f t="shared" si="136"/>
        <v>0</v>
      </c>
      <c r="L2894" s="26">
        <f t="shared" si="137"/>
        <v>0</v>
      </c>
      <c r="M2894" s="26">
        <v>0</v>
      </c>
    </row>
    <row r="2895" spans="1:13" ht="15" customHeight="1">
      <c r="A2895" s="25">
        <v>1785785</v>
      </c>
      <c r="B2895" s="26" t="s">
        <v>5423</v>
      </c>
      <c r="C2895" s="26" t="s">
        <v>11359</v>
      </c>
      <c r="D2895" s="26" t="s">
        <v>11358</v>
      </c>
      <c r="E2895" s="26" t="s">
        <v>5718</v>
      </c>
      <c r="F2895" s="27">
        <v>6237326</v>
      </c>
      <c r="G2895" s="27">
        <v>0</v>
      </c>
      <c r="H2895" s="27">
        <v>0</v>
      </c>
      <c r="I2895" s="27">
        <v>0</v>
      </c>
      <c r="J2895" s="30">
        <f t="shared" si="135"/>
        <v>0</v>
      </c>
      <c r="K2895" s="30">
        <f t="shared" si="136"/>
        <v>0</v>
      </c>
      <c r="L2895" s="26">
        <f t="shared" si="137"/>
        <v>0</v>
      </c>
      <c r="M2895" s="26">
        <v>0</v>
      </c>
    </row>
    <row r="2896" spans="1:13" ht="15" customHeight="1">
      <c r="A2896" s="25">
        <v>1785811</v>
      </c>
      <c r="B2896" s="26" t="s">
        <v>5427</v>
      </c>
      <c r="C2896" s="26" t="s">
        <v>11360</v>
      </c>
      <c r="D2896" s="26" t="s">
        <v>11358</v>
      </c>
      <c r="E2896" s="26" t="s">
        <v>5480</v>
      </c>
      <c r="F2896" s="27">
        <v>6227518</v>
      </c>
      <c r="G2896" s="27">
        <v>1</v>
      </c>
      <c r="H2896" s="27">
        <v>1</v>
      </c>
      <c r="I2896" s="27">
        <v>1</v>
      </c>
      <c r="J2896" s="30">
        <f t="shared" si="135"/>
        <v>1</v>
      </c>
      <c r="K2896" s="30">
        <f t="shared" si="136"/>
        <v>1</v>
      </c>
      <c r="L2896" s="26">
        <f t="shared" si="137"/>
        <v>1</v>
      </c>
      <c r="M2896" s="26"/>
    </row>
    <row r="2897" spans="1:13" ht="15" customHeight="1">
      <c r="A2897" s="25">
        <v>1786068</v>
      </c>
      <c r="B2897" s="26" t="s">
        <v>5423</v>
      </c>
      <c r="C2897" s="26" t="s">
        <v>11361</v>
      </c>
      <c r="D2897" s="26" t="s">
        <v>11323</v>
      </c>
      <c r="E2897" s="26" t="s">
        <v>5436</v>
      </c>
      <c r="F2897" s="27">
        <v>6239605</v>
      </c>
      <c r="G2897" s="27">
        <v>0</v>
      </c>
      <c r="H2897" s="27">
        <v>0</v>
      </c>
      <c r="I2897" s="27">
        <v>0</v>
      </c>
      <c r="J2897" s="30">
        <f t="shared" si="135"/>
        <v>0</v>
      </c>
      <c r="K2897" s="30">
        <f t="shared" si="136"/>
        <v>0</v>
      </c>
      <c r="L2897" s="26">
        <f t="shared" si="137"/>
        <v>0</v>
      </c>
      <c r="M2897" s="26">
        <v>0</v>
      </c>
    </row>
    <row r="2898" spans="1:13" ht="15" customHeight="1">
      <c r="A2898" s="25">
        <v>1786332</v>
      </c>
      <c r="B2898" s="26" t="s">
        <v>5427</v>
      </c>
      <c r="C2898" s="26" t="s">
        <v>11362</v>
      </c>
      <c r="D2898" s="26" t="s">
        <v>11363</v>
      </c>
      <c r="E2898" s="26" t="s">
        <v>5545</v>
      </c>
      <c r="F2898" s="27">
        <v>6136809</v>
      </c>
      <c r="G2898" s="27">
        <v>1</v>
      </c>
      <c r="H2898" s="27">
        <v>1</v>
      </c>
      <c r="I2898" s="27">
        <v>1</v>
      </c>
      <c r="J2898" s="30">
        <f t="shared" si="135"/>
        <v>1</v>
      </c>
      <c r="K2898" s="30">
        <f t="shared" si="136"/>
        <v>1</v>
      </c>
      <c r="L2898" s="26">
        <f t="shared" si="137"/>
        <v>1</v>
      </c>
      <c r="M2898" s="26"/>
    </row>
    <row r="2899" spans="1:13" ht="15" customHeight="1">
      <c r="A2899" s="25">
        <v>1786365</v>
      </c>
      <c r="B2899" s="26" t="s">
        <v>5423</v>
      </c>
      <c r="C2899" s="26" t="s">
        <v>11364</v>
      </c>
      <c r="D2899" s="26" t="s">
        <v>11365</v>
      </c>
      <c r="E2899" s="26" t="s">
        <v>5532</v>
      </c>
      <c r="F2899" s="27">
        <v>6238807</v>
      </c>
      <c r="G2899" s="27">
        <v>1</v>
      </c>
      <c r="H2899" s="27">
        <v>0</v>
      </c>
      <c r="I2899" s="27">
        <v>1</v>
      </c>
      <c r="J2899" s="30">
        <f t="shared" si="135"/>
        <v>1</v>
      </c>
      <c r="K2899" s="30">
        <f t="shared" si="136"/>
        <v>0</v>
      </c>
      <c r="L2899" s="26">
        <f t="shared" si="137"/>
        <v>0</v>
      </c>
      <c r="M2899" s="26"/>
    </row>
    <row r="2900" spans="1:13" ht="15" customHeight="1">
      <c r="A2900" s="25">
        <v>1786369</v>
      </c>
      <c r="B2900" s="26" t="s">
        <v>5427</v>
      </c>
      <c r="C2900" s="26" t="s">
        <v>11366</v>
      </c>
      <c r="D2900" s="26" t="s">
        <v>11367</v>
      </c>
      <c r="E2900" s="26" t="s">
        <v>5439</v>
      </c>
      <c r="F2900" s="27">
        <v>6238571</v>
      </c>
      <c r="G2900" s="27">
        <v>1</v>
      </c>
      <c r="H2900" s="27">
        <v>1</v>
      </c>
      <c r="I2900" s="27">
        <v>1</v>
      </c>
      <c r="J2900" s="30">
        <f t="shared" si="135"/>
        <v>1</v>
      </c>
      <c r="K2900" s="30">
        <f t="shared" si="136"/>
        <v>1</v>
      </c>
      <c r="L2900" s="26">
        <f t="shared" si="137"/>
        <v>1</v>
      </c>
      <c r="M2900" s="26"/>
    </row>
    <row r="2901" spans="1:13" ht="15" customHeight="1">
      <c r="A2901" s="25">
        <v>1786375</v>
      </c>
      <c r="B2901" s="26" t="s">
        <v>5427</v>
      </c>
      <c r="C2901" s="26" t="s">
        <v>11368</v>
      </c>
      <c r="D2901" s="26" t="s">
        <v>11365</v>
      </c>
      <c r="E2901" s="26" t="s">
        <v>5442</v>
      </c>
      <c r="F2901" s="27">
        <v>6238755</v>
      </c>
      <c r="G2901" s="27">
        <v>1</v>
      </c>
      <c r="H2901" s="27">
        <v>0</v>
      </c>
      <c r="I2901" s="27">
        <v>1</v>
      </c>
      <c r="J2901" s="30">
        <f t="shared" si="135"/>
        <v>1</v>
      </c>
      <c r="K2901" s="30">
        <f t="shared" si="136"/>
        <v>0</v>
      </c>
      <c r="L2901" s="26">
        <f t="shared" si="137"/>
        <v>0</v>
      </c>
      <c r="M2901" s="26"/>
    </row>
    <row r="2902" spans="1:13" ht="15" customHeight="1">
      <c r="A2902" s="25">
        <v>1786380</v>
      </c>
      <c r="B2902" s="26" t="s">
        <v>5427</v>
      </c>
      <c r="C2902" s="26" t="s">
        <v>11369</v>
      </c>
      <c r="D2902" s="26" t="s">
        <v>11370</v>
      </c>
      <c r="E2902" s="26" t="s">
        <v>5517</v>
      </c>
      <c r="F2902" s="27">
        <v>5071012</v>
      </c>
      <c r="G2902" s="27">
        <v>0</v>
      </c>
      <c r="H2902" s="27">
        <v>0</v>
      </c>
      <c r="I2902" s="27">
        <v>0</v>
      </c>
      <c r="J2902" s="30">
        <f t="shared" si="135"/>
        <v>0</v>
      </c>
      <c r="K2902" s="30">
        <f t="shared" si="136"/>
        <v>0</v>
      </c>
      <c r="L2902" s="26">
        <f t="shared" si="137"/>
        <v>0</v>
      </c>
      <c r="M2902" s="26" t="s">
        <v>10819</v>
      </c>
    </row>
    <row r="2903" spans="1:13" ht="15" customHeight="1">
      <c r="A2903" s="25">
        <v>1786710</v>
      </c>
      <c r="B2903" s="26" t="s">
        <v>5423</v>
      </c>
      <c r="C2903" s="26" t="s">
        <v>11371</v>
      </c>
      <c r="D2903" s="26" t="s">
        <v>11365</v>
      </c>
      <c r="E2903" s="26" t="s">
        <v>5488</v>
      </c>
      <c r="F2903" s="27">
        <v>6203649</v>
      </c>
      <c r="G2903" s="27">
        <v>1</v>
      </c>
      <c r="H2903" s="27">
        <v>0</v>
      </c>
      <c r="I2903" s="27">
        <v>1</v>
      </c>
      <c r="J2903" s="30">
        <f t="shared" si="135"/>
        <v>1</v>
      </c>
      <c r="K2903" s="30">
        <f t="shared" si="136"/>
        <v>0</v>
      </c>
      <c r="L2903" s="26">
        <f t="shared" si="137"/>
        <v>0</v>
      </c>
      <c r="M2903" s="26"/>
    </row>
    <row r="2904" spans="1:13" ht="15" customHeight="1">
      <c r="A2904" s="25">
        <v>1786862</v>
      </c>
      <c r="B2904" s="26" t="s">
        <v>5427</v>
      </c>
      <c r="C2904" s="26" t="s">
        <v>11372</v>
      </c>
      <c r="D2904" s="26" t="s">
        <v>11373</v>
      </c>
      <c r="E2904" s="26" t="s">
        <v>5458</v>
      </c>
      <c r="F2904" s="27">
        <v>6241002</v>
      </c>
      <c r="G2904" s="27">
        <v>0</v>
      </c>
      <c r="H2904" s="27">
        <v>0</v>
      </c>
      <c r="I2904" s="27">
        <v>0</v>
      </c>
      <c r="J2904" s="30">
        <f t="shared" si="135"/>
        <v>0</v>
      </c>
      <c r="K2904" s="30">
        <f t="shared" si="136"/>
        <v>0</v>
      </c>
      <c r="L2904" s="26">
        <f t="shared" si="137"/>
        <v>0</v>
      </c>
      <c r="M2904" s="26">
        <v>0</v>
      </c>
    </row>
    <row r="2905" spans="1:13" ht="15" customHeight="1">
      <c r="A2905" s="25">
        <v>1787237</v>
      </c>
      <c r="B2905" s="26" t="s">
        <v>5427</v>
      </c>
      <c r="C2905" s="26" t="s">
        <v>11374</v>
      </c>
      <c r="D2905" s="26" t="s">
        <v>11375</v>
      </c>
      <c r="E2905" s="26" t="s">
        <v>8392</v>
      </c>
      <c r="F2905" s="27">
        <v>5420423</v>
      </c>
      <c r="G2905" s="27">
        <v>0</v>
      </c>
      <c r="H2905" s="27">
        <v>0</v>
      </c>
      <c r="I2905" s="27">
        <v>0</v>
      </c>
      <c r="J2905" s="30">
        <f t="shared" si="135"/>
        <v>0</v>
      </c>
      <c r="K2905" s="30">
        <f t="shared" si="136"/>
        <v>0</v>
      </c>
      <c r="L2905" s="26">
        <f t="shared" si="137"/>
        <v>0</v>
      </c>
      <c r="M2905" s="26" t="s">
        <v>5557</v>
      </c>
    </row>
    <row r="2906" spans="1:13" ht="15" customHeight="1">
      <c r="A2906" s="25">
        <v>1787238</v>
      </c>
      <c r="B2906" s="26" t="s">
        <v>5423</v>
      </c>
      <c r="C2906" s="26" t="s">
        <v>11376</v>
      </c>
      <c r="D2906" s="26" t="s">
        <v>11365</v>
      </c>
      <c r="E2906" s="26" t="s">
        <v>5504</v>
      </c>
      <c r="F2906" s="27">
        <v>6240865</v>
      </c>
      <c r="G2906" s="27">
        <v>0</v>
      </c>
      <c r="H2906" s="27">
        <v>0</v>
      </c>
      <c r="I2906" s="27">
        <v>0</v>
      </c>
      <c r="J2906" s="30">
        <f t="shared" si="135"/>
        <v>0</v>
      </c>
      <c r="K2906" s="30">
        <f t="shared" si="136"/>
        <v>0</v>
      </c>
      <c r="L2906" s="26">
        <f t="shared" si="137"/>
        <v>0</v>
      </c>
      <c r="M2906" s="26">
        <v>0</v>
      </c>
    </row>
    <row r="2907" spans="1:13" ht="15" customHeight="1">
      <c r="A2907" s="25">
        <v>1787264</v>
      </c>
      <c r="B2907" s="26" t="s">
        <v>5423</v>
      </c>
      <c r="C2907" s="26" t="s">
        <v>11377</v>
      </c>
      <c r="D2907" s="26" t="s">
        <v>11365</v>
      </c>
      <c r="E2907" s="26" t="s">
        <v>5468</v>
      </c>
      <c r="F2907" s="27">
        <v>6240513</v>
      </c>
      <c r="G2907" s="27">
        <v>0</v>
      </c>
      <c r="H2907" s="27">
        <v>0</v>
      </c>
      <c r="I2907" s="27">
        <v>0</v>
      </c>
      <c r="J2907" s="30">
        <f t="shared" si="135"/>
        <v>0</v>
      </c>
      <c r="K2907" s="30">
        <f t="shared" si="136"/>
        <v>0</v>
      </c>
      <c r="L2907" s="26">
        <f t="shared" si="137"/>
        <v>0</v>
      </c>
      <c r="M2907" s="26">
        <v>0</v>
      </c>
    </row>
    <row r="2908" spans="1:13" ht="15" customHeight="1">
      <c r="A2908" s="25">
        <v>1787338</v>
      </c>
      <c r="B2908" s="26" t="s">
        <v>5427</v>
      </c>
      <c r="C2908" s="26" t="s">
        <v>11378</v>
      </c>
      <c r="D2908" s="26" t="s">
        <v>11379</v>
      </c>
      <c r="E2908" s="26" t="s">
        <v>5452</v>
      </c>
      <c r="F2908" s="27">
        <v>6241476</v>
      </c>
      <c r="G2908" s="27">
        <v>1</v>
      </c>
      <c r="H2908" s="27">
        <v>1</v>
      </c>
      <c r="I2908" s="27">
        <v>1</v>
      </c>
      <c r="J2908" s="30">
        <f t="shared" si="135"/>
        <v>1</v>
      </c>
      <c r="K2908" s="30">
        <f t="shared" si="136"/>
        <v>1</v>
      </c>
      <c r="L2908" s="26">
        <f t="shared" si="137"/>
        <v>1</v>
      </c>
      <c r="M2908" s="26"/>
    </row>
    <row r="2909" spans="1:13" ht="15" customHeight="1">
      <c r="A2909" s="25">
        <v>1787707</v>
      </c>
      <c r="B2909" s="26" t="s">
        <v>5423</v>
      </c>
      <c r="C2909" s="26" t="s">
        <v>11380</v>
      </c>
      <c r="D2909" s="26" t="s">
        <v>11381</v>
      </c>
      <c r="E2909" s="26" t="s">
        <v>5463</v>
      </c>
      <c r="F2909" s="27">
        <v>6243499</v>
      </c>
      <c r="G2909" s="27">
        <v>0</v>
      </c>
      <c r="H2909" s="27">
        <v>0</v>
      </c>
      <c r="I2909" s="27">
        <v>0</v>
      </c>
      <c r="J2909" s="30">
        <f t="shared" si="135"/>
        <v>0</v>
      </c>
      <c r="K2909" s="30">
        <f t="shared" si="136"/>
        <v>0</v>
      </c>
      <c r="L2909" s="26">
        <f t="shared" si="137"/>
        <v>0</v>
      </c>
      <c r="M2909" s="26">
        <v>0</v>
      </c>
    </row>
    <row r="2910" spans="1:13" ht="15" customHeight="1">
      <c r="A2910" s="25">
        <v>1787952</v>
      </c>
      <c r="B2910" s="26" t="s">
        <v>5427</v>
      </c>
      <c r="C2910" s="26" t="s">
        <v>11382</v>
      </c>
      <c r="D2910" s="26" t="s">
        <v>11383</v>
      </c>
      <c r="E2910" s="26" t="s">
        <v>5540</v>
      </c>
      <c r="F2910" s="27">
        <v>6243593</v>
      </c>
      <c r="G2910" s="27">
        <v>0</v>
      </c>
      <c r="H2910" s="27">
        <v>0</v>
      </c>
      <c r="I2910" s="27">
        <v>0</v>
      </c>
      <c r="J2910" s="30">
        <f t="shared" si="135"/>
        <v>0</v>
      </c>
      <c r="K2910" s="30">
        <f t="shared" si="136"/>
        <v>0</v>
      </c>
      <c r="L2910" s="26">
        <f t="shared" si="137"/>
        <v>0</v>
      </c>
      <c r="M2910" s="26">
        <v>0</v>
      </c>
    </row>
    <row r="2911" spans="1:13" ht="15" customHeight="1">
      <c r="A2911" s="25">
        <v>1788162</v>
      </c>
      <c r="B2911" s="26" t="s">
        <v>5423</v>
      </c>
      <c r="C2911" s="26" t="s">
        <v>11384</v>
      </c>
      <c r="D2911" s="26" t="s">
        <v>11385</v>
      </c>
      <c r="E2911" s="26" t="s">
        <v>5426</v>
      </c>
      <c r="F2911" s="27">
        <v>4893249</v>
      </c>
      <c r="G2911" s="27">
        <v>1</v>
      </c>
      <c r="H2911" s="27">
        <v>0</v>
      </c>
      <c r="I2911" s="27">
        <v>1</v>
      </c>
      <c r="J2911" s="30">
        <f t="shared" si="135"/>
        <v>1</v>
      </c>
      <c r="K2911" s="30">
        <f t="shared" si="136"/>
        <v>0</v>
      </c>
      <c r="L2911" s="26">
        <f t="shared" si="137"/>
        <v>0</v>
      </c>
      <c r="M2911" s="26"/>
    </row>
    <row r="2912" spans="1:13" ht="15" customHeight="1">
      <c r="A2912" s="25">
        <v>1788325</v>
      </c>
      <c r="B2912" s="26" t="s">
        <v>5423</v>
      </c>
      <c r="C2912" s="26" t="s">
        <v>11386</v>
      </c>
      <c r="D2912" s="26" t="s">
        <v>11387</v>
      </c>
      <c r="E2912" s="26" t="s">
        <v>5426</v>
      </c>
      <c r="F2912" s="27">
        <v>6244728</v>
      </c>
      <c r="G2912" s="27">
        <v>0</v>
      </c>
      <c r="H2912" s="27">
        <v>0</v>
      </c>
      <c r="I2912" s="27">
        <v>0</v>
      </c>
      <c r="J2912" s="30">
        <f t="shared" si="135"/>
        <v>0</v>
      </c>
      <c r="K2912" s="30">
        <f t="shared" si="136"/>
        <v>0</v>
      </c>
      <c r="L2912" s="26">
        <f t="shared" si="137"/>
        <v>0</v>
      </c>
      <c r="M2912" s="26">
        <v>0</v>
      </c>
    </row>
    <row r="2913" spans="1:13" ht="15" customHeight="1">
      <c r="A2913" s="25">
        <v>1788333</v>
      </c>
      <c r="B2913" s="26" t="s">
        <v>5423</v>
      </c>
      <c r="C2913" s="26" t="s">
        <v>11388</v>
      </c>
      <c r="D2913" s="26" t="s">
        <v>11379</v>
      </c>
      <c r="E2913" s="26" t="s">
        <v>5517</v>
      </c>
      <c r="F2913" s="27">
        <v>5844486</v>
      </c>
      <c r="G2913" s="27">
        <v>0</v>
      </c>
      <c r="H2913" s="27">
        <v>0</v>
      </c>
      <c r="I2913" s="27">
        <v>0</v>
      </c>
      <c r="J2913" s="30">
        <f t="shared" si="135"/>
        <v>0</v>
      </c>
      <c r="K2913" s="30">
        <f t="shared" si="136"/>
        <v>0</v>
      </c>
      <c r="L2913" s="26">
        <f t="shared" si="137"/>
        <v>0</v>
      </c>
      <c r="M2913" s="26" t="s">
        <v>5557</v>
      </c>
    </row>
    <row r="2914" spans="1:13" ht="15" customHeight="1">
      <c r="A2914" s="25">
        <v>1788400</v>
      </c>
      <c r="B2914" s="26" t="s">
        <v>5423</v>
      </c>
      <c r="C2914" s="26" t="s">
        <v>11389</v>
      </c>
      <c r="D2914" s="26" t="s">
        <v>11390</v>
      </c>
      <c r="E2914" s="26" t="s">
        <v>5683</v>
      </c>
      <c r="F2914" s="27">
        <v>6243752</v>
      </c>
      <c r="G2914" s="27">
        <v>0</v>
      </c>
      <c r="H2914" s="27">
        <v>1</v>
      </c>
      <c r="I2914" s="27">
        <v>1</v>
      </c>
      <c r="J2914" s="30">
        <f t="shared" si="135"/>
        <v>0</v>
      </c>
      <c r="K2914" s="30">
        <f t="shared" si="136"/>
        <v>1</v>
      </c>
      <c r="L2914" s="26">
        <f t="shared" si="137"/>
        <v>0</v>
      </c>
      <c r="M2914" s="26"/>
    </row>
    <row r="2915" spans="1:13" ht="15" customHeight="1">
      <c r="A2915" s="25">
        <v>1788403</v>
      </c>
      <c r="B2915" s="26" t="s">
        <v>5427</v>
      </c>
      <c r="C2915" s="26" t="s">
        <v>11391</v>
      </c>
      <c r="D2915" s="26" t="s">
        <v>11392</v>
      </c>
      <c r="E2915" s="26" t="s">
        <v>5545</v>
      </c>
      <c r="F2915" s="27">
        <v>6243661</v>
      </c>
      <c r="G2915" s="27">
        <v>1</v>
      </c>
      <c r="H2915" s="27">
        <v>1</v>
      </c>
      <c r="I2915" s="27">
        <v>1</v>
      </c>
      <c r="J2915" s="30">
        <f t="shared" si="135"/>
        <v>1</v>
      </c>
      <c r="K2915" s="30">
        <f t="shared" si="136"/>
        <v>1</v>
      </c>
      <c r="L2915" s="26">
        <f t="shared" si="137"/>
        <v>1</v>
      </c>
      <c r="M2915" s="26" t="s">
        <v>9423</v>
      </c>
    </row>
    <row r="2916" spans="1:13" ht="15" customHeight="1">
      <c r="A2916" s="25">
        <v>1788912</v>
      </c>
      <c r="B2916" s="26" t="s">
        <v>5423</v>
      </c>
      <c r="C2916" s="26" t="s">
        <v>11393</v>
      </c>
      <c r="D2916" s="26" t="s">
        <v>11355</v>
      </c>
      <c r="E2916" s="26" t="s">
        <v>5439</v>
      </c>
      <c r="F2916" s="27">
        <v>5356754</v>
      </c>
      <c r="G2916" s="27">
        <v>0</v>
      </c>
      <c r="H2916" s="27">
        <v>1</v>
      </c>
      <c r="I2916" s="27">
        <v>1</v>
      </c>
      <c r="J2916" s="30">
        <f t="shared" si="135"/>
        <v>0</v>
      </c>
      <c r="K2916" s="30">
        <f t="shared" si="136"/>
        <v>1</v>
      </c>
      <c r="L2916" s="26">
        <f t="shared" si="137"/>
        <v>0</v>
      </c>
      <c r="M2916" s="26"/>
    </row>
    <row r="2917" spans="1:13" ht="15" customHeight="1">
      <c r="A2917" s="25">
        <v>1788934</v>
      </c>
      <c r="B2917" s="26" t="s">
        <v>5423</v>
      </c>
      <c r="C2917" s="26" t="s">
        <v>11394</v>
      </c>
      <c r="D2917" s="26" t="s">
        <v>11355</v>
      </c>
      <c r="E2917" s="26" t="s">
        <v>5439</v>
      </c>
      <c r="F2917" s="27">
        <v>6193130</v>
      </c>
      <c r="G2917" s="27">
        <v>1</v>
      </c>
      <c r="H2917" s="27">
        <v>1</v>
      </c>
      <c r="I2917" s="27">
        <v>1</v>
      </c>
      <c r="J2917" s="30">
        <f t="shared" si="135"/>
        <v>1</v>
      </c>
      <c r="K2917" s="30">
        <f t="shared" si="136"/>
        <v>1</v>
      </c>
      <c r="L2917" s="26">
        <f t="shared" si="137"/>
        <v>1</v>
      </c>
      <c r="M2917" s="26"/>
    </row>
    <row r="2918" spans="1:13" ht="15" customHeight="1">
      <c r="A2918" s="25">
        <v>1789139</v>
      </c>
      <c r="B2918" s="26" t="s">
        <v>5423</v>
      </c>
      <c r="C2918" s="26" t="s">
        <v>11395</v>
      </c>
      <c r="D2918" s="26" t="s">
        <v>11342</v>
      </c>
      <c r="E2918" s="26" t="s">
        <v>5447</v>
      </c>
      <c r="F2918" s="27">
        <v>5529882</v>
      </c>
      <c r="G2918" s="27">
        <v>1</v>
      </c>
      <c r="H2918" s="27">
        <v>1</v>
      </c>
      <c r="I2918" s="27">
        <v>1</v>
      </c>
      <c r="J2918" s="30">
        <f t="shared" si="135"/>
        <v>1</v>
      </c>
      <c r="K2918" s="30">
        <f t="shared" si="136"/>
        <v>1</v>
      </c>
      <c r="L2918" s="26">
        <f t="shared" si="137"/>
        <v>1</v>
      </c>
      <c r="M2918" s="26"/>
    </row>
    <row r="2919" spans="1:13" ht="15" customHeight="1">
      <c r="A2919" s="25">
        <v>1789231</v>
      </c>
      <c r="B2919" s="26" t="s">
        <v>5423</v>
      </c>
      <c r="C2919" s="26" t="s">
        <v>11396</v>
      </c>
      <c r="D2919" s="26" t="s">
        <v>11397</v>
      </c>
      <c r="E2919" s="26" t="s">
        <v>5426</v>
      </c>
      <c r="F2919" s="27">
        <v>6025607</v>
      </c>
      <c r="G2919" s="27">
        <v>2</v>
      </c>
      <c r="H2919" s="27">
        <v>1</v>
      </c>
      <c r="I2919" s="27">
        <v>1</v>
      </c>
      <c r="J2919" s="30">
        <f t="shared" si="135"/>
        <v>1</v>
      </c>
      <c r="K2919" s="30">
        <f t="shared" si="136"/>
        <v>1</v>
      </c>
      <c r="L2919" s="26">
        <f t="shared" si="137"/>
        <v>1</v>
      </c>
      <c r="M2919" s="26" t="s">
        <v>5611</v>
      </c>
    </row>
    <row r="2920" spans="1:13" ht="15" customHeight="1">
      <c r="A2920" s="25">
        <v>1789358</v>
      </c>
      <c r="B2920" s="26" t="s">
        <v>5423</v>
      </c>
      <c r="C2920" s="26" t="s">
        <v>11398</v>
      </c>
      <c r="D2920" s="26" t="s">
        <v>11342</v>
      </c>
      <c r="E2920" s="26" t="s">
        <v>5485</v>
      </c>
      <c r="F2920" s="27">
        <v>6246592</v>
      </c>
      <c r="G2920" s="27">
        <v>1</v>
      </c>
      <c r="H2920" s="27">
        <v>1</v>
      </c>
      <c r="I2920" s="27">
        <v>1</v>
      </c>
      <c r="J2920" s="30">
        <f t="shared" si="135"/>
        <v>1</v>
      </c>
      <c r="K2920" s="30">
        <f t="shared" si="136"/>
        <v>1</v>
      </c>
      <c r="L2920" s="26">
        <f t="shared" si="137"/>
        <v>1</v>
      </c>
      <c r="M2920" s="26"/>
    </row>
    <row r="2921" spans="1:13" ht="15" customHeight="1">
      <c r="A2921" s="25">
        <v>1789400</v>
      </c>
      <c r="B2921" s="26" t="s">
        <v>5423</v>
      </c>
      <c r="C2921" s="26" t="s">
        <v>11399</v>
      </c>
      <c r="D2921" s="26" t="s">
        <v>11400</v>
      </c>
      <c r="E2921" s="26" t="s">
        <v>5485</v>
      </c>
      <c r="F2921" s="27">
        <v>6203224</v>
      </c>
      <c r="G2921" s="27">
        <v>1</v>
      </c>
      <c r="H2921" s="27">
        <v>0</v>
      </c>
      <c r="I2921" s="27">
        <v>1</v>
      </c>
      <c r="J2921" s="30">
        <f t="shared" si="135"/>
        <v>1</v>
      </c>
      <c r="K2921" s="30">
        <f t="shared" si="136"/>
        <v>0</v>
      </c>
      <c r="L2921" s="26">
        <f t="shared" si="137"/>
        <v>0</v>
      </c>
      <c r="M2921" s="26"/>
    </row>
    <row r="2922" spans="1:13" ht="15" customHeight="1">
      <c r="A2922" s="25">
        <v>1789415</v>
      </c>
      <c r="B2922" s="26" t="s">
        <v>5423</v>
      </c>
      <c r="C2922" s="26" t="s">
        <v>11401</v>
      </c>
      <c r="D2922" s="26" t="s">
        <v>11392</v>
      </c>
      <c r="E2922" s="26" t="s">
        <v>5433</v>
      </c>
      <c r="F2922" s="27">
        <v>6247479</v>
      </c>
      <c r="G2922" s="27">
        <v>0</v>
      </c>
      <c r="H2922" s="27">
        <v>0</v>
      </c>
      <c r="I2922" s="27">
        <v>0</v>
      </c>
      <c r="J2922" s="30">
        <f t="shared" si="135"/>
        <v>0</v>
      </c>
      <c r="K2922" s="30">
        <f t="shared" si="136"/>
        <v>0</v>
      </c>
      <c r="L2922" s="26">
        <f t="shared" si="137"/>
        <v>0</v>
      </c>
      <c r="M2922" s="26">
        <v>0</v>
      </c>
    </row>
    <row r="2923" spans="1:13" ht="15" customHeight="1">
      <c r="A2923" s="25">
        <v>1789458</v>
      </c>
      <c r="B2923" s="26" t="s">
        <v>5423</v>
      </c>
      <c r="C2923" s="26" t="s">
        <v>11402</v>
      </c>
      <c r="D2923" s="26" t="s">
        <v>11392</v>
      </c>
      <c r="E2923" s="26" t="s">
        <v>5550</v>
      </c>
      <c r="F2923" s="27">
        <v>6247473</v>
      </c>
      <c r="G2923" s="27">
        <v>0</v>
      </c>
      <c r="H2923" s="27">
        <v>0</v>
      </c>
      <c r="I2923" s="27">
        <v>0</v>
      </c>
      <c r="J2923" s="30">
        <f t="shared" si="135"/>
        <v>0</v>
      </c>
      <c r="K2923" s="30">
        <f t="shared" si="136"/>
        <v>0</v>
      </c>
      <c r="L2923" s="26">
        <f t="shared" si="137"/>
        <v>0</v>
      </c>
      <c r="M2923" s="26">
        <v>0</v>
      </c>
    </row>
    <row r="2924" spans="1:13" ht="15" customHeight="1">
      <c r="A2924" s="25">
        <v>1789493</v>
      </c>
      <c r="B2924" s="26" t="s">
        <v>5427</v>
      </c>
      <c r="C2924" s="26" t="s">
        <v>11403</v>
      </c>
      <c r="D2924" s="26" t="s">
        <v>11379</v>
      </c>
      <c r="E2924" s="26" t="s">
        <v>5426</v>
      </c>
      <c r="F2924" s="27">
        <v>6246642</v>
      </c>
      <c r="G2924" s="27">
        <v>1</v>
      </c>
      <c r="H2924" s="27">
        <v>1</v>
      </c>
      <c r="I2924" s="27">
        <v>1</v>
      </c>
      <c r="J2924" s="30">
        <f t="shared" si="135"/>
        <v>1</v>
      </c>
      <c r="K2924" s="30">
        <f t="shared" si="136"/>
        <v>1</v>
      </c>
      <c r="L2924" s="26">
        <f t="shared" si="137"/>
        <v>1</v>
      </c>
      <c r="M2924" s="26"/>
    </row>
    <row r="2925" spans="1:13" ht="15" customHeight="1">
      <c r="A2925" s="25">
        <v>1789499</v>
      </c>
      <c r="B2925" s="26" t="s">
        <v>5423</v>
      </c>
      <c r="C2925" s="26" t="s">
        <v>11404</v>
      </c>
      <c r="D2925" s="26" t="s">
        <v>11355</v>
      </c>
      <c r="E2925" s="26" t="s">
        <v>5603</v>
      </c>
      <c r="F2925" s="27">
        <v>5039015</v>
      </c>
      <c r="G2925" s="27">
        <v>0</v>
      </c>
      <c r="H2925" s="27">
        <v>0</v>
      </c>
      <c r="I2925" s="27">
        <v>0</v>
      </c>
      <c r="J2925" s="30">
        <f t="shared" si="135"/>
        <v>0</v>
      </c>
      <c r="K2925" s="30">
        <f t="shared" si="136"/>
        <v>0</v>
      </c>
      <c r="L2925" s="26">
        <f t="shared" si="137"/>
        <v>0</v>
      </c>
      <c r="M2925" s="26" t="s">
        <v>5557</v>
      </c>
    </row>
    <row r="2926" spans="1:13" ht="15" customHeight="1">
      <c r="A2926" s="25">
        <v>1789671</v>
      </c>
      <c r="B2926" s="26" t="s">
        <v>5427</v>
      </c>
      <c r="C2926" s="26" t="s">
        <v>11405</v>
      </c>
      <c r="D2926" s="26" t="s">
        <v>11406</v>
      </c>
      <c r="E2926" s="26" t="s">
        <v>5433</v>
      </c>
      <c r="F2926" s="27">
        <v>6222233</v>
      </c>
      <c r="G2926" s="27">
        <v>1</v>
      </c>
      <c r="H2926" s="27">
        <v>1</v>
      </c>
      <c r="I2926" s="27">
        <v>1</v>
      </c>
      <c r="J2926" s="30">
        <f t="shared" si="135"/>
        <v>1</v>
      </c>
      <c r="K2926" s="30">
        <f t="shared" si="136"/>
        <v>1</v>
      </c>
      <c r="L2926" s="26">
        <f t="shared" si="137"/>
        <v>1</v>
      </c>
      <c r="M2926" s="26"/>
    </row>
    <row r="2927" spans="1:13" ht="15" customHeight="1">
      <c r="A2927" s="25">
        <v>1789824</v>
      </c>
      <c r="B2927" s="26" t="s">
        <v>5427</v>
      </c>
      <c r="C2927" s="26" t="s">
        <v>11407</v>
      </c>
      <c r="D2927" s="26" t="s">
        <v>11392</v>
      </c>
      <c r="E2927" s="26" t="s">
        <v>5968</v>
      </c>
      <c r="F2927" s="27">
        <v>6228603</v>
      </c>
      <c r="G2927" s="27">
        <v>1</v>
      </c>
      <c r="H2927" s="27">
        <v>0</v>
      </c>
      <c r="I2927" s="27">
        <v>1</v>
      </c>
      <c r="J2927" s="30">
        <f t="shared" si="135"/>
        <v>1</v>
      </c>
      <c r="K2927" s="30">
        <f t="shared" si="136"/>
        <v>0</v>
      </c>
      <c r="L2927" s="26">
        <f t="shared" si="137"/>
        <v>0</v>
      </c>
      <c r="M2927" s="26"/>
    </row>
    <row r="2928" spans="1:13" ht="15" customHeight="1">
      <c r="A2928" s="25">
        <v>1790021</v>
      </c>
      <c r="B2928" s="26" t="s">
        <v>5427</v>
      </c>
      <c r="C2928" s="26" t="s">
        <v>11408</v>
      </c>
      <c r="D2928" s="26" t="s">
        <v>11409</v>
      </c>
      <c r="E2928" s="26" t="s">
        <v>5529</v>
      </c>
      <c r="F2928" s="27">
        <v>6247960</v>
      </c>
      <c r="G2928" s="27">
        <v>1</v>
      </c>
      <c r="H2928" s="27">
        <v>1</v>
      </c>
      <c r="I2928" s="27">
        <v>1</v>
      </c>
      <c r="J2928" s="30">
        <f t="shared" si="135"/>
        <v>1</v>
      </c>
      <c r="K2928" s="30">
        <f t="shared" si="136"/>
        <v>1</v>
      </c>
      <c r="L2928" s="26">
        <f t="shared" si="137"/>
        <v>1</v>
      </c>
      <c r="M2928" s="26" t="s">
        <v>8045</v>
      </c>
    </row>
    <row r="2929" spans="1:13" ht="15" customHeight="1">
      <c r="A2929" s="25">
        <v>1790064</v>
      </c>
      <c r="B2929" s="26" t="s">
        <v>5427</v>
      </c>
      <c r="C2929" s="26" t="s">
        <v>11410</v>
      </c>
      <c r="D2929" s="26" t="s">
        <v>11411</v>
      </c>
      <c r="E2929" s="26" t="s">
        <v>5968</v>
      </c>
      <c r="F2929" s="27">
        <v>5250242</v>
      </c>
      <c r="G2929" s="27">
        <v>0</v>
      </c>
      <c r="H2929" s="27">
        <v>0</v>
      </c>
      <c r="I2929" s="27">
        <v>0</v>
      </c>
      <c r="J2929" s="30">
        <f t="shared" si="135"/>
        <v>0</v>
      </c>
      <c r="K2929" s="30">
        <f t="shared" si="136"/>
        <v>0</v>
      </c>
      <c r="L2929" s="26">
        <f t="shared" si="137"/>
        <v>0</v>
      </c>
      <c r="M2929" s="26" t="s">
        <v>5557</v>
      </c>
    </row>
    <row r="2930" spans="1:13" ht="15" customHeight="1">
      <c r="A2930" s="25">
        <v>1790542</v>
      </c>
      <c r="B2930" s="26" t="s">
        <v>5423</v>
      </c>
      <c r="C2930" s="26" t="s">
        <v>11412</v>
      </c>
      <c r="D2930" s="26" t="s">
        <v>11342</v>
      </c>
      <c r="E2930" s="26" t="s">
        <v>5491</v>
      </c>
      <c r="F2930" s="27">
        <v>6192551</v>
      </c>
      <c r="G2930" s="27">
        <v>1</v>
      </c>
      <c r="H2930" s="27">
        <v>0</v>
      </c>
      <c r="I2930" s="27">
        <v>1</v>
      </c>
      <c r="J2930" s="30">
        <f t="shared" si="135"/>
        <v>1</v>
      </c>
      <c r="K2930" s="30">
        <f t="shared" si="136"/>
        <v>0</v>
      </c>
      <c r="L2930" s="26">
        <f t="shared" si="137"/>
        <v>0</v>
      </c>
      <c r="M2930" s="26"/>
    </row>
    <row r="2931" spans="1:13" ht="15" customHeight="1">
      <c r="A2931" s="25">
        <v>1790727</v>
      </c>
      <c r="B2931" s="26" t="s">
        <v>5423</v>
      </c>
      <c r="C2931" s="26" t="s">
        <v>11413</v>
      </c>
      <c r="D2931" s="26" t="s">
        <v>11414</v>
      </c>
      <c r="E2931" s="26" t="s">
        <v>5480</v>
      </c>
      <c r="F2931" s="27">
        <v>6175456</v>
      </c>
      <c r="G2931" s="27">
        <v>0</v>
      </c>
      <c r="H2931" s="27">
        <v>0</v>
      </c>
      <c r="I2931" s="27">
        <v>0</v>
      </c>
      <c r="J2931" s="30">
        <f t="shared" si="135"/>
        <v>0</v>
      </c>
      <c r="K2931" s="30">
        <f t="shared" si="136"/>
        <v>0</v>
      </c>
      <c r="L2931" s="26">
        <f t="shared" si="137"/>
        <v>0</v>
      </c>
      <c r="M2931" s="26" t="s">
        <v>11415</v>
      </c>
    </row>
    <row r="2932" spans="1:13" ht="15" customHeight="1">
      <c r="A2932" s="25">
        <v>1790811</v>
      </c>
      <c r="B2932" s="26" t="s">
        <v>5423</v>
      </c>
      <c r="C2932" s="26" t="s">
        <v>11416</v>
      </c>
      <c r="D2932" s="26" t="s">
        <v>11417</v>
      </c>
      <c r="E2932" s="26" t="s">
        <v>5480</v>
      </c>
      <c r="F2932" s="27">
        <v>6249702</v>
      </c>
      <c r="G2932" s="27">
        <v>1</v>
      </c>
      <c r="H2932" s="27">
        <v>0</v>
      </c>
      <c r="I2932" s="27">
        <v>1</v>
      </c>
      <c r="J2932" s="30">
        <f t="shared" si="135"/>
        <v>1</v>
      </c>
      <c r="K2932" s="30">
        <f t="shared" si="136"/>
        <v>0</v>
      </c>
      <c r="L2932" s="26">
        <f t="shared" si="137"/>
        <v>0</v>
      </c>
      <c r="M2932" s="26"/>
    </row>
    <row r="2933" spans="1:13" ht="15" customHeight="1">
      <c r="A2933" s="25">
        <v>1790934</v>
      </c>
      <c r="B2933" s="26" t="s">
        <v>5423</v>
      </c>
      <c r="C2933" s="26" t="s">
        <v>11418</v>
      </c>
      <c r="D2933" s="26" t="s">
        <v>11419</v>
      </c>
      <c r="E2933" s="26" t="s">
        <v>5439</v>
      </c>
      <c r="F2933" s="27">
        <v>6250988</v>
      </c>
      <c r="G2933" s="27">
        <v>0</v>
      </c>
      <c r="H2933" s="27">
        <v>0</v>
      </c>
      <c r="I2933" s="27">
        <v>0</v>
      </c>
      <c r="J2933" s="30">
        <f t="shared" si="135"/>
        <v>0</v>
      </c>
      <c r="K2933" s="30">
        <f t="shared" si="136"/>
        <v>0</v>
      </c>
      <c r="L2933" s="26">
        <f t="shared" si="137"/>
        <v>0</v>
      </c>
      <c r="M2933" s="26">
        <v>0</v>
      </c>
    </row>
    <row r="2934" spans="1:13" ht="15" customHeight="1">
      <c r="A2934" s="25">
        <v>1791203</v>
      </c>
      <c r="B2934" s="26" t="s">
        <v>5423</v>
      </c>
      <c r="C2934" s="26" t="s">
        <v>11420</v>
      </c>
      <c r="D2934" s="26" t="s">
        <v>11421</v>
      </c>
      <c r="E2934" s="26" t="s">
        <v>5560</v>
      </c>
      <c r="F2934" s="27">
        <v>6242533</v>
      </c>
      <c r="G2934" s="27">
        <v>1</v>
      </c>
      <c r="H2934" s="27">
        <v>0</v>
      </c>
      <c r="I2934" s="27">
        <v>1</v>
      </c>
      <c r="J2934" s="30">
        <f t="shared" si="135"/>
        <v>1</v>
      </c>
      <c r="K2934" s="30">
        <f t="shared" si="136"/>
        <v>0</v>
      </c>
      <c r="L2934" s="26">
        <f t="shared" si="137"/>
        <v>0</v>
      </c>
      <c r="M2934" s="26"/>
    </row>
    <row r="2935" spans="1:13" ht="15" customHeight="1">
      <c r="A2935" s="25">
        <v>1791364</v>
      </c>
      <c r="B2935" s="26" t="s">
        <v>5427</v>
      </c>
      <c r="C2935" s="26" t="s">
        <v>11422</v>
      </c>
      <c r="D2935" s="26" t="s">
        <v>11419</v>
      </c>
      <c r="E2935" s="26" t="s">
        <v>7084</v>
      </c>
      <c r="F2935" s="27">
        <v>6202892</v>
      </c>
      <c r="G2935" s="27">
        <v>1</v>
      </c>
      <c r="H2935" s="27">
        <v>0</v>
      </c>
      <c r="I2935" s="27">
        <v>1</v>
      </c>
      <c r="J2935" s="30">
        <f t="shared" si="135"/>
        <v>1</v>
      </c>
      <c r="K2935" s="30">
        <f t="shared" si="136"/>
        <v>0</v>
      </c>
      <c r="L2935" s="26">
        <f t="shared" si="137"/>
        <v>0</v>
      </c>
      <c r="M2935" s="26"/>
    </row>
    <row r="2936" spans="1:13" ht="15" customHeight="1">
      <c r="A2936" s="25">
        <v>1791459</v>
      </c>
      <c r="B2936" s="26" t="s">
        <v>5427</v>
      </c>
      <c r="C2936" s="26" t="s">
        <v>11423</v>
      </c>
      <c r="D2936" s="26" t="s">
        <v>11424</v>
      </c>
      <c r="E2936" s="26" t="s">
        <v>5707</v>
      </c>
      <c r="F2936" s="27"/>
      <c r="G2936" s="27">
        <v>0</v>
      </c>
      <c r="H2936" s="27">
        <v>0</v>
      </c>
      <c r="I2936" s="27">
        <v>0</v>
      </c>
      <c r="J2936" s="30">
        <f t="shared" si="135"/>
        <v>0</v>
      </c>
      <c r="K2936" s="30">
        <f t="shared" si="136"/>
        <v>0</v>
      </c>
      <c r="L2936" s="26">
        <f t="shared" si="137"/>
        <v>0</v>
      </c>
      <c r="M2936" s="26" t="s">
        <v>5557</v>
      </c>
    </row>
    <row r="2937" spans="1:13" ht="15" customHeight="1">
      <c r="A2937" s="25">
        <v>1791515</v>
      </c>
      <c r="B2937" s="26" t="s">
        <v>5427</v>
      </c>
      <c r="C2937" s="26" t="s">
        <v>11425</v>
      </c>
      <c r="D2937" s="26" t="s">
        <v>11421</v>
      </c>
      <c r="E2937" s="26" t="s">
        <v>5447</v>
      </c>
      <c r="F2937" s="27">
        <v>5238809</v>
      </c>
      <c r="G2937" s="27">
        <v>1</v>
      </c>
      <c r="H2937" s="27">
        <v>0</v>
      </c>
      <c r="I2937" s="27">
        <v>1</v>
      </c>
      <c r="J2937" s="30">
        <f t="shared" si="135"/>
        <v>1</v>
      </c>
      <c r="K2937" s="30">
        <f t="shared" si="136"/>
        <v>0</v>
      </c>
      <c r="L2937" s="26">
        <f t="shared" si="137"/>
        <v>0</v>
      </c>
      <c r="M2937" s="26"/>
    </row>
    <row r="2938" spans="1:13" ht="15" customHeight="1">
      <c r="A2938" s="25">
        <v>1791854</v>
      </c>
      <c r="B2938" s="26" t="s">
        <v>5423</v>
      </c>
      <c r="C2938" s="26" t="s">
        <v>11426</v>
      </c>
      <c r="D2938" s="26" t="s">
        <v>11427</v>
      </c>
      <c r="E2938" s="26" t="s">
        <v>5517</v>
      </c>
      <c r="F2938" s="27">
        <v>6252135</v>
      </c>
      <c r="G2938" s="27">
        <v>0</v>
      </c>
      <c r="H2938" s="27">
        <v>1</v>
      </c>
      <c r="I2938" s="27">
        <v>1</v>
      </c>
      <c r="J2938" s="30">
        <f t="shared" si="135"/>
        <v>0</v>
      </c>
      <c r="K2938" s="30">
        <f t="shared" si="136"/>
        <v>1</v>
      </c>
      <c r="L2938" s="26">
        <f t="shared" si="137"/>
        <v>0</v>
      </c>
      <c r="M2938" s="26"/>
    </row>
    <row r="2939" spans="1:13" ht="15" customHeight="1">
      <c r="A2939" s="25">
        <v>1792100</v>
      </c>
      <c r="B2939" s="26" t="s">
        <v>5427</v>
      </c>
      <c r="C2939" s="26" t="s">
        <v>11428</v>
      </c>
      <c r="D2939" s="26" t="s">
        <v>11429</v>
      </c>
      <c r="E2939" s="26" t="s">
        <v>5529</v>
      </c>
      <c r="F2939" s="27">
        <v>6252868</v>
      </c>
      <c r="G2939" s="27">
        <v>1</v>
      </c>
      <c r="H2939" s="27">
        <v>0</v>
      </c>
      <c r="I2939" s="27">
        <v>1</v>
      </c>
      <c r="J2939" s="30">
        <f t="shared" si="135"/>
        <v>1</v>
      </c>
      <c r="K2939" s="30">
        <f t="shared" si="136"/>
        <v>0</v>
      </c>
      <c r="L2939" s="26">
        <f t="shared" si="137"/>
        <v>0</v>
      </c>
      <c r="M2939" s="26"/>
    </row>
    <row r="2940" spans="1:13" ht="15" customHeight="1">
      <c r="A2940" s="25">
        <v>1792250</v>
      </c>
      <c r="B2940" s="26" t="s">
        <v>5423</v>
      </c>
      <c r="C2940" s="26" t="s">
        <v>11430</v>
      </c>
      <c r="D2940" s="26" t="s">
        <v>11424</v>
      </c>
      <c r="E2940" s="26" t="s">
        <v>5488</v>
      </c>
      <c r="F2940" s="27">
        <v>6105461</v>
      </c>
      <c r="G2940" s="27">
        <v>1</v>
      </c>
      <c r="H2940" s="27">
        <v>1</v>
      </c>
      <c r="I2940" s="27">
        <v>1</v>
      </c>
      <c r="J2940" s="30">
        <f t="shared" si="135"/>
        <v>1</v>
      </c>
      <c r="K2940" s="30">
        <f t="shared" si="136"/>
        <v>1</v>
      </c>
      <c r="L2940" s="26">
        <f t="shared" si="137"/>
        <v>1</v>
      </c>
      <c r="M2940" s="26"/>
    </row>
    <row r="2941" spans="1:13" ht="15" customHeight="1">
      <c r="A2941" s="25">
        <v>1792252</v>
      </c>
      <c r="B2941" s="26" t="s">
        <v>5423</v>
      </c>
      <c r="C2941" s="26" t="s">
        <v>11431</v>
      </c>
      <c r="D2941" s="26" t="s">
        <v>11432</v>
      </c>
      <c r="E2941" s="26" t="s">
        <v>5603</v>
      </c>
      <c r="F2941" s="27">
        <v>6253962</v>
      </c>
      <c r="G2941" s="27">
        <v>1</v>
      </c>
      <c r="H2941" s="27">
        <v>1</v>
      </c>
      <c r="I2941" s="27">
        <v>1</v>
      </c>
      <c r="J2941" s="30">
        <f t="shared" si="135"/>
        <v>1</v>
      </c>
      <c r="K2941" s="30">
        <f t="shared" si="136"/>
        <v>1</v>
      </c>
      <c r="L2941" s="26">
        <f t="shared" si="137"/>
        <v>1</v>
      </c>
      <c r="M2941" s="26"/>
    </row>
    <row r="2942" spans="1:13" ht="15" customHeight="1">
      <c r="A2942" s="25">
        <v>1792271</v>
      </c>
      <c r="B2942" s="26" t="s">
        <v>5427</v>
      </c>
      <c r="C2942" s="26" t="s">
        <v>11433</v>
      </c>
      <c r="D2942" s="26" t="s">
        <v>11434</v>
      </c>
      <c r="E2942" s="26" t="s">
        <v>5560</v>
      </c>
      <c r="F2942" s="27">
        <v>6253963</v>
      </c>
      <c r="G2942" s="27">
        <v>1</v>
      </c>
      <c r="H2942" s="27">
        <v>1</v>
      </c>
      <c r="I2942" s="27">
        <v>1</v>
      </c>
      <c r="J2942" s="30">
        <f t="shared" si="135"/>
        <v>1</v>
      </c>
      <c r="K2942" s="30">
        <f t="shared" si="136"/>
        <v>1</v>
      </c>
      <c r="L2942" s="26">
        <f t="shared" si="137"/>
        <v>1</v>
      </c>
      <c r="M2942" s="26"/>
    </row>
    <row r="2943" spans="1:13" ht="15" customHeight="1">
      <c r="A2943" s="25">
        <v>1792463</v>
      </c>
      <c r="B2943" s="26" t="s">
        <v>5423</v>
      </c>
      <c r="C2943" s="26" t="s">
        <v>11435</v>
      </c>
      <c r="D2943" s="26" t="s">
        <v>11436</v>
      </c>
      <c r="E2943" s="26" t="s">
        <v>5426</v>
      </c>
      <c r="F2943" s="27">
        <v>5905109</v>
      </c>
      <c r="G2943" s="27">
        <v>1</v>
      </c>
      <c r="H2943" s="27">
        <v>0</v>
      </c>
      <c r="I2943" s="27">
        <v>1</v>
      </c>
      <c r="J2943" s="30">
        <f t="shared" si="135"/>
        <v>1</v>
      </c>
      <c r="K2943" s="30">
        <f t="shared" si="136"/>
        <v>0</v>
      </c>
      <c r="L2943" s="26">
        <f t="shared" si="137"/>
        <v>0</v>
      </c>
      <c r="M2943" s="26" t="s">
        <v>8169</v>
      </c>
    </row>
    <row r="2944" spans="1:13" ht="15" customHeight="1">
      <c r="A2944" s="25">
        <v>1792490</v>
      </c>
      <c r="B2944" s="26" t="s">
        <v>5423</v>
      </c>
      <c r="C2944" s="26" t="s">
        <v>11437</v>
      </c>
      <c r="D2944" s="26" t="s">
        <v>11427</v>
      </c>
      <c r="E2944" s="26" t="s">
        <v>5504</v>
      </c>
      <c r="F2944" s="27">
        <v>6254338</v>
      </c>
      <c r="G2944" s="27">
        <v>1</v>
      </c>
      <c r="H2944" s="27">
        <v>0</v>
      </c>
      <c r="I2944" s="27">
        <v>1</v>
      </c>
      <c r="J2944" s="30">
        <f t="shared" si="135"/>
        <v>1</v>
      </c>
      <c r="K2944" s="30">
        <f t="shared" si="136"/>
        <v>0</v>
      </c>
      <c r="L2944" s="26">
        <f t="shared" si="137"/>
        <v>0</v>
      </c>
      <c r="M2944" s="26"/>
    </row>
    <row r="2945" spans="1:13" ht="15" customHeight="1">
      <c r="A2945" s="25">
        <v>1792493</v>
      </c>
      <c r="B2945" s="26" t="s">
        <v>5423</v>
      </c>
      <c r="C2945" s="26" t="s">
        <v>11438</v>
      </c>
      <c r="D2945" s="26" t="s">
        <v>11439</v>
      </c>
      <c r="E2945" s="26" t="s">
        <v>5504</v>
      </c>
      <c r="F2945" s="27">
        <v>6047216</v>
      </c>
      <c r="G2945" s="27">
        <v>0</v>
      </c>
      <c r="H2945" s="27">
        <v>0</v>
      </c>
      <c r="I2945" s="27">
        <v>0</v>
      </c>
      <c r="J2945" s="30">
        <f t="shared" si="135"/>
        <v>0</v>
      </c>
      <c r="K2945" s="30">
        <f t="shared" si="136"/>
        <v>0</v>
      </c>
      <c r="L2945" s="26">
        <f t="shared" si="137"/>
        <v>0</v>
      </c>
      <c r="M2945" s="26" t="s">
        <v>5557</v>
      </c>
    </row>
    <row r="2946" spans="1:13" ht="15" customHeight="1">
      <c r="A2946" s="25">
        <v>1792515</v>
      </c>
      <c r="B2946" s="26" t="s">
        <v>5423</v>
      </c>
      <c r="C2946" s="26" t="s">
        <v>11440</v>
      </c>
      <c r="D2946" s="26" t="s">
        <v>11414</v>
      </c>
      <c r="E2946" s="26" t="s">
        <v>5683</v>
      </c>
      <c r="F2946" s="27">
        <v>6255232</v>
      </c>
      <c r="G2946" s="27">
        <v>0</v>
      </c>
      <c r="H2946" s="27">
        <v>0</v>
      </c>
      <c r="I2946" s="27">
        <v>0</v>
      </c>
      <c r="J2946" s="30">
        <f t="shared" ref="J2946:J3009" si="138">IF(G2946&gt;0,1,0)</f>
        <v>0</v>
      </c>
      <c r="K2946" s="30">
        <f t="shared" ref="K2946:K3009" si="139">IF(H2946&gt;0,1,0)</f>
        <v>0</v>
      </c>
      <c r="L2946" s="26">
        <f t="shared" ref="L2946:L3009" si="140">IF(G2946&gt;0,IF(H2946&gt;0,1,0),0)</f>
        <v>0</v>
      </c>
      <c r="M2946" s="26">
        <v>0</v>
      </c>
    </row>
    <row r="2947" spans="1:13" ht="15" customHeight="1">
      <c r="A2947" s="25">
        <v>1792549</v>
      </c>
      <c r="B2947" s="26" t="s">
        <v>5423</v>
      </c>
      <c r="C2947" s="26" t="s">
        <v>11441</v>
      </c>
      <c r="D2947" s="26" t="s">
        <v>11414</v>
      </c>
      <c r="E2947" s="26" t="s">
        <v>5491</v>
      </c>
      <c r="F2947" s="27">
        <v>6255231</v>
      </c>
      <c r="G2947" s="27">
        <v>0</v>
      </c>
      <c r="H2947" s="27">
        <v>0</v>
      </c>
      <c r="I2947" s="27">
        <v>0</v>
      </c>
      <c r="J2947" s="30">
        <f t="shared" si="138"/>
        <v>0</v>
      </c>
      <c r="K2947" s="30">
        <f t="shared" si="139"/>
        <v>0</v>
      </c>
      <c r="L2947" s="26">
        <f t="shared" si="140"/>
        <v>0</v>
      </c>
      <c r="M2947" s="26">
        <v>0</v>
      </c>
    </row>
    <row r="2948" spans="1:13" ht="15" customHeight="1">
      <c r="A2948" s="25">
        <v>1792822</v>
      </c>
      <c r="B2948" s="26" t="s">
        <v>5423</v>
      </c>
      <c r="C2948" s="26" t="s">
        <v>11442</v>
      </c>
      <c r="D2948" s="26" t="s">
        <v>11443</v>
      </c>
      <c r="E2948" s="26" t="s">
        <v>5532</v>
      </c>
      <c r="F2948" s="27">
        <v>6256630</v>
      </c>
      <c r="G2948" s="27">
        <v>0</v>
      </c>
      <c r="H2948" s="27">
        <v>0</v>
      </c>
      <c r="I2948" s="27">
        <v>0</v>
      </c>
      <c r="J2948" s="30">
        <f t="shared" si="138"/>
        <v>0</v>
      </c>
      <c r="K2948" s="30">
        <f t="shared" si="139"/>
        <v>0</v>
      </c>
      <c r="L2948" s="26">
        <f t="shared" si="140"/>
        <v>0</v>
      </c>
      <c r="M2948" s="26">
        <v>0</v>
      </c>
    </row>
    <row r="2949" spans="1:13" ht="15" customHeight="1">
      <c r="A2949" s="25">
        <v>1792906</v>
      </c>
      <c r="B2949" s="26" t="s">
        <v>5423</v>
      </c>
      <c r="C2949" s="26" t="s">
        <v>11444</v>
      </c>
      <c r="D2949" s="26" t="s">
        <v>11445</v>
      </c>
      <c r="E2949" s="26" t="s">
        <v>5540</v>
      </c>
      <c r="F2949" s="27">
        <v>6147011</v>
      </c>
      <c r="G2949" s="27">
        <v>1</v>
      </c>
      <c r="H2949" s="27">
        <v>1</v>
      </c>
      <c r="I2949" s="27">
        <v>1</v>
      </c>
      <c r="J2949" s="30">
        <f t="shared" si="138"/>
        <v>1</v>
      </c>
      <c r="K2949" s="30">
        <f t="shared" si="139"/>
        <v>1</v>
      </c>
      <c r="L2949" s="26">
        <f t="shared" si="140"/>
        <v>1</v>
      </c>
      <c r="M2949" s="26"/>
    </row>
    <row r="2950" spans="1:13" ht="15" customHeight="1">
      <c r="A2950" s="25">
        <v>1793174</v>
      </c>
      <c r="B2950" s="26" t="s">
        <v>5423</v>
      </c>
      <c r="C2950" s="26" t="s">
        <v>11446</v>
      </c>
      <c r="D2950" s="26" t="s">
        <v>11414</v>
      </c>
      <c r="E2950" s="26" t="s">
        <v>5540</v>
      </c>
      <c r="F2950" s="27">
        <v>6258484</v>
      </c>
      <c r="G2950" s="27">
        <v>0</v>
      </c>
      <c r="H2950" s="27">
        <v>0</v>
      </c>
      <c r="I2950" s="27">
        <v>0</v>
      </c>
      <c r="J2950" s="30">
        <f t="shared" si="138"/>
        <v>0</v>
      </c>
      <c r="K2950" s="30">
        <f t="shared" si="139"/>
        <v>0</v>
      </c>
      <c r="L2950" s="26">
        <f t="shared" si="140"/>
        <v>0</v>
      </c>
      <c r="M2950" s="26">
        <v>0</v>
      </c>
    </row>
    <row r="2951" spans="1:13" ht="15" customHeight="1">
      <c r="A2951" s="25">
        <v>1793270</v>
      </c>
      <c r="B2951" s="26" t="s">
        <v>5423</v>
      </c>
      <c r="C2951" s="26" t="s">
        <v>11447</v>
      </c>
      <c r="D2951" s="26" t="s">
        <v>11448</v>
      </c>
      <c r="E2951" s="26" t="s">
        <v>5458</v>
      </c>
      <c r="F2951" s="27">
        <v>6257863</v>
      </c>
      <c r="G2951" s="27">
        <v>0</v>
      </c>
      <c r="H2951" s="27">
        <v>0</v>
      </c>
      <c r="I2951" s="27">
        <v>0</v>
      </c>
      <c r="J2951" s="30">
        <f t="shared" si="138"/>
        <v>0</v>
      </c>
      <c r="K2951" s="30">
        <f t="shared" si="139"/>
        <v>0</v>
      </c>
      <c r="L2951" s="26">
        <f t="shared" si="140"/>
        <v>0</v>
      </c>
      <c r="M2951" s="26">
        <v>0</v>
      </c>
    </row>
    <row r="2952" spans="1:13" ht="15" customHeight="1">
      <c r="A2952" s="25">
        <v>1793541</v>
      </c>
      <c r="B2952" s="26" t="s">
        <v>5423</v>
      </c>
      <c r="C2952" s="26" t="s">
        <v>11449</v>
      </c>
      <c r="D2952" s="26" t="s">
        <v>11450</v>
      </c>
      <c r="E2952" s="26" t="s">
        <v>5504</v>
      </c>
      <c r="F2952" s="27">
        <v>6257160</v>
      </c>
      <c r="G2952" s="27">
        <v>0</v>
      </c>
      <c r="H2952" s="27">
        <v>1</v>
      </c>
      <c r="I2952" s="27">
        <v>1</v>
      </c>
      <c r="J2952" s="30">
        <f t="shared" si="138"/>
        <v>0</v>
      </c>
      <c r="K2952" s="30">
        <f t="shared" si="139"/>
        <v>1</v>
      </c>
      <c r="L2952" s="26">
        <f t="shared" si="140"/>
        <v>0</v>
      </c>
      <c r="M2952" s="26"/>
    </row>
    <row r="2953" spans="1:13" ht="15" customHeight="1">
      <c r="A2953" s="25">
        <v>1793564</v>
      </c>
      <c r="B2953" s="26" t="s">
        <v>5423</v>
      </c>
      <c r="C2953" s="26" t="s">
        <v>11451</v>
      </c>
      <c r="D2953" s="26" t="s">
        <v>11452</v>
      </c>
      <c r="E2953" s="26" t="s">
        <v>5485</v>
      </c>
      <c r="F2953" s="27">
        <v>6254693</v>
      </c>
      <c r="G2953" s="27">
        <v>1</v>
      </c>
      <c r="H2953" s="27">
        <v>1</v>
      </c>
      <c r="I2953" s="27">
        <v>1</v>
      </c>
      <c r="J2953" s="30">
        <f t="shared" si="138"/>
        <v>1</v>
      </c>
      <c r="K2953" s="30">
        <f t="shared" si="139"/>
        <v>1</v>
      </c>
      <c r="L2953" s="26">
        <f t="shared" si="140"/>
        <v>1</v>
      </c>
      <c r="M2953" s="26"/>
    </row>
    <row r="2954" spans="1:13" ht="15" customHeight="1">
      <c r="A2954" s="25">
        <v>1793575</v>
      </c>
      <c r="B2954" s="26" t="s">
        <v>5427</v>
      </c>
      <c r="C2954" s="26" t="s">
        <v>11453</v>
      </c>
      <c r="D2954" s="26" t="s">
        <v>11454</v>
      </c>
      <c r="E2954" s="26" t="s">
        <v>6102</v>
      </c>
      <c r="F2954" s="27">
        <v>6247703</v>
      </c>
      <c r="G2954" s="27">
        <v>1</v>
      </c>
      <c r="H2954" s="27">
        <v>0</v>
      </c>
      <c r="I2954" s="27">
        <v>1</v>
      </c>
      <c r="J2954" s="30">
        <f t="shared" si="138"/>
        <v>1</v>
      </c>
      <c r="K2954" s="30">
        <f t="shared" si="139"/>
        <v>0</v>
      </c>
      <c r="L2954" s="26">
        <f t="shared" si="140"/>
        <v>0</v>
      </c>
      <c r="M2954" s="26"/>
    </row>
    <row r="2955" spans="1:13" ht="15" customHeight="1">
      <c r="A2955" s="25" t="s">
        <v>11455</v>
      </c>
      <c r="B2955" s="26" t="s">
        <v>5423</v>
      </c>
      <c r="C2955" s="26" t="s">
        <v>11456</v>
      </c>
      <c r="D2955" s="26" t="s">
        <v>11436</v>
      </c>
      <c r="E2955" s="26" t="s">
        <v>5560</v>
      </c>
      <c r="F2955" s="27">
        <v>6257904</v>
      </c>
      <c r="G2955" s="27">
        <v>0</v>
      </c>
      <c r="H2955" s="27">
        <v>0</v>
      </c>
      <c r="I2955" s="27">
        <v>0</v>
      </c>
      <c r="J2955" s="30">
        <f t="shared" si="138"/>
        <v>0</v>
      </c>
      <c r="K2955" s="30">
        <f t="shared" si="139"/>
        <v>0</v>
      </c>
      <c r="L2955" s="26">
        <f t="shared" si="140"/>
        <v>0</v>
      </c>
      <c r="M2955" s="26">
        <v>0</v>
      </c>
    </row>
    <row r="2956" spans="1:13" ht="15" customHeight="1">
      <c r="A2956" s="25" t="s">
        <v>11457</v>
      </c>
      <c r="B2956" s="26" t="s">
        <v>5427</v>
      </c>
      <c r="C2956" s="26" t="s">
        <v>11458</v>
      </c>
      <c r="D2956" s="26" t="s">
        <v>11459</v>
      </c>
      <c r="E2956" s="26" t="s">
        <v>5507</v>
      </c>
      <c r="F2956" s="27">
        <v>6258012</v>
      </c>
      <c r="G2956" s="27">
        <v>0</v>
      </c>
      <c r="H2956" s="27">
        <v>0</v>
      </c>
      <c r="I2956" s="27">
        <v>0</v>
      </c>
      <c r="J2956" s="30">
        <f t="shared" si="138"/>
        <v>0</v>
      </c>
      <c r="K2956" s="30">
        <f t="shared" si="139"/>
        <v>0</v>
      </c>
      <c r="L2956" s="26">
        <f t="shared" si="140"/>
        <v>0</v>
      </c>
      <c r="M2956" s="26">
        <v>0</v>
      </c>
    </row>
    <row r="2957" spans="1:13" ht="15" customHeight="1">
      <c r="A2957" s="25">
        <v>1794038</v>
      </c>
      <c r="B2957" s="26" t="s">
        <v>5423</v>
      </c>
      <c r="C2957" s="26" t="s">
        <v>11460</v>
      </c>
      <c r="D2957" s="26" t="s">
        <v>11260</v>
      </c>
      <c r="E2957" s="26" t="s">
        <v>5458</v>
      </c>
      <c r="F2957" s="27">
        <v>6267971</v>
      </c>
      <c r="G2957" s="27">
        <v>1</v>
      </c>
      <c r="H2957" s="27">
        <v>0</v>
      </c>
      <c r="I2957" s="27">
        <v>1</v>
      </c>
      <c r="J2957" s="30">
        <f t="shared" si="138"/>
        <v>1</v>
      </c>
      <c r="K2957" s="30">
        <f t="shared" si="139"/>
        <v>0</v>
      </c>
      <c r="L2957" s="26">
        <f t="shared" si="140"/>
        <v>0</v>
      </c>
      <c r="M2957" s="26"/>
    </row>
    <row r="2958" spans="1:13" ht="15" customHeight="1">
      <c r="A2958" s="25">
        <v>1794040</v>
      </c>
      <c r="B2958" s="26" t="s">
        <v>5423</v>
      </c>
      <c r="C2958" s="26" t="s">
        <v>11461</v>
      </c>
      <c r="D2958" s="26" t="s">
        <v>11462</v>
      </c>
      <c r="E2958" s="26" t="s">
        <v>5504</v>
      </c>
      <c r="F2958" s="27">
        <v>5933646</v>
      </c>
      <c r="G2958" s="27">
        <v>1</v>
      </c>
      <c r="H2958" s="27">
        <v>1</v>
      </c>
      <c r="I2958" s="27">
        <v>1</v>
      </c>
      <c r="J2958" s="30">
        <f t="shared" si="138"/>
        <v>1</v>
      </c>
      <c r="K2958" s="30">
        <f t="shared" si="139"/>
        <v>1</v>
      </c>
      <c r="L2958" s="26">
        <f t="shared" si="140"/>
        <v>1</v>
      </c>
      <c r="M2958" s="26"/>
    </row>
    <row r="2959" spans="1:13" ht="15" customHeight="1">
      <c r="A2959" s="25" t="s">
        <v>11463</v>
      </c>
      <c r="B2959" s="26" t="s">
        <v>5423</v>
      </c>
      <c r="C2959" s="26" t="s">
        <v>11464</v>
      </c>
      <c r="D2959" s="26" t="s">
        <v>11465</v>
      </c>
      <c r="E2959" s="26" t="s">
        <v>5522</v>
      </c>
      <c r="F2959" s="27">
        <v>6260567</v>
      </c>
      <c r="G2959" s="27">
        <v>1</v>
      </c>
      <c r="H2959" s="27">
        <v>0</v>
      </c>
      <c r="I2959" s="27">
        <v>1</v>
      </c>
      <c r="J2959" s="30">
        <f t="shared" si="138"/>
        <v>1</v>
      </c>
      <c r="K2959" s="30">
        <f t="shared" si="139"/>
        <v>0</v>
      </c>
      <c r="L2959" s="26">
        <f t="shared" si="140"/>
        <v>0</v>
      </c>
      <c r="M2959" s="26" t="s">
        <v>8126</v>
      </c>
    </row>
    <row r="2960" spans="1:13" ht="15" customHeight="1">
      <c r="A2960" s="25" t="s">
        <v>11466</v>
      </c>
      <c r="B2960" s="26" t="s">
        <v>5427</v>
      </c>
      <c r="C2960" s="26" t="s">
        <v>11467</v>
      </c>
      <c r="D2960" s="26" t="s">
        <v>11468</v>
      </c>
      <c r="E2960" s="26" t="s">
        <v>5683</v>
      </c>
      <c r="F2960" s="27">
        <v>6260178</v>
      </c>
      <c r="G2960" s="27">
        <v>0</v>
      </c>
      <c r="H2960" s="27">
        <v>1</v>
      </c>
      <c r="I2960" s="27">
        <v>1</v>
      </c>
      <c r="J2960" s="30">
        <f t="shared" si="138"/>
        <v>0</v>
      </c>
      <c r="K2960" s="30">
        <f t="shared" si="139"/>
        <v>1</v>
      </c>
      <c r="L2960" s="26">
        <f t="shared" si="140"/>
        <v>0</v>
      </c>
      <c r="M2960" s="26"/>
    </row>
    <row r="2961" spans="1:13" ht="15" customHeight="1">
      <c r="A2961" s="25" t="s">
        <v>11469</v>
      </c>
      <c r="B2961" s="26" t="s">
        <v>5423</v>
      </c>
      <c r="C2961" s="26" t="s">
        <v>11470</v>
      </c>
      <c r="D2961" s="26" t="s">
        <v>11468</v>
      </c>
      <c r="E2961" s="26" t="s">
        <v>5603</v>
      </c>
      <c r="F2961" s="27">
        <v>6162933</v>
      </c>
      <c r="G2961" s="27">
        <v>1</v>
      </c>
      <c r="H2961" s="27">
        <v>0</v>
      </c>
      <c r="I2961" s="27">
        <v>1</v>
      </c>
      <c r="J2961" s="30">
        <f t="shared" si="138"/>
        <v>1</v>
      </c>
      <c r="K2961" s="30">
        <f t="shared" si="139"/>
        <v>0</v>
      </c>
      <c r="L2961" s="26">
        <f t="shared" si="140"/>
        <v>0</v>
      </c>
      <c r="M2961" s="26" t="s">
        <v>11471</v>
      </c>
    </row>
    <row r="2962" spans="1:13" ht="15" customHeight="1">
      <c r="A2962" s="25" t="s">
        <v>11472</v>
      </c>
      <c r="B2962" s="26" t="s">
        <v>5423</v>
      </c>
      <c r="C2962" s="26" t="s">
        <v>11473</v>
      </c>
      <c r="D2962" s="26" t="s">
        <v>11474</v>
      </c>
      <c r="E2962" s="26" t="s">
        <v>5532</v>
      </c>
      <c r="F2962" s="27">
        <v>6251393</v>
      </c>
      <c r="G2962" s="27">
        <v>1</v>
      </c>
      <c r="H2962" s="27">
        <v>1</v>
      </c>
      <c r="I2962" s="27">
        <v>1</v>
      </c>
      <c r="J2962" s="30">
        <f t="shared" si="138"/>
        <v>1</v>
      </c>
      <c r="K2962" s="30">
        <f t="shared" si="139"/>
        <v>1</v>
      </c>
      <c r="L2962" s="26">
        <f t="shared" si="140"/>
        <v>1</v>
      </c>
      <c r="M2962" s="26"/>
    </row>
    <row r="2963" spans="1:13" ht="15" customHeight="1">
      <c r="A2963" s="25" t="s">
        <v>11475</v>
      </c>
      <c r="B2963" s="26" t="s">
        <v>5427</v>
      </c>
      <c r="C2963" s="26" t="s">
        <v>11476</v>
      </c>
      <c r="D2963" s="26" t="s">
        <v>11474</v>
      </c>
      <c r="E2963" s="26" t="s">
        <v>5540</v>
      </c>
      <c r="F2963" s="27">
        <v>6261069</v>
      </c>
      <c r="G2963" s="27">
        <v>1</v>
      </c>
      <c r="H2963" s="27">
        <v>0</v>
      </c>
      <c r="I2963" s="27">
        <v>1</v>
      </c>
      <c r="J2963" s="30">
        <f t="shared" si="138"/>
        <v>1</v>
      </c>
      <c r="K2963" s="30">
        <f t="shared" si="139"/>
        <v>0</v>
      </c>
      <c r="L2963" s="26">
        <f t="shared" si="140"/>
        <v>0</v>
      </c>
      <c r="M2963" s="26"/>
    </row>
    <row r="2964" spans="1:13" ht="15" customHeight="1">
      <c r="A2964" s="25" t="s">
        <v>11477</v>
      </c>
      <c r="B2964" s="26" t="s">
        <v>5423</v>
      </c>
      <c r="C2964" s="26" t="s">
        <v>11478</v>
      </c>
      <c r="D2964" s="26" t="s">
        <v>11479</v>
      </c>
      <c r="E2964" s="26" t="s">
        <v>5430</v>
      </c>
      <c r="F2964" s="27">
        <v>6134683</v>
      </c>
      <c r="G2964" s="27">
        <v>1</v>
      </c>
      <c r="H2964" s="27">
        <v>1</v>
      </c>
      <c r="I2964" s="27">
        <v>1</v>
      </c>
      <c r="J2964" s="30">
        <f t="shared" si="138"/>
        <v>1</v>
      </c>
      <c r="K2964" s="30">
        <f t="shared" si="139"/>
        <v>1</v>
      </c>
      <c r="L2964" s="26">
        <f t="shared" si="140"/>
        <v>1</v>
      </c>
      <c r="M2964" s="26"/>
    </row>
    <row r="2965" spans="1:13" ht="15" customHeight="1">
      <c r="A2965" s="25" t="s">
        <v>11480</v>
      </c>
      <c r="B2965" s="26" t="s">
        <v>5427</v>
      </c>
      <c r="C2965" s="26" t="s">
        <v>11481</v>
      </c>
      <c r="D2965" s="26" t="s">
        <v>11474</v>
      </c>
      <c r="E2965" s="26" t="s">
        <v>5430</v>
      </c>
      <c r="F2965" s="27">
        <v>4994513</v>
      </c>
      <c r="G2965" s="27">
        <v>0</v>
      </c>
      <c r="H2965" s="27">
        <v>0</v>
      </c>
      <c r="I2965" s="27">
        <v>0</v>
      </c>
      <c r="J2965" s="30">
        <f t="shared" si="138"/>
        <v>0</v>
      </c>
      <c r="K2965" s="30">
        <f t="shared" si="139"/>
        <v>0</v>
      </c>
      <c r="L2965" s="26">
        <f t="shared" si="140"/>
        <v>0</v>
      </c>
      <c r="M2965" s="26" t="s">
        <v>5557</v>
      </c>
    </row>
    <row r="2966" spans="1:13" ht="15" customHeight="1">
      <c r="A2966" s="25" t="s">
        <v>11482</v>
      </c>
      <c r="B2966" s="26" t="s">
        <v>5423</v>
      </c>
      <c r="C2966" s="26" t="s">
        <v>11483</v>
      </c>
      <c r="D2966" s="26" t="s">
        <v>11468</v>
      </c>
      <c r="E2966" s="26" t="s">
        <v>5683</v>
      </c>
      <c r="F2966" s="27">
        <v>6262905</v>
      </c>
      <c r="G2966" s="27">
        <v>0</v>
      </c>
      <c r="H2966" s="27">
        <v>0</v>
      </c>
      <c r="I2966" s="27">
        <v>0</v>
      </c>
      <c r="J2966" s="30">
        <f t="shared" si="138"/>
        <v>0</v>
      </c>
      <c r="K2966" s="30">
        <f t="shared" si="139"/>
        <v>0</v>
      </c>
      <c r="L2966" s="26">
        <f t="shared" si="140"/>
        <v>0</v>
      </c>
      <c r="M2966" s="26">
        <v>0</v>
      </c>
    </row>
    <row r="2967" spans="1:13" ht="15" customHeight="1">
      <c r="A2967" s="25" t="s">
        <v>11484</v>
      </c>
      <c r="B2967" s="26" t="s">
        <v>5423</v>
      </c>
      <c r="C2967" s="26" t="s">
        <v>11485</v>
      </c>
      <c r="D2967" s="26" t="s">
        <v>11486</v>
      </c>
      <c r="E2967" s="26" t="s">
        <v>5504</v>
      </c>
      <c r="F2967" s="27">
        <v>5942021</v>
      </c>
      <c r="G2967" s="27">
        <v>1</v>
      </c>
      <c r="H2967" s="27">
        <v>0</v>
      </c>
      <c r="I2967" s="27">
        <v>1</v>
      </c>
      <c r="J2967" s="30">
        <f t="shared" si="138"/>
        <v>1</v>
      </c>
      <c r="K2967" s="30">
        <f t="shared" si="139"/>
        <v>0</v>
      </c>
      <c r="L2967" s="26">
        <f t="shared" si="140"/>
        <v>0</v>
      </c>
      <c r="M2967" s="26"/>
    </row>
    <row r="2968" spans="1:13" ht="15" customHeight="1">
      <c r="A2968" s="25" t="s">
        <v>11487</v>
      </c>
      <c r="B2968" s="26" t="s">
        <v>5423</v>
      </c>
      <c r="C2968" s="26" t="s">
        <v>11488</v>
      </c>
      <c r="D2968" s="26" t="s">
        <v>11489</v>
      </c>
      <c r="E2968" s="26" t="s">
        <v>5545</v>
      </c>
      <c r="F2968" s="27">
        <v>5107254</v>
      </c>
      <c r="G2968" s="27">
        <v>0</v>
      </c>
      <c r="H2968" s="27">
        <v>0</v>
      </c>
      <c r="I2968" s="27">
        <v>0</v>
      </c>
      <c r="J2968" s="30">
        <f t="shared" si="138"/>
        <v>0</v>
      </c>
      <c r="K2968" s="30">
        <f t="shared" si="139"/>
        <v>0</v>
      </c>
      <c r="L2968" s="26">
        <f t="shared" si="140"/>
        <v>0</v>
      </c>
      <c r="M2968" s="26">
        <v>0</v>
      </c>
    </row>
    <row r="2969" spans="1:13" ht="15" customHeight="1">
      <c r="A2969" s="25" t="s">
        <v>11490</v>
      </c>
      <c r="B2969" s="26" t="s">
        <v>5427</v>
      </c>
      <c r="C2969" s="26" t="s">
        <v>11491</v>
      </c>
      <c r="D2969" s="26" t="s">
        <v>11489</v>
      </c>
      <c r="E2969" s="26" t="s">
        <v>5475</v>
      </c>
      <c r="F2969" s="27">
        <v>6264995</v>
      </c>
      <c r="G2969" s="27">
        <v>0</v>
      </c>
      <c r="H2969" s="27">
        <v>0</v>
      </c>
      <c r="I2969" s="27">
        <v>0</v>
      </c>
      <c r="J2969" s="30">
        <f t="shared" si="138"/>
        <v>0</v>
      </c>
      <c r="K2969" s="30">
        <f t="shared" si="139"/>
        <v>0</v>
      </c>
      <c r="L2969" s="26">
        <f t="shared" si="140"/>
        <v>0</v>
      </c>
      <c r="M2969" s="26">
        <v>0</v>
      </c>
    </row>
    <row r="2970" spans="1:13" ht="15" customHeight="1">
      <c r="A2970" s="25" t="s">
        <v>11492</v>
      </c>
      <c r="B2970" s="26" t="s">
        <v>5427</v>
      </c>
      <c r="C2970" s="26" t="s">
        <v>11493</v>
      </c>
      <c r="D2970" s="26" t="s">
        <v>11468</v>
      </c>
      <c r="E2970" s="26" t="s">
        <v>5550</v>
      </c>
      <c r="F2970" s="27">
        <v>6265020</v>
      </c>
      <c r="G2970" s="27">
        <v>1</v>
      </c>
      <c r="H2970" s="27">
        <v>0</v>
      </c>
      <c r="I2970" s="27">
        <v>1</v>
      </c>
      <c r="J2970" s="30">
        <f t="shared" si="138"/>
        <v>1</v>
      </c>
      <c r="K2970" s="30">
        <f t="shared" si="139"/>
        <v>0</v>
      </c>
      <c r="L2970" s="26">
        <f t="shared" si="140"/>
        <v>0</v>
      </c>
      <c r="M2970" s="26"/>
    </row>
    <row r="2971" spans="1:13" ht="15" customHeight="1">
      <c r="A2971" s="25" t="s">
        <v>11494</v>
      </c>
      <c r="B2971" s="26" t="s">
        <v>5423</v>
      </c>
      <c r="C2971" s="26" t="s">
        <v>11495</v>
      </c>
      <c r="D2971" s="26" t="s">
        <v>11496</v>
      </c>
      <c r="E2971" s="26" t="s">
        <v>5488</v>
      </c>
      <c r="F2971" s="27">
        <v>6128291</v>
      </c>
      <c r="G2971" s="27">
        <v>1</v>
      </c>
      <c r="H2971" s="27">
        <v>0</v>
      </c>
      <c r="I2971" s="27">
        <v>1</v>
      </c>
      <c r="J2971" s="30">
        <f t="shared" si="138"/>
        <v>1</v>
      </c>
      <c r="K2971" s="30">
        <f t="shared" si="139"/>
        <v>0</v>
      </c>
      <c r="L2971" s="26">
        <f t="shared" si="140"/>
        <v>0</v>
      </c>
      <c r="M2971" s="26"/>
    </row>
    <row r="2972" spans="1:13" ht="15" customHeight="1">
      <c r="A2972" s="25" t="s">
        <v>11497</v>
      </c>
      <c r="B2972" s="26" t="s">
        <v>5427</v>
      </c>
      <c r="C2972" s="26" t="s">
        <v>11498</v>
      </c>
      <c r="D2972" s="26" t="s">
        <v>11499</v>
      </c>
      <c r="E2972" s="26" t="s">
        <v>5683</v>
      </c>
      <c r="F2972" s="27">
        <v>5222383</v>
      </c>
      <c r="G2972" s="27">
        <v>0</v>
      </c>
      <c r="H2972" s="27">
        <v>0</v>
      </c>
      <c r="I2972" s="27">
        <v>0</v>
      </c>
      <c r="J2972" s="30">
        <f t="shared" si="138"/>
        <v>0</v>
      </c>
      <c r="K2972" s="30">
        <f t="shared" si="139"/>
        <v>0</v>
      </c>
      <c r="L2972" s="26">
        <f t="shared" si="140"/>
        <v>0</v>
      </c>
      <c r="M2972" s="26" t="s">
        <v>8216</v>
      </c>
    </row>
    <row r="2973" spans="1:13" ht="15" customHeight="1">
      <c r="A2973" s="25">
        <v>1796193</v>
      </c>
      <c r="B2973" s="26" t="s">
        <v>5423</v>
      </c>
      <c r="C2973" s="26" t="s">
        <v>11500</v>
      </c>
      <c r="D2973" s="26" t="s">
        <v>11496</v>
      </c>
      <c r="E2973" s="26" t="s">
        <v>5522</v>
      </c>
      <c r="F2973" s="27"/>
      <c r="G2973" s="27">
        <v>0</v>
      </c>
      <c r="H2973" s="27">
        <v>0</v>
      </c>
      <c r="I2973" s="27">
        <v>0</v>
      </c>
      <c r="J2973" s="30">
        <f t="shared" si="138"/>
        <v>0</v>
      </c>
      <c r="K2973" s="30">
        <f t="shared" si="139"/>
        <v>0</v>
      </c>
      <c r="L2973" s="26">
        <f t="shared" si="140"/>
        <v>0</v>
      </c>
      <c r="M2973" s="26" t="s">
        <v>8017</v>
      </c>
    </row>
    <row r="2974" spans="1:13" ht="15" customHeight="1">
      <c r="A2974" s="25">
        <v>1796396</v>
      </c>
      <c r="B2974" s="26" t="s">
        <v>5423</v>
      </c>
      <c r="C2974" s="26" t="s">
        <v>11501</v>
      </c>
      <c r="D2974" s="26" t="s">
        <v>11502</v>
      </c>
      <c r="E2974" s="26" t="s">
        <v>5718</v>
      </c>
      <c r="F2974" s="27">
        <v>6264958</v>
      </c>
      <c r="G2974" s="27">
        <v>1</v>
      </c>
      <c r="H2974" s="27">
        <v>0</v>
      </c>
      <c r="I2974" s="27">
        <v>1</v>
      </c>
      <c r="J2974" s="30">
        <f t="shared" si="138"/>
        <v>1</v>
      </c>
      <c r="K2974" s="30">
        <f t="shared" si="139"/>
        <v>0</v>
      </c>
      <c r="L2974" s="26">
        <f t="shared" si="140"/>
        <v>0</v>
      </c>
      <c r="M2974" s="26"/>
    </row>
    <row r="2975" spans="1:13" ht="15" customHeight="1">
      <c r="A2975" s="25">
        <v>1796576</v>
      </c>
      <c r="B2975" s="26" t="s">
        <v>5427</v>
      </c>
      <c r="C2975" s="26" t="s">
        <v>11503</v>
      </c>
      <c r="D2975" s="26" t="s">
        <v>11504</v>
      </c>
      <c r="E2975" s="26" t="s">
        <v>5603</v>
      </c>
      <c r="F2975" s="27">
        <v>6265736</v>
      </c>
      <c r="G2975" s="27">
        <v>0</v>
      </c>
      <c r="H2975" s="27">
        <v>0</v>
      </c>
      <c r="I2975" s="27">
        <v>0</v>
      </c>
      <c r="J2975" s="30">
        <f t="shared" si="138"/>
        <v>0</v>
      </c>
      <c r="K2975" s="30">
        <f t="shared" si="139"/>
        <v>0</v>
      </c>
      <c r="L2975" s="26">
        <f t="shared" si="140"/>
        <v>0</v>
      </c>
      <c r="M2975" s="26">
        <v>0</v>
      </c>
    </row>
    <row r="2976" spans="1:13" ht="15" customHeight="1">
      <c r="A2976" s="25">
        <v>1796918</v>
      </c>
      <c r="B2976" s="26" t="s">
        <v>5423</v>
      </c>
      <c r="C2976" s="26" t="s">
        <v>11505</v>
      </c>
      <c r="D2976" s="26" t="s">
        <v>11506</v>
      </c>
      <c r="E2976" s="26" t="s">
        <v>5491</v>
      </c>
      <c r="F2976" s="27">
        <v>6267500</v>
      </c>
      <c r="G2976" s="27">
        <v>0</v>
      </c>
      <c r="H2976" s="27">
        <v>1</v>
      </c>
      <c r="I2976" s="27">
        <v>1</v>
      </c>
      <c r="J2976" s="30">
        <f t="shared" si="138"/>
        <v>0</v>
      </c>
      <c r="K2976" s="30">
        <f t="shared" si="139"/>
        <v>1</v>
      </c>
      <c r="L2976" s="26">
        <f t="shared" si="140"/>
        <v>0</v>
      </c>
      <c r="M2976" s="26"/>
    </row>
    <row r="2977" spans="1:13" ht="15" customHeight="1">
      <c r="A2977" s="25">
        <v>1796974</v>
      </c>
      <c r="B2977" s="26" t="s">
        <v>5423</v>
      </c>
      <c r="C2977" s="26" t="s">
        <v>11507</v>
      </c>
      <c r="D2977" s="26" t="s">
        <v>11506</v>
      </c>
      <c r="E2977" s="26" t="s">
        <v>5522</v>
      </c>
      <c r="F2977" s="27">
        <v>6266790</v>
      </c>
      <c r="G2977" s="27">
        <v>1</v>
      </c>
      <c r="H2977" s="27">
        <v>0</v>
      </c>
      <c r="I2977" s="27">
        <v>1</v>
      </c>
      <c r="J2977" s="30">
        <f t="shared" si="138"/>
        <v>1</v>
      </c>
      <c r="K2977" s="30">
        <f t="shared" si="139"/>
        <v>0</v>
      </c>
      <c r="L2977" s="26">
        <f t="shared" si="140"/>
        <v>0</v>
      </c>
      <c r="M2977" s="26"/>
    </row>
    <row r="2978" spans="1:13" ht="15" customHeight="1">
      <c r="A2978" s="25">
        <v>1796982</v>
      </c>
      <c r="B2978" s="26" t="s">
        <v>5427</v>
      </c>
      <c r="C2978" s="26" t="s">
        <v>11508</v>
      </c>
      <c r="D2978" s="26" t="s">
        <v>11506</v>
      </c>
      <c r="E2978" s="26" t="s">
        <v>5610</v>
      </c>
      <c r="F2978" s="27">
        <v>6267510</v>
      </c>
      <c r="G2978" s="27">
        <v>0</v>
      </c>
      <c r="H2978" s="27">
        <v>0</v>
      </c>
      <c r="I2978" s="27">
        <v>0</v>
      </c>
      <c r="J2978" s="30">
        <f t="shared" si="138"/>
        <v>0</v>
      </c>
      <c r="K2978" s="30">
        <f t="shared" si="139"/>
        <v>0</v>
      </c>
      <c r="L2978" s="26">
        <f t="shared" si="140"/>
        <v>0</v>
      </c>
      <c r="M2978" s="26">
        <v>0</v>
      </c>
    </row>
    <row r="2979" spans="1:13" ht="15" customHeight="1">
      <c r="A2979" s="25">
        <v>1797013</v>
      </c>
      <c r="B2979" s="26" t="s">
        <v>5423</v>
      </c>
      <c r="C2979" s="26" t="s">
        <v>11509</v>
      </c>
      <c r="D2979" s="26" t="s">
        <v>11506</v>
      </c>
      <c r="E2979" s="26" t="s">
        <v>5891</v>
      </c>
      <c r="F2979" s="27">
        <v>6266791</v>
      </c>
      <c r="G2979" s="27">
        <v>1</v>
      </c>
      <c r="H2979" s="27">
        <v>1</v>
      </c>
      <c r="I2979" s="27">
        <v>1</v>
      </c>
      <c r="J2979" s="30">
        <f t="shared" si="138"/>
        <v>1</v>
      </c>
      <c r="K2979" s="30">
        <f t="shared" si="139"/>
        <v>1</v>
      </c>
      <c r="L2979" s="26">
        <f t="shared" si="140"/>
        <v>1</v>
      </c>
      <c r="M2979" s="26" t="s">
        <v>8209</v>
      </c>
    </row>
    <row r="2980" spans="1:13" ht="15" customHeight="1">
      <c r="A2980" s="25">
        <v>1797110</v>
      </c>
      <c r="B2980" s="26" t="s">
        <v>5423</v>
      </c>
      <c r="C2980" s="26" t="s">
        <v>11510</v>
      </c>
      <c r="D2980" s="26" t="s">
        <v>11511</v>
      </c>
      <c r="E2980" s="26" t="s">
        <v>5540</v>
      </c>
      <c r="F2980" s="27">
        <v>6266502</v>
      </c>
      <c r="G2980" s="27">
        <v>1</v>
      </c>
      <c r="H2980" s="27">
        <v>0</v>
      </c>
      <c r="I2980" s="27">
        <v>1</v>
      </c>
      <c r="J2980" s="30">
        <f t="shared" si="138"/>
        <v>1</v>
      </c>
      <c r="K2980" s="30">
        <f t="shared" si="139"/>
        <v>0</v>
      </c>
      <c r="L2980" s="26">
        <f t="shared" si="140"/>
        <v>0</v>
      </c>
      <c r="M2980" s="26"/>
    </row>
    <row r="2981" spans="1:13" ht="15" customHeight="1">
      <c r="A2981" s="25">
        <v>1797116</v>
      </c>
      <c r="B2981" s="26" t="s">
        <v>5423</v>
      </c>
      <c r="C2981" s="26" t="s">
        <v>11512</v>
      </c>
      <c r="D2981" s="26" t="s">
        <v>11454</v>
      </c>
      <c r="E2981" s="26" t="s">
        <v>5458</v>
      </c>
      <c r="F2981" s="27">
        <v>6267252</v>
      </c>
      <c r="G2981" s="27">
        <v>1</v>
      </c>
      <c r="H2981" s="27">
        <v>0</v>
      </c>
      <c r="I2981" s="27">
        <v>1</v>
      </c>
      <c r="J2981" s="30">
        <f t="shared" si="138"/>
        <v>1</v>
      </c>
      <c r="K2981" s="30">
        <f t="shared" si="139"/>
        <v>0</v>
      </c>
      <c r="L2981" s="26">
        <f t="shared" si="140"/>
        <v>0</v>
      </c>
      <c r="M2981" s="26"/>
    </row>
    <row r="2982" spans="1:13" ht="15" customHeight="1">
      <c r="A2982" s="25">
        <v>1797379</v>
      </c>
      <c r="B2982" s="26" t="s">
        <v>5427</v>
      </c>
      <c r="C2982" s="26" t="s">
        <v>11513</v>
      </c>
      <c r="D2982" s="26" t="s">
        <v>11506</v>
      </c>
      <c r="E2982" s="26" t="s">
        <v>5540</v>
      </c>
      <c r="F2982" s="27">
        <v>5801914</v>
      </c>
      <c r="G2982" s="27">
        <v>0</v>
      </c>
      <c r="H2982" s="27">
        <v>0</v>
      </c>
      <c r="I2982" s="27">
        <v>0</v>
      </c>
      <c r="J2982" s="30">
        <f t="shared" si="138"/>
        <v>0</v>
      </c>
      <c r="K2982" s="30">
        <f t="shared" si="139"/>
        <v>0</v>
      </c>
      <c r="L2982" s="26">
        <f t="shared" si="140"/>
        <v>0</v>
      </c>
      <c r="M2982" s="26" t="s">
        <v>5557</v>
      </c>
    </row>
    <row r="2983" spans="1:13" ht="15" customHeight="1">
      <c r="A2983" s="25">
        <v>1797451</v>
      </c>
      <c r="B2983" s="26" t="s">
        <v>5423</v>
      </c>
      <c r="C2983" s="26" t="s">
        <v>11514</v>
      </c>
      <c r="D2983" s="26" t="s">
        <v>11489</v>
      </c>
      <c r="E2983" s="26" t="s">
        <v>5439</v>
      </c>
      <c r="F2983" s="27">
        <v>6268366</v>
      </c>
      <c r="G2983" s="27">
        <v>1</v>
      </c>
      <c r="H2983" s="27">
        <v>0</v>
      </c>
      <c r="I2983" s="27">
        <v>1</v>
      </c>
      <c r="J2983" s="30">
        <f t="shared" si="138"/>
        <v>1</v>
      </c>
      <c r="K2983" s="30">
        <f t="shared" si="139"/>
        <v>0</v>
      </c>
      <c r="L2983" s="26">
        <f t="shared" si="140"/>
        <v>0</v>
      </c>
      <c r="M2983" s="26"/>
    </row>
    <row r="2984" spans="1:13" ht="15" customHeight="1">
      <c r="A2984" s="25">
        <v>1798057</v>
      </c>
      <c r="B2984" s="26" t="s">
        <v>5423</v>
      </c>
      <c r="C2984" s="26" t="s">
        <v>11515</v>
      </c>
      <c r="D2984" s="26" t="s">
        <v>11516</v>
      </c>
      <c r="E2984" s="26" t="s">
        <v>5586</v>
      </c>
      <c r="F2984" s="27">
        <v>6249837</v>
      </c>
      <c r="G2984" s="27">
        <v>0</v>
      </c>
      <c r="H2984" s="27">
        <v>1</v>
      </c>
      <c r="I2984" s="27">
        <v>1</v>
      </c>
      <c r="J2984" s="30">
        <f t="shared" si="138"/>
        <v>0</v>
      </c>
      <c r="K2984" s="30">
        <f t="shared" si="139"/>
        <v>1</v>
      </c>
      <c r="L2984" s="26">
        <f t="shared" si="140"/>
        <v>0</v>
      </c>
      <c r="M2984" s="26"/>
    </row>
    <row r="2985" spans="1:13" ht="15" customHeight="1">
      <c r="A2985" s="25">
        <v>1798152</v>
      </c>
      <c r="B2985" s="26" t="s">
        <v>5427</v>
      </c>
      <c r="C2985" s="26" t="s">
        <v>11517</v>
      </c>
      <c r="D2985" s="26" t="s">
        <v>11518</v>
      </c>
      <c r="E2985" s="26" t="s">
        <v>5610</v>
      </c>
      <c r="F2985" s="27">
        <v>6265121</v>
      </c>
      <c r="G2985" s="27">
        <v>1</v>
      </c>
      <c r="H2985" s="27">
        <v>0</v>
      </c>
      <c r="I2985" s="27">
        <v>1</v>
      </c>
      <c r="J2985" s="30">
        <f t="shared" si="138"/>
        <v>1</v>
      </c>
      <c r="K2985" s="30">
        <f t="shared" si="139"/>
        <v>0</v>
      </c>
      <c r="L2985" s="26">
        <f t="shared" si="140"/>
        <v>0</v>
      </c>
      <c r="M2985" s="26"/>
    </row>
    <row r="2986" spans="1:13" ht="15" customHeight="1">
      <c r="A2986" s="25">
        <v>1798313</v>
      </c>
      <c r="B2986" s="26" t="s">
        <v>5423</v>
      </c>
      <c r="C2986" s="26" t="s">
        <v>11519</v>
      </c>
      <c r="D2986" s="26" t="s">
        <v>11520</v>
      </c>
      <c r="E2986" s="26" t="s">
        <v>5458</v>
      </c>
      <c r="F2986" s="27">
        <v>6270920</v>
      </c>
      <c r="G2986" s="27">
        <v>1</v>
      </c>
      <c r="H2986" s="27">
        <v>1</v>
      </c>
      <c r="I2986" s="27">
        <v>1</v>
      </c>
      <c r="J2986" s="30">
        <f t="shared" si="138"/>
        <v>1</v>
      </c>
      <c r="K2986" s="30">
        <f t="shared" si="139"/>
        <v>1</v>
      </c>
      <c r="L2986" s="26">
        <f t="shared" si="140"/>
        <v>1</v>
      </c>
      <c r="M2986" s="26"/>
    </row>
    <row r="2987" spans="1:13" ht="15" customHeight="1">
      <c r="A2987" s="25">
        <v>1798429</v>
      </c>
      <c r="B2987" s="26" t="s">
        <v>5423</v>
      </c>
      <c r="C2987" s="26" t="s">
        <v>11521</v>
      </c>
      <c r="D2987" s="26" t="s">
        <v>11522</v>
      </c>
      <c r="E2987" s="26" t="s">
        <v>5517</v>
      </c>
      <c r="F2987" s="27">
        <v>6270924</v>
      </c>
      <c r="G2987" s="27">
        <v>1</v>
      </c>
      <c r="H2987" s="27">
        <v>1</v>
      </c>
      <c r="I2987" s="27">
        <v>1</v>
      </c>
      <c r="J2987" s="30">
        <f t="shared" si="138"/>
        <v>1</v>
      </c>
      <c r="K2987" s="30">
        <f t="shared" si="139"/>
        <v>1</v>
      </c>
      <c r="L2987" s="26">
        <f t="shared" si="140"/>
        <v>1</v>
      </c>
      <c r="M2987" s="26"/>
    </row>
    <row r="2988" spans="1:13" ht="15" customHeight="1">
      <c r="A2988" s="25">
        <v>1798567</v>
      </c>
      <c r="B2988" s="26" t="s">
        <v>5423</v>
      </c>
      <c r="C2988" s="26" t="s">
        <v>11523</v>
      </c>
      <c r="D2988" s="26" t="s">
        <v>11522</v>
      </c>
      <c r="E2988" s="26" t="s">
        <v>5447</v>
      </c>
      <c r="F2988" s="27">
        <v>6270995</v>
      </c>
      <c r="G2988" s="27">
        <v>1</v>
      </c>
      <c r="H2988" s="27">
        <v>1</v>
      </c>
      <c r="I2988" s="27">
        <v>1</v>
      </c>
      <c r="J2988" s="30">
        <f t="shared" si="138"/>
        <v>1</v>
      </c>
      <c r="K2988" s="30">
        <f t="shared" si="139"/>
        <v>1</v>
      </c>
      <c r="L2988" s="26">
        <f t="shared" si="140"/>
        <v>1</v>
      </c>
      <c r="M2988" s="26"/>
    </row>
    <row r="2989" spans="1:13" ht="15" customHeight="1">
      <c r="A2989" s="25">
        <v>1798672</v>
      </c>
      <c r="B2989" s="26" t="s">
        <v>5423</v>
      </c>
      <c r="C2989" s="26" t="s">
        <v>11524</v>
      </c>
      <c r="D2989" s="26" t="s">
        <v>11525</v>
      </c>
      <c r="E2989" s="26" t="s">
        <v>5522</v>
      </c>
      <c r="F2989" s="27">
        <v>6270926</v>
      </c>
      <c r="G2989" s="27">
        <v>1</v>
      </c>
      <c r="H2989" s="27">
        <v>1</v>
      </c>
      <c r="I2989" s="27">
        <v>1</v>
      </c>
      <c r="J2989" s="30">
        <f t="shared" si="138"/>
        <v>1</v>
      </c>
      <c r="K2989" s="30">
        <f t="shared" si="139"/>
        <v>1</v>
      </c>
      <c r="L2989" s="26">
        <f t="shared" si="140"/>
        <v>1</v>
      </c>
      <c r="M2989" s="26"/>
    </row>
    <row r="2990" spans="1:13" ht="15" customHeight="1">
      <c r="A2990" s="25">
        <v>1799249</v>
      </c>
      <c r="B2990" s="26" t="s">
        <v>5423</v>
      </c>
      <c r="C2990" s="26" t="s">
        <v>11526</v>
      </c>
      <c r="D2990" s="26" t="s">
        <v>11527</v>
      </c>
      <c r="E2990" s="26" t="s">
        <v>5610</v>
      </c>
      <c r="F2990" s="27">
        <v>6257520</v>
      </c>
      <c r="G2990" s="27">
        <v>1</v>
      </c>
      <c r="H2990" s="27">
        <v>0</v>
      </c>
      <c r="I2990" s="27">
        <v>1</v>
      </c>
      <c r="J2990" s="30">
        <f t="shared" si="138"/>
        <v>1</v>
      </c>
      <c r="K2990" s="30">
        <f t="shared" si="139"/>
        <v>0</v>
      </c>
      <c r="L2990" s="26">
        <f t="shared" si="140"/>
        <v>0</v>
      </c>
      <c r="M2990" s="26"/>
    </row>
    <row r="2991" spans="1:13" ht="15" customHeight="1">
      <c r="A2991" s="25">
        <v>1799286</v>
      </c>
      <c r="B2991" s="26" t="s">
        <v>5423</v>
      </c>
      <c r="C2991" s="26" t="s">
        <v>11528</v>
      </c>
      <c r="D2991" s="26" t="s">
        <v>11529</v>
      </c>
      <c r="E2991" s="26" t="s">
        <v>5452</v>
      </c>
      <c r="F2991" s="27">
        <v>6272459</v>
      </c>
      <c r="G2991" s="27">
        <v>1</v>
      </c>
      <c r="H2991" s="27">
        <v>1</v>
      </c>
      <c r="I2991" s="27">
        <v>1</v>
      </c>
      <c r="J2991" s="30">
        <f t="shared" si="138"/>
        <v>1</v>
      </c>
      <c r="K2991" s="30">
        <f t="shared" si="139"/>
        <v>1</v>
      </c>
      <c r="L2991" s="26">
        <f t="shared" si="140"/>
        <v>1</v>
      </c>
      <c r="M2991" s="26"/>
    </row>
    <row r="2992" spans="1:13" ht="15" customHeight="1">
      <c r="A2992" s="25">
        <v>1799343</v>
      </c>
      <c r="B2992" s="26" t="s">
        <v>5423</v>
      </c>
      <c r="C2992" s="26" t="s">
        <v>11530</v>
      </c>
      <c r="D2992" s="26" t="s">
        <v>11531</v>
      </c>
      <c r="E2992" s="26" t="s">
        <v>5455</v>
      </c>
      <c r="F2992" s="27">
        <v>6272660</v>
      </c>
      <c r="G2992" s="27">
        <v>0</v>
      </c>
      <c r="H2992" s="27">
        <v>0</v>
      </c>
      <c r="I2992" s="27">
        <v>0</v>
      </c>
      <c r="J2992" s="30">
        <f t="shared" si="138"/>
        <v>0</v>
      </c>
      <c r="K2992" s="30">
        <f t="shared" si="139"/>
        <v>0</v>
      </c>
      <c r="L2992" s="26">
        <f t="shared" si="140"/>
        <v>0</v>
      </c>
      <c r="M2992" s="26">
        <v>0</v>
      </c>
    </row>
    <row r="2993" spans="1:13" ht="15" customHeight="1">
      <c r="A2993" s="25">
        <v>1799400</v>
      </c>
      <c r="B2993" s="26" t="s">
        <v>5423</v>
      </c>
      <c r="C2993" s="26" t="s">
        <v>11532</v>
      </c>
      <c r="D2993" s="26" t="s">
        <v>11516</v>
      </c>
      <c r="E2993" s="26" t="s">
        <v>5535</v>
      </c>
      <c r="F2993" s="27">
        <v>6272725</v>
      </c>
      <c r="G2993" s="27">
        <v>0</v>
      </c>
      <c r="H2993" s="27">
        <v>0</v>
      </c>
      <c r="I2993" s="27">
        <v>0</v>
      </c>
      <c r="J2993" s="30">
        <f t="shared" si="138"/>
        <v>0</v>
      </c>
      <c r="K2993" s="30">
        <f t="shared" si="139"/>
        <v>0</v>
      </c>
      <c r="L2993" s="26">
        <f t="shared" si="140"/>
        <v>0</v>
      </c>
      <c r="M2993" s="26">
        <v>0</v>
      </c>
    </row>
    <row r="2994" spans="1:13" ht="15" customHeight="1">
      <c r="A2994" s="25">
        <v>1799763</v>
      </c>
      <c r="B2994" s="26" t="s">
        <v>5423</v>
      </c>
      <c r="C2994" s="26" t="s">
        <v>11533</v>
      </c>
      <c r="D2994" s="26" t="s">
        <v>11534</v>
      </c>
      <c r="E2994" s="26" t="s">
        <v>5485</v>
      </c>
      <c r="F2994" s="27">
        <v>6062705</v>
      </c>
      <c r="G2994" s="27">
        <v>0</v>
      </c>
      <c r="H2994" s="27">
        <v>0</v>
      </c>
      <c r="I2994" s="27">
        <v>0</v>
      </c>
      <c r="J2994" s="30">
        <f t="shared" si="138"/>
        <v>0</v>
      </c>
      <c r="K2994" s="30">
        <f t="shared" si="139"/>
        <v>0</v>
      </c>
      <c r="L2994" s="26">
        <f t="shared" si="140"/>
        <v>0</v>
      </c>
      <c r="M2994" s="26" t="s">
        <v>11535</v>
      </c>
    </row>
    <row r="2995" spans="1:13" ht="15" customHeight="1">
      <c r="A2995" s="25">
        <v>1800104</v>
      </c>
      <c r="B2995" s="26" t="s">
        <v>5423</v>
      </c>
      <c r="C2995" s="26" t="s">
        <v>11536</v>
      </c>
      <c r="D2995" s="26" t="s">
        <v>11537</v>
      </c>
      <c r="E2995" s="26" t="s">
        <v>5447</v>
      </c>
      <c r="F2995" s="27">
        <v>5486742</v>
      </c>
      <c r="G2995" s="27">
        <v>0</v>
      </c>
      <c r="H2995" s="27">
        <v>0</v>
      </c>
      <c r="I2995" s="27">
        <v>0</v>
      </c>
      <c r="J2995" s="30">
        <f t="shared" si="138"/>
        <v>0</v>
      </c>
      <c r="K2995" s="30">
        <f t="shared" si="139"/>
        <v>0</v>
      </c>
      <c r="L2995" s="26">
        <f t="shared" si="140"/>
        <v>0</v>
      </c>
      <c r="M2995" s="26">
        <v>0</v>
      </c>
    </row>
    <row r="2996" spans="1:13" ht="15" customHeight="1">
      <c r="A2996" s="25">
        <v>1800244</v>
      </c>
      <c r="B2996" s="26" t="s">
        <v>5423</v>
      </c>
      <c r="C2996" s="26" t="s">
        <v>11538</v>
      </c>
      <c r="D2996" s="26" t="s">
        <v>11537</v>
      </c>
      <c r="E2996" s="26" t="s">
        <v>5475</v>
      </c>
      <c r="F2996" s="27">
        <v>6275692</v>
      </c>
      <c r="G2996" s="27">
        <v>0</v>
      </c>
      <c r="H2996" s="27">
        <v>0</v>
      </c>
      <c r="I2996" s="27">
        <v>0</v>
      </c>
      <c r="J2996" s="30">
        <f t="shared" si="138"/>
        <v>0</v>
      </c>
      <c r="K2996" s="30">
        <f t="shared" si="139"/>
        <v>0</v>
      </c>
      <c r="L2996" s="26">
        <f t="shared" si="140"/>
        <v>0</v>
      </c>
      <c r="M2996" s="26">
        <v>0</v>
      </c>
    </row>
    <row r="2997" spans="1:13" ht="15" customHeight="1">
      <c r="A2997" s="25">
        <v>1800266</v>
      </c>
      <c r="B2997" s="26" t="s">
        <v>5423</v>
      </c>
      <c r="C2997" s="26" t="s">
        <v>11539</v>
      </c>
      <c r="D2997" s="26" t="s">
        <v>11260</v>
      </c>
      <c r="E2997" s="26" t="s">
        <v>5485</v>
      </c>
      <c r="F2997" s="27">
        <v>6274793</v>
      </c>
      <c r="G2997" s="27">
        <v>0</v>
      </c>
      <c r="H2997" s="27">
        <v>0</v>
      </c>
      <c r="I2997" s="27">
        <v>0</v>
      </c>
      <c r="J2997" s="30">
        <f t="shared" si="138"/>
        <v>0</v>
      </c>
      <c r="K2997" s="30">
        <f t="shared" si="139"/>
        <v>0</v>
      </c>
      <c r="L2997" s="26">
        <f t="shared" si="140"/>
        <v>0</v>
      </c>
      <c r="M2997" s="26" t="s">
        <v>5567</v>
      </c>
    </row>
    <row r="2998" spans="1:13" ht="15" customHeight="1">
      <c r="A2998" s="25">
        <v>1800590</v>
      </c>
      <c r="B2998" s="26" t="s">
        <v>5423</v>
      </c>
      <c r="C2998" s="26" t="s">
        <v>11540</v>
      </c>
      <c r="D2998" s="26" t="s">
        <v>11541</v>
      </c>
      <c r="E2998" s="26" t="s">
        <v>5480</v>
      </c>
      <c r="F2998" s="27">
        <v>6251432</v>
      </c>
      <c r="G2998" s="27">
        <v>1</v>
      </c>
      <c r="H2998" s="27">
        <v>1</v>
      </c>
      <c r="I2998" s="27">
        <v>1</v>
      </c>
      <c r="J2998" s="30">
        <f t="shared" si="138"/>
        <v>1</v>
      </c>
      <c r="K2998" s="30">
        <f t="shared" si="139"/>
        <v>1</v>
      </c>
      <c r="L2998" s="26">
        <f t="shared" si="140"/>
        <v>1</v>
      </c>
      <c r="M2998" s="26"/>
    </row>
    <row r="2999" spans="1:13" ht="15" customHeight="1">
      <c r="A2999" s="25">
        <v>1800632</v>
      </c>
      <c r="B2999" s="26" t="s">
        <v>5423</v>
      </c>
      <c r="C2999" s="26" t="s">
        <v>11542</v>
      </c>
      <c r="D2999" s="26" t="s">
        <v>11543</v>
      </c>
      <c r="E2999" s="26" t="s">
        <v>6123</v>
      </c>
      <c r="F2999" s="27">
        <v>6276844</v>
      </c>
      <c r="G2999" s="27">
        <v>0</v>
      </c>
      <c r="H2999" s="27">
        <v>0</v>
      </c>
      <c r="I2999" s="27">
        <v>0</v>
      </c>
      <c r="J2999" s="30">
        <f t="shared" si="138"/>
        <v>0</v>
      </c>
      <c r="K2999" s="30">
        <f t="shared" si="139"/>
        <v>0</v>
      </c>
      <c r="L2999" s="26">
        <f t="shared" si="140"/>
        <v>0</v>
      </c>
      <c r="M2999" s="26">
        <v>0</v>
      </c>
    </row>
    <row r="3000" spans="1:13" ht="15" customHeight="1">
      <c r="A3000" s="25">
        <v>1800735</v>
      </c>
      <c r="B3000" s="26" t="s">
        <v>5427</v>
      </c>
      <c r="C3000" s="26" t="s">
        <v>11544</v>
      </c>
      <c r="D3000" s="26" t="s">
        <v>11541</v>
      </c>
      <c r="E3000" s="26" t="s">
        <v>5603</v>
      </c>
      <c r="F3000" s="27">
        <v>6263805</v>
      </c>
      <c r="G3000" s="27">
        <v>1</v>
      </c>
      <c r="H3000" s="27">
        <v>0</v>
      </c>
      <c r="I3000" s="27">
        <v>1</v>
      </c>
      <c r="J3000" s="30">
        <f t="shared" si="138"/>
        <v>1</v>
      </c>
      <c r="K3000" s="30">
        <f t="shared" si="139"/>
        <v>0</v>
      </c>
      <c r="L3000" s="26">
        <f t="shared" si="140"/>
        <v>0</v>
      </c>
      <c r="M3000" s="26"/>
    </row>
    <row r="3001" spans="1:13" ht="15" customHeight="1">
      <c r="A3001" s="25">
        <v>1800736</v>
      </c>
      <c r="B3001" s="26" t="s">
        <v>5423</v>
      </c>
      <c r="C3001" s="26" t="s">
        <v>11545</v>
      </c>
      <c r="D3001" s="26" t="s">
        <v>11546</v>
      </c>
      <c r="E3001" s="26" t="s">
        <v>5545</v>
      </c>
      <c r="F3001" s="27">
        <v>6276849</v>
      </c>
      <c r="G3001" s="27">
        <v>0</v>
      </c>
      <c r="H3001" s="27">
        <v>0</v>
      </c>
      <c r="I3001" s="27">
        <v>0</v>
      </c>
      <c r="J3001" s="30">
        <f t="shared" si="138"/>
        <v>0</v>
      </c>
      <c r="K3001" s="30">
        <f t="shared" si="139"/>
        <v>0</v>
      </c>
      <c r="L3001" s="26">
        <f t="shared" si="140"/>
        <v>0</v>
      </c>
      <c r="M3001" s="26">
        <v>0</v>
      </c>
    </row>
    <row r="3002" spans="1:13" ht="15" customHeight="1">
      <c r="A3002" s="25">
        <v>1800773</v>
      </c>
      <c r="B3002" s="26" t="s">
        <v>5423</v>
      </c>
      <c r="C3002" s="26" t="s">
        <v>11547</v>
      </c>
      <c r="D3002" s="26" t="s">
        <v>11546</v>
      </c>
      <c r="E3002" s="26" t="s">
        <v>5475</v>
      </c>
      <c r="F3002" s="27">
        <v>6231346</v>
      </c>
      <c r="G3002" s="27">
        <v>1</v>
      </c>
      <c r="H3002" s="27">
        <v>1</v>
      </c>
      <c r="I3002" s="27">
        <v>1</v>
      </c>
      <c r="J3002" s="30">
        <f t="shared" si="138"/>
        <v>1</v>
      </c>
      <c r="K3002" s="30">
        <f t="shared" si="139"/>
        <v>1</v>
      </c>
      <c r="L3002" s="26">
        <f t="shared" si="140"/>
        <v>1</v>
      </c>
      <c r="M3002" s="26"/>
    </row>
    <row r="3003" spans="1:13" ht="15" customHeight="1">
      <c r="A3003" s="25">
        <v>1800831</v>
      </c>
      <c r="B3003" s="26" t="s">
        <v>5423</v>
      </c>
      <c r="C3003" s="26" t="s">
        <v>11548</v>
      </c>
      <c r="D3003" s="26" t="s">
        <v>11537</v>
      </c>
      <c r="E3003" s="26" t="s">
        <v>5522</v>
      </c>
      <c r="F3003" s="27">
        <v>5519267</v>
      </c>
      <c r="G3003" s="27">
        <v>0</v>
      </c>
      <c r="H3003" s="27">
        <v>0</v>
      </c>
      <c r="I3003" s="27">
        <v>0</v>
      </c>
      <c r="J3003" s="30">
        <f t="shared" si="138"/>
        <v>0</v>
      </c>
      <c r="K3003" s="30">
        <f t="shared" si="139"/>
        <v>0</v>
      </c>
      <c r="L3003" s="26">
        <f t="shared" si="140"/>
        <v>0</v>
      </c>
      <c r="M3003" s="26" t="s">
        <v>5557</v>
      </c>
    </row>
    <row r="3004" spans="1:13" ht="15" customHeight="1">
      <c r="A3004" s="25">
        <v>1800864</v>
      </c>
      <c r="B3004" s="26" t="s">
        <v>5423</v>
      </c>
      <c r="C3004" s="26" t="s">
        <v>11549</v>
      </c>
      <c r="D3004" s="26" t="s">
        <v>11546</v>
      </c>
      <c r="E3004" s="26" t="s">
        <v>5522</v>
      </c>
      <c r="F3004" s="27">
        <v>6276856</v>
      </c>
      <c r="G3004" s="27">
        <v>0</v>
      </c>
      <c r="H3004" s="27">
        <v>0</v>
      </c>
      <c r="I3004" s="27">
        <v>0</v>
      </c>
      <c r="J3004" s="30">
        <f t="shared" si="138"/>
        <v>0</v>
      </c>
      <c r="K3004" s="30">
        <f t="shared" si="139"/>
        <v>0</v>
      </c>
      <c r="L3004" s="26">
        <f t="shared" si="140"/>
        <v>0</v>
      </c>
      <c r="M3004" s="26">
        <v>0</v>
      </c>
    </row>
    <row r="3005" spans="1:13" ht="15" customHeight="1">
      <c r="A3005" s="25">
        <v>1801356</v>
      </c>
      <c r="B3005" s="26" t="s">
        <v>5423</v>
      </c>
      <c r="C3005" s="26" t="s">
        <v>11550</v>
      </c>
      <c r="D3005" s="26" t="s">
        <v>11551</v>
      </c>
      <c r="E3005" s="26" t="s">
        <v>5475</v>
      </c>
      <c r="F3005" s="27">
        <v>6277554</v>
      </c>
      <c r="G3005" s="27">
        <v>0</v>
      </c>
      <c r="H3005" s="27">
        <v>0</v>
      </c>
      <c r="I3005" s="27">
        <v>0</v>
      </c>
      <c r="J3005" s="30">
        <f t="shared" si="138"/>
        <v>0</v>
      </c>
      <c r="K3005" s="30">
        <f t="shared" si="139"/>
        <v>0</v>
      </c>
      <c r="L3005" s="26">
        <f t="shared" si="140"/>
        <v>0</v>
      </c>
      <c r="M3005" s="26">
        <v>0</v>
      </c>
    </row>
    <row r="3006" spans="1:13" ht="15" customHeight="1">
      <c r="A3006" s="25">
        <v>1801479</v>
      </c>
      <c r="B3006" s="26" t="s">
        <v>5423</v>
      </c>
      <c r="C3006" s="26" t="s">
        <v>11552</v>
      </c>
      <c r="D3006" s="26" t="s">
        <v>11553</v>
      </c>
      <c r="E3006" s="26" t="s">
        <v>5683</v>
      </c>
      <c r="F3006" s="27">
        <v>5110004</v>
      </c>
      <c r="G3006" s="27">
        <v>1</v>
      </c>
      <c r="H3006" s="27">
        <v>1</v>
      </c>
      <c r="I3006" s="27">
        <v>1</v>
      </c>
      <c r="J3006" s="30">
        <f t="shared" si="138"/>
        <v>1</v>
      </c>
      <c r="K3006" s="30">
        <f t="shared" si="139"/>
        <v>1</v>
      </c>
      <c r="L3006" s="26">
        <f t="shared" si="140"/>
        <v>1</v>
      </c>
      <c r="M3006" s="26"/>
    </row>
    <row r="3007" spans="1:13" ht="15" customHeight="1">
      <c r="A3007" s="25">
        <v>1801595</v>
      </c>
      <c r="B3007" s="26" t="s">
        <v>5427</v>
      </c>
      <c r="C3007" s="26" t="s">
        <v>11554</v>
      </c>
      <c r="D3007" s="26" t="s">
        <v>11555</v>
      </c>
      <c r="E3007" s="26" t="s">
        <v>5442</v>
      </c>
      <c r="F3007" s="27">
        <v>6133857</v>
      </c>
      <c r="G3007" s="27">
        <v>1</v>
      </c>
      <c r="H3007" s="27">
        <v>0</v>
      </c>
      <c r="I3007" s="27">
        <v>1</v>
      </c>
      <c r="J3007" s="30">
        <f t="shared" si="138"/>
        <v>1</v>
      </c>
      <c r="K3007" s="30">
        <f t="shared" si="139"/>
        <v>0</v>
      </c>
      <c r="L3007" s="26">
        <f t="shared" si="140"/>
        <v>0</v>
      </c>
      <c r="M3007" s="26" t="s">
        <v>8045</v>
      </c>
    </row>
    <row r="3008" spans="1:13" ht="15" customHeight="1">
      <c r="A3008" s="25">
        <v>1801609</v>
      </c>
      <c r="B3008" s="26" t="s">
        <v>5427</v>
      </c>
      <c r="C3008" s="26" t="s">
        <v>11556</v>
      </c>
      <c r="D3008" s="26" t="s">
        <v>11557</v>
      </c>
      <c r="E3008" s="26" t="s">
        <v>5610</v>
      </c>
      <c r="F3008" s="27">
        <v>6278829</v>
      </c>
      <c r="G3008" s="27">
        <v>1</v>
      </c>
      <c r="H3008" s="27">
        <v>1</v>
      </c>
      <c r="I3008" s="27">
        <v>1</v>
      </c>
      <c r="J3008" s="30">
        <f t="shared" si="138"/>
        <v>1</v>
      </c>
      <c r="K3008" s="30">
        <f t="shared" si="139"/>
        <v>1</v>
      </c>
      <c r="L3008" s="26">
        <f t="shared" si="140"/>
        <v>1</v>
      </c>
      <c r="M3008" s="26"/>
    </row>
    <row r="3009" spans="1:13" ht="15" customHeight="1">
      <c r="A3009" s="25">
        <v>1801632</v>
      </c>
      <c r="B3009" s="26" t="s">
        <v>5427</v>
      </c>
      <c r="C3009" s="26" t="s">
        <v>11558</v>
      </c>
      <c r="D3009" s="26" t="s">
        <v>11557</v>
      </c>
      <c r="E3009" s="26" t="s">
        <v>5430</v>
      </c>
      <c r="F3009" s="27">
        <v>6278834</v>
      </c>
      <c r="G3009" s="27">
        <v>1</v>
      </c>
      <c r="H3009" s="27">
        <v>1</v>
      </c>
      <c r="I3009" s="27">
        <v>1</v>
      </c>
      <c r="J3009" s="30">
        <f t="shared" si="138"/>
        <v>1</v>
      </c>
      <c r="K3009" s="30">
        <f t="shared" si="139"/>
        <v>1</v>
      </c>
      <c r="L3009" s="26">
        <f t="shared" si="140"/>
        <v>1</v>
      </c>
      <c r="M3009" s="26"/>
    </row>
    <row r="3010" spans="1:13" ht="15" customHeight="1">
      <c r="A3010" s="25">
        <v>1801634</v>
      </c>
      <c r="B3010" s="26" t="s">
        <v>5423</v>
      </c>
      <c r="C3010" s="26" t="s">
        <v>11559</v>
      </c>
      <c r="D3010" s="26" t="s">
        <v>11560</v>
      </c>
      <c r="E3010" s="26" t="s">
        <v>5468</v>
      </c>
      <c r="F3010" s="27">
        <v>6278198</v>
      </c>
      <c r="G3010" s="27">
        <v>0</v>
      </c>
      <c r="H3010" s="27">
        <v>0</v>
      </c>
      <c r="I3010" s="27">
        <v>0</v>
      </c>
      <c r="J3010" s="30">
        <f t="shared" ref="J3010:J3073" si="141">IF(G3010&gt;0,1,0)</f>
        <v>0</v>
      </c>
      <c r="K3010" s="30">
        <f t="shared" ref="K3010:K3073" si="142">IF(H3010&gt;0,1,0)</f>
        <v>0</v>
      </c>
      <c r="L3010" s="26">
        <f t="shared" ref="L3010:L3073" si="143">IF(G3010&gt;0,IF(H3010&gt;0,1,0),0)</f>
        <v>0</v>
      </c>
      <c r="M3010" s="26">
        <v>0</v>
      </c>
    </row>
    <row r="3011" spans="1:13" ht="15" customHeight="1">
      <c r="A3011" s="25">
        <v>1801705</v>
      </c>
      <c r="B3011" s="26" t="s">
        <v>5423</v>
      </c>
      <c r="C3011" s="26" t="s">
        <v>11561</v>
      </c>
      <c r="D3011" s="26" t="s">
        <v>11560</v>
      </c>
      <c r="E3011" s="26" t="s">
        <v>5540</v>
      </c>
      <c r="F3011" s="27">
        <v>6279233</v>
      </c>
      <c r="G3011" s="27">
        <v>0</v>
      </c>
      <c r="H3011" s="27">
        <v>0</v>
      </c>
      <c r="I3011" s="27">
        <v>0</v>
      </c>
      <c r="J3011" s="30">
        <f t="shared" si="141"/>
        <v>0</v>
      </c>
      <c r="K3011" s="30">
        <f t="shared" si="142"/>
        <v>0</v>
      </c>
      <c r="L3011" s="26">
        <f t="shared" si="143"/>
        <v>0</v>
      </c>
      <c r="M3011" s="26">
        <v>0</v>
      </c>
    </row>
    <row r="3012" spans="1:13" ht="15" customHeight="1">
      <c r="A3012" s="25">
        <v>1801803</v>
      </c>
      <c r="B3012" s="26" t="s">
        <v>5423</v>
      </c>
      <c r="C3012" s="26" t="s">
        <v>11562</v>
      </c>
      <c r="D3012" s="26" t="s">
        <v>11557</v>
      </c>
      <c r="E3012" s="26" t="s">
        <v>5455</v>
      </c>
      <c r="F3012" s="27">
        <v>6231716</v>
      </c>
      <c r="G3012" s="27">
        <v>1</v>
      </c>
      <c r="H3012" s="27">
        <v>0</v>
      </c>
      <c r="I3012" s="27">
        <v>1</v>
      </c>
      <c r="J3012" s="30">
        <f t="shared" si="141"/>
        <v>1</v>
      </c>
      <c r="K3012" s="30">
        <f t="shared" si="142"/>
        <v>0</v>
      </c>
      <c r="L3012" s="26">
        <f t="shared" si="143"/>
        <v>0</v>
      </c>
      <c r="M3012" s="26"/>
    </row>
    <row r="3013" spans="1:13" ht="15" customHeight="1">
      <c r="A3013" s="25">
        <v>1801810</v>
      </c>
      <c r="B3013" s="26" t="s">
        <v>5423</v>
      </c>
      <c r="C3013" s="26" t="s">
        <v>11563</v>
      </c>
      <c r="D3013" s="26" t="s">
        <v>11560</v>
      </c>
      <c r="E3013" s="26" t="s">
        <v>5586</v>
      </c>
      <c r="F3013" s="27">
        <v>6279051</v>
      </c>
      <c r="G3013" s="27">
        <v>0</v>
      </c>
      <c r="H3013" s="27">
        <v>0</v>
      </c>
      <c r="I3013" s="27">
        <v>0</v>
      </c>
      <c r="J3013" s="30">
        <f t="shared" si="141"/>
        <v>0</v>
      </c>
      <c r="K3013" s="30">
        <f t="shared" si="142"/>
        <v>0</v>
      </c>
      <c r="L3013" s="26">
        <f t="shared" si="143"/>
        <v>0</v>
      </c>
      <c r="M3013" s="26">
        <v>0</v>
      </c>
    </row>
    <row r="3014" spans="1:13" ht="15" customHeight="1">
      <c r="A3014" s="25">
        <v>1801845</v>
      </c>
      <c r="B3014" s="26" t="s">
        <v>5423</v>
      </c>
      <c r="C3014" s="26" t="s">
        <v>11564</v>
      </c>
      <c r="D3014" s="26" t="s">
        <v>11555</v>
      </c>
      <c r="E3014" s="26" t="s">
        <v>5463</v>
      </c>
      <c r="F3014" s="27">
        <v>6278816</v>
      </c>
      <c r="G3014" s="27">
        <v>1</v>
      </c>
      <c r="H3014" s="27">
        <v>0</v>
      </c>
      <c r="I3014" s="27">
        <v>1</v>
      </c>
      <c r="J3014" s="30">
        <f t="shared" si="141"/>
        <v>1</v>
      </c>
      <c r="K3014" s="30">
        <f t="shared" si="142"/>
        <v>0</v>
      </c>
      <c r="L3014" s="26">
        <f t="shared" si="143"/>
        <v>0</v>
      </c>
      <c r="M3014" s="26"/>
    </row>
    <row r="3015" spans="1:13" ht="15" customHeight="1">
      <c r="A3015" s="25">
        <v>1801877</v>
      </c>
      <c r="B3015" s="26" t="s">
        <v>5423</v>
      </c>
      <c r="C3015" s="26" t="s">
        <v>11565</v>
      </c>
      <c r="D3015" s="26" t="s">
        <v>11555</v>
      </c>
      <c r="E3015" s="26" t="s">
        <v>5455</v>
      </c>
      <c r="F3015" s="27">
        <v>6276479</v>
      </c>
      <c r="G3015" s="27">
        <v>0</v>
      </c>
      <c r="H3015" s="27">
        <v>0</v>
      </c>
      <c r="I3015" s="27">
        <v>0</v>
      </c>
      <c r="J3015" s="30">
        <f t="shared" si="141"/>
        <v>0</v>
      </c>
      <c r="K3015" s="30">
        <f t="shared" si="142"/>
        <v>0</v>
      </c>
      <c r="L3015" s="26">
        <f t="shared" si="143"/>
        <v>0</v>
      </c>
      <c r="M3015" s="26">
        <v>0</v>
      </c>
    </row>
    <row r="3016" spans="1:13" ht="15" customHeight="1">
      <c r="A3016" s="25">
        <v>1802354</v>
      </c>
      <c r="B3016" s="26" t="s">
        <v>5423</v>
      </c>
      <c r="C3016" s="26" t="s">
        <v>11566</v>
      </c>
      <c r="D3016" s="26" t="s">
        <v>11534</v>
      </c>
      <c r="E3016" s="26" t="s">
        <v>5586</v>
      </c>
      <c r="F3016" s="27">
        <v>6280367</v>
      </c>
      <c r="G3016" s="27">
        <v>0</v>
      </c>
      <c r="H3016" s="27">
        <v>0</v>
      </c>
      <c r="I3016" s="27">
        <v>0</v>
      </c>
      <c r="J3016" s="30">
        <f t="shared" si="141"/>
        <v>0</v>
      </c>
      <c r="K3016" s="30">
        <f t="shared" si="142"/>
        <v>0</v>
      </c>
      <c r="L3016" s="26">
        <f t="shared" si="143"/>
        <v>0</v>
      </c>
      <c r="M3016" s="26">
        <v>0</v>
      </c>
    </row>
    <row r="3017" spans="1:13" ht="15" customHeight="1">
      <c r="A3017" s="25">
        <v>1802367</v>
      </c>
      <c r="B3017" s="26" t="s">
        <v>5423</v>
      </c>
      <c r="C3017" s="26" t="s">
        <v>11567</v>
      </c>
      <c r="D3017" s="26" t="s">
        <v>11568</v>
      </c>
      <c r="E3017" s="26" t="s">
        <v>5560</v>
      </c>
      <c r="F3017" s="27">
        <v>6279995</v>
      </c>
      <c r="G3017" s="27">
        <v>1</v>
      </c>
      <c r="H3017" s="27">
        <v>1</v>
      </c>
      <c r="I3017" s="27">
        <v>1</v>
      </c>
      <c r="J3017" s="30">
        <f t="shared" si="141"/>
        <v>1</v>
      </c>
      <c r="K3017" s="30">
        <f t="shared" si="142"/>
        <v>1</v>
      </c>
      <c r="L3017" s="26">
        <f t="shared" si="143"/>
        <v>1</v>
      </c>
      <c r="M3017" s="26"/>
    </row>
    <row r="3018" spans="1:13" ht="15" customHeight="1">
      <c r="A3018" s="25">
        <v>1802622</v>
      </c>
      <c r="B3018" s="26" t="s">
        <v>5423</v>
      </c>
      <c r="C3018" s="26" t="s">
        <v>11569</v>
      </c>
      <c r="D3018" s="26" t="s">
        <v>11452</v>
      </c>
      <c r="E3018" s="26" t="s">
        <v>5517</v>
      </c>
      <c r="F3018" s="27">
        <v>6272415</v>
      </c>
      <c r="G3018" s="27">
        <v>0</v>
      </c>
      <c r="H3018" s="27">
        <v>1</v>
      </c>
      <c r="I3018" s="27">
        <v>1</v>
      </c>
      <c r="J3018" s="30">
        <f t="shared" si="141"/>
        <v>0</v>
      </c>
      <c r="K3018" s="30">
        <f t="shared" si="142"/>
        <v>1</v>
      </c>
      <c r="L3018" s="26">
        <f t="shared" si="143"/>
        <v>0</v>
      </c>
      <c r="M3018" s="26"/>
    </row>
    <row r="3019" spans="1:13" ht="15" customHeight="1">
      <c r="A3019" s="25">
        <v>1802643</v>
      </c>
      <c r="B3019" s="26" t="s">
        <v>5423</v>
      </c>
      <c r="C3019" s="26" t="s">
        <v>11570</v>
      </c>
      <c r="D3019" s="26" t="s">
        <v>11534</v>
      </c>
      <c r="E3019" s="26" t="s">
        <v>5426</v>
      </c>
      <c r="F3019" s="27">
        <v>6280669</v>
      </c>
      <c r="G3019" s="27">
        <v>0</v>
      </c>
      <c r="H3019" s="27">
        <v>0</v>
      </c>
      <c r="I3019" s="27">
        <v>0</v>
      </c>
      <c r="J3019" s="30">
        <f t="shared" si="141"/>
        <v>0</v>
      </c>
      <c r="K3019" s="30">
        <f t="shared" si="142"/>
        <v>0</v>
      </c>
      <c r="L3019" s="26">
        <f t="shared" si="143"/>
        <v>0</v>
      </c>
      <c r="M3019" s="26">
        <v>0</v>
      </c>
    </row>
    <row r="3020" spans="1:13" ht="15" customHeight="1">
      <c r="A3020" s="25">
        <v>1802741</v>
      </c>
      <c r="B3020" s="26" t="s">
        <v>5423</v>
      </c>
      <c r="C3020" s="26" t="s">
        <v>11571</v>
      </c>
      <c r="D3020" s="26" t="s">
        <v>11511</v>
      </c>
      <c r="E3020" s="26" t="s">
        <v>5480</v>
      </c>
      <c r="F3020" s="27">
        <v>6289394</v>
      </c>
      <c r="G3020" s="27">
        <v>1</v>
      </c>
      <c r="H3020" s="27">
        <v>0</v>
      </c>
      <c r="I3020" s="27">
        <v>1</v>
      </c>
      <c r="J3020" s="30">
        <f t="shared" si="141"/>
        <v>1</v>
      </c>
      <c r="K3020" s="30">
        <f t="shared" si="142"/>
        <v>0</v>
      </c>
      <c r="L3020" s="26">
        <f t="shared" si="143"/>
        <v>0</v>
      </c>
      <c r="M3020" s="26"/>
    </row>
    <row r="3021" spans="1:13" ht="15" customHeight="1">
      <c r="A3021" s="25">
        <v>1803269</v>
      </c>
      <c r="B3021" s="26" t="s">
        <v>5423</v>
      </c>
      <c r="C3021" s="26" t="s">
        <v>11572</v>
      </c>
      <c r="D3021" s="26" t="s">
        <v>11573</v>
      </c>
      <c r="E3021" s="26" t="s">
        <v>5488</v>
      </c>
      <c r="F3021" s="27">
        <v>6274453</v>
      </c>
      <c r="G3021" s="27">
        <v>1</v>
      </c>
      <c r="H3021" s="27">
        <v>0</v>
      </c>
      <c r="I3021" s="27">
        <v>1</v>
      </c>
      <c r="J3021" s="30">
        <f t="shared" si="141"/>
        <v>1</v>
      </c>
      <c r="K3021" s="30">
        <f t="shared" si="142"/>
        <v>0</v>
      </c>
      <c r="L3021" s="26">
        <f t="shared" si="143"/>
        <v>0</v>
      </c>
      <c r="M3021" s="26"/>
    </row>
    <row r="3022" spans="1:13" ht="15" customHeight="1">
      <c r="A3022" s="25">
        <v>1803282</v>
      </c>
      <c r="B3022" s="26" t="s">
        <v>5423</v>
      </c>
      <c r="C3022" s="26" t="s">
        <v>11574</v>
      </c>
      <c r="D3022" s="26" t="s">
        <v>11573</v>
      </c>
      <c r="E3022" s="26" t="s">
        <v>5439</v>
      </c>
      <c r="F3022" s="27">
        <v>6279098</v>
      </c>
      <c r="G3022" s="27">
        <v>0</v>
      </c>
      <c r="H3022" s="27">
        <v>0</v>
      </c>
      <c r="I3022" s="27">
        <v>0</v>
      </c>
      <c r="J3022" s="30">
        <f t="shared" si="141"/>
        <v>0</v>
      </c>
      <c r="K3022" s="30">
        <f t="shared" si="142"/>
        <v>0</v>
      </c>
      <c r="L3022" s="26">
        <f t="shared" si="143"/>
        <v>0</v>
      </c>
      <c r="M3022" s="26">
        <v>0</v>
      </c>
    </row>
    <row r="3023" spans="1:13" ht="15" customHeight="1">
      <c r="A3023" s="25" t="s">
        <v>11575</v>
      </c>
      <c r="B3023" s="26" t="s">
        <v>5423</v>
      </c>
      <c r="C3023" s="26" t="s">
        <v>11576</v>
      </c>
      <c r="D3023" s="26" t="s">
        <v>11577</v>
      </c>
      <c r="E3023" s="26" t="s">
        <v>5535</v>
      </c>
      <c r="F3023" s="27">
        <v>6282206</v>
      </c>
      <c r="G3023" s="27">
        <v>0</v>
      </c>
      <c r="H3023" s="27">
        <v>1</v>
      </c>
      <c r="I3023" s="27">
        <v>1</v>
      </c>
      <c r="J3023" s="30">
        <f t="shared" si="141"/>
        <v>0</v>
      </c>
      <c r="K3023" s="30">
        <f t="shared" si="142"/>
        <v>1</v>
      </c>
      <c r="L3023" s="26">
        <f t="shared" si="143"/>
        <v>0</v>
      </c>
      <c r="M3023" s="26"/>
    </row>
    <row r="3024" spans="1:13" ht="15" customHeight="1">
      <c r="A3024" s="25">
        <v>1803349</v>
      </c>
      <c r="B3024" s="26" t="s">
        <v>5427</v>
      </c>
      <c r="C3024" s="26" t="s">
        <v>11578</v>
      </c>
      <c r="D3024" s="26" t="s">
        <v>11579</v>
      </c>
      <c r="E3024" s="26" t="s">
        <v>5586</v>
      </c>
      <c r="F3024" s="27">
        <v>6282306</v>
      </c>
      <c r="G3024" s="27">
        <v>1</v>
      </c>
      <c r="H3024" s="27">
        <v>0</v>
      </c>
      <c r="I3024" s="27">
        <v>1</v>
      </c>
      <c r="J3024" s="30">
        <f t="shared" si="141"/>
        <v>1</v>
      </c>
      <c r="K3024" s="30">
        <f t="shared" si="142"/>
        <v>0</v>
      </c>
      <c r="L3024" s="26">
        <f t="shared" si="143"/>
        <v>0</v>
      </c>
      <c r="M3024" s="26"/>
    </row>
    <row r="3025" spans="1:13" ht="15" customHeight="1">
      <c r="A3025" s="25">
        <v>1804789</v>
      </c>
      <c r="B3025" s="26" t="s">
        <v>5423</v>
      </c>
      <c r="C3025" s="26" t="s">
        <v>11580</v>
      </c>
      <c r="D3025" s="26" t="s">
        <v>11581</v>
      </c>
      <c r="E3025" s="26" t="s">
        <v>5532</v>
      </c>
      <c r="F3025" s="27">
        <v>6288010</v>
      </c>
      <c r="G3025" s="27">
        <v>1</v>
      </c>
      <c r="H3025" s="27">
        <v>0</v>
      </c>
      <c r="I3025" s="27">
        <v>1</v>
      </c>
      <c r="J3025" s="30">
        <f t="shared" si="141"/>
        <v>1</v>
      </c>
      <c r="K3025" s="30">
        <f t="shared" si="142"/>
        <v>0</v>
      </c>
      <c r="L3025" s="26">
        <f t="shared" si="143"/>
        <v>0</v>
      </c>
      <c r="M3025" s="26"/>
    </row>
    <row r="3026" spans="1:13" ht="15" customHeight="1">
      <c r="A3026" s="25">
        <v>1804849</v>
      </c>
      <c r="B3026" s="26" t="s">
        <v>5423</v>
      </c>
      <c r="C3026" s="26" t="s">
        <v>11582</v>
      </c>
      <c r="D3026" s="26" t="s">
        <v>11579</v>
      </c>
      <c r="E3026" s="26" t="s">
        <v>5463</v>
      </c>
      <c r="F3026" s="27">
        <v>6288346</v>
      </c>
      <c r="G3026" s="27">
        <v>1</v>
      </c>
      <c r="H3026" s="27">
        <v>1</v>
      </c>
      <c r="I3026" s="27">
        <v>1</v>
      </c>
      <c r="J3026" s="30">
        <f t="shared" si="141"/>
        <v>1</v>
      </c>
      <c r="K3026" s="30">
        <f t="shared" si="142"/>
        <v>1</v>
      </c>
      <c r="L3026" s="26">
        <f t="shared" si="143"/>
        <v>1</v>
      </c>
      <c r="M3026" s="26"/>
    </row>
    <row r="3027" spans="1:13" ht="15" customHeight="1">
      <c r="A3027" s="25">
        <v>1805073</v>
      </c>
      <c r="B3027" s="26" t="s">
        <v>5423</v>
      </c>
      <c r="C3027" s="26" t="s">
        <v>11583</v>
      </c>
      <c r="D3027" s="26" t="s">
        <v>11584</v>
      </c>
      <c r="E3027" s="26" t="s">
        <v>5535</v>
      </c>
      <c r="F3027" s="27">
        <v>5414520</v>
      </c>
      <c r="G3027" s="27">
        <v>1</v>
      </c>
      <c r="H3027" s="27">
        <v>1</v>
      </c>
      <c r="I3027" s="27">
        <v>1</v>
      </c>
      <c r="J3027" s="30">
        <f t="shared" si="141"/>
        <v>1</v>
      </c>
      <c r="K3027" s="30">
        <f t="shared" si="142"/>
        <v>1</v>
      </c>
      <c r="L3027" s="26">
        <f t="shared" si="143"/>
        <v>1</v>
      </c>
      <c r="M3027" s="26"/>
    </row>
    <row r="3028" spans="1:13" ht="15" customHeight="1">
      <c r="A3028" s="25">
        <v>1805096</v>
      </c>
      <c r="B3028" s="26" t="s">
        <v>5423</v>
      </c>
      <c r="C3028" s="26" t="s">
        <v>11585</v>
      </c>
      <c r="D3028" s="26" t="s">
        <v>11579</v>
      </c>
      <c r="E3028" s="26" t="s">
        <v>5475</v>
      </c>
      <c r="F3028" s="27">
        <v>6289723</v>
      </c>
      <c r="G3028" s="27">
        <v>1</v>
      </c>
      <c r="H3028" s="27">
        <v>0</v>
      </c>
      <c r="I3028" s="27">
        <v>1</v>
      </c>
      <c r="J3028" s="30">
        <f t="shared" si="141"/>
        <v>1</v>
      </c>
      <c r="K3028" s="30">
        <f t="shared" si="142"/>
        <v>0</v>
      </c>
      <c r="L3028" s="26">
        <f t="shared" si="143"/>
        <v>0</v>
      </c>
      <c r="M3028" s="26"/>
    </row>
    <row r="3029" spans="1:13" ht="15" customHeight="1">
      <c r="A3029" s="25">
        <v>1805171</v>
      </c>
      <c r="B3029" s="26" t="s">
        <v>5423</v>
      </c>
      <c r="C3029" s="26" t="s">
        <v>11586</v>
      </c>
      <c r="D3029" s="26" t="s">
        <v>11579</v>
      </c>
      <c r="E3029" s="26" t="s">
        <v>5475</v>
      </c>
      <c r="F3029" s="27">
        <v>6235850</v>
      </c>
      <c r="G3029" s="27">
        <v>1</v>
      </c>
      <c r="H3029" s="27">
        <v>1</v>
      </c>
      <c r="I3029" s="27">
        <v>1</v>
      </c>
      <c r="J3029" s="30">
        <f t="shared" si="141"/>
        <v>1</v>
      </c>
      <c r="K3029" s="30">
        <f t="shared" si="142"/>
        <v>1</v>
      </c>
      <c r="L3029" s="26">
        <f t="shared" si="143"/>
        <v>1</v>
      </c>
      <c r="M3029" s="26"/>
    </row>
    <row r="3030" spans="1:13" ht="15" customHeight="1">
      <c r="A3030" s="25">
        <v>1805312</v>
      </c>
      <c r="B3030" s="26" t="s">
        <v>5423</v>
      </c>
      <c r="C3030" s="26" t="s">
        <v>11587</v>
      </c>
      <c r="D3030" s="26" t="s">
        <v>11588</v>
      </c>
      <c r="E3030" s="26" t="s">
        <v>6123</v>
      </c>
      <c r="F3030" s="27">
        <v>6289272</v>
      </c>
      <c r="G3030" s="27">
        <v>1</v>
      </c>
      <c r="H3030" s="27">
        <v>1</v>
      </c>
      <c r="I3030" s="27">
        <v>1</v>
      </c>
      <c r="J3030" s="30">
        <f t="shared" si="141"/>
        <v>1</v>
      </c>
      <c r="K3030" s="30">
        <f t="shared" si="142"/>
        <v>1</v>
      </c>
      <c r="L3030" s="26">
        <f t="shared" si="143"/>
        <v>1</v>
      </c>
      <c r="M3030" s="26"/>
    </row>
    <row r="3031" spans="1:13" ht="15" customHeight="1">
      <c r="A3031" s="25">
        <v>1805491</v>
      </c>
      <c r="B3031" s="26" t="s">
        <v>5423</v>
      </c>
      <c r="C3031" s="26" t="s">
        <v>11589</v>
      </c>
      <c r="D3031" s="26" t="s">
        <v>11590</v>
      </c>
      <c r="E3031" s="26" t="s">
        <v>5529</v>
      </c>
      <c r="F3031" s="27">
        <v>5557561</v>
      </c>
      <c r="G3031" s="27">
        <v>1</v>
      </c>
      <c r="H3031" s="27">
        <v>1</v>
      </c>
      <c r="I3031" s="27">
        <v>1</v>
      </c>
      <c r="J3031" s="30">
        <f t="shared" si="141"/>
        <v>1</v>
      </c>
      <c r="K3031" s="30">
        <f t="shared" si="142"/>
        <v>1</v>
      </c>
      <c r="L3031" s="26">
        <f t="shared" si="143"/>
        <v>1</v>
      </c>
      <c r="M3031" s="26"/>
    </row>
    <row r="3032" spans="1:13" ht="15" customHeight="1">
      <c r="A3032" s="25">
        <v>1805880</v>
      </c>
      <c r="B3032" s="26" t="s">
        <v>5423</v>
      </c>
      <c r="C3032" s="26" t="s">
        <v>11591</v>
      </c>
      <c r="D3032" s="26" t="s">
        <v>11592</v>
      </c>
      <c r="E3032" s="26" t="s">
        <v>5436</v>
      </c>
      <c r="F3032" s="27">
        <v>6290949</v>
      </c>
      <c r="G3032" s="27">
        <v>0</v>
      </c>
      <c r="H3032" s="27">
        <v>0</v>
      </c>
      <c r="I3032" s="27">
        <v>0</v>
      </c>
      <c r="J3032" s="30">
        <f t="shared" si="141"/>
        <v>0</v>
      </c>
      <c r="K3032" s="30">
        <f t="shared" si="142"/>
        <v>0</v>
      </c>
      <c r="L3032" s="26">
        <f t="shared" si="143"/>
        <v>0</v>
      </c>
      <c r="M3032" s="26">
        <v>0</v>
      </c>
    </row>
    <row r="3033" spans="1:13" ht="15" customHeight="1">
      <c r="A3033" s="25">
        <v>1805946</v>
      </c>
      <c r="B3033" s="26" t="s">
        <v>5423</v>
      </c>
      <c r="C3033" s="26" t="s">
        <v>11593</v>
      </c>
      <c r="D3033" s="26" t="s">
        <v>11579</v>
      </c>
      <c r="E3033" s="26" t="s">
        <v>5485</v>
      </c>
      <c r="F3033" s="27">
        <v>6266792</v>
      </c>
      <c r="G3033" s="27">
        <v>1</v>
      </c>
      <c r="H3033" s="27">
        <v>0</v>
      </c>
      <c r="I3033" s="27">
        <v>1</v>
      </c>
      <c r="J3033" s="30">
        <f t="shared" si="141"/>
        <v>1</v>
      </c>
      <c r="K3033" s="30">
        <f t="shared" si="142"/>
        <v>0</v>
      </c>
      <c r="L3033" s="26">
        <f t="shared" si="143"/>
        <v>0</v>
      </c>
      <c r="M3033" s="26"/>
    </row>
    <row r="3034" spans="1:13" ht="15" customHeight="1">
      <c r="A3034" s="25">
        <v>1805975</v>
      </c>
      <c r="B3034" s="26" t="s">
        <v>5423</v>
      </c>
      <c r="C3034" s="26" t="s">
        <v>11594</v>
      </c>
      <c r="D3034" s="26" t="s">
        <v>11595</v>
      </c>
      <c r="E3034" s="26" t="s">
        <v>5535</v>
      </c>
      <c r="F3034" s="27">
        <v>5803944</v>
      </c>
      <c r="G3034" s="27">
        <v>1</v>
      </c>
      <c r="H3034" s="27">
        <v>1</v>
      </c>
      <c r="I3034" s="27">
        <v>1</v>
      </c>
      <c r="J3034" s="30">
        <f t="shared" si="141"/>
        <v>1</v>
      </c>
      <c r="K3034" s="30">
        <f t="shared" si="142"/>
        <v>1</v>
      </c>
      <c r="L3034" s="26">
        <f t="shared" si="143"/>
        <v>1</v>
      </c>
      <c r="M3034" s="26"/>
    </row>
    <row r="3035" spans="1:13" ht="15" customHeight="1">
      <c r="A3035" s="25">
        <v>1806284</v>
      </c>
      <c r="B3035" s="26" t="s">
        <v>5423</v>
      </c>
      <c r="C3035" s="26" t="s">
        <v>11596</v>
      </c>
      <c r="D3035" s="26" t="s">
        <v>11592</v>
      </c>
      <c r="E3035" s="26" t="s">
        <v>5517</v>
      </c>
      <c r="F3035" s="27">
        <v>6058689</v>
      </c>
      <c r="G3035" s="27">
        <v>0</v>
      </c>
      <c r="H3035" s="27">
        <v>0</v>
      </c>
      <c r="I3035" s="27">
        <v>0</v>
      </c>
      <c r="J3035" s="30">
        <f t="shared" si="141"/>
        <v>0</v>
      </c>
      <c r="K3035" s="30">
        <f t="shared" si="142"/>
        <v>0</v>
      </c>
      <c r="L3035" s="26">
        <f t="shared" si="143"/>
        <v>0</v>
      </c>
      <c r="M3035" s="26">
        <v>0</v>
      </c>
    </row>
    <row r="3036" spans="1:13" ht="15" customHeight="1">
      <c r="A3036" s="25">
        <v>1806363</v>
      </c>
      <c r="B3036" s="26" t="s">
        <v>5423</v>
      </c>
      <c r="C3036" s="26" t="s">
        <v>11597</v>
      </c>
      <c r="D3036" s="26" t="s">
        <v>11592</v>
      </c>
      <c r="E3036" s="26" t="s">
        <v>5529</v>
      </c>
      <c r="F3036" s="27">
        <v>3822523</v>
      </c>
      <c r="G3036" s="27">
        <v>1</v>
      </c>
      <c r="H3036" s="27">
        <v>0</v>
      </c>
      <c r="I3036" s="27">
        <v>1</v>
      </c>
      <c r="J3036" s="30">
        <f t="shared" si="141"/>
        <v>1</v>
      </c>
      <c r="K3036" s="30">
        <f t="shared" si="142"/>
        <v>0</v>
      </c>
      <c r="L3036" s="26">
        <f t="shared" si="143"/>
        <v>0</v>
      </c>
      <c r="M3036" s="26"/>
    </row>
    <row r="3037" spans="1:13" ht="15" customHeight="1">
      <c r="A3037" s="25">
        <v>1806457</v>
      </c>
      <c r="B3037" s="26" t="s">
        <v>5423</v>
      </c>
      <c r="C3037" s="26" t="s">
        <v>11598</v>
      </c>
      <c r="D3037" s="26" t="s">
        <v>11599</v>
      </c>
      <c r="E3037" s="26" t="s">
        <v>5522</v>
      </c>
      <c r="F3037" s="27">
        <v>5808084</v>
      </c>
      <c r="G3037" s="27">
        <v>1</v>
      </c>
      <c r="H3037" s="27">
        <v>1</v>
      </c>
      <c r="I3037" s="27">
        <v>1</v>
      </c>
      <c r="J3037" s="30">
        <f t="shared" si="141"/>
        <v>1</v>
      </c>
      <c r="K3037" s="30">
        <f t="shared" si="142"/>
        <v>1</v>
      </c>
      <c r="L3037" s="26">
        <f t="shared" si="143"/>
        <v>1</v>
      </c>
      <c r="M3037" s="26"/>
    </row>
    <row r="3038" spans="1:13" ht="15" customHeight="1">
      <c r="A3038" s="25">
        <v>1806597</v>
      </c>
      <c r="B3038" s="26" t="s">
        <v>5423</v>
      </c>
      <c r="C3038" s="26" t="s">
        <v>11600</v>
      </c>
      <c r="D3038" s="26" t="s">
        <v>11601</v>
      </c>
      <c r="E3038" s="26" t="s">
        <v>5535</v>
      </c>
      <c r="F3038" s="27">
        <v>5536822</v>
      </c>
      <c r="G3038" s="27">
        <v>0</v>
      </c>
      <c r="H3038" s="27">
        <v>0</v>
      </c>
      <c r="I3038" s="27">
        <v>0</v>
      </c>
      <c r="J3038" s="30">
        <f t="shared" si="141"/>
        <v>0</v>
      </c>
      <c r="K3038" s="30">
        <f t="shared" si="142"/>
        <v>0</v>
      </c>
      <c r="L3038" s="26">
        <f t="shared" si="143"/>
        <v>0</v>
      </c>
      <c r="M3038" s="26" t="s">
        <v>5557</v>
      </c>
    </row>
    <row r="3039" spans="1:13" ht="15" customHeight="1">
      <c r="A3039" s="25">
        <v>1806778</v>
      </c>
      <c r="B3039" s="26" t="s">
        <v>5423</v>
      </c>
      <c r="C3039" s="26" t="s">
        <v>11602</v>
      </c>
      <c r="D3039" s="26" t="s">
        <v>11511</v>
      </c>
      <c r="E3039" s="26" t="s">
        <v>5458</v>
      </c>
      <c r="F3039" s="27">
        <v>6293399</v>
      </c>
      <c r="G3039" s="27">
        <v>1</v>
      </c>
      <c r="H3039" s="27">
        <v>0</v>
      </c>
      <c r="I3039" s="27">
        <v>1</v>
      </c>
      <c r="J3039" s="30">
        <f t="shared" si="141"/>
        <v>1</v>
      </c>
      <c r="K3039" s="30">
        <f t="shared" si="142"/>
        <v>0</v>
      </c>
      <c r="L3039" s="26">
        <f t="shared" si="143"/>
        <v>0</v>
      </c>
      <c r="M3039" s="26"/>
    </row>
    <row r="3040" spans="1:13" ht="15" customHeight="1">
      <c r="A3040" s="25">
        <v>1806972</v>
      </c>
      <c r="B3040" s="26" t="s">
        <v>5423</v>
      </c>
      <c r="C3040" s="26" t="s">
        <v>11603</v>
      </c>
      <c r="D3040" s="26" t="s">
        <v>11604</v>
      </c>
      <c r="E3040" s="26" t="s">
        <v>5532</v>
      </c>
      <c r="F3040" s="27">
        <v>6273125</v>
      </c>
      <c r="G3040" s="27">
        <v>1</v>
      </c>
      <c r="H3040" s="27">
        <v>0</v>
      </c>
      <c r="I3040" s="27">
        <v>1</v>
      </c>
      <c r="J3040" s="30">
        <f t="shared" si="141"/>
        <v>1</v>
      </c>
      <c r="K3040" s="30">
        <f t="shared" si="142"/>
        <v>0</v>
      </c>
      <c r="L3040" s="26">
        <f t="shared" si="143"/>
        <v>0</v>
      </c>
      <c r="M3040" s="26"/>
    </row>
    <row r="3041" spans="1:13" ht="15" customHeight="1">
      <c r="A3041" s="25">
        <v>1806987</v>
      </c>
      <c r="B3041" s="26" t="s">
        <v>5423</v>
      </c>
      <c r="C3041" s="26" t="s">
        <v>11605</v>
      </c>
      <c r="D3041" s="26" t="s">
        <v>11592</v>
      </c>
      <c r="E3041" s="26" t="s">
        <v>5433</v>
      </c>
      <c r="F3041" s="27">
        <v>6266835</v>
      </c>
      <c r="G3041" s="27">
        <v>1</v>
      </c>
      <c r="H3041" s="27">
        <v>0</v>
      </c>
      <c r="I3041" s="27">
        <v>1</v>
      </c>
      <c r="J3041" s="30">
        <f t="shared" si="141"/>
        <v>1</v>
      </c>
      <c r="K3041" s="30">
        <f t="shared" si="142"/>
        <v>0</v>
      </c>
      <c r="L3041" s="26">
        <f t="shared" si="143"/>
        <v>0</v>
      </c>
      <c r="M3041" s="26"/>
    </row>
    <row r="3042" spans="1:13" ht="15" customHeight="1">
      <c r="A3042" s="25">
        <v>1807027</v>
      </c>
      <c r="B3042" s="26" t="s">
        <v>5423</v>
      </c>
      <c r="C3042" s="26" t="s">
        <v>11606</v>
      </c>
      <c r="D3042" s="26" t="s">
        <v>11592</v>
      </c>
      <c r="E3042" s="26" t="s">
        <v>5514</v>
      </c>
      <c r="F3042" s="27">
        <v>6294352</v>
      </c>
      <c r="G3042" s="27">
        <v>0</v>
      </c>
      <c r="H3042" s="27">
        <v>0</v>
      </c>
      <c r="I3042" s="27">
        <v>0</v>
      </c>
      <c r="J3042" s="30">
        <f t="shared" si="141"/>
        <v>0</v>
      </c>
      <c r="K3042" s="30">
        <f t="shared" si="142"/>
        <v>0</v>
      </c>
      <c r="L3042" s="26">
        <f t="shared" si="143"/>
        <v>0</v>
      </c>
      <c r="M3042" s="26">
        <v>0</v>
      </c>
    </row>
    <row r="3043" spans="1:13" ht="15" customHeight="1">
      <c r="A3043" s="25">
        <v>1807194</v>
      </c>
      <c r="B3043" s="26" t="s">
        <v>5423</v>
      </c>
      <c r="C3043" s="26" t="s">
        <v>11607</v>
      </c>
      <c r="D3043" s="26" t="s">
        <v>11608</v>
      </c>
      <c r="E3043" s="26" t="s">
        <v>5475</v>
      </c>
      <c r="F3043" s="27">
        <v>5033118</v>
      </c>
      <c r="G3043" s="27">
        <v>0</v>
      </c>
      <c r="H3043" s="27">
        <v>0</v>
      </c>
      <c r="I3043" s="27">
        <v>0</v>
      </c>
      <c r="J3043" s="30">
        <f t="shared" si="141"/>
        <v>0</v>
      </c>
      <c r="K3043" s="30">
        <f t="shared" si="142"/>
        <v>0</v>
      </c>
      <c r="L3043" s="26">
        <f t="shared" si="143"/>
        <v>0</v>
      </c>
      <c r="M3043" s="26">
        <v>0</v>
      </c>
    </row>
    <row r="3044" spans="1:13" ht="15" customHeight="1">
      <c r="A3044" s="25">
        <v>1807262</v>
      </c>
      <c r="B3044" s="26" t="s">
        <v>5427</v>
      </c>
      <c r="C3044" s="26" t="s">
        <v>11609</v>
      </c>
      <c r="D3044" s="26" t="s">
        <v>11610</v>
      </c>
      <c r="E3044" s="26" t="s">
        <v>5707</v>
      </c>
      <c r="F3044" s="27">
        <v>6279719</v>
      </c>
      <c r="G3044" s="27">
        <v>1</v>
      </c>
      <c r="H3044" s="27">
        <v>0</v>
      </c>
      <c r="I3044" s="27">
        <v>1</v>
      </c>
      <c r="J3044" s="30">
        <f t="shared" si="141"/>
        <v>1</v>
      </c>
      <c r="K3044" s="30">
        <f t="shared" si="142"/>
        <v>0</v>
      </c>
      <c r="L3044" s="26">
        <f t="shared" si="143"/>
        <v>0</v>
      </c>
      <c r="M3044" s="26"/>
    </row>
    <row r="3045" spans="1:13" ht="15" customHeight="1">
      <c r="A3045" s="25">
        <v>1807410</v>
      </c>
      <c r="B3045" s="26" t="s">
        <v>5423</v>
      </c>
      <c r="C3045" s="26" t="s">
        <v>11611</v>
      </c>
      <c r="D3045" s="26" t="s">
        <v>11599</v>
      </c>
      <c r="E3045" s="26" t="s">
        <v>5683</v>
      </c>
      <c r="F3045" s="27">
        <v>6295153</v>
      </c>
      <c r="G3045" s="27">
        <v>0</v>
      </c>
      <c r="H3045" s="27">
        <v>0</v>
      </c>
      <c r="I3045" s="27">
        <v>0</v>
      </c>
      <c r="J3045" s="30">
        <f t="shared" si="141"/>
        <v>0</v>
      </c>
      <c r="K3045" s="30">
        <f t="shared" si="142"/>
        <v>0</v>
      </c>
      <c r="L3045" s="26">
        <f t="shared" si="143"/>
        <v>0</v>
      </c>
      <c r="M3045" s="26">
        <v>0</v>
      </c>
    </row>
    <row r="3046" spans="1:13" ht="15" customHeight="1">
      <c r="A3046" s="25">
        <v>1807432</v>
      </c>
      <c r="B3046" s="26" t="s">
        <v>5427</v>
      </c>
      <c r="C3046" s="26" t="s">
        <v>11612</v>
      </c>
      <c r="D3046" s="26" t="s">
        <v>11613</v>
      </c>
      <c r="E3046" s="26" t="s">
        <v>5575</v>
      </c>
      <c r="F3046" s="27">
        <v>6295841</v>
      </c>
      <c r="G3046" s="27">
        <v>0</v>
      </c>
      <c r="H3046" s="27">
        <v>1</v>
      </c>
      <c r="I3046" s="27">
        <v>1</v>
      </c>
      <c r="J3046" s="30">
        <f t="shared" si="141"/>
        <v>0</v>
      </c>
      <c r="K3046" s="30">
        <f t="shared" si="142"/>
        <v>1</v>
      </c>
      <c r="L3046" s="26">
        <f t="shared" si="143"/>
        <v>0</v>
      </c>
      <c r="M3046" s="26" t="s">
        <v>11614</v>
      </c>
    </row>
    <row r="3047" spans="1:13" ht="15" customHeight="1">
      <c r="A3047" s="25">
        <v>1807474</v>
      </c>
      <c r="B3047" s="26" t="s">
        <v>5423</v>
      </c>
      <c r="C3047" s="26" t="s">
        <v>11615</v>
      </c>
      <c r="D3047" s="26" t="s">
        <v>11616</v>
      </c>
      <c r="E3047" s="26" t="s">
        <v>5683</v>
      </c>
      <c r="F3047" s="27">
        <v>6295980</v>
      </c>
      <c r="G3047" s="27">
        <v>0</v>
      </c>
      <c r="H3047" s="27">
        <v>0</v>
      </c>
      <c r="I3047" s="27">
        <v>0</v>
      </c>
      <c r="J3047" s="30">
        <f t="shared" si="141"/>
        <v>0</v>
      </c>
      <c r="K3047" s="30">
        <f t="shared" si="142"/>
        <v>0</v>
      </c>
      <c r="L3047" s="26">
        <f t="shared" si="143"/>
        <v>0</v>
      </c>
      <c r="M3047" s="26">
        <v>0</v>
      </c>
    </row>
    <row r="3048" spans="1:13" ht="15" customHeight="1">
      <c r="A3048" s="25">
        <v>1807601</v>
      </c>
      <c r="B3048" s="26" t="s">
        <v>5427</v>
      </c>
      <c r="C3048" s="26" t="s">
        <v>11617</v>
      </c>
      <c r="D3048" s="26" t="s">
        <v>11511</v>
      </c>
      <c r="E3048" s="26" t="s">
        <v>5891</v>
      </c>
      <c r="F3048" s="27">
        <v>6293306</v>
      </c>
      <c r="G3048" s="27">
        <v>0</v>
      </c>
      <c r="H3048" s="27">
        <v>1</v>
      </c>
      <c r="I3048" s="27">
        <v>1</v>
      </c>
      <c r="J3048" s="30">
        <f t="shared" si="141"/>
        <v>0</v>
      </c>
      <c r="K3048" s="30">
        <f t="shared" si="142"/>
        <v>1</v>
      </c>
      <c r="L3048" s="26">
        <f t="shared" si="143"/>
        <v>0</v>
      </c>
      <c r="M3048" s="26"/>
    </row>
    <row r="3049" spans="1:13" ht="15" customHeight="1">
      <c r="A3049" s="25">
        <v>1807895</v>
      </c>
      <c r="B3049" s="26" t="s">
        <v>5423</v>
      </c>
      <c r="C3049" s="26" t="s">
        <v>11618</v>
      </c>
      <c r="D3049" s="26" t="s">
        <v>11511</v>
      </c>
      <c r="E3049" s="26" t="s">
        <v>5458</v>
      </c>
      <c r="F3049" s="27">
        <v>5994550</v>
      </c>
      <c r="G3049" s="27">
        <v>1</v>
      </c>
      <c r="H3049" s="27">
        <v>0</v>
      </c>
      <c r="I3049" s="27">
        <v>1</v>
      </c>
      <c r="J3049" s="30">
        <f t="shared" si="141"/>
        <v>1</v>
      </c>
      <c r="K3049" s="30">
        <f t="shared" si="142"/>
        <v>0</v>
      </c>
      <c r="L3049" s="26">
        <f t="shared" si="143"/>
        <v>0</v>
      </c>
      <c r="M3049" s="26"/>
    </row>
    <row r="3050" spans="1:13" ht="15" customHeight="1">
      <c r="A3050" s="25">
        <v>1807948</v>
      </c>
      <c r="B3050" s="26" t="s">
        <v>5427</v>
      </c>
      <c r="C3050" s="26" t="s">
        <v>11619</v>
      </c>
      <c r="D3050" s="26" t="s">
        <v>11620</v>
      </c>
      <c r="E3050" s="26" t="s">
        <v>5488</v>
      </c>
      <c r="F3050" s="27">
        <v>6296477</v>
      </c>
      <c r="G3050" s="27">
        <v>1</v>
      </c>
      <c r="H3050" s="27">
        <v>0</v>
      </c>
      <c r="I3050" s="27">
        <v>1</v>
      </c>
      <c r="J3050" s="30">
        <f t="shared" si="141"/>
        <v>1</v>
      </c>
      <c r="K3050" s="30">
        <f t="shared" si="142"/>
        <v>0</v>
      </c>
      <c r="L3050" s="26">
        <f t="shared" si="143"/>
        <v>0</v>
      </c>
      <c r="M3050" s="26"/>
    </row>
    <row r="3051" spans="1:13" ht="15" customHeight="1">
      <c r="A3051" s="25">
        <v>1808153</v>
      </c>
      <c r="B3051" s="26" t="s">
        <v>5423</v>
      </c>
      <c r="C3051" s="26" t="s">
        <v>11621</v>
      </c>
      <c r="D3051" s="26" t="s">
        <v>11622</v>
      </c>
      <c r="E3051" s="26" t="s">
        <v>5575</v>
      </c>
      <c r="F3051" s="27">
        <v>6282496</v>
      </c>
      <c r="G3051" s="27">
        <v>1</v>
      </c>
      <c r="H3051" s="27">
        <v>1</v>
      </c>
      <c r="I3051" s="27">
        <v>1</v>
      </c>
      <c r="J3051" s="30">
        <f t="shared" si="141"/>
        <v>1</v>
      </c>
      <c r="K3051" s="30">
        <f t="shared" si="142"/>
        <v>1</v>
      </c>
      <c r="L3051" s="26">
        <f t="shared" si="143"/>
        <v>1</v>
      </c>
      <c r="M3051" s="26" t="s">
        <v>9990</v>
      </c>
    </row>
    <row r="3052" spans="1:13" ht="15" customHeight="1">
      <c r="A3052" s="25">
        <v>1808181</v>
      </c>
      <c r="B3052" s="26" t="s">
        <v>5427</v>
      </c>
      <c r="C3052" s="26" t="s">
        <v>11623</v>
      </c>
      <c r="D3052" s="26" t="s">
        <v>11624</v>
      </c>
      <c r="E3052" s="26" t="s">
        <v>5540</v>
      </c>
      <c r="F3052" s="27">
        <v>6296286</v>
      </c>
      <c r="G3052" s="27">
        <v>1</v>
      </c>
      <c r="H3052" s="27">
        <v>0</v>
      </c>
      <c r="I3052" s="27">
        <v>1</v>
      </c>
      <c r="J3052" s="30">
        <f t="shared" si="141"/>
        <v>1</v>
      </c>
      <c r="K3052" s="30">
        <f t="shared" si="142"/>
        <v>0</v>
      </c>
      <c r="L3052" s="26">
        <f t="shared" si="143"/>
        <v>0</v>
      </c>
      <c r="M3052" s="26"/>
    </row>
    <row r="3053" spans="1:13" ht="15" customHeight="1">
      <c r="A3053" s="25">
        <v>1808285</v>
      </c>
      <c r="B3053" s="26" t="s">
        <v>5423</v>
      </c>
      <c r="C3053" s="26" t="s">
        <v>11625</v>
      </c>
      <c r="D3053" s="26" t="s">
        <v>11511</v>
      </c>
      <c r="E3053" s="26" t="s">
        <v>5603</v>
      </c>
      <c r="F3053" s="27">
        <v>6286076</v>
      </c>
      <c r="G3053" s="27">
        <v>1</v>
      </c>
      <c r="H3053" s="27">
        <v>0</v>
      </c>
      <c r="I3053" s="27">
        <v>1</v>
      </c>
      <c r="J3053" s="30">
        <f t="shared" si="141"/>
        <v>1</v>
      </c>
      <c r="K3053" s="30">
        <f t="shared" si="142"/>
        <v>0</v>
      </c>
      <c r="L3053" s="26">
        <f t="shared" si="143"/>
        <v>0</v>
      </c>
      <c r="M3053" s="26"/>
    </row>
    <row r="3054" spans="1:13" ht="15" customHeight="1">
      <c r="A3054" s="25">
        <v>1808434</v>
      </c>
      <c r="B3054" s="26" t="s">
        <v>5427</v>
      </c>
      <c r="C3054" s="26" t="s">
        <v>11626</v>
      </c>
      <c r="D3054" s="26" t="s">
        <v>11627</v>
      </c>
      <c r="E3054" s="26" t="s">
        <v>5447</v>
      </c>
      <c r="F3054" s="27">
        <v>6298371</v>
      </c>
      <c r="G3054" s="27">
        <v>0</v>
      </c>
      <c r="H3054" s="27">
        <v>0</v>
      </c>
      <c r="I3054" s="27">
        <v>0</v>
      </c>
      <c r="J3054" s="30">
        <f t="shared" si="141"/>
        <v>0</v>
      </c>
      <c r="K3054" s="30">
        <f t="shared" si="142"/>
        <v>0</v>
      </c>
      <c r="L3054" s="26">
        <f t="shared" si="143"/>
        <v>0</v>
      </c>
      <c r="M3054" s="26">
        <v>0</v>
      </c>
    </row>
    <row r="3055" spans="1:13" ht="15" customHeight="1">
      <c r="A3055" s="25">
        <v>1808442</v>
      </c>
      <c r="B3055" s="26" t="s">
        <v>5423</v>
      </c>
      <c r="C3055" s="26" t="s">
        <v>11628</v>
      </c>
      <c r="D3055" s="26" t="s">
        <v>11629</v>
      </c>
      <c r="E3055" s="26" t="s">
        <v>5540</v>
      </c>
      <c r="F3055" s="27">
        <v>6296582</v>
      </c>
      <c r="G3055" s="27">
        <v>1</v>
      </c>
      <c r="H3055" s="27">
        <v>1</v>
      </c>
      <c r="I3055" s="27">
        <v>1</v>
      </c>
      <c r="J3055" s="30">
        <f t="shared" si="141"/>
        <v>1</v>
      </c>
      <c r="K3055" s="30">
        <f t="shared" si="142"/>
        <v>1</v>
      </c>
      <c r="L3055" s="26">
        <f t="shared" si="143"/>
        <v>1</v>
      </c>
      <c r="M3055" s="26"/>
    </row>
    <row r="3056" spans="1:13" ht="15" customHeight="1">
      <c r="A3056" s="25">
        <v>1808596</v>
      </c>
      <c r="B3056" s="26" t="s">
        <v>5423</v>
      </c>
      <c r="C3056" s="26" t="s">
        <v>11630</v>
      </c>
      <c r="D3056" s="26" t="s">
        <v>11613</v>
      </c>
      <c r="E3056" s="26" t="s">
        <v>5463</v>
      </c>
      <c r="F3056" s="27">
        <v>6248410</v>
      </c>
      <c r="G3056" s="27">
        <v>1</v>
      </c>
      <c r="H3056" s="27">
        <v>1</v>
      </c>
      <c r="I3056" s="27">
        <v>1</v>
      </c>
      <c r="J3056" s="30">
        <f t="shared" si="141"/>
        <v>1</v>
      </c>
      <c r="K3056" s="30">
        <f t="shared" si="142"/>
        <v>1</v>
      </c>
      <c r="L3056" s="26">
        <f t="shared" si="143"/>
        <v>1</v>
      </c>
      <c r="M3056" s="26"/>
    </row>
    <row r="3057" spans="1:13" ht="15" customHeight="1">
      <c r="A3057" s="25">
        <v>1808680</v>
      </c>
      <c r="B3057" s="26" t="s">
        <v>5423</v>
      </c>
      <c r="C3057" s="26" t="s">
        <v>11631</v>
      </c>
      <c r="D3057" s="26" t="s">
        <v>11627</v>
      </c>
      <c r="E3057" s="26" t="s">
        <v>5532</v>
      </c>
      <c r="F3057" s="27">
        <v>6298026</v>
      </c>
      <c r="G3057" s="27">
        <v>0</v>
      </c>
      <c r="H3057" s="27">
        <v>0</v>
      </c>
      <c r="I3057" s="27">
        <v>0</v>
      </c>
      <c r="J3057" s="30">
        <f t="shared" si="141"/>
        <v>0</v>
      </c>
      <c r="K3057" s="30">
        <f t="shared" si="142"/>
        <v>0</v>
      </c>
      <c r="L3057" s="26">
        <f t="shared" si="143"/>
        <v>0</v>
      </c>
      <c r="M3057" s="26">
        <v>0</v>
      </c>
    </row>
    <row r="3058" spans="1:13" ht="15" customHeight="1">
      <c r="A3058" s="25">
        <v>1809145</v>
      </c>
      <c r="B3058" s="26" t="s">
        <v>5423</v>
      </c>
      <c r="C3058" s="26" t="s">
        <v>11632</v>
      </c>
      <c r="D3058" s="26" t="s">
        <v>11633</v>
      </c>
      <c r="E3058" s="26" t="s">
        <v>5603</v>
      </c>
      <c r="F3058" s="27">
        <v>6299033</v>
      </c>
      <c r="G3058" s="27">
        <v>1</v>
      </c>
      <c r="H3058" s="27">
        <v>1</v>
      </c>
      <c r="I3058" s="27">
        <v>1</v>
      </c>
      <c r="J3058" s="30">
        <f t="shared" si="141"/>
        <v>1</v>
      </c>
      <c r="K3058" s="30">
        <f t="shared" si="142"/>
        <v>1</v>
      </c>
      <c r="L3058" s="26">
        <f t="shared" si="143"/>
        <v>1</v>
      </c>
      <c r="M3058" s="26"/>
    </row>
    <row r="3059" spans="1:13" ht="15" customHeight="1">
      <c r="A3059" s="25">
        <v>1809433</v>
      </c>
      <c r="B3059" s="26" t="s">
        <v>5423</v>
      </c>
      <c r="C3059" s="26" t="s">
        <v>11634</v>
      </c>
      <c r="D3059" s="26" t="s">
        <v>11624</v>
      </c>
      <c r="E3059" s="26" t="s">
        <v>5475</v>
      </c>
      <c r="F3059" s="27">
        <v>6197140</v>
      </c>
      <c r="G3059" s="27">
        <v>1</v>
      </c>
      <c r="H3059" s="27">
        <v>1</v>
      </c>
      <c r="I3059" s="27">
        <v>1</v>
      </c>
      <c r="J3059" s="30">
        <f t="shared" si="141"/>
        <v>1</v>
      </c>
      <c r="K3059" s="30">
        <f t="shared" si="142"/>
        <v>1</v>
      </c>
      <c r="L3059" s="26">
        <f t="shared" si="143"/>
        <v>1</v>
      </c>
      <c r="M3059" s="26"/>
    </row>
    <row r="3060" spans="1:13" ht="15" customHeight="1">
      <c r="A3060" s="25">
        <v>1809490</v>
      </c>
      <c r="B3060" s="26" t="s">
        <v>5423</v>
      </c>
      <c r="C3060" s="26" t="s">
        <v>11635</v>
      </c>
      <c r="D3060" s="26" t="s">
        <v>11636</v>
      </c>
      <c r="E3060" s="26" t="s">
        <v>5430</v>
      </c>
      <c r="F3060" s="27">
        <v>6302172</v>
      </c>
      <c r="G3060" s="27">
        <v>0</v>
      </c>
      <c r="H3060" s="27">
        <v>0</v>
      </c>
      <c r="I3060" s="27">
        <v>0</v>
      </c>
      <c r="J3060" s="30">
        <f t="shared" si="141"/>
        <v>0</v>
      </c>
      <c r="K3060" s="30">
        <f t="shared" si="142"/>
        <v>0</v>
      </c>
      <c r="L3060" s="26">
        <f t="shared" si="143"/>
        <v>0</v>
      </c>
      <c r="M3060" s="26">
        <v>0</v>
      </c>
    </row>
    <row r="3061" spans="1:13" ht="15" customHeight="1">
      <c r="A3061" s="25">
        <v>1809495</v>
      </c>
      <c r="B3061" s="26" t="s">
        <v>5427</v>
      </c>
      <c r="C3061" s="26" t="s">
        <v>11637</v>
      </c>
      <c r="D3061" s="26" t="s">
        <v>11629</v>
      </c>
      <c r="E3061" s="26" t="s">
        <v>11638</v>
      </c>
      <c r="F3061" s="27"/>
      <c r="G3061" s="27">
        <v>0</v>
      </c>
      <c r="H3061" s="27">
        <v>0</v>
      </c>
      <c r="I3061" s="27">
        <v>0</v>
      </c>
      <c r="J3061" s="30">
        <f t="shared" si="141"/>
        <v>0</v>
      </c>
      <c r="K3061" s="30">
        <f t="shared" si="142"/>
        <v>0</v>
      </c>
      <c r="L3061" s="26">
        <f t="shared" si="143"/>
        <v>0</v>
      </c>
      <c r="M3061" s="26">
        <v>0</v>
      </c>
    </row>
    <row r="3062" spans="1:13" ht="15" customHeight="1">
      <c r="A3062" s="25">
        <v>1809511</v>
      </c>
      <c r="B3062" s="26" t="s">
        <v>5423</v>
      </c>
      <c r="C3062" s="26" t="s">
        <v>11639</v>
      </c>
      <c r="D3062" s="26" t="s">
        <v>11640</v>
      </c>
      <c r="E3062" s="26" t="s">
        <v>5447</v>
      </c>
      <c r="F3062" s="27">
        <v>5316776</v>
      </c>
      <c r="G3062" s="27">
        <v>1</v>
      </c>
      <c r="H3062" s="27">
        <v>0</v>
      </c>
      <c r="I3062" s="27">
        <v>1</v>
      </c>
      <c r="J3062" s="30">
        <f t="shared" si="141"/>
        <v>1</v>
      </c>
      <c r="K3062" s="30">
        <f t="shared" si="142"/>
        <v>0</v>
      </c>
      <c r="L3062" s="26">
        <f t="shared" si="143"/>
        <v>0</v>
      </c>
      <c r="M3062" s="26"/>
    </row>
    <row r="3063" spans="1:13" ht="15" customHeight="1">
      <c r="A3063" s="25">
        <v>1809740</v>
      </c>
      <c r="B3063" s="26" t="s">
        <v>5427</v>
      </c>
      <c r="C3063" s="26" t="s">
        <v>11641</v>
      </c>
      <c r="D3063" s="26" t="s">
        <v>11642</v>
      </c>
      <c r="E3063" s="26" t="s">
        <v>5430</v>
      </c>
      <c r="F3063" s="27">
        <v>6302028</v>
      </c>
      <c r="G3063" s="27">
        <v>0</v>
      </c>
      <c r="H3063" s="27">
        <v>0</v>
      </c>
      <c r="I3063" s="27">
        <v>0</v>
      </c>
      <c r="J3063" s="30">
        <f t="shared" si="141"/>
        <v>0</v>
      </c>
      <c r="K3063" s="30">
        <f t="shared" si="142"/>
        <v>0</v>
      </c>
      <c r="L3063" s="26">
        <f t="shared" si="143"/>
        <v>0</v>
      </c>
      <c r="M3063" s="26">
        <v>0</v>
      </c>
    </row>
    <row r="3064" spans="1:13" ht="15" customHeight="1">
      <c r="A3064" s="25">
        <v>1809761</v>
      </c>
      <c r="B3064" s="26" t="s">
        <v>5423</v>
      </c>
      <c r="C3064" s="26" t="s">
        <v>11643</v>
      </c>
      <c r="D3064" s="26" t="s">
        <v>11644</v>
      </c>
      <c r="E3064" s="26" t="s">
        <v>5603</v>
      </c>
      <c r="F3064" s="27">
        <v>6301061</v>
      </c>
      <c r="G3064" s="27">
        <v>1</v>
      </c>
      <c r="H3064" s="27">
        <v>1</v>
      </c>
      <c r="I3064" s="27">
        <v>1</v>
      </c>
      <c r="J3064" s="30">
        <f t="shared" si="141"/>
        <v>1</v>
      </c>
      <c r="K3064" s="30">
        <f t="shared" si="142"/>
        <v>1</v>
      </c>
      <c r="L3064" s="26">
        <f t="shared" si="143"/>
        <v>1</v>
      </c>
      <c r="M3064" s="26"/>
    </row>
    <row r="3065" spans="1:13" ht="15" customHeight="1">
      <c r="A3065" s="25">
        <v>1809775</v>
      </c>
      <c r="B3065" s="26" t="s">
        <v>5427</v>
      </c>
      <c r="C3065" s="26" t="s">
        <v>11645</v>
      </c>
      <c r="D3065" s="26" t="s">
        <v>11646</v>
      </c>
      <c r="E3065" s="26" t="s">
        <v>5535</v>
      </c>
      <c r="F3065" s="27">
        <v>5327934</v>
      </c>
      <c r="G3065" s="27">
        <v>0</v>
      </c>
      <c r="H3065" s="27">
        <v>0</v>
      </c>
      <c r="I3065" s="27">
        <v>0</v>
      </c>
      <c r="J3065" s="30">
        <f t="shared" si="141"/>
        <v>0</v>
      </c>
      <c r="K3065" s="30">
        <f t="shared" si="142"/>
        <v>0</v>
      </c>
      <c r="L3065" s="26">
        <f t="shared" si="143"/>
        <v>0</v>
      </c>
      <c r="M3065" s="26" t="s">
        <v>8017</v>
      </c>
    </row>
    <row r="3066" spans="1:13" ht="15" customHeight="1">
      <c r="A3066" s="25">
        <v>1809796</v>
      </c>
      <c r="B3066" s="26" t="s">
        <v>5423</v>
      </c>
      <c r="C3066" s="26" t="s">
        <v>11647</v>
      </c>
      <c r="D3066" s="26" t="s">
        <v>11633</v>
      </c>
      <c r="E3066" s="26" t="s">
        <v>5488</v>
      </c>
      <c r="F3066" s="27">
        <v>6264552</v>
      </c>
      <c r="G3066" s="27">
        <v>1</v>
      </c>
      <c r="H3066" s="27">
        <v>0</v>
      </c>
      <c r="I3066" s="27">
        <v>1</v>
      </c>
      <c r="J3066" s="30">
        <f t="shared" si="141"/>
        <v>1</v>
      </c>
      <c r="K3066" s="30">
        <f t="shared" si="142"/>
        <v>0</v>
      </c>
      <c r="L3066" s="26">
        <f t="shared" si="143"/>
        <v>0</v>
      </c>
      <c r="M3066" s="26"/>
    </row>
    <row r="3067" spans="1:13" ht="15" customHeight="1">
      <c r="A3067" s="25">
        <v>1809798</v>
      </c>
      <c r="B3067" s="26" t="s">
        <v>5423</v>
      </c>
      <c r="C3067" s="26" t="s">
        <v>11648</v>
      </c>
      <c r="D3067" s="26" t="s">
        <v>11642</v>
      </c>
      <c r="E3067" s="26" t="s">
        <v>5491</v>
      </c>
      <c r="F3067" s="27">
        <v>6304156</v>
      </c>
      <c r="G3067" s="27">
        <v>0</v>
      </c>
      <c r="H3067" s="27">
        <v>0</v>
      </c>
      <c r="I3067" s="27">
        <v>0</v>
      </c>
      <c r="J3067" s="30">
        <f t="shared" si="141"/>
        <v>0</v>
      </c>
      <c r="K3067" s="30">
        <f t="shared" si="142"/>
        <v>0</v>
      </c>
      <c r="L3067" s="26">
        <f t="shared" si="143"/>
        <v>0</v>
      </c>
      <c r="M3067" s="26">
        <v>0</v>
      </c>
    </row>
    <row r="3068" spans="1:13" ht="15" customHeight="1">
      <c r="A3068" s="25">
        <v>1809802</v>
      </c>
      <c r="B3068" s="26" t="s">
        <v>5427</v>
      </c>
      <c r="C3068" s="26" t="s">
        <v>11649</v>
      </c>
      <c r="D3068" s="26" t="s">
        <v>11642</v>
      </c>
      <c r="E3068" s="26" t="s">
        <v>5430</v>
      </c>
      <c r="F3068" s="27">
        <v>6301225</v>
      </c>
      <c r="G3068" s="27">
        <v>1</v>
      </c>
      <c r="H3068" s="27">
        <v>0</v>
      </c>
      <c r="I3068" s="27">
        <v>1</v>
      </c>
      <c r="J3068" s="30">
        <f t="shared" si="141"/>
        <v>1</v>
      </c>
      <c r="K3068" s="30">
        <f t="shared" si="142"/>
        <v>0</v>
      </c>
      <c r="L3068" s="26">
        <f t="shared" si="143"/>
        <v>0</v>
      </c>
      <c r="M3068" s="26"/>
    </row>
    <row r="3069" spans="1:13" ht="15" customHeight="1">
      <c r="A3069" s="25">
        <v>1810272</v>
      </c>
      <c r="B3069" s="26" t="s">
        <v>5427</v>
      </c>
      <c r="C3069" s="26" t="s">
        <v>11650</v>
      </c>
      <c r="D3069" s="26" t="s">
        <v>11642</v>
      </c>
      <c r="E3069" s="26" t="s">
        <v>5560</v>
      </c>
      <c r="F3069" s="27">
        <v>6303248</v>
      </c>
      <c r="G3069" s="27">
        <v>0</v>
      </c>
      <c r="H3069" s="27">
        <v>0</v>
      </c>
      <c r="I3069" s="27">
        <v>0</v>
      </c>
      <c r="J3069" s="30">
        <f t="shared" si="141"/>
        <v>0</v>
      </c>
      <c r="K3069" s="30">
        <f t="shared" si="142"/>
        <v>0</v>
      </c>
      <c r="L3069" s="26">
        <f t="shared" si="143"/>
        <v>0</v>
      </c>
      <c r="M3069" s="26">
        <v>0</v>
      </c>
    </row>
    <row r="3070" spans="1:13" ht="15" customHeight="1">
      <c r="A3070" s="25">
        <v>1810624</v>
      </c>
      <c r="B3070" s="26" t="s">
        <v>5423</v>
      </c>
      <c r="C3070" s="26" t="s">
        <v>11651</v>
      </c>
      <c r="D3070" s="26" t="s">
        <v>11652</v>
      </c>
      <c r="E3070" s="26" t="s">
        <v>5540</v>
      </c>
      <c r="F3070" s="27">
        <v>6304225</v>
      </c>
      <c r="G3070" s="27">
        <v>0</v>
      </c>
      <c r="H3070" s="27">
        <v>1</v>
      </c>
      <c r="I3070" s="27">
        <v>1</v>
      </c>
      <c r="J3070" s="30">
        <f t="shared" si="141"/>
        <v>0</v>
      </c>
      <c r="K3070" s="30">
        <f t="shared" si="142"/>
        <v>1</v>
      </c>
      <c r="L3070" s="26">
        <f t="shared" si="143"/>
        <v>0</v>
      </c>
      <c r="M3070" s="26"/>
    </row>
    <row r="3071" spans="1:13" ht="15" customHeight="1">
      <c r="A3071" s="25">
        <v>1810680</v>
      </c>
      <c r="B3071" s="26" t="s">
        <v>5427</v>
      </c>
      <c r="C3071" s="26" t="s">
        <v>11653</v>
      </c>
      <c r="D3071" s="26" t="s">
        <v>11652</v>
      </c>
      <c r="E3071" s="26" t="s">
        <v>5430</v>
      </c>
      <c r="F3071" s="27">
        <v>6280467</v>
      </c>
      <c r="G3071" s="27">
        <v>1</v>
      </c>
      <c r="H3071" s="27">
        <v>1</v>
      </c>
      <c r="I3071" s="27">
        <v>1</v>
      </c>
      <c r="J3071" s="30">
        <f t="shared" si="141"/>
        <v>1</v>
      </c>
      <c r="K3071" s="30">
        <f t="shared" si="142"/>
        <v>1</v>
      </c>
      <c r="L3071" s="26">
        <f t="shared" si="143"/>
        <v>1</v>
      </c>
      <c r="M3071" s="26" t="s">
        <v>10849</v>
      </c>
    </row>
    <row r="3072" spans="1:13" ht="15" customHeight="1">
      <c r="A3072" s="25">
        <v>1810696</v>
      </c>
      <c r="B3072" s="26" t="s">
        <v>5427</v>
      </c>
      <c r="C3072" s="26" t="s">
        <v>11654</v>
      </c>
      <c r="D3072" s="26" t="s">
        <v>11652</v>
      </c>
      <c r="E3072" s="26" t="s">
        <v>5654</v>
      </c>
      <c r="F3072" s="27">
        <v>5764287</v>
      </c>
      <c r="G3072" s="27">
        <v>0</v>
      </c>
      <c r="H3072" s="27">
        <v>0</v>
      </c>
      <c r="I3072" s="27">
        <v>0</v>
      </c>
      <c r="J3072" s="30">
        <f t="shared" si="141"/>
        <v>0</v>
      </c>
      <c r="K3072" s="30">
        <f t="shared" si="142"/>
        <v>0</v>
      </c>
      <c r="L3072" s="26">
        <f t="shared" si="143"/>
        <v>0</v>
      </c>
      <c r="M3072" s="26" t="s">
        <v>5557</v>
      </c>
    </row>
    <row r="3073" spans="1:13" ht="15" customHeight="1">
      <c r="A3073" s="25">
        <v>1810892</v>
      </c>
      <c r="B3073" s="26" t="s">
        <v>5423</v>
      </c>
      <c r="C3073" s="26" t="s">
        <v>11655</v>
      </c>
      <c r="D3073" s="26" t="s">
        <v>11656</v>
      </c>
      <c r="E3073" s="26" t="s">
        <v>5545</v>
      </c>
      <c r="F3073" s="27">
        <v>6303803</v>
      </c>
      <c r="G3073" s="27">
        <v>1</v>
      </c>
      <c r="H3073" s="27">
        <v>0</v>
      </c>
      <c r="I3073" s="27">
        <v>1</v>
      </c>
      <c r="J3073" s="30">
        <f t="shared" si="141"/>
        <v>1</v>
      </c>
      <c r="K3073" s="30">
        <f t="shared" si="142"/>
        <v>0</v>
      </c>
      <c r="L3073" s="26">
        <f t="shared" si="143"/>
        <v>0</v>
      </c>
      <c r="M3073" s="26"/>
    </row>
    <row r="3074" spans="1:13" ht="15" customHeight="1">
      <c r="A3074" s="25">
        <v>1810927</v>
      </c>
      <c r="B3074" s="26" t="s">
        <v>5427</v>
      </c>
      <c r="C3074" s="26" t="s">
        <v>11657</v>
      </c>
      <c r="D3074" s="26" t="s">
        <v>11658</v>
      </c>
      <c r="E3074" s="26" t="s">
        <v>5535</v>
      </c>
      <c r="F3074" s="27">
        <v>6303886</v>
      </c>
      <c r="G3074" s="27">
        <v>1</v>
      </c>
      <c r="H3074" s="27">
        <v>1</v>
      </c>
      <c r="I3074" s="27">
        <v>1</v>
      </c>
      <c r="J3074" s="30">
        <f t="shared" ref="J3074:J3137" si="144">IF(G3074&gt;0,1,0)</f>
        <v>1</v>
      </c>
      <c r="K3074" s="30">
        <f t="shared" ref="K3074:K3137" si="145">IF(H3074&gt;0,1,0)</f>
        <v>1</v>
      </c>
      <c r="L3074" s="26">
        <f t="shared" ref="L3074:L3137" si="146">IF(G3074&gt;0,IF(H3074&gt;0,1,0),0)</f>
        <v>1</v>
      </c>
      <c r="M3074" s="26"/>
    </row>
    <row r="3075" spans="1:13" ht="15" customHeight="1">
      <c r="A3075" s="25">
        <v>1811201</v>
      </c>
      <c r="B3075" s="26" t="s">
        <v>5423</v>
      </c>
      <c r="C3075" s="26" t="s">
        <v>11659</v>
      </c>
      <c r="D3075" s="26" t="s">
        <v>11660</v>
      </c>
      <c r="E3075" s="26" t="s">
        <v>5522</v>
      </c>
      <c r="F3075" s="27">
        <v>6304672</v>
      </c>
      <c r="G3075" s="27">
        <v>1</v>
      </c>
      <c r="H3075" s="27">
        <v>0</v>
      </c>
      <c r="I3075" s="27">
        <v>1</v>
      </c>
      <c r="J3075" s="30">
        <f t="shared" si="144"/>
        <v>1</v>
      </c>
      <c r="K3075" s="30">
        <f t="shared" si="145"/>
        <v>0</v>
      </c>
      <c r="L3075" s="26">
        <f t="shared" si="146"/>
        <v>0</v>
      </c>
      <c r="M3075" s="26"/>
    </row>
    <row r="3076" spans="1:13" ht="15" customHeight="1">
      <c r="A3076" s="25">
        <v>1811397</v>
      </c>
      <c r="B3076" s="26" t="s">
        <v>5423</v>
      </c>
      <c r="C3076" s="26" t="s">
        <v>11661</v>
      </c>
      <c r="D3076" s="26" t="s">
        <v>11662</v>
      </c>
      <c r="E3076" s="26" t="s">
        <v>5968</v>
      </c>
      <c r="F3076" s="27">
        <v>6306167</v>
      </c>
      <c r="G3076" s="27">
        <v>0</v>
      </c>
      <c r="H3076" s="27">
        <v>0</v>
      </c>
      <c r="I3076" s="27">
        <v>0</v>
      </c>
      <c r="J3076" s="30">
        <f t="shared" si="144"/>
        <v>0</v>
      </c>
      <c r="K3076" s="30">
        <f t="shared" si="145"/>
        <v>0</v>
      </c>
      <c r="L3076" s="26">
        <f t="shared" si="146"/>
        <v>0</v>
      </c>
      <c r="M3076" s="26">
        <v>0</v>
      </c>
    </row>
    <row r="3077" spans="1:13" ht="15" customHeight="1">
      <c r="A3077" s="25">
        <v>1811497</v>
      </c>
      <c r="B3077" s="26" t="s">
        <v>5427</v>
      </c>
      <c r="C3077" s="26" t="s">
        <v>11663</v>
      </c>
      <c r="D3077" s="26" t="s">
        <v>11662</v>
      </c>
      <c r="E3077" s="26" t="s">
        <v>5718</v>
      </c>
      <c r="F3077" s="27">
        <v>6305803</v>
      </c>
      <c r="G3077" s="27">
        <v>0</v>
      </c>
      <c r="H3077" s="27">
        <v>0</v>
      </c>
      <c r="I3077" s="27">
        <v>0</v>
      </c>
      <c r="J3077" s="30">
        <f t="shared" si="144"/>
        <v>0</v>
      </c>
      <c r="K3077" s="30">
        <f t="shared" si="145"/>
        <v>0</v>
      </c>
      <c r="L3077" s="26">
        <f t="shared" si="146"/>
        <v>0</v>
      </c>
      <c r="M3077" s="26">
        <v>0</v>
      </c>
    </row>
    <row r="3078" spans="1:13" ht="15" customHeight="1">
      <c r="A3078" s="25">
        <v>1811624</v>
      </c>
      <c r="B3078" s="26" t="s">
        <v>5427</v>
      </c>
      <c r="C3078" s="26" t="s">
        <v>11664</v>
      </c>
      <c r="D3078" s="26" t="s">
        <v>11665</v>
      </c>
      <c r="E3078" s="26" t="s">
        <v>5504</v>
      </c>
      <c r="F3078" s="27">
        <v>6293161</v>
      </c>
      <c r="G3078" s="27">
        <v>1</v>
      </c>
      <c r="H3078" s="27">
        <v>0</v>
      </c>
      <c r="I3078" s="27">
        <v>1</v>
      </c>
      <c r="J3078" s="30">
        <f t="shared" si="144"/>
        <v>1</v>
      </c>
      <c r="K3078" s="30">
        <f t="shared" si="145"/>
        <v>0</v>
      </c>
      <c r="L3078" s="26">
        <f t="shared" si="146"/>
        <v>0</v>
      </c>
      <c r="M3078" s="26"/>
    </row>
    <row r="3079" spans="1:13" ht="15" customHeight="1">
      <c r="A3079" s="25">
        <v>1811784</v>
      </c>
      <c r="B3079" s="26" t="s">
        <v>5423</v>
      </c>
      <c r="C3079" s="26" t="s">
        <v>11666</v>
      </c>
      <c r="D3079" s="26" t="s">
        <v>11667</v>
      </c>
      <c r="E3079" s="26" t="s">
        <v>6021</v>
      </c>
      <c r="F3079" s="27">
        <v>6307805</v>
      </c>
      <c r="G3079" s="27">
        <v>0</v>
      </c>
      <c r="H3079" s="27">
        <v>0</v>
      </c>
      <c r="I3079" s="27">
        <v>0</v>
      </c>
      <c r="J3079" s="30">
        <f t="shared" si="144"/>
        <v>0</v>
      </c>
      <c r="K3079" s="30">
        <f t="shared" si="145"/>
        <v>0</v>
      </c>
      <c r="L3079" s="26">
        <f t="shared" si="146"/>
        <v>0</v>
      </c>
      <c r="M3079" s="26">
        <v>0</v>
      </c>
    </row>
    <row r="3080" spans="1:13" ht="15" customHeight="1">
      <c r="A3080" s="25">
        <v>1811867</v>
      </c>
      <c r="B3080" s="26" t="s">
        <v>5427</v>
      </c>
      <c r="C3080" s="26" t="s">
        <v>11668</v>
      </c>
      <c r="D3080" s="26" t="s">
        <v>11662</v>
      </c>
      <c r="E3080" s="26" t="s">
        <v>5718</v>
      </c>
      <c r="F3080" s="27">
        <v>6265931</v>
      </c>
      <c r="G3080" s="27">
        <v>1</v>
      </c>
      <c r="H3080" s="27">
        <v>0</v>
      </c>
      <c r="I3080" s="27">
        <v>1</v>
      </c>
      <c r="J3080" s="30">
        <f t="shared" si="144"/>
        <v>1</v>
      </c>
      <c r="K3080" s="30">
        <f t="shared" si="145"/>
        <v>0</v>
      </c>
      <c r="L3080" s="26">
        <f t="shared" si="146"/>
        <v>0</v>
      </c>
      <c r="M3080" s="26"/>
    </row>
    <row r="3081" spans="1:13" ht="15" customHeight="1">
      <c r="A3081" s="25">
        <v>1811898</v>
      </c>
      <c r="B3081" s="26" t="s">
        <v>5427</v>
      </c>
      <c r="C3081" s="26" t="s">
        <v>11669</v>
      </c>
      <c r="D3081" s="26" t="s">
        <v>11662</v>
      </c>
      <c r="E3081" s="26" t="s">
        <v>6021</v>
      </c>
      <c r="F3081" s="27">
        <v>6307794</v>
      </c>
      <c r="G3081" s="27">
        <v>0</v>
      </c>
      <c r="H3081" s="27">
        <v>0</v>
      </c>
      <c r="I3081" s="27">
        <v>0</v>
      </c>
      <c r="J3081" s="30">
        <f t="shared" si="144"/>
        <v>0</v>
      </c>
      <c r="K3081" s="30">
        <f t="shared" si="145"/>
        <v>0</v>
      </c>
      <c r="L3081" s="26">
        <f t="shared" si="146"/>
        <v>0</v>
      </c>
      <c r="M3081" s="26">
        <v>0</v>
      </c>
    </row>
    <row r="3082" spans="1:13" ht="15" customHeight="1">
      <c r="A3082" s="25">
        <v>1811944</v>
      </c>
      <c r="B3082" s="26" t="s">
        <v>5423</v>
      </c>
      <c r="C3082" s="26" t="s">
        <v>11670</v>
      </c>
      <c r="D3082" s="26" t="s">
        <v>11667</v>
      </c>
      <c r="E3082" s="26" t="s">
        <v>5452</v>
      </c>
      <c r="F3082" s="27">
        <v>6307810</v>
      </c>
      <c r="G3082" s="27">
        <v>0</v>
      </c>
      <c r="H3082" s="27">
        <v>0</v>
      </c>
      <c r="I3082" s="27">
        <v>0</v>
      </c>
      <c r="J3082" s="30">
        <f t="shared" si="144"/>
        <v>0</v>
      </c>
      <c r="K3082" s="30">
        <f t="shared" si="145"/>
        <v>0</v>
      </c>
      <c r="L3082" s="26">
        <f t="shared" si="146"/>
        <v>0</v>
      </c>
      <c r="M3082" s="26">
        <v>0</v>
      </c>
    </row>
    <row r="3083" spans="1:13" ht="15" customHeight="1">
      <c r="A3083" s="25">
        <v>1812074</v>
      </c>
      <c r="B3083" s="26" t="s">
        <v>5423</v>
      </c>
      <c r="C3083" s="26" t="s">
        <v>11671</v>
      </c>
      <c r="D3083" s="26" t="s">
        <v>11672</v>
      </c>
      <c r="E3083" s="26" t="s">
        <v>5452</v>
      </c>
      <c r="F3083" s="27">
        <v>6307115</v>
      </c>
      <c r="G3083" s="27">
        <v>0</v>
      </c>
      <c r="H3083" s="27">
        <v>1</v>
      </c>
      <c r="I3083" s="27">
        <v>1</v>
      </c>
      <c r="J3083" s="30">
        <f t="shared" si="144"/>
        <v>0</v>
      </c>
      <c r="K3083" s="30">
        <f t="shared" si="145"/>
        <v>1</v>
      </c>
      <c r="L3083" s="26">
        <f t="shared" si="146"/>
        <v>0</v>
      </c>
      <c r="M3083" s="26"/>
    </row>
    <row r="3084" spans="1:13" ht="15" customHeight="1">
      <c r="A3084" s="25">
        <v>1812745</v>
      </c>
      <c r="B3084" s="26" t="s">
        <v>5423</v>
      </c>
      <c r="C3084" s="26" t="s">
        <v>11673</v>
      </c>
      <c r="D3084" s="26" t="s">
        <v>11674</v>
      </c>
      <c r="E3084" s="26" t="s">
        <v>5491</v>
      </c>
      <c r="F3084" s="27">
        <v>6172071</v>
      </c>
      <c r="G3084" s="27">
        <v>1</v>
      </c>
      <c r="H3084" s="27">
        <v>1</v>
      </c>
      <c r="I3084" s="27">
        <v>1</v>
      </c>
      <c r="J3084" s="30">
        <f t="shared" si="144"/>
        <v>1</v>
      </c>
      <c r="K3084" s="30">
        <f t="shared" si="145"/>
        <v>1</v>
      </c>
      <c r="L3084" s="26">
        <f t="shared" si="146"/>
        <v>1</v>
      </c>
      <c r="M3084" s="26"/>
    </row>
    <row r="3085" spans="1:13" ht="15" customHeight="1">
      <c r="A3085" s="25">
        <v>1812789</v>
      </c>
      <c r="B3085" s="26" t="s">
        <v>5423</v>
      </c>
      <c r="C3085" s="26" t="s">
        <v>11675</v>
      </c>
      <c r="D3085" s="26" t="s">
        <v>11676</v>
      </c>
      <c r="E3085" s="26" t="s">
        <v>5452</v>
      </c>
      <c r="F3085" s="27">
        <v>6272459</v>
      </c>
      <c r="G3085" s="27">
        <v>0</v>
      </c>
      <c r="H3085" s="27">
        <v>0</v>
      </c>
      <c r="I3085" s="27">
        <v>0</v>
      </c>
      <c r="J3085" s="30">
        <f t="shared" si="144"/>
        <v>0</v>
      </c>
      <c r="K3085" s="30">
        <f t="shared" si="145"/>
        <v>0</v>
      </c>
      <c r="L3085" s="26">
        <f t="shared" si="146"/>
        <v>0</v>
      </c>
      <c r="M3085" s="26" t="s">
        <v>8216</v>
      </c>
    </row>
    <row r="3086" spans="1:13" ht="15" customHeight="1">
      <c r="A3086" s="25">
        <v>1812958</v>
      </c>
      <c r="B3086" s="26" t="s">
        <v>5427</v>
      </c>
      <c r="C3086" s="26" t="s">
        <v>11677</v>
      </c>
      <c r="D3086" s="26" t="s">
        <v>11674</v>
      </c>
      <c r="E3086" s="26" t="s">
        <v>5455</v>
      </c>
      <c r="F3086" s="27">
        <v>5015888</v>
      </c>
      <c r="G3086" s="27">
        <v>0</v>
      </c>
      <c r="H3086" s="27">
        <v>0</v>
      </c>
      <c r="I3086" s="27">
        <v>0</v>
      </c>
      <c r="J3086" s="30">
        <f t="shared" si="144"/>
        <v>0</v>
      </c>
      <c r="K3086" s="30">
        <f t="shared" si="145"/>
        <v>0</v>
      </c>
      <c r="L3086" s="26">
        <f t="shared" si="146"/>
        <v>0</v>
      </c>
      <c r="M3086" s="26">
        <v>0</v>
      </c>
    </row>
    <row r="3087" spans="1:13" ht="15" customHeight="1">
      <c r="A3087" s="25">
        <v>1812985</v>
      </c>
      <c r="B3087" s="26" t="s">
        <v>5427</v>
      </c>
      <c r="C3087" s="26" t="s">
        <v>11678</v>
      </c>
      <c r="D3087" s="26" t="s">
        <v>11679</v>
      </c>
      <c r="E3087" s="26" t="s">
        <v>5436</v>
      </c>
      <c r="F3087" s="27">
        <v>6311525</v>
      </c>
      <c r="G3087" s="27">
        <v>0</v>
      </c>
      <c r="H3087" s="27">
        <v>0</v>
      </c>
      <c r="I3087" s="27">
        <v>0</v>
      </c>
      <c r="J3087" s="30">
        <f t="shared" si="144"/>
        <v>0</v>
      </c>
      <c r="K3087" s="30">
        <f t="shared" si="145"/>
        <v>0</v>
      </c>
      <c r="L3087" s="26">
        <f t="shared" si="146"/>
        <v>0</v>
      </c>
      <c r="M3087" s="26">
        <v>0</v>
      </c>
    </row>
    <row r="3088" spans="1:13" ht="15" customHeight="1">
      <c r="A3088" s="25">
        <v>1813027</v>
      </c>
      <c r="B3088" s="26" t="s">
        <v>5423</v>
      </c>
      <c r="C3088" s="26" t="s">
        <v>11680</v>
      </c>
      <c r="D3088" s="26" t="s">
        <v>11674</v>
      </c>
      <c r="E3088" s="26" t="s">
        <v>5447</v>
      </c>
      <c r="F3088" s="27">
        <v>6310482</v>
      </c>
      <c r="G3088" s="27">
        <v>1</v>
      </c>
      <c r="H3088" s="27">
        <v>1</v>
      </c>
      <c r="I3088" s="27">
        <v>1</v>
      </c>
      <c r="J3088" s="30">
        <f t="shared" si="144"/>
        <v>1</v>
      </c>
      <c r="K3088" s="30">
        <f t="shared" si="145"/>
        <v>1</v>
      </c>
      <c r="L3088" s="26">
        <f t="shared" si="146"/>
        <v>1</v>
      </c>
      <c r="M3088" s="26"/>
    </row>
    <row r="3089" spans="1:13" ht="15" customHeight="1">
      <c r="A3089" s="25">
        <v>1813067</v>
      </c>
      <c r="B3089" s="26" t="s">
        <v>5423</v>
      </c>
      <c r="C3089" s="26" t="s">
        <v>11681</v>
      </c>
      <c r="D3089" s="26" t="s">
        <v>11674</v>
      </c>
      <c r="E3089" s="26" t="s">
        <v>5540</v>
      </c>
      <c r="F3089" s="27">
        <v>6310485</v>
      </c>
      <c r="G3089" s="27">
        <v>1</v>
      </c>
      <c r="H3089" s="27">
        <v>1</v>
      </c>
      <c r="I3089" s="27">
        <v>1</v>
      </c>
      <c r="J3089" s="30">
        <f t="shared" si="144"/>
        <v>1</v>
      </c>
      <c r="K3089" s="30">
        <f t="shared" si="145"/>
        <v>1</v>
      </c>
      <c r="L3089" s="26">
        <f t="shared" si="146"/>
        <v>1</v>
      </c>
      <c r="M3089" s="26"/>
    </row>
    <row r="3090" spans="1:13" ht="15" customHeight="1">
      <c r="A3090" s="25">
        <v>1813076</v>
      </c>
      <c r="B3090" s="26" t="s">
        <v>5423</v>
      </c>
      <c r="C3090" s="26" t="s">
        <v>11682</v>
      </c>
      <c r="D3090" s="26" t="s">
        <v>11679</v>
      </c>
      <c r="E3090" s="26" t="s">
        <v>5463</v>
      </c>
      <c r="F3090" s="27">
        <v>5142677</v>
      </c>
      <c r="G3090" s="27">
        <v>1</v>
      </c>
      <c r="H3090" s="27">
        <v>1</v>
      </c>
      <c r="I3090" s="27">
        <v>1</v>
      </c>
      <c r="J3090" s="30">
        <f t="shared" si="144"/>
        <v>1</v>
      </c>
      <c r="K3090" s="30">
        <f t="shared" si="145"/>
        <v>1</v>
      </c>
      <c r="L3090" s="26">
        <f t="shared" si="146"/>
        <v>1</v>
      </c>
      <c r="M3090" s="26"/>
    </row>
    <row r="3091" spans="1:13" ht="15" customHeight="1">
      <c r="A3091" s="25">
        <v>1813462</v>
      </c>
      <c r="B3091" s="26" t="s">
        <v>5423</v>
      </c>
      <c r="C3091" s="26" t="s">
        <v>11683</v>
      </c>
      <c r="D3091" s="26" t="s">
        <v>11679</v>
      </c>
      <c r="E3091" s="26" t="s">
        <v>5442</v>
      </c>
      <c r="F3091" s="27">
        <v>5793802</v>
      </c>
      <c r="G3091" s="27">
        <v>1</v>
      </c>
      <c r="H3091" s="27">
        <v>0</v>
      </c>
      <c r="I3091" s="27">
        <v>1</v>
      </c>
      <c r="J3091" s="30">
        <f t="shared" si="144"/>
        <v>1</v>
      </c>
      <c r="K3091" s="30">
        <f t="shared" si="145"/>
        <v>0</v>
      </c>
      <c r="L3091" s="26">
        <f t="shared" si="146"/>
        <v>0</v>
      </c>
      <c r="M3091" s="26"/>
    </row>
    <row r="3092" spans="1:13" ht="15" customHeight="1">
      <c r="A3092" s="25" t="s">
        <v>11684</v>
      </c>
      <c r="B3092" s="26" t="s">
        <v>5423</v>
      </c>
      <c r="C3092" s="26" t="s">
        <v>11685</v>
      </c>
      <c r="D3092" s="26" t="s">
        <v>11686</v>
      </c>
      <c r="E3092" s="26" t="s">
        <v>5430</v>
      </c>
      <c r="F3092" s="27">
        <v>6095837</v>
      </c>
      <c r="G3092" s="27">
        <v>1</v>
      </c>
      <c r="H3092" s="27">
        <v>0</v>
      </c>
      <c r="I3092" s="27">
        <v>1</v>
      </c>
      <c r="J3092" s="30">
        <f t="shared" si="144"/>
        <v>1</v>
      </c>
      <c r="K3092" s="30">
        <f t="shared" si="145"/>
        <v>0</v>
      </c>
      <c r="L3092" s="26">
        <f t="shared" si="146"/>
        <v>0</v>
      </c>
      <c r="M3092" s="26"/>
    </row>
    <row r="3093" spans="1:13" ht="15" customHeight="1">
      <c r="A3093" s="25" t="s">
        <v>11687</v>
      </c>
      <c r="B3093" s="26" t="s">
        <v>5423</v>
      </c>
      <c r="C3093" s="26" t="s">
        <v>11688</v>
      </c>
      <c r="D3093" s="26" t="s">
        <v>11689</v>
      </c>
      <c r="E3093" s="26" t="s">
        <v>5433</v>
      </c>
      <c r="F3093" s="27">
        <v>6311989</v>
      </c>
      <c r="G3093" s="27">
        <v>0</v>
      </c>
      <c r="H3093" s="27">
        <v>0</v>
      </c>
      <c r="I3093" s="27">
        <v>0</v>
      </c>
      <c r="J3093" s="30">
        <f t="shared" si="144"/>
        <v>0</v>
      </c>
      <c r="K3093" s="30">
        <f t="shared" si="145"/>
        <v>0</v>
      </c>
      <c r="L3093" s="26">
        <f t="shared" si="146"/>
        <v>0</v>
      </c>
      <c r="M3093" s="26" t="s">
        <v>11217</v>
      </c>
    </row>
    <row r="3094" spans="1:13" ht="15" customHeight="1">
      <c r="A3094" s="25" t="s">
        <v>11690</v>
      </c>
      <c r="B3094" s="26" t="s">
        <v>5427</v>
      </c>
      <c r="C3094" s="26" t="s">
        <v>11691</v>
      </c>
      <c r="D3094" s="26" t="s">
        <v>11686</v>
      </c>
      <c r="E3094" s="26" t="s">
        <v>5683</v>
      </c>
      <c r="F3094" s="27">
        <v>6311988</v>
      </c>
      <c r="G3094" s="27">
        <v>1</v>
      </c>
      <c r="H3094" s="27">
        <v>1</v>
      </c>
      <c r="I3094" s="27">
        <v>1</v>
      </c>
      <c r="J3094" s="30">
        <f t="shared" si="144"/>
        <v>1</v>
      </c>
      <c r="K3094" s="30">
        <f t="shared" si="145"/>
        <v>1</v>
      </c>
      <c r="L3094" s="26">
        <f t="shared" si="146"/>
        <v>1</v>
      </c>
      <c r="M3094" s="26"/>
    </row>
    <row r="3095" spans="1:13" ht="15" customHeight="1">
      <c r="A3095" s="25" t="s">
        <v>11692</v>
      </c>
      <c r="B3095" s="26" t="s">
        <v>5427</v>
      </c>
      <c r="C3095" s="26" t="s">
        <v>11693</v>
      </c>
      <c r="D3095" s="26" t="s">
        <v>11694</v>
      </c>
      <c r="E3095" s="26" t="s">
        <v>5772</v>
      </c>
      <c r="F3095" s="27">
        <v>6109321</v>
      </c>
      <c r="G3095" s="27">
        <v>1</v>
      </c>
      <c r="H3095" s="27">
        <v>1</v>
      </c>
      <c r="I3095" s="27">
        <v>1</v>
      </c>
      <c r="J3095" s="30">
        <f t="shared" si="144"/>
        <v>1</v>
      </c>
      <c r="K3095" s="30">
        <f t="shared" si="145"/>
        <v>1</v>
      </c>
      <c r="L3095" s="26">
        <f t="shared" si="146"/>
        <v>1</v>
      </c>
      <c r="M3095" s="26"/>
    </row>
    <row r="3096" spans="1:13" ht="15" customHeight="1">
      <c r="A3096" s="25" t="s">
        <v>11695</v>
      </c>
      <c r="B3096" s="26" t="s">
        <v>5423</v>
      </c>
      <c r="C3096" s="26" t="s">
        <v>11696</v>
      </c>
      <c r="D3096" s="26" t="s">
        <v>11674</v>
      </c>
      <c r="E3096" s="26" t="s">
        <v>5430</v>
      </c>
      <c r="F3096" s="27">
        <v>6289121</v>
      </c>
      <c r="G3096" s="27">
        <v>1</v>
      </c>
      <c r="H3096" s="27">
        <v>1</v>
      </c>
      <c r="I3096" s="27">
        <v>1</v>
      </c>
      <c r="J3096" s="30">
        <f t="shared" si="144"/>
        <v>1</v>
      </c>
      <c r="K3096" s="30">
        <f t="shared" si="145"/>
        <v>1</v>
      </c>
      <c r="L3096" s="26">
        <f t="shared" si="146"/>
        <v>1</v>
      </c>
      <c r="M3096" s="26"/>
    </row>
    <row r="3097" spans="1:13" ht="15" customHeight="1">
      <c r="A3097" s="25" t="s">
        <v>11697</v>
      </c>
      <c r="B3097" s="26" t="s">
        <v>5423</v>
      </c>
      <c r="C3097" s="26" t="s">
        <v>11698</v>
      </c>
      <c r="D3097" s="26" t="s">
        <v>11699</v>
      </c>
      <c r="E3097" s="26" t="s">
        <v>5683</v>
      </c>
      <c r="F3097" s="27">
        <v>5569491</v>
      </c>
      <c r="G3097" s="27">
        <v>1</v>
      </c>
      <c r="H3097" s="27">
        <v>0</v>
      </c>
      <c r="I3097" s="27">
        <v>1</v>
      </c>
      <c r="J3097" s="30">
        <f t="shared" si="144"/>
        <v>1</v>
      </c>
      <c r="K3097" s="30">
        <f t="shared" si="145"/>
        <v>0</v>
      </c>
      <c r="L3097" s="26">
        <f t="shared" si="146"/>
        <v>0</v>
      </c>
      <c r="M3097" s="26"/>
    </row>
    <row r="3098" spans="1:13" ht="15" customHeight="1">
      <c r="A3098" s="25" t="s">
        <v>11700</v>
      </c>
      <c r="B3098" s="26" t="s">
        <v>5423</v>
      </c>
      <c r="C3098" s="26" t="s">
        <v>11701</v>
      </c>
      <c r="D3098" s="26" t="s">
        <v>11702</v>
      </c>
      <c r="E3098" s="26" t="s">
        <v>5504</v>
      </c>
      <c r="F3098" s="27">
        <v>5378245</v>
      </c>
      <c r="G3098" s="27">
        <v>1</v>
      </c>
      <c r="H3098" s="27">
        <v>0</v>
      </c>
      <c r="I3098" s="27">
        <v>1</v>
      </c>
      <c r="J3098" s="30">
        <f t="shared" si="144"/>
        <v>1</v>
      </c>
      <c r="K3098" s="30">
        <f t="shared" si="145"/>
        <v>0</v>
      </c>
      <c r="L3098" s="26">
        <f t="shared" si="146"/>
        <v>0</v>
      </c>
      <c r="M3098" s="26"/>
    </row>
    <row r="3099" spans="1:13" ht="15" customHeight="1">
      <c r="A3099" s="25" t="s">
        <v>11703</v>
      </c>
      <c r="B3099" s="26" t="s">
        <v>5427</v>
      </c>
      <c r="C3099" s="26" t="s">
        <v>11704</v>
      </c>
      <c r="D3099" s="26" t="s">
        <v>11705</v>
      </c>
      <c r="E3099" s="26" t="s">
        <v>5781</v>
      </c>
      <c r="F3099" s="27">
        <v>6298379</v>
      </c>
      <c r="G3099" s="27">
        <v>1</v>
      </c>
      <c r="H3099" s="27">
        <v>0</v>
      </c>
      <c r="I3099" s="27">
        <v>1</v>
      </c>
      <c r="J3099" s="30">
        <f t="shared" si="144"/>
        <v>1</v>
      </c>
      <c r="K3099" s="30">
        <f t="shared" si="145"/>
        <v>0</v>
      </c>
      <c r="L3099" s="26">
        <f t="shared" si="146"/>
        <v>0</v>
      </c>
      <c r="M3099" s="26"/>
    </row>
    <row r="3100" spans="1:13" ht="15" customHeight="1">
      <c r="A3100" s="25" t="s">
        <v>11706</v>
      </c>
      <c r="B3100" s="26" t="s">
        <v>5427</v>
      </c>
      <c r="C3100" s="26" t="s">
        <v>11707</v>
      </c>
      <c r="D3100" s="26" t="s">
        <v>11686</v>
      </c>
      <c r="E3100" s="26" t="s">
        <v>5522</v>
      </c>
      <c r="F3100" s="27">
        <v>5254891</v>
      </c>
      <c r="G3100" s="27">
        <v>1</v>
      </c>
      <c r="H3100" s="27">
        <v>0</v>
      </c>
      <c r="I3100" s="27">
        <v>1</v>
      </c>
      <c r="J3100" s="30">
        <f t="shared" si="144"/>
        <v>1</v>
      </c>
      <c r="K3100" s="30">
        <f t="shared" si="145"/>
        <v>0</v>
      </c>
      <c r="L3100" s="26">
        <f t="shared" si="146"/>
        <v>0</v>
      </c>
      <c r="M3100" s="26"/>
    </row>
    <row r="3101" spans="1:13" ht="15" customHeight="1">
      <c r="A3101" s="25" t="s">
        <v>11708</v>
      </c>
      <c r="B3101" s="26" t="s">
        <v>5423</v>
      </c>
      <c r="C3101" s="26" t="s">
        <v>11709</v>
      </c>
      <c r="D3101" s="26" t="s">
        <v>11710</v>
      </c>
      <c r="E3101" s="26" t="s">
        <v>5522</v>
      </c>
      <c r="F3101" s="27">
        <v>6260216</v>
      </c>
      <c r="G3101" s="27">
        <v>1</v>
      </c>
      <c r="H3101" s="27">
        <v>0</v>
      </c>
      <c r="I3101" s="27">
        <v>1</v>
      </c>
      <c r="J3101" s="30">
        <f t="shared" si="144"/>
        <v>1</v>
      </c>
      <c r="K3101" s="30">
        <f t="shared" si="145"/>
        <v>0</v>
      </c>
      <c r="L3101" s="26">
        <f t="shared" si="146"/>
        <v>0</v>
      </c>
      <c r="M3101" s="26"/>
    </row>
    <row r="3102" spans="1:13" ht="15" customHeight="1">
      <c r="A3102" s="25" t="s">
        <v>11711</v>
      </c>
      <c r="B3102" s="26" t="s">
        <v>5427</v>
      </c>
      <c r="C3102" s="26" t="s">
        <v>11712</v>
      </c>
      <c r="D3102" s="26" t="s">
        <v>11686</v>
      </c>
      <c r="E3102" s="26" t="s">
        <v>8392</v>
      </c>
      <c r="F3102" s="27">
        <v>6301167</v>
      </c>
      <c r="G3102" s="27">
        <v>1</v>
      </c>
      <c r="H3102" s="27">
        <v>0</v>
      </c>
      <c r="I3102" s="27">
        <v>1</v>
      </c>
      <c r="J3102" s="30">
        <f t="shared" si="144"/>
        <v>1</v>
      </c>
      <c r="K3102" s="30">
        <f t="shared" si="145"/>
        <v>0</v>
      </c>
      <c r="L3102" s="26">
        <f t="shared" si="146"/>
        <v>0</v>
      </c>
      <c r="M3102" s="26" t="s">
        <v>11713</v>
      </c>
    </row>
    <row r="3103" spans="1:13" ht="15" customHeight="1">
      <c r="A3103" s="25" t="s">
        <v>11714</v>
      </c>
      <c r="B3103" s="26" t="s">
        <v>5423</v>
      </c>
      <c r="C3103" s="26" t="s">
        <v>11715</v>
      </c>
      <c r="D3103" s="26" t="s">
        <v>11702</v>
      </c>
      <c r="E3103" s="26" t="s">
        <v>5603</v>
      </c>
      <c r="F3103" s="27">
        <v>3615304</v>
      </c>
      <c r="G3103" s="27">
        <v>1</v>
      </c>
      <c r="H3103" s="27">
        <v>1</v>
      </c>
      <c r="I3103" s="27">
        <v>1</v>
      </c>
      <c r="J3103" s="30">
        <f t="shared" si="144"/>
        <v>1</v>
      </c>
      <c r="K3103" s="30">
        <f t="shared" si="145"/>
        <v>1</v>
      </c>
      <c r="L3103" s="26">
        <f t="shared" si="146"/>
        <v>1</v>
      </c>
      <c r="M3103" s="26"/>
    </row>
    <row r="3104" spans="1:13" ht="15" customHeight="1">
      <c r="A3104" s="25" t="s">
        <v>11716</v>
      </c>
      <c r="B3104" s="26" t="s">
        <v>5423</v>
      </c>
      <c r="C3104" s="26" t="s">
        <v>11717</v>
      </c>
      <c r="D3104" s="26" t="s">
        <v>11702</v>
      </c>
      <c r="E3104" s="26" t="s">
        <v>5447</v>
      </c>
      <c r="F3104" s="27">
        <v>6314448</v>
      </c>
      <c r="G3104" s="27">
        <v>0</v>
      </c>
      <c r="H3104" s="27">
        <v>0</v>
      </c>
      <c r="I3104" s="27">
        <v>0</v>
      </c>
      <c r="J3104" s="30">
        <f t="shared" si="144"/>
        <v>0</v>
      </c>
      <c r="K3104" s="30">
        <f t="shared" si="145"/>
        <v>0</v>
      </c>
      <c r="L3104" s="26">
        <f t="shared" si="146"/>
        <v>0</v>
      </c>
      <c r="M3104" s="26">
        <v>0</v>
      </c>
    </row>
    <row r="3105" spans="1:13" ht="15" customHeight="1">
      <c r="A3105" s="25" t="s">
        <v>11718</v>
      </c>
      <c r="B3105" s="26" t="s">
        <v>5427</v>
      </c>
      <c r="C3105" s="26" t="s">
        <v>11719</v>
      </c>
      <c r="D3105" s="26" t="s">
        <v>11702</v>
      </c>
      <c r="E3105" s="26" t="s">
        <v>5535</v>
      </c>
      <c r="F3105" s="27">
        <v>6315881</v>
      </c>
      <c r="G3105" s="27">
        <v>0</v>
      </c>
      <c r="H3105" s="27">
        <v>0</v>
      </c>
      <c r="I3105" s="27">
        <v>0</v>
      </c>
      <c r="J3105" s="30">
        <f t="shared" si="144"/>
        <v>0</v>
      </c>
      <c r="K3105" s="30">
        <f t="shared" si="145"/>
        <v>0</v>
      </c>
      <c r="L3105" s="26">
        <f t="shared" si="146"/>
        <v>0</v>
      </c>
      <c r="M3105" s="26">
        <v>0</v>
      </c>
    </row>
    <row r="3106" spans="1:13" ht="15" customHeight="1">
      <c r="A3106" s="25" t="s">
        <v>11720</v>
      </c>
      <c r="B3106" s="26" t="s">
        <v>5423</v>
      </c>
      <c r="C3106" s="26" t="s">
        <v>11721</v>
      </c>
      <c r="D3106" s="26" t="s">
        <v>11702</v>
      </c>
      <c r="E3106" s="26" t="s">
        <v>5447</v>
      </c>
      <c r="F3106" s="27">
        <v>6315897</v>
      </c>
      <c r="G3106" s="27">
        <v>0</v>
      </c>
      <c r="H3106" s="27">
        <v>0</v>
      </c>
      <c r="I3106" s="27">
        <v>0</v>
      </c>
      <c r="J3106" s="30">
        <f t="shared" si="144"/>
        <v>0</v>
      </c>
      <c r="K3106" s="30">
        <f t="shared" si="145"/>
        <v>0</v>
      </c>
      <c r="L3106" s="26">
        <f t="shared" si="146"/>
        <v>0</v>
      </c>
      <c r="M3106" s="26">
        <v>0</v>
      </c>
    </row>
    <row r="3107" spans="1:13" ht="15" customHeight="1">
      <c r="A3107" s="25" t="s">
        <v>11722</v>
      </c>
      <c r="B3107" s="26" t="s">
        <v>5423</v>
      </c>
      <c r="C3107" s="26" t="s">
        <v>11723</v>
      </c>
      <c r="D3107" s="26" t="s">
        <v>11674</v>
      </c>
      <c r="E3107" s="26" t="s">
        <v>5452</v>
      </c>
      <c r="F3107" s="27">
        <v>6316649</v>
      </c>
      <c r="G3107" s="27">
        <v>0</v>
      </c>
      <c r="H3107" s="27">
        <v>0</v>
      </c>
      <c r="I3107" s="27">
        <v>0</v>
      </c>
      <c r="J3107" s="30">
        <f t="shared" si="144"/>
        <v>0</v>
      </c>
      <c r="K3107" s="30">
        <f t="shared" si="145"/>
        <v>0</v>
      </c>
      <c r="L3107" s="26">
        <f t="shared" si="146"/>
        <v>0</v>
      </c>
      <c r="M3107" s="26">
        <v>0</v>
      </c>
    </row>
    <row r="3108" spans="1:13" ht="15" customHeight="1">
      <c r="A3108" s="25" t="s">
        <v>11724</v>
      </c>
      <c r="B3108" s="26" t="s">
        <v>5423</v>
      </c>
      <c r="C3108" s="26" t="s">
        <v>11725</v>
      </c>
      <c r="D3108" s="26" t="s">
        <v>11702</v>
      </c>
      <c r="E3108" s="26" t="s">
        <v>5458</v>
      </c>
      <c r="F3108" s="27">
        <v>5942307</v>
      </c>
      <c r="G3108" s="27">
        <v>0</v>
      </c>
      <c r="H3108" s="27">
        <v>0</v>
      </c>
      <c r="I3108" s="27">
        <v>0</v>
      </c>
      <c r="J3108" s="30">
        <f t="shared" si="144"/>
        <v>0</v>
      </c>
      <c r="K3108" s="30">
        <f t="shared" si="145"/>
        <v>0</v>
      </c>
      <c r="L3108" s="26">
        <f t="shared" si="146"/>
        <v>0</v>
      </c>
      <c r="M3108" s="26" t="s">
        <v>7846</v>
      </c>
    </row>
    <row r="3109" spans="1:13" ht="15" customHeight="1">
      <c r="A3109" s="25" t="s">
        <v>11726</v>
      </c>
      <c r="B3109" s="26" t="s">
        <v>5423</v>
      </c>
      <c r="C3109" s="26" t="s">
        <v>11727</v>
      </c>
      <c r="D3109" s="26" t="s">
        <v>11710</v>
      </c>
      <c r="E3109" s="26" t="s">
        <v>5475</v>
      </c>
      <c r="F3109" s="27">
        <v>6317423</v>
      </c>
      <c r="G3109" s="27">
        <v>0</v>
      </c>
      <c r="H3109" s="27">
        <v>0</v>
      </c>
      <c r="I3109" s="27">
        <v>0</v>
      </c>
      <c r="J3109" s="30">
        <f t="shared" si="144"/>
        <v>0</v>
      </c>
      <c r="K3109" s="30">
        <f t="shared" si="145"/>
        <v>0</v>
      </c>
      <c r="L3109" s="26">
        <f t="shared" si="146"/>
        <v>0</v>
      </c>
      <c r="M3109" s="26">
        <v>0</v>
      </c>
    </row>
    <row r="3110" spans="1:13" ht="15" customHeight="1">
      <c r="A3110" s="25">
        <v>1815032</v>
      </c>
      <c r="B3110" s="26" t="s">
        <v>5423</v>
      </c>
      <c r="C3110" s="26" t="s">
        <v>11728</v>
      </c>
      <c r="D3110" s="26" t="s">
        <v>11729</v>
      </c>
      <c r="E3110" s="26" t="s">
        <v>5433</v>
      </c>
      <c r="F3110" s="27">
        <v>6317438</v>
      </c>
      <c r="G3110" s="27">
        <v>0</v>
      </c>
      <c r="H3110" s="27">
        <v>0</v>
      </c>
      <c r="I3110" s="27">
        <v>0</v>
      </c>
      <c r="J3110" s="30">
        <f t="shared" si="144"/>
        <v>0</v>
      </c>
      <c r="K3110" s="30">
        <f t="shared" si="145"/>
        <v>0</v>
      </c>
      <c r="L3110" s="26">
        <f t="shared" si="146"/>
        <v>0</v>
      </c>
      <c r="M3110" s="26">
        <v>0</v>
      </c>
    </row>
    <row r="3111" spans="1:13" ht="15" customHeight="1">
      <c r="A3111" s="25" t="s">
        <v>11730</v>
      </c>
      <c r="B3111" s="26" t="s">
        <v>5427</v>
      </c>
      <c r="C3111" s="26" t="s">
        <v>11731</v>
      </c>
      <c r="D3111" s="26" t="s">
        <v>11732</v>
      </c>
      <c r="E3111" s="26" t="s">
        <v>5540</v>
      </c>
      <c r="F3111" s="27">
        <v>5856325</v>
      </c>
      <c r="G3111" s="27">
        <v>0</v>
      </c>
      <c r="H3111" s="27">
        <v>0</v>
      </c>
      <c r="I3111" s="27">
        <v>0</v>
      </c>
      <c r="J3111" s="30">
        <f t="shared" si="144"/>
        <v>0</v>
      </c>
      <c r="K3111" s="30">
        <f t="shared" si="145"/>
        <v>0</v>
      </c>
      <c r="L3111" s="26">
        <f t="shared" si="146"/>
        <v>0</v>
      </c>
      <c r="M3111" s="26" t="s">
        <v>5557</v>
      </c>
    </row>
    <row r="3112" spans="1:13" ht="15" customHeight="1">
      <c r="A3112" s="25" t="s">
        <v>11733</v>
      </c>
      <c r="B3112" s="26" t="s">
        <v>5427</v>
      </c>
      <c r="C3112" s="26" t="s">
        <v>11734</v>
      </c>
      <c r="D3112" s="26" t="s">
        <v>11729</v>
      </c>
      <c r="E3112" s="26" t="s">
        <v>5463</v>
      </c>
      <c r="F3112" s="27">
        <v>6317420</v>
      </c>
      <c r="G3112" s="27">
        <v>0</v>
      </c>
      <c r="H3112" s="27">
        <v>0</v>
      </c>
      <c r="I3112" s="27">
        <v>0</v>
      </c>
      <c r="J3112" s="30">
        <f t="shared" si="144"/>
        <v>0</v>
      </c>
      <c r="K3112" s="30">
        <f t="shared" si="145"/>
        <v>0</v>
      </c>
      <c r="L3112" s="26">
        <f t="shared" si="146"/>
        <v>0</v>
      </c>
      <c r="M3112" s="26">
        <v>0</v>
      </c>
    </row>
    <row r="3113" spans="1:13" ht="15" customHeight="1">
      <c r="A3113" s="25" t="s">
        <v>11735</v>
      </c>
      <c r="B3113" s="26" t="s">
        <v>5423</v>
      </c>
      <c r="C3113" s="26" t="s">
        <v>11736</v>
      </c>
      <c r="D3113" s="26" t="s">
        <v>11737</v>
      </c>
      <c r="E3113" s="26" t="s">
        <v>5517</v>
      </c>
      <c r="F3113" s="27">
        <v>6295528</v>
      </c>
      <c r="G3113" s="27">
        <v>1</v>
      </c>
      <c r="H3113" s="27">
        <v>0</v>
      </c>
      <c r="I3113" s="27">
        <v>1</v>
      </c>
      <c r="J3113" s="30">
        <f t="shared" si="144"/>
        <v>1</v>
      </c>
      <c r="K3113" s="30">
        <f t="shared" si="145"/>
        <v>0</v>
      </c>
      <c r="L3113" s="26">
        <f t="shared" si="146"/>
        <v>0</v>
      </c>
      <c r="M3113" s="26"/>
    </row>
    <row r="3114" spans="1:13" ht="15" customHeight="1">
      <c r="A3114" s="25" t="s">
        <v>11738</v>
      </c>
      <c r="B3114" s="26" t="s">
        <v>5423</v>
      </c>
      <c r="C3114" s="26" t="s">
        <v>11739</v>
      </c>
      <c r="D3114" s="26" t="s">
        <v>11740</v>
      </c>
      <c r="E3114" s="26" t="s">
        <v>5522</v>
      </c>
      <c r="F3114" s="27">
        <v>6290122</v>
      </c>
      <c r="G3114" s="27">
        <v>1</v>
      </c>
      <c r="H3114" s="27">
        <v>0</v>
      </c>
      <c r="I3114" s="27">
        <v>1</v>
      </c>
      <c r="J3114" s="30">
        <f t="shared" si="144"/>
        <v>1</v>
      </c>
      <c r="K3114" s="30">
        <f t="shared" si="145"/>
        <v>0</v>
      </c>
      <c r="L3114" s="26">
        <f t="shared" si="146"/>
        <v>0</v>
      </c>
      <c r="M3114" s="26"/>
    </row>
    <row r="3115" spans="1:13" ht="15" customHeight="1">
      <c r="A3115" s="25" t="s">
        <v>11741</v>
      </c>
      <c r="B3115" s="26" t="s">
        <v>5423</v>
      </c>
      <c r="C3115" s="26" t="s">
        <v>11742</v>
      </c>
      <c r="D3115" s="26" t="s">
        <v>11743</v>
      </c>
      <c r="E3115" s="26" t="s">
        <v>5480</v>
      </c>
      <c r="F3115" s="27">
        <v>6319417</v>
      </c>
      <c r="G3115" s="27">
        <v>1</v>
      </c>
      <c r="H3115" s="27">
        <v>1</v>
      </c>
      <c r="I3115" s="27">
        <v>1</v>
      </c>
      <c r="J3115" s="30">
        <f t="shared" si="144"/>
        <v>1</v>
      </c>
      <c r="K3115" s="30">
        <f t="shared" si="145"/>
        <v>1</v>
      </c>
      <c r="L3115" s="26">
        <f t="shared" si="146"/>
        <v>1</v>
      </c>
      <c r="M3115" s="26"/>
    </row>
    <row r="3116" spans="1:13" ht="15" customHeight="1">
      <c r="A3116" s="25" t="s">
        <v>11744</v>
      </c>
      <c r="B3116" s="26" t="s">
        <v>5427</v>
      </c>
      <c r="C3116" s="26" t="s">
        <v>11745</v>
      </c>
      <c r="D3116" s="26" t="s">
        <v>11746</v>
      </c>
      <c r="E3116" s="26" t="s">
        <v>5468</v>
      </c>
      <c r="F3116" s="27">
        <v>6092148</v>
      </c>
      <c r="G3116" s="27">
        <v>1</v>
      </c>
      <c r="H3116" s="27">
        <v>0</v>
      </c>
      <c r="I3116" s="27">
        <v>1</v>
      </c>
      <c r="J3116" s="30">
        <f t="shared" si="144"/>
        <v>1</v>
      </c>
      <c r="K3116" s="30">
        <f t="shared" si="145"/>
        <v>0</v>
      </c>
      <c r="L3116" s="26">
        <f t="shared" si="146"/>
        <v>0</v>
      </c>
      <c r="M3116" s="26"/>
    </row>
    <row r="3117" spans="1:13" ht="15" customHeight="1">
      <c r="A3117" s="25" t="s">
        <v>11747</v>
      </c>
      <c r="B3117" s="26" t="s">
        <v>5423</v>
      </c>
      <c r="C3117" s="26" t="s">
        <v>11748</v>
      </c>
      <c r="D3117" s="26" t="s">
        <v>11749</v>
      </c>
      <c r="E3117" s="26" t="s">
        <v>5491</v>
      </c>
      <c r="F3117" s="27">
        <v>6320604</v>
      </c>
      <c r="G3117" s="27">
        <v>0</v>
      </c>
      <c r="H3117" s="27">
        <v>0</v>
      </c>
      <c r="I3117" s="27">
        <v>0</v>
      </c>
      <c r="J3117" s="30">
        <f t="shared" si="144"/>
        <v>0</v>
      </c>
      <c r="K3117" s="30">
        <f t="shared" si="145"/>
        <v>0</v>
      </c>
      <c r="L3117" s="26">
        <f t="shared" si="146"/>
        <v>0</v>
      </c>
      <c r="M3117" s="26">
        <v>0</v>
      </c>
    </row>
    <row r="3118" spans="1:13" ht="15" customHeight="1">
      <c r="A3118" s="25" t="s">
        <v>11750</v>
      </c>
      <c r="B3118" s="26" t="s">
        <v>5423</v>
      </c>
      <c r="C3118" s="26" t="s">
        <v>11751</v>
      </c>
      <c r="D3118" s="26" t="s">
        <v>11752</v>
      </c>
      <c r="E3118" s="26" t="s">
        <v>5447</v>
      </c>
      <c r="F3118" s="27">
        <v>6320639</v>
      </c>
      <c r="G3118" s="27">
        <v>0</v>
      </c>
      <c r="H3118" s="27">
        <v>0</v>
      </c>
      <c r="I3118" s="27">
        <v>0</v>
      </c>
      <c r="J3118" s="30">
        <f t="shared" si="144"/>
        <v>0</v>
      </c>
      <c r="K3118" s="30">
        <f t="shared" si="145"/>
        <v>0</v>
      </c>
      <c r="L3118" s="26">
        <f t="shared" si="146"/>
        <v>0</v>
      </c>
      <c r="M3118" s="26">
        <v>0</v>
      </c>
    </row>
    <row r="3119" spans="1:13" ht="15" customHeight="1">
      <c r="A3119" s="25" t="s">
        <v>11753</v>
      </c>
      <c r="B3119" s="26" t="s">
        <v>5427</v>
      </c>
      <c r="C3119" s="26" t="s">
        <v>11754</v>
      </c>
      <c r="D3119" s="26" t="s">
        <v>11749</v>
      </c>
      <c r="E3119" s="26" t="s">
        <v>5504</v>
      </c>
      <c r="F3119" s="27">
        <v>6320819</v>
      </c>
      <c r="G3119" s="27">
        <v>0</v>
      </c>
      <c r="H3119" s="27">
        <v>0</v>
      </c>
      <c r="I3119" s="27">
        <v>0</v>
      </c>
      <c r="J3119" s="30">
        <f t="shared" si="144"/>
        <v>0</v>
      </c>
      <c r="K3119" s="30">
        <f t="shared" si="145"/>
        <v>0</v>
      </c>
      <c r="L3119" s="26">
        <f t="shared" si="146"/>
        <v>0</v>
      </c>
      <c r="M3119" s="26">
        <v>0</v>
      </c>
    </row>
    <row r="3120" spans="1:13" ht="15" customHeight="1">
      <c r="A3120" s="25" t="s">
        <v>11755</v>
      </c>
      <c r="B3120" s="26" t="s">
        <v>5423</v>
      </c>
      <c r="C3120" s="26" t="s">
        <v>11756</v>
      </c>
      <c r="D3120" s="26" t="s">
        <v>11743</v>
      </c>
      <c r="E3120" s="26" t="s">
        <v>5517</v>
      </c>
      <c r="F3120" s="27">
        <v>6321109</v>
      </c>
      <c r="G3120" s="27">
        <v>1</v>
      </c>
      <c r="H3120" s="27">
        <v>0</v>
      </c>
      <c r="I3120" s="27">
        <v>1</v>
      </c>
      <c r="J3120" s="30">
        <f t="shared" si="144"/>
        <v>1</v>
      </c>
      <c r="K3120" s="30">
        <f t="shared" si="145"/>
        <v>0</v>
      </c>
      <c r="L3120" s="26">
        <f t="shared" si="146"/>
        <v>0</v>
      </c>
      <c r="M3120" s="26"/>
    </row>
    <row r="3121" spans="1:13" ht="15" customHeight="1">
      <c r="A3121" s="25" t="s">
        <v>11757</v>
      </c>
      <c r="B3121" s="26" t="s">
        <v>5423</v>
      </c>
      <c r="C3121" s="26" t="s">
        <v>11758</v>
      </c>
      <c r="D3121" s="26" t="s">
        <v>11737</v>
      </c>
      <c r="E3121" s="26" t="s">
        <v>5463</v>
      </c>
      <c r="F3121" s="27">
        <v>6321514</v>
      </c>
      <c r="G3121" s="27">
        <v>0</v>
      </c>
      <c r="H3121" s="27">
        <v>0</v>
      </c>
      <c r="I3121" s="27">
        <v>0</v>
      </c>
      <c r="J3121" s="30">
        <f t="shared" si="144"/>
        <v>0</v>
      </c>
      <c r="K3121" s="30">
        <f t="shared" si="145"/>
        <v>0</v>
      </c>
      <c r="L3121" s="26">
        <f t="shared" si="146"/>
        <v>0</v>
      </c>
      <c r="M3121" s="26">
        <v>0</v>
      </c>
    </row>
    <row r="3122" spans="1:13" ht="15" customHeight="1">
      <c r="A3122" s="25" t="s">
        <v>11759</v>
      </c>
      <c r="B3122" s="26" t="s">
        <v>5427</v>
      </c>
      <c r="C3122" s="26" t="s">
        <v>11760</v>
      </c>
      <c r="D3122" s="26" t="s">
        <v>11749</v>
      </c>
      <c r="E3122" s="26" t="s">
        <v>6541</v>
      </c>
      <c r="F3122" s="27">
        <v>6310779</v>
      </c>
      <c r="G3122" s="27">
        <v>1</v>
      </c>
      <c r="H3122" s="27">
        <v>0</v>
      </c>
      <c r="I3122" s="27">
        <v>1</v>
      </c>
      <c r="J3122" s="30">
        <f t="shared" si="144"/>
        <v>1</v>
      </c>
      <c r="K3122" s="30">
        <f t="shared" si="145"/>
        <v>0</v>
      </c>
      <c r="L3122" s="26">
        <f t="shared" si="146"/>
        <v>0</v>
      </c>
      <c r="M3122" s="26"/>
    </row>
    <row r="3123" spans="1:13" ht="15" customHeight="1">
      <c r="A3123" s="25" t="s">
        <v>11761</v>
      </c>
      <c r="B3123" s="26" t="s">
        <v>5423</v>
      </c>
      <c r="C3123" s="26" t="s">
        <v>11762</v>
      </c>
      <c r="D3123" s="26" t="s">
        <v>11743</v>
      </c>
      <c r="E3123" s="26" t="s">
        <v>5491</v>
      </c>
      <c r="F3123" s="27">
        <v>6321512</v>
      </c>
      <c r="G3123" s="27">
        <v>0</v>
      </c>
      <c r="H3123" s="27">
        <v>1</v>
      </c>
      <c r="I3123" s="27">
        <v>1</v>
      </c>
      <c r="J3123" s="30">
        <f t="shared" si="144"/>
        <v>0</v>
      </c>
      <c r="K3123" s="30">
        <f t="shared" si="145"/>
        <v>1</v>
      </c>
      <c r="L3123" s="26">
        <f t="shared" si="146"/>
        <v>0</v>
      </c>
      <c r="M3123" s="26"/>
    </row>
    <row r="3124" spans="1:13" ht="15" customHeight="1">
      <c r="A3124" s="25" t="s">
        <v>11763</v>
      </c>
      <c r="B3124" s="26" t="s">
        <v>5427</v>
      </c>
      <c r="C3124" s="26" t="s">
        <v>11764</v>
      </c>
      <c r="D3124" s="26" t="s">
        <v>11765</v>
      </c>
      <c r="E3124" s="26" t="s">
        <v>5430</v>
      </c>
      <c r="F3124" s="27">
        <v>6046135</v>
      </c>
      <c r="G3124" s="27">
        <v>1</v>
      </c>
      <c r="H3124" s="27">
        <v>1</v>
      </c>
      <c r="I3124" s="27">
        <v>1</v>
      </c>
      <c r="J3124" s="30">
        <f t="shared" si="144"/>
        <v>1</v>
      </c>
      <c r="K3124" s="30">
        <f t="shared" si="145"/>
        <v>1</v>
      </c>
      <c r="L3124" s="26">
        <f t="shared" si="146"/>
        <v>1</v>
      </c>
      <c r="M3124" s="26"/>
    </row>
    <row r="3125" spans="1:13" ht="15" customHeight="1">
      <c r="A3125" s="25">
        <v>1817230</v>
      </c>
      <c r="B3125" s="26" t="s">
        <v>5427</v>
      </c>
      <c r="C3125" s="26" t="s">
        <v>11766</v>
      </c>
      <c r="D3125" s="26" t="s">
        <v>11767</v>
      </c>
      <c r="E3125" s="26" t="s">
        <v>5781</v>
      </c>
      <c r="F3125" s="27">
        <v>6313079</v>
      </c>
      <c r="G3125" s="27">
        <v>1</v>
      </c>
      <c r="H3125" s="27">
        <v>0</v>
      </c>
      <c r="I3125" s="27">
        <v>1</v>
      </c>
      <c r="J3125" s="30">
        <f t="shared" si="144"/>
        <v>1</v>
      </c>
      <c r="K3125" s="30">
        <f t="shared" si="145"/>
        <v>0</v>
      </c>
      <c r="L3125" s="26">
        <f t="shared" si="146"/>
        <v>0</v>
      </c>
      <c r="M3125" s="26"/>
    </row>
    <row r="3126" spans="1:13" ht="15" customHeight="1">
      <c r="A3126" s="25">
        <v>1817379</v>
      </c>
      <c r="B3126" s="26" t="s">
        <v>5423</v>
      </c>
      <c r="C3126" s="26" t="s">
        <v>11768</v>
      </c>
      <c r="D3126" s="26" t="s">
        <v>11765</v>
      </c>
      <c r="E3126" s="26" t="s">
        <v>5436</v>
      </c>
      <c r="F3126" s="27">
        <v>6322467</v>
      </c>
      <c r="G3126" s="27">
        <v>1</v>
      </c>
      <c r="H3126" s="27">
        <v>0</v>
      </c>
      <c r="I3126" s="27">
        <v>1</v>
      </c>
      <c r="J3126" s="30">
        <f t="shared" si="144"/>
        <v>1</v>
      </c>
      <c r="K3126" s="30">
        <f t="shared" si="145"/>
        <v>0</v>
      </c>
      <c r="L3126" s="26">
        <f t="shared" si="146"/>
        <v>0</v>
      </c>
      <c r="M3126" s="26"/>
    </row>
    <row r="3127" spans="1:13" ht="15" customHeight="1">
      <c r="A3127" s="25">
        <v>1817409</v>
      </c>
      <c r="B3127" s="26" t="s">
        <v>5423</v>
      </c>
      <c r="C3127" s="26" t="s">
        <v>11769</v>
      </c>
      <c r="D3127" s="26" t="s">
        <v>11765</v>
      </c>
      <c r="E3127" s="26" t="s">
        <v>5433</v>
      </c>
      <c r="F3127" s="27">
        <v>6322984</v>
      </c>
      <c r="G3127" s="27">
        <v>0</v>
      </c>
      <c r="H3127" s="27">
        <v>0</v>
      </c>
      <c r="I3127" s="27">
        <v>0</v>
      </c>
      <c r="J3127" s="30">
        <f t="shared" si="144"/>
        <v>0</v>
      </c>
      <c r="K3127" s="30">
        <f t="shared" si="145"/>
        <v>0</v>
      </c>
      <c r="L3127" s="26">
        <f t="shared" si="146"/>
        <v>0</v>
      </c>
      <c r="M3127" s="26">
        <v>0</v>
      </c>
    </row>
    <row r="3128" spans="1:13" ht="15" customHeight="1">
      <c r="A3128" s="25">
        <v>1817511</v>
      </c>
      <c r="B3128" s="26" t="s">
        <v>5427</v>
      </c>
      <c r="C3128" s="26" t="s">
        <v>11770</v>
      </c>
      <c r="D3128" s="26" t="s">
        <v>11752</v>
      </c>
      <c r="E3128" s="26" t="s">
        <v>5468</v>
      </c>
      <c r="F3128" s="27">
        <v>5358636</v>
      </c>
      <c r="G3128" s="27">
        <v>1</v>
      </c>
      <c r="H3128" s="27">
        <v>0</v>
      </c>
      <c r="I3128" s="27">
        <v>1</v>
      </c>
      <c r="J3128" s="30">
        <f t="shared" si="144"/>
        <v>1</v>
      </c>
      <c r="K3128" s="30">
        <f t="shared" si="145"/>
        <v>0</v>
      </c>
      <c r="L3128" s="26">
        <f t="shared" si="146"/>
        <v>0</v>
      </c>
      <c r="M3128" s="26"/>
    </row>
    <row r="3129" spans="1:13" ht="15" customHeight="1">
      <c r="A3129" s="25">
        <v>1817583</v>
      </c>
      <c r="B3129" s="26" t="s">
        <v>5423</v>
      </c>
      <c r="C3129" s="26" t="s">
        <v>11771</v>
      </c>
      <c r="D3129" s="26" t="s">
        <v>11772</v>
      </c>
      <c r="E3129" s="26" t="s">
        <v>5468</v>
      </c>
      <c r="F3129" s="27">
        <v>5113938</v>
      </c>
      <c r="G3129" s="27">
        <v>0</v>
      </c>
      <c r="H3129" s="27">
        <v>0</v>
      </c>
      <c r="I3129" s="27">
        <v>0</v>
      </c>
      <c r="J3129" s="30">
        <f t="shared" si="144"/>
        <v>0</v>
      </c>
      <c r="K3129" s="30">
        <f t="shared" si="145"/>
        <v>0</v>
      </c>
      <c r="L3129" s="26">
        <f t="shared" si="146"/>
        <v>0</v>
      </c>
      <c r="M3129" s="26" t="s">
        <v>5557</v>
      </c>
    </row>
    <row r="3130" spans="1:13" ht="15" customHeight="1">
      <c r="A3130" s="25">
        <v>1817602</v>
      </c>
      <c r="B3130" s="26" t="s">
        <v>5427</v>
      </c>
      <c r="C3130" s="26" t="s">
        <v>11773</v>
      </c>
      <c r="D3130" s="26" t="s">
        <v>11774</v>
      </c>
      <c r="E3130" s="26" t="s">
        <v>5575</v>
      </c>
      <c r="F3130" s="27">
        <v>6220056</v>
      </c>
      <c r="G3130" s="27">
        <v>0</v>
      </c>
      <c r="H3130" s="27">
        <v>0</v>
      </c>
      <c r="I3130" s="27">
        <v>0</v>
      </c>
      <c r="J3130" s="30">
        <f t="shared" si="144"/>
        <v>0</v>
      </c>
      <c r="K3130" s="30">
        <f t="shared" si="145"/>
        <v>0</v>
      </c>
      <c r="L3130" s="26">
        <f t="shared" si="146"/>
        <v>0</v>
      </c>
      <c r="M3130" s="26">
        <v>0</v>
      </c>
    </row>
    <row r="3131" spans="1:13" ht="15" customHeight="1">
      <c r="A3131" s="25">
        <v>1817613</v>
      </c>
      <c r="B3131" s="26" t="s">
        <v>5423</v>
      </c>
      <c r="C3131" s="26" t="s">
        <v>11775</v>
      </c>
      <c r="D3131" s="26" t="s">
        <v>11776</v>
      </c>
      <c r="E3131" s="26" t="s">
        <v>5610</v>
      </c>
      <c r="F3131" s="27">
        <v>5176356</v>
      </c>
      <c r="G3131" s="27">
        <v>0</v>
      </c>
      <c r="H3131" s="27">
        <v>0</v>
      </c>
      <c r="I3131" s="27">
        <v>0</v>
      </c>
      <c r="J3131" s="30">
        <f t="shared" si="144"/>
        <v>0</v>
      </c>
      <c r="K3131" s="30">
        <f t="shared" si="145"/>
        <v>0</v>
      </c>
      <c r="L3131" s="26">
        <f t="shared" si="146"/>
        <v>0</v>
      </c>
      <c r="M3131" s="26" t="s">
        <v>5557</v>
      </c>
    </row>
    <row r="3132" spans="1:13" ht="15" customHeight="1">
      <c r="A3132" s="25">
        <v>1817722</v>
      </c>
      <c r="B3132" s="26" t="s">
        <v>5423</v>
      </c>
      <c r="C3132" s="26" t="s">
        <v>11777</v>
      </c>
      <c r="D3132" s="26" t="s">
        <v>11699</v>
      </c>
      <c r="E3132" s="26" t="s">
        <v>5517</v>
      </c>
      <c r="F3132" s="27">
        <v>6323577</v>
      </c>
      <c r="G3132" s="27">
        <v>0</v>
      </c>
      <c r="H3132" s="27">
        <v>0</v>
      </c>
      <c r="I3132" s="27">
        <v>0</v>
      </c>
      <c r="J3132" s="30">
        <f t="shared" si="144"/>
        <v>0</v>
      </c>
      <c r="K3132" s="30">
        <f t="shared" si="145"/>
        <v>0</v>
      </c>
      <c r="L3132" s="26">
        <f t="shared" si="146"/>
        <v>0</v>
      </c>
      <c r="M3132" s="26"/>
    </row>
    <row r="3133" spans="1:13" ht="15" customHeight="1">
      <c r="A3133" s="25">
        <v>1817900</v>
      </c>
      <c r="B3133" s="26" t="s">
        <v>5423</v>
      </c>
      <c r="C3133" s="26" t="s">
        <v>11778</v>
      </c>
      <c r="D3133" s="26" t="s">
        <v>11779</v>
      </c>
      <c r="E3133" s="26" t="s">
        <v>5433</v>
      </c>
      <c r="F3133" s="27">
        <v>6324159</v>
      </c>
      <c r="G3133" s="27">
        <v>1</v>
      </c>
      <c r="H3133" s="27">
        <v>0</v>
      </c>
      <c r="I3133" s="27">
        <v>1</v>
      </c>
      <c r="J3133" s="30">
        <f t="shared" si="144"/>
        <v>1</v>
      </c>
      <c r="K3133" s="30">
        <f t="shared" si="145"/>
        <v>0</v>
      </c>
      <c r="L3133" s="26">
        <f t="shared" si="146"/>
        <v>0</v>
      </c>
      <c r="M3133" s="26"/>
    </row>
    <row r="3134" spans="1:13" ht="15" customHeight="1">
      <c r="A3134" s="25">
        <v>1818241</v>
      </c>
      <c r="B3134" s="26" t="s">
        <v>5427</v>
      </c>
      <c r="C3134" s="26" t="s">
        <v>11780</v>
      </c>
      <c r="D3134" s="26" t="s">
        <v>11779</v>
      </c>
      <c r="E3134" s="26" t="s">
        <v>5517</v>
      </c>
      <c r="F3134" s="27">
        <v>6310939</v>
      </c>
      <c r="G3134" s="27">
        <v>1</v>
      </c>
      <c r="H3134" s="27">
        <v>1</v>
      </c>
      <c r="I3134" s="27">
        <v>1</v>
      </c>
      <c r="J3134" s="30">
        <f t="shared" si="144"/>
        <v>1</v>
      </c>
      <c r="K3134" s="30">
        <f t="shared" si="145"/>
        <v>1</v>
      </c>
      <c r="L3134" s="26">
        <f t="shared" si="146"/>
        <v>1</v>
      </c>
      <c r="M3134" s="26"/>
    </row>
    <row r="3135" spans="1:13" ht="15" customHeight="1">
      <c r="A3135" s="25">
        <v>1818296</v>
      </c>
      <c r="B3135" s="26" t="s">
        <v>5423</v>
      </c>
      <c r="C3135" s="26" t="s">
        <v>11781</v>
      </c>
      <c r="D3135" s="26" t="s">
        <v>11782</v>
      </c>
      <c r="E3135" s="26" t="s">
        <v>5436</v>
      </c>
      <c r="F3135" s="27">
        <v>6300425</v>
      </c>
      <c r="G3135" s="27">
        <v>1</v>
      </c>
      <c r="H3135" s="27">
        <v>0</v>
      </c>
      <c r="I3135" s="27">
        <v>1</v>
      </c>
      <c r="J3135" s="30">
        <f t="shared" si="144"/>
        <v>1</v>
      </c>
      <c r="K3135" s="30">
        <f t="shared" si="145"/>
        <v>0</v>
      </c>
      <c r="L3135" s="26">
        <f t="shared" si="146"/>
        <v>0</v>
      </c>
      <c r="M3135" s="26"/>
    </row>
    <row r="3136" spans="1:13" ht="15" customHeight="1">
      <c r="A3136" s="25">
        <v>1818354</v>
      </c>
      <c r="B3136" s="26" t="s">
        <v>5423</v>
      </c>
      <c r="C3136" s="26" t="s">
        <v>11783</v>
      </c>
      <c r="D3136" s="26" t="s">
        <v>11784</v>
      </c>
      <c r="E3136" s="26" t="s">
        <v>5475</v>
      </c>
      <c r="F3136" s="27">
        <v>6326470</v>
      </c>
      <c r="G3136" s="27">
        <v>0</v>
      </c>
      <c r="H3136" s="27">
        <v>0</v>
      </c>
      <c r="I3136" s="27">
        <v>0</v>
      </c>
      <c r="J3136" s="30">
        <f t="shared" si="144"/>
        <v>0</v>
      </c>
      <c r="K3136" s="30">
        <f t="shared" si="145"/>
        <v>0</v>
      </c>
      <c r="L3136" s="26">
        <f t="shared" si="146"/>
        <v>0</v>
      </c>
      <c r="M3136" s="26">
        <v>0</v>
      </c>
    </row>
    <row r="3137" spans="1:13" ht="15" customHeight="1">
      <c r="A3137" s="25">
        <v>1818416</v>
      </c>
      <c r="B3137" s="26" t="s">
        <v>5427</v>
      </c>
      <c r="C3137" s="26" t="s">
        <v>11785</v>
      </c>
      <c r="D3137" s="26" t="s">
        <v>11779</v>
      </c>
      <c r="E3137" s="26" t="s">
        <v>9527</v>
      </c>
      <c r="F3137" s="27">
        <v>6326458</v>
      </c>
      <c r="G3137" s="27">
        <v>0</v>
      </c>
      <c r="H3137" s="27">
        <v>0</v>
      </c>
      <c r="I3137" s="27">
        <v>0</v>
      </c>
      <c r="J3137" s="30">
        <f t="shared" si="144"/>
        <v>0</v>
      </c>
      <c r="K3137" s="30">
        <f t="shared" si="145"/>
        <v>0</v>
      </c>
      <c r="L3137" s="26">
        <f t="shared" si="146"/>
        <v>0</v>
      </c>
      <c r="M3137" s="26">
        <v>0</v>
      </c>
    </row>
    <row r="3138" spans="1:13" ht="15" customHeight="1">
      <c r="A3138" s="25">
        <v>1818826</v>
      </c>
      <c r="B3138" s="26" t="s">
        <v>5423</v>
      </c>
      <c r="C3138" s="26" t="s">
        <v>11786</v>
      </c>
      <c r="D3138" s="26" t="s">
        <v>11787</v>
      </c>
      <c r="E3138" s="26" t="s">
        <v>5488</v>
      </c>
      <c r="F3138" s="27">
        <v>6327150</v>
      </c>
      <c r="G3138" s="27">
        <v>1</v>
      </c>
      <c r="H3138" s="27">
        <v>1</v>
      </c>
      <c r="I3138" s="27">
        <v>1</v>
      </c>
      <c r="J3138" s="30">
        <f t="shared" ref="J3138:J3201" si="147">IF(G3138&gt;0,1,0)</f>
        <v>1</v>
      </c>
      <c r="K3138" s="30">
        <f t="shared" ref="K3138:K3201" si="148">IF(H3138&gt;0,1,0)</f>
        <v>1</v>
      </c>
      <c r="L3138" s="26">
        <f t="shared" ref="L3138:L3201" si="149">IF(G3138&gt;0,IF(H3138&gt;0,1,0),0)</f>
        <v>1</v>
      </c>
      <c r="M3138" s="26"/>
    </row>
    <row r="3139" spans="1:13" ht="15" customHeight="1">
      <c r="A3139" s="25">
        <v>1819209</v>
      </c>
      <c r="B3139" s="26" t="s">
        <v>5427</v>
      </c>
      <c r="C3139" s="26" t="s">
        <v>11788</v>
      </c>
      <c r="D3139" s="26" t="s">
        <v>11789</v>
      </c>
      <c r="E3139" s="26" t="s">
        <v>5452</v>
      </c>
      <c r="F3139" s="27">
        <v>4761981</v>
      </c>
      <c r="G3139" s="27">
        <v>1</v>
      </c>
      <c r="H3139" s="27">
        <v>1</v>
      </c>
      <c r="I3139" s="27">
        <v>1</v>
      </c>
      <c r="J3139" s="30">
        <f t="shared" si="147"/>
        <v>1</v>
      </c>
      <c r="K3139" s="30">
        <f t="shared" si="148"/>
        <v>1</v>
      </c>
      <c r="L3139" s="26">
        <f t="shared" si="149"/>
        <v>1</v>
      </c>
      <c r="M3139" s="26"/>
    </row>
    <row r="3140" spans="1:13" ht="15" customHeight="1">
      <c r="A3140" s="25">
        <v>1819219</v>
      </c>
      <c r="B3140" s="26" t="s">
        <v>5423</v>
      </c>
      <c r="C3140" s="26" t="s">
        <v>11790</v>
      </c>
      <c r="D3140" s="26" t="s">
        <v>11787</v>
      </c>
      <c r="E3140" s="26" t="s">
        <v>5532</v>
      </c>
      <c r="F3140" s="27">
        <v>6327978</v>
      </c>
      <c r="G3140" s="27">
        <v>0</v>
      </c>
      <c r="H3140" s="27">
        <v>0</v>
      </c>
      <c r="I3140" s="27">
        <v>0</v>
      </c>
      <c r="J3140" s="30">
        <f t="shared" si="147"/>
        <v>0</v>
      </c>
      <c r="K3140" s="30">
        <f t="shared" si="148"/>
        <v>0</v>
      </c>
      <c r="L3140" s="26">
        <f t="shared" si="149"/>
        <v>0</v>
      </c>
      <c r="M3140" s="26" t="s">
        <v>5557</v>
      </c>
    </row>
    <row r="3141" spans="1:13" ht="15" customHeight="1">
      <c r="A3141" s="25">
        <v>1819301</v>
      </c>
      <c r="B3141" s="26" t="s">
        <v>5427</v>
      </c>
      <c r="C3141" s="26" t="s">
        <v>11791</v>
      </c>
      <c r="D3141" s="26" t="s">
        <v>11792</v>
      </c>
      <c r="E3141" s="26" t="s">
        <v>5891</v>
      </c>
      <c r="F3141" s="27">
        <v>6328523</v>
      </c>
      <c r="G3141" s="27">
        <v>1</v>
      </c>
      <c r="H3141" s="27">
        <v>0</v>
      </c>
      <c r="I3141" s="27">
        <v>1</v>
      </c>
      <c r="J3141" s="30">
        <f t="shared" si="147"/>
        <v>1</v>
      </c>
      <c r="K3141" s="30">
        <f t="shared" si="148"/>
        <v>0</v>
      </c>
      <c r="L3141" s="26">
        <f t="shared" si="149"/>
        <v>0</v>
      </c>
      <c r="M3141" s="26"/>
    </row>
    <row r="3142" spans="1:13" ht="15" customHeight="1">
      <c r="A3142" s="25">
        <v>1819355</v>
      </c>
      <c r="B3142" s="26" t="s">
        <v>5427</v>
      </c>
      <c r="C3142" s="26" t="s">
        <v>11793</v>
      </c>
      <c r="D3142" s="26" t="s">
        <v>11784</v>
      </c>
      <c r="E3142" s="26" t="s">
        <v>5532</v>
      </c>
      <c r="F3142" s="27">
        <v>6329721</v>
      </c>
      <c r="G3142" s="27">
        <v>0</v>
      </c>
      <c r="H3142" s="27">
        <v>0</v>
      </c>
      <c r="I3142" s="27">
        <v>0</v>
      </c>
      <c r="J3142" s="30">
        <f t="shared" si="147"/>
        <v>0</v>
      </c>
      <c r="K3142" s="30">
        <f t="shared" si="148"/>
        <v>0</v>
      </c>
      <c r="L3142" s="26">
        <f t="shared" si="149"/>
        <v>0</v>
      </c>
      <c r="M3142" s="26">
        <v>0</v>
      </c>
    </row>
    <row r="3143" spans="1:13" ht="15" customHeight="1">
      <c r="A3143" s="25">
        <v>1819807</v>
      </c>
      <c r="B3143" s="26" t="s">
        <v>5427</v>
      </c>
      <c r="C3143" s="26" t="s">
        <v>11794</v>
      </c>
      <c r="D3143" s="26" t="s">
        <v>11792</v>
      </c>
      <c r="E3143" s="26" t="s">
        <v>5529</v>
      </c>
      <c r="F3143" s="27">
        <v>6329235</v>
      </c>
      <c r="G3143" s="27">
        <v>0</v>
      </c>
      <c r="H3143" s="27">
        <v>0</v>
      </c>
      <c r="I3143" s="27">
        <v>0</v>
      </c>
      <c r="J3143" s="30">
        <f t="shared" si="147"/>
        <v>0</v>
      </c>
      <c r="K3143" s="30">
        <f t="shared" si="148"/>
        <v>0</v>
      </c>
      <c r="L3143" s="26">
        <f t="shared" si="149"/>
        <v>0</v>
      </c>
      <c r="M3143" s="26" t="s">
        <v>8017</v>
      </c>
    </row>
    <row r="3144" spans="1:13" ht="15" customHeight="1">
      <c r="A3144" s="25">
        <v>1819837</v>
      </c>
      <c r="B3144" s="26" t="s">
        <v>5423</v>
      </c>
      <c r="C3144" s="26" t="s">
        <v>11795</v>
      </c>
      <c r="D3144" s="26" t="s">
        <v>11796</v>
      </c>
      <c r="E3144" s="26" t="s">
        <v>5491</v>
      </c>
      <c r="F3144" s="27">
        <v>6329986</v>
      </c>
      <c r="G3144" s="27">
        <v>0</v>
      </c>
      <c r="H3144" s="27">
        <v>0</v>
      </c>
      <c r="I3144" s="27">
        <v>0</v>
      </c>
      <c r="J3144" s="30">
        <f t="shared" si="147"/>
        <v>0</v>
      </c>
      <c r="K3144" s="30">
        <f t="shared" si="148"/>
        <v>0</v>
      </c>
      <c r="L3144" s="26">
        <f t="shared" si="149"/>
        <v>0</v>
      </c>
      <c r="M3144" s="26">
        <v>0</v>
      </c>
    </row>
    <row r="3145" spans="1:13" ht="15" customHeight="1">
      <c r="A3145" s="25">
        <v>1820113</v>
      </c>
      <c r="B3145" s="26" t="s">
        <v>5427</v>
      </c>
      <c r="C3145" s="26" t="s">
        <v>11797</v>
      </c>
      <c r="D3145" s="26" t="s">
        <v>11787</v>
      </c>
      <c r="E3145" s="26" t="s">
        <v>5517</v>
      </c>
      <c r="F3145" s="27">
        <v>6330020</v>
      </c>
      <c r="G3145" s="27">
        <v>0</v>
      </c>
      <c r="H3145" s="27">
        <v>0</v>
      </c>
      <c r="I3145" s="27">
        <v>0</v>
      </c>
      <c r="J3145" s="30">
        <f t="shared" si="147"/>
        <v>0</v>
      </c>
      <c r="K3145" s="30">
        <f t="shared" si="148"/>
        <v>0</v>
      </c>
      <c r="L3145" s="26">
        <f t="shared" si="149"/>
        <v>0</v>
      </c>
      <c r="M3145" s="26">
        <v>0</v>
      </c>
    </row>
    <row r="3146" spans="1:13" ht="15" customHeight="1">
      <c r="A3146" s="25">
        <v>1820119</v>
      </c>
      <c r="B3146" s="26" t="s">
        <v>5423</v>
      </c>
      <c r="C3146" s="26" t="s">
        <v>11798</v>
      </c>
      <c r="D3146" s="26" t="s">
        <v>11799</v>
      </c>
      <c r="E3146" s="26" t="s">
        <v>5458</v>
      </c>
      <c r="F3146" s="27">
        <v>6330770</v>
      </c>
      <c r="G3146" s="27">
        <v>0</v>
      </c>
      <c r="H3146" s="27">
        <v>0</v>
      </c>
      <c r="I3146" s="27">
        <v>0</v>
      </c>
      <c r="J3146" s="30">
        <f t="shared" si="147"/>
        <v>0</v>
      </c>
      <c r="K3146" s="30">
        <f t="shared" si="148"/>
        <v>0</v>
      </c>
      <c r="L3146" s="26">
        <f t="shared" si="149"/>
        <v>0</v>
      </c>
      <c r="M3146" s="26">
        <v>0</v>
      </c>
    </row>
    <row r="3147" spans="1:13" ht="15" customHeight="1">
      <c r="A3147" s="25">
        <v>1820142</v>
      </c>
      <c r="B3147" s="26" t="s">
        <v>5423</v>
      </c>
      <c r="C3147" s="26" t="s">
        <v>11800</v>
      </c>
      <c r="D3147" s="26" t="s">
        <v>11784</v>
      </c>
      <c r="E3147" s="26" t="s">
        <v>5763</v>
      </c>
      <c r="F3147" s="27">
        <v>5927633</v>
      </c>
      <c r="G3147" s="27">
        <v>0</v>
      </c>
      <c r="H3147" s="27">
        <v>0</v>
      </c>
      <c r="I3147" s="27">
        <v>0</v>
      </c>
      <c r="J3147" s="30">
        <f t="shared" si="147"/>
        <v>0</v>
      </c>
      <c r="K3147" s="30">
        <f t="shared" si="148"/>
        <v>0</v>
      </c>
      <c r="L3147" s="26">
        <f t="shared" si="149"/>
        <v>0</v>
      </c>
      <c r="M3147" s="26" t="s">
        <v>5557</v>
      </c>
    </row>
    <row r="3148" spans="1:13" ht="15" customHeight="1">
      <c r="A3148" s="25">
        <v>1820260</v>
      </c>
      <c r="B3148" s="26" t="s">
        <v>5423</v>
      </c>
      <c r="C3148" s="26" t="s">
        <v>11801</v>
      </c>
      <c r="D3148" s="26" t="s">
        <v>11792</v>
      </c>
      <c r="E3148" s="26" t="s">
        <v>5439</v>
      </c>
      <c r="F3148" s="27">
        <v>6330455</v>
      </c>
      <c r="G3148" s="27">
        <v>1</v>
      </c>
      <c r="H3148" s="27">
        <v>0</v>
      </c>
      <c r="I3148" s="27">
        <v>1</v>
      </c>
      <c r="J3148" s="30">
        <f t="shared" si="147"/>
        <v>1</v>
      </c>
      <c r="K3148" s="30">
        <f t="shared" si="148"/>
        <v>0</v>
      </c>
      <c r="L3148" s="26">
        <f t="shared" si="149"/>
        <v>0</v>
      </c>
      <c r="M3148" s="26"/>
    </row>
    <row r="3149" spans="1:13" ht="15" customHeight="1">
      <c r="A3149" s="25">
        <v>1820445</v>
      </c>
      <c r="B3149" s="26" t="s">
        <v>5427</v>
      </c>
      <c r="C3149" s="26" t="s">
        <v>11802</v>
      </c>
      <c r="D3149" s="26" t="s">
        <v>11803</v>
      </c>
      <c r="E3149" s="26" t="s">
        <v>5433</v>
      </c>
      <c r="F3149" s="27">
        <v>6321664</v>
      </c>
      <c r="G3149" s="27">
        <v>1</v>
      </c>
      <c r="H3149" s="27">
        <v>0</v>
      </c>
      <c r="I3149" s="27">
        <v>1</v>
      </c>
      <c r="J3149" s="30">
        <f t="shared" si="147"/>
        <v>1</v>
      </c>
      <c r="K3149" s="30">
        <f t="shared" si="148"/>
        <v>0</v>
      </c>
      <c r="L3149" s="26">
        <f t="shared" si="149"/>
        <v>0</v>
      </c>
      <c r="M3149" s="26"/>
    </row>
    <row r="3150" spans="1:13" ht="15" customHeight="1">
      <c r="A3150" s="25">
        <v>1820466</v>
      </c>
      <c r="B3150" s="26" t="s">
        <v>5423</v>
      </c>
      <c r="C3150" s="26" t="s">
        <v>11804</v>
      </c>
      <c r="D3150" s="26" t="s">
        <v>11805</v>
      </c>
      <c r="E3150" s="26" t="s">
        <v>5463</v>
      </c>
      <c r="F3150" s="27">
        <v>6082697</v>
      </c>
      <c r="G3150" s="27">
        <v>1</v>
      </c>
      <c r="H3150" s="27">
        <v>1</v>
      </c>
      <c r="I3150" s="27">
        <v>1</v>
      </c>
      <c r="J3150" s="30">
        <f t="shared" si="147"/>
        <v>1</v>
      </c>
      <c r="K3150" s="30">
        <f t="shared" si="148"/>
        <v>1</v>
      </c>
      <c r="L3150" s="26">
        <f t="shared" si="149"/>
        <v>1</v>
      </c>
      <c r="M3150" s="26"/>
    </row>
    <row r="3151" spans="1:13" ht="15" customHeight="1">
      <c r="A3151" s="25">
        <v>1820532</v>
      </c>
      <c r="B3151" s="26" t="s">
        <v>5423</v>
      </c>
      <c r="C3151" s="26" t="s">
        <v>11806</v>
      </c>
      <c r="D3151" s="26" t="s">
        <v>11807</v>
      </c>
      <c r="E3151" s="26" t="s">
        <v>5468</v>
      </c>
      <c r="F3151" s="27">
        <v>6331629</v>
      </c>
      <c r="G3151" s="27">
        <v>1</v>
      </c>
      <c r="H3151" s="27">
        <v>1</v>
      </c>
      <c r="I3151" s="27">
        <v>1</v>
      </c>
      <c r="J3151" s="30">
        <f t="shared" si="147"/>
        <v>1</v>
      </c>
      <c r="K3151" s="30">
        <f t="shared" si="148"/>
        <v>1</v>
      </c>
      <c r="L3151" s="26">
        <f t="shared" si="149"/>
        <v>1</v>
      </c>
      <c r="M3151" s="26"/>
    </row>
    <row r="3152" spans="1:13" ht="15" customHeight="1">
      <c r="A3152" s="25">
        <v>1820673</v>
      </c>
      <c r="B3152" s="26" t="s">
        <v>5423</v>
      </c>
      <c r="C3152" s="26" t="s">
        <v>11808</v>
      </c>
      <c r="D3152" s="26" t="s">
        <v>11787</v>
      </c>
      <c r="E3152" s="26" t="s">
        <v>5463</v>
      </c>
      <c r="F3152" s="27">
        <v>6321514</v>
      </c>
      <c r="G3152" s="27">
        <v>0</v>
      </c>
      <c r="H3152" s="27">
        <v>0</v>
      </c>
      <c r="I3152" s="27">
        <v>0</v>
      </c>
      <c r="J3152" s="30">
        <f t="shared" si="147"/>
        <v>0</v>
      </c>
      <c r="K3152" s="30">
        <f t="shared" si="148"/>
        <v>0</v>
      </c>
      <c r="L3152" s="26">
        <f t="shared" si="149"/>
        <v>0</v>
      </c>
      <c r="M3152" s="26">
        <v>0</v>
      </c>
    </row>
    <row r="3153" spans="1:13" ht="15" customHeight="1">
      <c r="A3153" s="25">
        <v>1821108</v>
      </c>
      <c r="B3153" s="26" t="s">
        <v>5423</v>
      </c>
      <c r="C3153" s="26" t="s">
        <v>11809</v>
      </c>
      <c r="D3153" s="26" t="s">
        <v>11803</v>
      </c>
      <c r="E3153" s="26" t="s">
        <v>5439</v>
      </c>
      <c r="F3153" s="27">
        <v>6332996</v>
      </c>
      <c r="G3153" s="27">
        <v>1</v>
      </c>
      <c r="H3153" s="27">
        <v>0</v>
      </c>
      <c r="I3153" s="27">
        <v>1</v>
      </c>
      <c r="J3153" s="30">
        <f t="shared" si="147"/>
        <v>1</v>
      </c>
      <c r="K3153" s="30">
        <f t="shared" si="148"/>
        <v>0</v>
      </c>
      <c r="L3153" s="26">
        <f t="shared" si="149"/>
        <v>0</v>
      </c>
      <c r="M3153" s="26"/>
    </row>
    <row r="3154" spans="1:13" ht="15" customHeight="1">
      <c r="A3154" s="25">
        <v>1821238</v>
      </c>
      <c r="B3154" s="26" t="s">
        <v>5423</v>
      </c>
      <c r="C3154" s="26" t="s">
        <v>11810</v>
      </c>
      <c r="D3154" s="26" t="s">
        <v>11610</v>
      </c>
      <c r="E3154" s="26" t="s">
        <v>5433</v>
      </c>
      <c r="F3154" s="27">
        <v>6039414</v>
      </c>
      <c r="G3154" s="27">
        <v>1</v>
      </c>
      <c r="H3154" s="27">
        <v>0</v>
      </c>
      <c r="I3154" s="27">
        <v>1</v>
      </c>
      <c r="J3154" s="30">
        <f t="shared" si="147"/>
        <v>1</v>
      </c>
      <c r="K3154" s="30">
        <f t="shared" si="148"/>
        <v>0</v>
      </c>
      <c r="L3154" s="26">
        <f t="shared" si="149"/>
        <v>0</v>
      </c>
      <c r="M3154" s="26"/>
    </row>
    <row r="3155" spans="1:13" ht="15" customHeight="1">
      <c r="A3155" s="25">
        <v>1821255</v>
      </c>
      <c r="B3155" s="26" t="s">
        <v>5423</v>
      </c>
      <c r="C3155" s="26" t="s">
        <v>11811</v>
      </c>
      <c r="D3155" s="26" t="s">
        <v>11803</v>
      </c>
      <c r="E3155" s="26" t="s">
        <v>5491</v>
      </c>
      <c r="F3155" s="27">
        <v>6287527</v>
      </c>
      <c r="G3155" s="27">
        <v>0</v>
      </c>
      <c r="H3155" s="27">
        <v>0</v>
      </c>
      <c r="I3155" s="27">
        <v>0</v>
      </c>
      <c r="J3155" s="30">
        <f t="shared" si="147"/>
        <v>0</v>
      </c>
      <c r="K3155" s="30">
        <f t="shared" si="148"/>
        <v>0</v>
      </c>
      <c r="L3155" s="26">
        <f t="shared" si="149"/>
        <v>0</v>
      </c>
      <c r="M3155" s="26">
        <v>0</v>
      </c>
    </row>
    <row r="3156" spans="1:13" ht="15" customHeight="1">
      <c r="A3156" s="25">
        <v>1821507</v>
      </c>
      <c r="B3156" s="26" t="s">
        <v>5423</v>
      </c>
      <c r="C3156" s="26" t="s">
        <v>11812</v>
      </c>
      <c r="D3156" s="26" t="s">
        <v>11813</v>
      </c>
      <c r="E3156" s="26" t="s">
        <v>5535</v>
      </c>
      <c r="F3156" s="27">
        <v>6335061</v>
      </c>
      <c r="G3156" s="27">
        <v>0</v>
      </c>
      <c r="H3156" s="27">
        <v>0</v>
      </c>
      <c r="I3156" s="27">
        <v>0</v>
      </c>
      <c r="J3156" s="30">
        <f t="shared" si="147"/>
        <v>0</v>
      </c>
      <c r="K3156" s="30">
        <f t="shared" si="148"/>
        <v>0</v>
      </c>
      <c r="L3156" s="26">
        <f t="shared" si="149"/>
        <v>0</v>
      </c>
      <c r="M3156" s="26">
        <v>0</v>
      </c>
    </row>
    <row r="3157" spans="1:13" ht="15" customHeight="1">
      <c r="A3157" s="25">
        <v>1821767</v>
      </c>
      <c r="B3157" s="26" t="s">
        <v>5427</v>
      </c>
      <c r="C3157" s="26" t="s">
        <v>11814</v>
      </c>
      <c r="D3157" s="26" t="s">
        <v>11813</v>
      </c>
      <c r="E3157" s="26" t="s">
        <v>5507</v>
      </c>
      <c r="F3157" s="27">
        <v>6232137</v>
      </c>
      <c r="G3157" s="27">
        <v>1</v>
      </c>
      <c r="H3157" s="27">
        <v>0</v>
      </c>
      <c r="I3157" s="27">
        <v>1</v>
      </c>
      <c r="J3157" s="30">
        <f t="shared" si="147"/>
        <v>1</v>
      </c>
      <c r="K3157" s="30">
        <f t="shared" si="148"/>
        <v>0</v>
      </c>
      <c r="L3157" s="26">
        <f t="shared" si="149"/>
        <v>0</v>
      </c>
      <c r="M3157" s="26"/>
    </row>
    <row r="3158" spans="1:13" ht="15" customHeight="1">
      <c r="A3158" s="25">
        <v>1821801</v>
      </c>
      <c r="B3158" s="26" t="s">
        <v>5427</v>
      </c>
      <c r="C3158" s="26" t="s">
        <v>11815</v>
      </c>
      <c r="D3158" s="26" t="s">
        <v>11792</v>
      </c>
      <c r="E3158" s="26" t="s">
        <v>5488</v>
      </c>
      <c r="F3158" s="27">
        <v>6334536</v>
      </c>
      <c r="G3158" s="27">
        <v>1</v>
      </c>
      <c r="H3158" s="27">
        <v>0</v>
      </c>
      <c r="I3158" s="27">
        <v>1</v>
      </c>
      <c r="J3158" s="30">
        <f t="shared" si="147"/>
        <v>1</v>
      </c>
      <c r="K3158" s="30">
        <f t="shared" si="148"/>
        <v>0</v>
      </c>
      <c r="L3158" s="26">
        <f t="shared" si="149"/>
        <v>0</v>
      </c>
      <c r="M3158" s="26"/>
    </row>
    <row r="3159" spans="1:13" ht="15" customHeight="1">
      <c r="A3159" s="25">
        <v>1822064</v>
      </c>
      <c r="B3159" s="26" t="s">
        <v>5423</v>
      </c>
      <c r="C3159" s="26" t="s">
        <v>11816</v>
      </c>
      <c r="D3159" s="26" t="s">
        <v>11610</v>
      </c>
      <c r="E3159" s="26" t="s">
        <v>5433</v>
      </c>
      <c r="F3159" s="27">
        <v>6335904</v>
      </c>
      <c r="G3159" s="27">
        <v>0</v>
      </c>
      <c r="H3159" s="27">
        <v>0</v>
      </c>
      <c r="I3159" s="27">
        <v>0</v>
      </c>
      <c r="J3159" s="30">
        <f t="shared" si="147"/>
        <v>0</v>
      </c>
      <c r="K3159" s="30">
        <f t="shared" si="148"/>
        <v>0</v>
      </c>
      <c r="L3159" s="26">
        <f t="shared" si="149"/>
        <v>0</v>
      </c>
      <c r="M3159" s="26">
        <v>0</v>
      </c>
    </row>
    <row r="3160" spans="1:13" ht="15" customHeight="1">
      <c r="A3160" s="25">
        <v>1822432</v>
      </c>
      <c r="B3160" s="26" t="s">
        <v>5427</v>
      </c>
      <c r="C3160" s="26" t="s">
        <v>11817</v>
      </c>
      <c r="D3160" s="26" t="s">
        <v>11818</v>
      </c>
      <c r="E3160" s="26" t="s">
        <v>5491</v>
      </c>
      <c r="F3160" s="27">
        <v>6336816</v>
      </c>
      <c r="G3160" s="27">
        <v>1</v>
      </c>
      <c r="H3160" s="27">
        <v>1</v>
      </c>
      <c r="I3160" s="27">
        <v>1</v>
      </c>
      <c r="J3160" s="30">
        <f t="shared" si="147"/>
        <v>1</v>
      </c>
      <c r="K3160" s="30">
        <f t="shared" si="148"/>
        <v>1</v>
      </c>
      <c r="L3160" s="26">
        <f t="shared" si="149"/>
        <v>1</v>
      </c>
      <c r="M3160" s="26"/>
    </row>
    <row r="3161" spans="1:13" ht="15" customHeight="1">
      <c r="A3161" s="25">
        <v>1822433</v>
      </c>
      <c r="B3161" s="26" t="s">
        <v>5423</v>
      </c>
      <c r="C3161" s="26" t="s">
        <v>11819</v>
      </c>
      <c r="D3161" s="26" t="s">
        <v>11818</v>
      </c>
      <c r="E3161" s="26" t="s">
        <v>5463</v>
      </c>
      <c r="F3161" s="27">
        <v>6336790</v>
      </c>
      <c r="G3161" s="27">
        <v>1</v>
      </c>
      <c r="H3161" s="27">
        <v>1</v>
      </c>
      <c r="I3161" s="27">
        <v>1</v>
      </c>
      <c r="J3161" s="30">
        <f t="shared" si="147"/>
        <v>1</v>
      </c>
      <c r="K3161" s="30">
        <f t="shared" si="148"/>
        <v>1</v>
      </c>
      <c r="L3161" s="26">
        <f t="shared" si="149"/>
        <v>1</v>
      </c>
      <c r="M3161" s="26"/>
    </row>
    <row r="3162" spans="1:13" ht="15" customHeight="1">
      <c r="A3162" s="25">
        <v>1822659</v>
      </c>
      <c r="B3162" s="26" t="s">
        <v>5423</v>
      </c>
      <c r="C3162" s="26" t="s">
        <v>11820</v>
      </c>
      <c r="D3162" s="26" t="s">
        <v>11821</v>
      </c>
      <c r="E3162" s="26" t="s">
        <v>5447</v>
      </c>
      <c r="F3162" s="27">
        <v>6326473</v>
      </c>
      <c r="G3162" s="27">
        <v>1</v>
      </c>
      <c r="H3162" s="27">
        <v>0</v>
      </c>
      <c r="I3162" s="27">
        <v>1</v>
      </c>
      <c r="J3162" s="30">
        <f t="shared" si="147"/>
        <v>1</v>
      </c>
      <c r="K3162" s="30">
        <f t="shared" si="148"/>
        <v>0</v>
      </c>
      <c r="L3162" s="26">
        <f t="shared" si="149"/>
        <v>0</v>
      </c>
      <c r="M3162" s="26"/>
    </row>
    <row r="3163" spans="1:13" ht="15" customHeight="1">
      <c r="A3163" s="25">
        <v>1822710</v>
      </c>
      <c r="B3163" s="26" t="s">
        <v>5423</v>
      </c>
      <c r="C3163" s="26" t="s">
        <v>11822</v>
      </c>
      <c r="D3163" s="26" t="s">
        <v>11823</v>
      </c>
      <c r="E3163" s="26" t="s">
        <v>5439</v>
      </c>
      <c r="F3163" s="27">
        <v>6337533</v>
      </c>
      <c r="G3163" s="27">
        <v>0</v>
      </c>
      <c r="H3163" s="27">
        <v>0</v>
      </c>
      <c r="I3163" s="27">
        <v>0</v>
      </c>
      <c r="J3163" s="30">
        <f t="shared" si="147"/>
        <v>0</v>
      </c>
      <c r="K3163" s="30">
        <f t="shared" si="148"/>
        <v>0</v>
      </c>
      <c r="L3163" s="26">
        <f t="shared" si="149"/>
        <v>0</v>
      </c>
      <c r="M3163" s="26" t="s">
        <v>5567</v>
      </c>
    </row>
    <row r="3164" spans="1:13" ht="15" customHeight="1">
      <c r="A3164" s="25">
        <v>1822768</v>
      </c>
      <c r="B3164" s="26" t="s">
        <v>5427</v>
      </c>
      <c r="C3164" s="26" t="s">
        <v>11824</v>
      </c>
      <c r="D3164" s="26" t="s">
        <v>11825</v>
      </c>
      <c r="E3164" s="26" t="s">
        <v>5507</v>
      </c>
      <c r="F3164" s="27">
        <v>6337754</v>
      </c>
      <c r="G3164" s="27">
        <v>0</v>
      </c>
      <c r="H3164" s="27">
        <v>0</v>
      </c>
      <c r="I3164" s="27">
        <v>0</v>
      </c>
      <c r="J3164" s="30">
        <f t="shared" si="147"/>
        <v>0</v>
      </c>
      <c r="K3164" s="30">
        <f t="shared" si="148"/>
        <v>0</v>
      </c>
      <c r="L3164" s="26">
        <f t="shared" si="149"/>
        <v>0</v>
      </c>
      <c r="M3164" s="26">
        <v>0</v>
      </c>
    </row>
    <row r="3165" spans="1:13" ht="15" customHeight="1">
      <c r="A3165" s="25">
        <v>1823168</v>
      </c>
      <c r="B3165" s="26" t="s">
        <v>5423</v>
      </c>
      <c r="C3165" s="26" t="s">
        <v>11826</v>
      </c>
      <c r="D3165" s="26" t="s">
        <v>11818</v>
      </c>
      <c r="E3165" s="26" t="s">
        <v>5455</v>
      </c>
      <c r="F3165" s="27">
        <v>6339765</v>
      </c>
      <c r="G3165" s="27">
        <v>0</v>
      </c>
      <c r="H3165" s="27">
        <v>0</v>
      </c>
      <c r="I3165" s="27">
        <v>0</v>
      </c>
      <c r="J3165" s="30">
        <f t="shared" si="147"/>
        <v>0</v>
      </c>
      <c r="K3165" s="30">
        <f t="shared" si="148"/>
        <v>0</v>
      </c>
      <c r="L3165" s="26">
        <f t="shared" si="149"/>
        <v>0</v>
      </c>
      <c r="M3165" s="26">
        <v>0</v>
      </c>
    </row>
    <row r="3166" spans="1:13" ht="15" customHeight="1">
      <c r="A3166" s="25">
        <v>1823365</v>
      </c>
      <c r="B3166" s="26" t="s">
        <v>5423</v>
      </c>
      <c r="C3166" s="26" t="s">
        <v>11827</v>
      </c>
      <c r="D3166" s="26" t="s">
        <v>11828</v>
      </c>
      <c r="E3166" s="26" t="s">
        <v>5458</v>
      </c>
      <c r="F3166" s="27">
        <v>6338777</v>
      </c>
      <c r="G3166" s="27">
        <v>1</v>
      </c>
      <c r="H3166" s="27">
        <v>1</v>
      </c>
      <c r="I3166" s="27">
        <v>1</v>
      </c>
      <c r="J3166" s="30">
        <f t="shared" si="147"/>
        <v>1</v>
      </c>
      <c r="K3166" s="30">
        <f t="shared" si="148"/>
        <v>1</v>
      </c>
      <c r="L3166" s="26">
        <f t="shared" si="149"/>
        <v>1</v>
      </c>
      <c r="M3166" s="26"/>
    </row>
    <row r="3167" spans="1:13" ht="15" customHeight="1">
      <c r="A3167" s="25">
        <v>1823592</v>
      </c>
      <c r="B3167" s="26" t="s">
        <v>5427</v>
      </c>
      <c r="C3167" s="26" t="s">
        <v>11829</v>
      </c>
      <c r="D3167" s="26" t="s">
        <v>11818</v>
      </c>
      <c r="E3167" s="26" t="s">
        <v>5560</v>
      </c>
      <c r="F3167" s="27">
        <v>6339443</v>
      </c>
      <c r="G3167" s="27">
        <v>1</v>
      </c>
      <c r="H3167" s="27">
        <v>0</v>
      </c>
      <c r="I3167" s="27">
        <v>1</v>
      </c>
      <c r="J3167" s="30">
        <f t="shared" si="147"/>
        <v>1</v>
      </c>
      <c r="K3167" s="30">
        <f t="shared" si="148"/>
        <v>0</v>
      </c>
      <c r="L3167" s="26">
        <f t="shared" si="149"/>
        <v>0</v>
      </c>
      <c r="M3167" s="26" t="s">
        <v>8045</v>
      </c>
    </row>
    <row r="3168" spans="1:13" ht="15" customHeight="1">
      <c r="A3168" s="25">
        <v>1823609</v>
      </c>
      <c r="B3168" s="26" t="s">
        <v>5423</v>
      </c>
      <c r="C3168" s="26" t="s">
        <v>11830</v>
      </c>
      <c r="D3168" s="26" t="s">
        <v>11660</v>
      </c>
      <c r="E3168" s="26" t="s">
        <v>5452</v>
      </c>
      <c r="F3168" s="27">
        <v>6339554</v>
      </c>
      <c r="G3168" s="27">
        <v>1</v>
      </c>
      <c r="H3168" s="27">
        <v>0</v>
      </c>
      <c r="I3168" s="27">
        <v>1</v>
      </c>
      <c r="J3168" s="30">
        <f t="shared" si="147"/>
        <v>1</v>
      </c>
      <c r="K3168" s="30">
        <f t="shared" si="148"/>
        <v>0</v>
      </c>
      <c r="L3168" s="26">
        <f t="shared" si="149"/>
        <v>0</v>
      </c>
      <c r="M3168" s="26"/>
    </row>
    <row r="3169" spans="1:13" ht="15" customHeight="1">
      <c r="A3169" s="25">
        <v>1823746</v>
      </c>
      <c r="B3169" s="26" t="s">
        <v>5423</v>
      </c>
      <c r="C3169" s="26" t="s">
        <v>11831</v>
      </c>
      <c r="D3169" s="26" t="s">
        <v>11832</v>
      </c>
      <c r="E3169" s="26" t="s">
        <v>5504</v>
      </c>
      <c r="F3169" s="27">
        <v>6339881</v>
      </c>
      <c r="G3169" s="27">
        <v>1</v>
      </c>
      <c r="H3169" s="27">
        <v>0</v>
      </c>
      <c r="I3169" s="27">
        <v>1</v>
      </c>
      <c r="J3169" s="30">
        <f t="shared" si="147"/>
        <v>1</v>
      </c>
      <c r="K3169" s="30">
        <f t="shared" si="148"/>
        <v>0</v>
      </c>
      <c r="L3169" s="26">
        <f t="shared" si="149"/>
        <v>0</v>
      </c>
      <c r="M3169" s="26"/>
    </row>
    <row r="3170" spans="1:13" ht="15" customHeight="1">
      <c r="A3170" s="25">
        <v>1823824</v>
      </c>
      <c r="B3170" s="26" t="s">
        <v>5423</v>
      </c>
      <c r="C3170" s="26" t="s">
        <v>11833</v>
      </c>
      <c r="D3170" s="26" t="s">
        <v>11834</v>
      </c>
      <c r="E3170" s="26" t="s">
        <v>5436</v>
      </c>
      <c r="F3170" s="27">
        <v>6340836</v>
      </c>
      <c r="G3170" s="27">
        <v>1</v>
      </c>
      <c r="H3170" s="27">
        <v>0</v>
      </c>
      <c r="I3170" s="27">
        <v>1</v>
      </c>
      <c r="J3170" s="30">
        <f t="shared" si="147"/>
        <v>1</v>
      </c>
      <c r="K3170" s="30">
        <f t="shared" si="148"/>
        <v>0</v>
      </c>
      <c r="L3170" s="26">
        <f t="shared" si="149"/>
        <v>0</v>
      </c>
      <c r="M3170" s="26"/>
    </row>
    <row r="3171" spans="1:13" ht="15" customHeight="1">
      <c r="A3171" s="25">
        <v>1823983</v>
      </c>
      <c r="B3171" s="26" t="s">
        <v>5423</v>
      </c>
      <c r="C3171" s="26" t="s">
        <v>11835</v>
      </c>
      <c r="D3171" s="26" t="s">
        <v>11836</v>
      </c>
      <c r="E3171" s="26" t="s">
        <v>5535</v>
      </c>
      <c r="F3171" s="27">
        <v>6340587</v>
      </c>
      <c r="G3171" s="27">
        <v>1</v>
      </c>
      <c r="H3171" s="27">
        <v>0</v>
      </c>
      <c r="I3171" s="27">
        <v>1</v>
      </c>
      <c r="J3171" s="30">
        <f t="shared" si="147"/>
        <v>1</v>
      </c>
      <c r="K3171" s="30">
        <f t="shared" si="148"/>
        <v>0</v>
      </c>
      <c r="L3171" s="26">
        <f t="shared" si="149"/>
        <v>0</v>
      </c>
      <c r="M3171" s="26"/>
    </row>
    <row r="3172" spans="1:13" ht="15" customHeight="1">
      <c r="A3172" s="25">
        <v>1824301</v>
      </c>
      <c r="B3172" s="26" t="s">
        <v>5427</v>
      </c>
      <c r="C3172" s="26" t="s">
        <v>11837</v>
      </c>
      <c r="D3172" s="26" t="s">
        <v>11838</v>
      </c>
      <c r="E3172" s="26" t="s">
        <v>5532</v>
      </c>
      <c r="F3172" s="27">
        <v>6276059</v>
      </c>
      <c r="G3172" s="27">
        <v>1</v>
      </c>
      <c r="H3172" s="27">
        <v>0</v>
      </c>
      <c r="I3172" s="27">
        <v>1</v>
      </c>
      <c r="J3172" s="30">
        <f t="shared" si="147"/>
        <v>1</v>
      </c>
      <c r="K3172" s="30">
        <f t="shared" si="148"/>
        <v>0</v>
      </c>
      <c r="L3172" s="26">
        <f t="shared" si="149"/>
        <v>0</v>
      </c>
      <c r="M3172" s="26"/>
    </row>
    <row r="3173" spans="1:13" ht="15" customHeight="1">
      <c r="A3173" s="25">
        <v>1824333</v>
      </c>
      <c r="B3173" s="26" t="s">
        <v>5427</v>
      </c>
      <c r="C3173" s="26" t="s">
        <v>11839</v>
      </c>
      <c r="D3173" s="26" t="s">
        <v>11840</v>
      </c>
      <c r="E3173" s="26" t="s">
        <v>5455</v>
      </c>
      <c r="F3173" s="27">
        <v>6341986</v>
      </c>
      <c r="G3173" s="27">
        <v>0</v>
      </c>
      <c r="H3173" s="27">
        <v>1</v>
      </c>
      <c r="I3173" s="27">
        <v>1</v>
      </c>
      <c r="J3173" s="30">
        <f t="shared" si="147"/>
        <v>0</v>
      </c>
      <c r="K3173" s="30">
        <f t="shared" si="148"/>
        <v>1</v>
      </c>
      <c r="L3173" s="26">
        <f t="shared" si="149"/>
        <v>0</v>
      </c>
      <c r="M3173" s="26"/>
    </row>
    <row r="3174" spans="1:13" ht="15" customHeight="1">
      <c r="A3174" s="25">
        <v>1824375</v>
      </c>
      <c r="B3174" s="26" t="s">
        <v>5427</v>
      </c>
      <c r="C3174" s="26" t="s">
        <v>11841</v>
      </c>
      <c r="D3174" s="26" t="s">
        <v>11842</v>
      </c>
      <c r="E3174" s="26" t="s">
        <v>5514</v>
      </c>
      <c r="F3174" s="27">
        <v>6341421</v>
      </c>
      <c r="G3174" s="27">
        <v>1</v>
      </c>
      <c r="H3174" s="27">
        <v>0</v>
      </c>
      <c r="I3174" s="27">
        <v>1</v>
      </c>
      <c r="J3174" s="30">
        <f t="shared" si="147"/>
        <v>1</v>
      </c>
      <c r="K3174" s="30">
        <f t="shared" si="148"/>
        <v>0</v>
      </c>
      <c r="L3174" s="26">
        <f t="shared" si="149"/>
        <v>0</v>
      </c>
      <c r="M3174" s="26"/>
    </row>
    <row r="3175" spans="1:13" ht="15" customHeight="1">
      <c r="A3175" s="25">
        <v>1824508</v>
      </c>
      <c r="B3175" s="26" t="s">
        <v>5423</v>
      </c>
      <c r="C3175" s="26" t="s">
        <v>11843</v>
      </c>
      <c r="D3175" s="26" t="s">
        <v>11818</v>
      </c>
      <c r="E3175" s="26" t="s">
        <v>5968</v>
      </c>
      <c r="F3175" s="27">
        <v>6329498</v>
      </c>
      <c r="G3175" s="27">
        <v>1</v>
      </c>
      <c r="H3175" s="27">
        <v>0</v>
      </c>
      <c r="I3175" s="27">
        <v>1</v>
      </c>
      <c r="J3175" s="30">
        <f t="shared" si="147"/>
        <v>1</v>
      </c>
      <c r="K3175" s="30">
        <f t="shared" si="148"/>
        <v>0</v>
      </c>
      <c r="L3175" s="26">
        <f t="shared" si="149"/>
        <v>0</v>
      </c>
      <c r="M3175" s="26"/>
    </row>
    <row r="3176" spans="1:13" ht="15" customHeight="1">
      <c r="A3176" s="25">
        <v>1824710</v>
      </c>
      <c r="B3176" s="26" t="s">
        <v>5427</v>
      </c>
      <c r="C3176" s="26" t="s">
        <v>11844</v>
      </c>
      <c r="D3176" s="26" t="s">
        <v>11840</v>
      </c>
      <c r="E3176" s="26" t="s">
        <v>5522</v>
      </c>
      <c r="F3176" s="27">
        <v>6342547</v>
      </c>
      <c r="G3176" s="27">
        <v>1</v>
      </c>
      <c r="H3176" s="27">
        <v>0</v>
      </c>
      <c r="I3176" s="27">
        <v>1</v>
      </c>
      <c r="J3176" s="30">
        <f t="shared" si="147"/>
        <v>1</v>
      </c>
      <c r="K3176" s="30">
        <f t="shared" si="148"/>
        <v>0</v>
      </c>
      <c r="L3176" s="26">
        <f t="shared" si="149"/>
        <v>0</v>
      </c>
      <c r="M3176" s="26"/>
    </row>
    <row r="3177" spans="1:13" ht="15" customHeight="1">
      <c r="A3177" s="25">
        <v>1824767</v>
      </c>
      <c r="B3177" s="26" t="s">
        <v>5423</v>
      </c>
      <c r="C3177" s="26" t="s">
        <v>11845</v>
      </c>
      <c r="D3177" s="26" t="s">
        <v>11840</v>
      </c>
      <c r="E3177" s="26" t="s">
        <v>5610</v>
      </c>
      <c r="F3177" s="27">
        <v>6313277</v>
      </c>
      <c r="G3177" s="27">
        <v>1</v>
      </c>
      <c r="H3177" s="27">
        <v>0</v>
      </c>
      <c r="I3177" s="27">
        <v>1</v>
      </c>
      <c r="J3177" s="30">
        <f t="shared" si="147"/>
        <v>1</v>
      </c>
      <c r="K3177" s="30">
        <f t="shared" si="148"/>
        <v>0</v>
      </c>
      <c r="L3177" s="26">
        <f t="shared" si="149"/>
        <v>0</v>
      </c>
      <c r="M3177" s="26" t="s">
        <v>9595</v>
      </c>
    </row>
    <row r="3178" spans="1:13" ht="15" customHeight="1">
      <c r="A3178" s="25">
        <v>1824771</v>
      </c>
      <c r="B3178" s="26" t="s">
        <v>5423</v>
      </c>
      <c r="C3178" s="26" t="s">
        <v>11846</v>
      </c>
      <c r="D3178" s="26" t="s">
        <v>11840</v>
      </c>
      <c r="E3178" s="26" t="s">
        <v>5707</v>
      </c>
      <c r="F3178" s="27">
        <v>6236473</v>
      </c>
      <c r="G3178" s="27">
        <v>1</v>
      </c>
      <c r="H3178" s="27">
        <v>1</v>
      </c>
      <c r="I3178" s="27">
        <v>1</v>
      </c>
      <c r="J3178" s="30">
        <f t="shared" si="147"/>
        <v>1</v>
      </c>
      <c r="K3178" s="30">
        <f t="shared" si="148"/>
        <v>1</v>
      </c>
      <c r="L3178" s="26">
        <f t="shared" si="149"/>
        <v>1</v>
      </c>
      <c r="M3178" s="26"/>
    </row>
    <row r="3179" spans="1:13" ht="15" customHeight="1">
      <c r="A3179" s="25">
        <v>1824854</v>
      </c>
      <c r="B3179" s="26" t="s">
        <v>5423</v>
      </c>
      <c r="C3179" s="26" t="s">
        <v>11847</v>
      </c>
      <c r="D3179" s="26" t="s">
        <v>11848</v>
      </c>
      <c r="E3179" s="26" t="s">
        <v>5488</v>
      </c>
      <c r="F3179" s="27">
        <v>6343149</v>
      </c>
      <c r="G3179" s="27">
        <v>1</v>
      </c>
      <c r="H3179" s="27">
        <v>0</v>
      </c>
      <c r="I3179" s="27">
        <v>1</v>
      </c>
      <c r="J3179" s="30">
        <f t="shared" si="147"/>
        <v>1</v>
      </c>
      <c r="K3179" s="30">
        <f t="shared" si="148"/>
        <v>0</v>
      </c>
      <c r="L3179" s="26">
        <f t="shared" si="149"/>
        <v>0</v>
      </c>
      <c r="M3179" s="26"/>
    </row>
    <row r="3180" spans="1:13" ht="15" customHeight="1">
      <c r="A3180" s="25">
        <v>1824857</v>
      </c>
      <c r="B3180" s="26" t="s">
        <v>5423</v>
      </c>
      <c r="C3180" s="26" t="s">
        <v>11849</v>
      </c>
      <c r="D3180" s="26" t="s">
        <v>11840</v>
      </c>
      <c r="E3180" s="26" t="s">
        <v>5718</v>
      </c>
      <c r="F3180" s="27">
        <v>6312614</v>
      </c>
      <c r="G3180" s="27">
        <v>1</v>
      </c>
      <c r="H3180" s="27">
        <v>0</v>
      </c>
      <c r="I3180" s="27">
        <v>1</v>
      </c>
      <c r="J3180" s="30">
        <f t="shared" si="147"/>
        <v>1</v>
      </c>
      <c r="K3180" s="30">
        <f t="shared" si="148"/>
        <v>0</v>
      </c>
      <c r="L3180" s="26">
        <f t="shared" si="149"/>
        <v>0</v>
      </c>
      <c r="M3180" s="26"/>
    </row>
    <row r="3181" spans="1:13" ht="15" customHeight="1">
      <c r="A3181" s="25">
        <v>1824865</v>
      </c>
      <c r="B3181" s="26" t="s">
        <v>5423</v>
      </c>
      <c r="C3181" s="26" t="s">
        <v>11850</v>
      </c>
      <c r="D3181" s="26" t="s">
        <v>11851</v>
      </c>
      <c r="E3181" s="26" t="s">
        <v>5436</v>
      </c>
      <c r="F3181" s="27">
        <v>6343584</v>
      </c>
      <c r="G3181" s="27">
        <v>0</v>
      </c>
      <c r="H3181" s="27">
        <v>0</v>
      </c>
      <c r="I3181" s="27">
        <v>0</v>
      </c>
      <c r="J3181" s="30">
        <f t="shared" si="147"/>
        <v>0</v>
      </c>
      <c r="K3181" s="30">
        <f t="shared" si="148"/>
        <v>0</v>
      </c>
      <c r="L3181" s="26">
        <f t="shared" si="149"/>
        <v>0</v>
      </c>
      <c r="M3181" s="26">
        <v>0</v>
      </c>
    </row>
    <row r="3182" spans="1:13" ht="15" customHeight="1">
      <c r="A3182" s="25">
        <v>1825201</v>
      </c>
      <c r="B3182" s="26" t="s">
        <v>5423</v>
      </c>
      <c r="C3182" s="26" t="s">
        <v>11852</v>
      </c>
      <c r="D3182" s="26" t="s">
        <v>11853</v>
      </c>
      <c r="E3182" s="26" t="s">
        <v>5763</v>
      </c>
      <c r="F3182" s="27">
        <v>6316140</v>
      </c>
      <c r="G3182" s="27">
        <v>1</v>
      </c>
      <c r="H3182" s="27">
        <v>0</v>
      </c>
      <c r="I3182" s="27">
        <v>1</v>
      </c>
      <c r="J3182" s="30">
        <f t="shared" si="147"/>
        <v>1</v>
      </c>
      <c r="K3182" s="30">
        <f t="shared" si="148"/>
        <v>0</v>
      </c>
      <c r="L3182" s="26">
        <f t="shared" si="149"/>
        <v>0</v>
      </c>
      <c r="M3182" s="26"/>
    </row>
    <row r="3183" spans="1:13" ht="15" customHeight="1">
      <c r="A3183" s="25">
        <v>1825402</v>
      </c>
      <c r="B3183" s="26" t="s">
        <v>5423</v>
      </c>
      <c r="C3183" s="26" t="s">
        <v>11854</v>
      </c>
      <c r="D3183" s="26" t="s">
        <v>11855</v>
      </c>
      <c r="E3183" s="26" t="s">
        <v>5540</v>
      </c>
      <c r="F3183" s="27">
        <v>6344920</v>
      </c>
      <c r="G3183" s="27">
        <v>0</v>
      </c>
      <c r="H3183" s="27">
        <v>0</v>
      </c>
      <c r="I3183" s="27">
        <v>0</v>
      </c>
      <c r="J3183" s="30">
        <f t="shared" si="147"/>
        <v>0</v>
      </c>
      <c r="K3183" s="30">
        <f t="shared" si="148"/>
        <v>0</v>
      </c>
      <c r="L3183" s="26">
        <f t="shared" si="149"/>
        <v>0</v>
      </c>
      <c r="M3183" s="26">
        <v>0</v>
      </c>
    </row>
    <row r="3184" spans="1:13" ht="15" customHeight="1">
      <c r="A3184" s="25">
        <v>1825665</v>
      </c>
      <c r="B3184" s="26" t="s">
        <v>5423</v>
      </c>
      <c r="C3184" s="26" t="s">
        <v>11856</v>
      </c>
      <c r="D3184" s="26" t="s">
        <v>11857</v>
      </c>
      <c r="E3184" s="26" t="s">
        <v>5522</v>
      </c>
      <c r="F3184" s="27">
        <v>6324510</v>
      </c>
      <c r="G3184" s="27">
        <v>1</v>
      </c>
      <c r="H3184" s="27">
        <v>1</v>
      </c>
      <c r="I3184" s="27">
        <v>1</v>
      </c>
      <c r="J3184" s="30">
        <f t="shared" si="147"/>
        <v>1</v>
      </c>
      <c r="K3184" s="30">
        <f t="shared" si="148"/>
        <v>1</v>
      </c>
      <c r="L3184" s="26">
        <f t="shared" si="149"/>
        <v>1</v>
      </c>
      <c r="M3184" s="26"/>
    </row>
    <row r="3185" spans="1:13" ht="15" customHeight="1">
      <c r="A3185" s="25">
        <v>1825778</v>
      </c>
      <c r="B3185" s="26" t="s">
        <v>5423</v>
      </c>
      <c r="C3185" s="26" t="s">
        <v>11858</v>
      </c>
      <c r="D3185" s="26" t="s">
        <v>11857</v>
      </c>
      <c r="E3185" s="26" t="s">
        <v>5439</v>
      </c>
      <c r="F3185" s="27">
        <v>6332192</v>
      </c>
      <c r="G3185" s="27">
        <v>1</v>
      </c>
      <c r="H3185" s="27">
        <v>0</v>
      </c>
      <c r="I3185" s="27">
        <v>1</v>
      </c>
      <c r="J3185" s="30">
        <f t="shared" si="147"/>
        <v>1</v>
      </c>
      <c r="K3185" s="30">
        <f t="shared" si="148"/>
        <v>0</v>
      </c>
      <c r="L3185" s="26">
        <f t="shared" si="149"/>
        <v>0</v>
      </c>
      <c r="M3185" s="26"/>
    </row>
    <row r="3186" spans="1:13" ht="15" customHeight="1">
      <c r="A3186" s="25">
        <v>1825881</v>
      </c>
      <c r="B3186" s="26" t="s">
        <v>5423</v>
      </c>
      <c r="C3186" s="26" t="s">
        <v>11859</v>
      </c>
      <c r="D3186" s="26" t="s">
        <v>11860</v>
      </c>
      <c r="E3186" s="26" t="s">
        <v>5426</v>
      </c>
      <c r="F3186" s="27">
        <v>6345978</v>
      </c>
      <c r="G3186" s="27">
        <v>1</v>
      </c>
      <c r="H3186" s="27">
        <v>0</v>
      </c>
      <c r="I3186" s="27">
        <v>1</v>
      </c>
      <c r="J3186" s="30">
        <f t="shared" si="147"/>
        <v>1</v>
      </c>
      <c r="K3186" s="30">
        <f t="shared" si="148"/>
        <v>0</v>
      </c>
      <c r="L3186" s="26">
        <f t="shared" si="149"/>
        <v>0</v>
      </c>
      <c r="M3186" s="26"/>
    </row>
    <row r="3187" spans="1:13" ht="15" customHeight="1">
      <c r="A3187" s="25">
        <v>1825905</v>
      </c>
      <c r="B3187" s="26" t="s">
        <v>5423</v>
      </c>
      <c r="C3187" s="26" t="s">
        <v>11861</v>
      </c>
      <c r="D3187" s="26" t="s">
        <v>11862</v>
      </c>
      <c r="E3187" s="26" t="s">
        <v>5447</v>
      </c>
      <c r="F3187" s="27">
        <v>6345926</v>
      </c>
      <c r="G3187" s="27">
        <v>1</v>
      </c>
      <c r="H3187" s="27">
        <v>0</v>
      </c>
      <c r="I3187" s="27">
        <v>1</v>
      </c>
      <c r="J3187" s="30">
        <f t="shared" si="147"/>
        <v>1</v>
      </c>
      <c r="K3187" s="30">
        <f t="shared" si="148"/>
        <v>0</v>
      </c>
      <c r="L3187" s="26">
        <f t="shared" si="149"/>
        <v>0</v>
      </c>
      <c r="M3187" s="26"/>
    </row>
    <row r="3188" spans="1:13" ht="15" customHeight="1">
      <c r="A3188" s="25">
        <v>1825921</v>
      </c>
      <c r="B3188" s="26" t="s">
        <v>5423</v>
      </c>
      <c r="C3188" s="26" t="s">
        <v>11863</v>
      </c>
      <c r="D3188" s="26" t="s">
        <v>11855</v>
      </c>
      <c r="E3188" s="26" t="s">
        <v>5439</v>
      </c>
      <c r="F3188" s="27">
        <v>6345755</v>
      </c>
      <c r="G3188" s="27">
        <v>1</v>
      </c>
      <c r="H3188" s="27">
        <v>1</v>
      </c>
      <c r="I3188" s="27">
        <v>1</v>
      </c>
      <c r="J3188" s="30">
        <f t="shared" si="147"/>
        <v>1</v>
      </c>
      <c r="K3188" s="30">
        <f t="shared" si="148"/>
        <v>1</v>
      </c>
      <c r="L3188" s="26">
        <f t="shared" si="149"/>
        <v>1</v>
      </c>
      <c r="M3188" s="26"/>
    </row>
    <row r="3189" spans="1:13" ht="15" customHeight="1">
      <c r="A3189" s="25">
        <v>1825939</v>
      </c>
      <c r="B3189" s="26" t="s">
        <v>5423</v>
      </c>
      <c r="C3189" s="26" t="s">
        <v>11864</v>
      </c>
      <c r="D3189" s="26" t="s">
        <v>11865</v>
      </c>
      <c r="E3189" s="26" t="s">
        <v>5586</v>
      </c>
      <c r="F3189" s="27">
        <v>6271118</v>
      </c>
      <c r="G3189" s="27">
        <v>1</v>
      </c>
      <c r="H3189" s="27">
        <v>0</v>
      </c>
      <c r="I3189" s="27">
        <v>1</v>
      </c>
      <c r="J3189" s="30">
        <f t="shared" si="147"/>
        <v>1</v>
      </c>
      <c r="K3189" s="30">
        <f t="shared" si="148"/>
        <v>0</v>
      </c>
      <c r="L3189" s="26">
        <f t="shared" si="149"/>
        <v>0</v>
      </c>
      <c r="M3189" s="26"/>
    </row>
    <row r="3190" spans="1:13" ht="15" customHeight="1">
      <c r="A3190" s="25">
        <v>1825965</v>
      </c>
      <c r="B3190" s="26" t="s">
        <v>5427</v>
      </c>
      <c r="C3190" s="26" t="s">
        <v>11866</v>
      </c>
      <c r="D3190" s="26" t="s">
        <v>11855</v>
      </c>
      <c r="E3190" s="26" t="s">
        <v>5550</v>
      </c>
      <c r="F3190" s="27">
        <v>4171836</v>
      </c>
      <c r="G3190" s="27">
        <v>0</v>
      </c>
      <c r="H3190" s="27">
        <v>0</v>
      </c>
      <c r="I3190" s="27">
        <v>0</v>
      </c>
      <c r="J3190" s="30">
        <f t="shared" si="147"/>
        <v>0</v>
      </c>
      <c r="K3190" s="30">
        <f t="shared" si="148"/>
        <v>0</v>
      </c>
      <c r="L3190" s="26">
        <f t="shared" si="149"/>
        <v>0</v>
      </c>
      <c r="M3190" s="26" t="s">
        <v>5567</v>
      </c>
    </row>
    <row r="3191" spans="1:13" ht="15" customHeight="1">
      <c r="A3191" s="25">
        <v>1825970</v>
      </c>
      <c r="B3191" s="26" t="s">
        <v>5423</v>
      </c>
      <c r="C3191" s="26" t="s">
        <v>11867</v>
      </c>
      <c r="D3191" s="26" t="s">
        <v>11840</v>
      </c>
      <c r="E3191" s="26" t="s">
        <v>5491</v>
      </c>
      <c r="F3191" s="27"/>
      <c r="G3191" s="27">
        <v>0</v>
      </c>
      <c r="H3191" s="27">
        <v>0</v>
      </c>
      <c r="I3191" s="27">
        <v>0</v>
      </c>
      <c r="J3191" s="30">
        <f t="shared" si="147"/>
        <v>0</v>
      </c>
      <c r="K3191" s="30">
        <f t="shared" si="148"/>
        <v>0</v>
      </c>
      <c r="L3191" s="26">
        <f t="shared" si="149"/>
        <v>0</v>
      </c>
      <c r="M3191" s="26" t="s">
        <v>5557</v>
      </c>
    </row>
    <row r="3192" spans="1:13" ht="15" customHeight="1">
      <c r="A3192" s="25" t="s">
        <v>11868</v>
      </c>
      <c r="B3192" s="26" t="s">
        <v>5423</v>
      </c>
      <c r="C3192" s="26" t="s">
        <v>11869</v>
      </c>
      <c r="D3192" s="26" t="s">
        <v>11870</v>
      </c>
      <c r="E3192" s="26" t="s">
        <v>5475</v>
      </c>
      <c r="F3192" s="27">
        <v>6345776</v>
      </c>
      <c r="G3192" s="27">
        <v>1</v>
      </c>
      <c r="H3192" s="27">
        <v>1</v>
      </c>
      <c r="I3192" s="27">
        <v>1</v>
      </c>
      <c r="J3192" s="30">
        <f t="shared" si="147"/>
        <v>1</v>
      </c>
      <c r="K3192" s="30">
        <f t="shared" si="148"/>
        <v>1</v>
      </c>
      <c r="L3192" s="26">
        <f t="shared" si="149"/>
        <v>1</v>
      </c>
      <c r="M3192" s="26"/>
    </row>
    <row r="3193" spans="1:13" ht="15" customHeight="1">
      <c r="A3193" s="25" t="s">
        <v>11871</v>
      </c>
      <c r="B3193" s="26" t="s">
        <v>5423</v>
      </c>
      <c r="C3193" s="26" t="s">
        <v>11872</v>
      </c>
      <c r="D3193" s="26" t="s">
        <v>11853</v>
      </c>
      <c r="E3193" s="26" t="s">
        <v>5463</v>
      </c>
      <c r="F3193" s="27">
        <v>6082697</v>
      </c>
      <c r="G3193" s="27">
        <v>0</v>
      </c>
      <c r="H3193" s="27">
        <v>0</v>
      </c>
      <c r="I3193" s="27">
        <v>0</v>
      </c>
      <c r="J3193" s="30">
        <f t="shared" si="147"/>
        <v>0</v>
      </c>
      <c r="K3193" s="30">
        <f t="shared" si="148"/>
        <v>0</v>
      </c>
      <c r="L3193" s="26">
        <f t="shared" si="149"/>
        <v>0</v>
      </c>
      <c r="M3193" s="26" t="s">
        <v>8147</v>
      </c>
    </row>
    <row r="3194" spans="1:13" ht="15" customHeight="1">
      <c r="A3194" s="25" t="s">
        <v>11873</v>
      </c>
      <c r="B3194" s="26" t="s">
        <v>5423</v>
      </c>
      <c r="C3194" s="26" t="s">
        <v>11874</v>
      </c>
      <c r="D3194" s="26" t="s">
        <v>11855</v>
      </c>
      <c r="E3194" s="26" t="s">
        <v>5430</v>
      </c>
      <c r="F3194" s="27">
        <v>6323298</v>
      </c>
      <c r="G3194" s="27">
        <v>1</v>
      </c>
      <c r="H3194" s="27">
        <v>0</v>
      </c>
      <c r="I3194" s="27">
        <v>1</v>
      </c>
      <c r="J3194" s="30">
        <f t="shared" si="147"/>
        <v>1</v>
      </c>
      <c r="K3194" s="30">
        <f t="shared" si="148"/>
        <v>0</v>
      </c>
      <c r="L3194" s="26">
        <f t="shared" si="149"/>
        <v>0</v>
      </c>
      <c r="M3194" s="26"/>
    </row>
    <row r="3195" spans="1:13" ht="15" customHeight="1">
      <c r="A3195" s="25" t="s">
        <v>11875</v>
      </c>
      <c r="B3195" s="26" t="s">
        <v>5423</v>
      </c>
      <c r="C3195" s="26" t="s">
        <v>11876</v>
      </c>
      <c r="D3195" s="26" t="s">
        <v>11855</v>
      </c>
      <c r="E3195" s="26" t="s">
        <v>5463</v>
      </c>
      <c r="F3195" s="27">
        <v>6337595</v>
      </c>
      <c r="G3195" s="27">
        <v>1</v>
      </c>
      <c r="H3195" s="27">
        <v>0</v>
      </c>
      <c r="I3195" s="27">
        <v>1</v>
      </c>
      <c r="J3195" s="30">
        <f t="shared" si="147"/>
        <v>1</v>
      </c>
      <c r="K3195" s="30">
        <f t="shared" si="148"/>
        <v>0</v>
      </c>
      <c r="L3195" s="26">
        <f t="shared" si="149"/>
        <v>0</v>
      </c>
      <c r="M3195" s="26"/>
    </row>
    <row r="3196" spans="1:13" ht="15" customHeight="1">
      <c r="A3196" s="25" t="s">
        <v>11877</v>
      </c>
      <c r="B3196" s="26" t="s">
        <v>5423</v>
      </c>
      <c r="C3196" s="26" t="s">
        <v>11878</v>
      </c>
      <c r="D3196" s="26" t="s">
        <v>11870</v>
      </c>
      <c r="E3196" s="26" t="s">
        <v>5610</v>
      </c>
      <c r="F3196" s="27">
        <v>6298740</v>
      </c>
      <c r="G3196" s="27">
        <v>1</v>
      </c>
      <c r="H3196" s="27">
        <v>0</v>
      </c>
      <c r="I3196" s="27">
        <v>1</v>
      </c>
      <c r="J3196" s="30">
        <f t="shared" si="147"/>
        <v>1</v>
      </c>
      <c r="K3196" s="30">
        <f t="shared" si="148"/>
        <v>0</v>
      </c>
      <c r="L3196" s="26">
        <f t="shared" si="149"/>
        <v>0</v>
      </c>
      <c r="M3196" s="26"/>
    </row>
    <row r="3197" spans="1:13" ht="15" customHeight="1">
      <c r="A3197" s="25" t="s">
        <v>11879</v>
      </c>
      <c r="B3197" s="26" t="s">
        <v>5423</v>
      </c>
      <c r="C3197" s="26" t="s">
        <v>11880</v>
      </c>
      <c r="D3197" s="26" t="s">
        <v>11881</v>
      </c>
      <c r="E3197" s="26" t="s">
        <v>5452</v>
      </c>
      <c r="F3197" s="27">
        <v>6352398</v>
      </c>
      <c r="G3197" s="27">
        <v>0</v>
      </c>
      <c r="H3197" s="27">
        <v>0</v>
      </c>
      <c r="I3197" s="27">
        <v>0</v>
      </c>
      <c r="J3197" s="30">
        <f t="shared" si="147"/>
        <v>0</v>
      </c>
      <c r="K3197" s="30">
        <f t="shared" si="148"/>
        <v>0</v>
      </c>
      <c r="L3197" s="26">
        <f t="shared" si="149"/>
        <v>0</v>
      </c>
      <c r="M3197" s="26">
        <v>0</v>
      </c>
    </row>
    <row r="3198" spans="1:13" ht="15" customHeight="1">
      <c r="A3198" s="25" t="s">
        <v>11882</v>
      </c>
      <c r="B3198" s="26" t="s">
        <v>5423</v>
      </c>
      <c r="C3198" s="26" t="s">
        <v>11883</v>
      </c>
      <c r="D3198" s="26" t="s">
        <v>11884</v>
      </c>
      <c r="E3198" s="26" t="s">
        <v>5463</v>
      </c>
      <c r="F3198" s="27">
        <v>6347379</v>
      </c>
      <c r="G3198" s="27">
        <v>1</v>
      </c>
      <c r="H3198" s="27">
        <v>0</v>
      </c>
      <c r="I3198" s="27">
        <v>1</v>
      </c>
      <c r="J3198" s="30">
        <f t="shared" si="147"/>
        <v>1</v>
      </c>
      <c r="K3198" s="30">
        <f t="shared" si="148"/>
        <v>0</v>
      </c>
      <c r="L3198" s="26">
        <f t="shared" si="149"/>
        <v>0</v>
      </c>
      <c r="M3198" s="26"/>
    </row>
    <row r="3199" spans="1:13" ht="15" customHeight="1">
      <c r="A3199" s="25" t="s">
        <v>11885</v>
      </c>
      <c r="B3199" s="26" t="s">
        <v>5423</v>
      </c>
      <c r="C3199" s="26" t="s">
        <v>11886</v>
      </c>
      <c r="D3199" s="26" t="s">
        <v>11887</v>
      </c>
      <c r="E3199" s="26" t="s">
        <v>5603</v>
      </c>
      <c r="F3199" s="27">
        <v>6347910</v>
      </c>
      <c r="G3199" s="27">
        <v>1</v>
      </c>
      <c r="H3199" s="27">
        <v>0</v>
      </c>
      <c r="I3199" s="27">
        <v>1</v>
      </c>
      <c r="J3199" s="30">
        <f t="shared" si="147"/>
        <v>1</v>
      </c>
      <c r="K3199" s="30">
        <f t="shared" si="148"/>
        <v>0</v>
      </c>
      <c r="L3199" s="26">
        <f t="shared" si="149"/>
        <v>0</v>
      </c>
      <c r="M3199" s="26"/>
    </row>
    <row r="3200" spans="1:13" ht="15" customHeight="1">
      <c r="A3200" s="25" t="s">
        <v>11888</v>
      </c>
      <c r="B3200" s="26" t="s">
        <v>5423</v>
      </c>
      <c r="C3200" s="26" t="s">
        <v>11889</v>
      </c>
      <c r="D3200" s="26" t="s">
        <v>11890</v>
      </c>
      <c r="E3200" s="26" t="s">
        <v>5458</v>
      </c>
      <c r="F3200" s="27">
        <v>6348416</v>
      </c>
      <c r="G3200" s="27">
        <v>1</v>
      </c>
      <c r="H3200" s="27">
        <v>0</v>
      </c>
      <c r="I3200" s="27">
        <v>1</v>
      </c>
      <c r="J3200" s="30">
        <f t="shared" si="147"/>
        <v>1</v>
      </c>
      <c r="K3200" s="30">
        <f t="shared" si="148"/>
        <v>0</v>
      </c>
      <c r="L3200" s="26">
        <f t="shared" si="149"/>
        <v>0</v>
      </c>
      <c r="M3200" s="26"/>
    </row>
    <row r="3201" spans="1:13" ht="15" customHeight="1">
      <c r="A3201" s="25" t="s">
        <v>11891</v>
      </c>
      <c r="B3201" s="26" t="s">
        <v>5423</v>
      </c>
      <c r="C3201" s="26" t="s">
        <v>11892</v>
      </c>
      <c r="D3201" s="26" t="s">
        <v>11893</v>
      </c>
      <c r="E3201" s="26" t="s">
        <v>5504</v>
      </c>
      <c r="F3201" s="27">
        <v>6349184</v>
      </c>
      <c r="G3201" s="27">
        <v>1</v>
      </c>
      <c r="H3201" s="27">
        <v>1</v>
      </c>
      <c r="I3201" s="27">
        <v>1</v>
      </c>
      <c r="J3201" s="30">
        <f t="shared" si="147"/>
        <v>1</v>
      </c>
      <c r="K3201" s="30">
        <f t="shared" si="148"/>
        <v>1</v>
      </c>
      <c r="L3201" s="26">
        <f t="shared" si="149"/>
        <v>1</v>
      </c>
      <c r="M3201" s="26"/>
    </row>
    <row r="3202" spans="1:13" ht="15" customHeight="1">
      <c r="A3202" s="25" t="s">
        <v>11894</v>
      </c>
      <c r="B3202" s="26" t="s">
        <v>5427</v>
      </c>
      <c r="C3202" s="26" t="s">
        <v>11895</v>
      </c>
      <c r="D3202" s="26" t="s">
        <v>11896</v>
      </c>
      <c r="E3202" s="26" t="s">
        <v>5535</v>
      </c>
      <c r="F3202" s="27">
        <v>5319978</v>
      </c>
      <c r="G3202" s="27">
        <v>0</v>
      </c>
      <c r="H3202" s="27">
        <v>0</v>
      </c>
      <c r="I3202" s="27">
        <v>0</v>
      </c>
      <c r="J3202" s="30">
        <f t="shared" ref="J3202:J3265" si="150">IF(G3202&gt;0,1,0)</f>
        <v>0</v>
      </c>
      <c r="K3202" s="30">
        <f t="shared" ref="K3202:K3265" si="151">IF(H3202&gt;0,1,0)</f>
        <v>0</v>
      </c>
      <c r="L3202" s="26">
        <f t="shared" ref="L3202:L3265" si="152">IF(G3202&gt;0,IF(H3202&gt;0,1,0),0)</f>
        <v>0</v>
      </c>
      <c r="M3202" s="26" t="s">
        <v>5557</v>
      </c>
    </row>
    <row r="3203" spans="1:13" ht="15" customHeight="1">
      <c r="A3203" s="25" t="s">
        <v>11897</v>
      </c>
      <c r="B3203" s="26" t="s">
        <v>5427</v>
      </c>
      <c r="C3203" s="26" t="s">
        <v>11898</v>
      </c>
      <c r="D3203" s="26" t="s">
        <v>11893</v>
      </c>
      <c r="E3203" s="26" t="s">
        <v>5575</v>
      </c>
      <c r="F3203" s="27">
        <v>6350276</v>
      </c>
      <c r="G3203" s="27">
        <v>1</v>
      </c>
      <c r="H3203" s="27">
        <v>0</v>
      </c>
      <c r="I3203" s="27">
        <v>1</v>
      </c>
      <c r="J3203" s="30">
        <f t="shared" si="150"/>
        <v>1</v>
      </c>
      <c r="K3203" s="30">
        <f t="shared" si="151"/>
        <v>0</v>
      </c>
      <c r="L3203" s="26">
        <f t="shared" si="152"/>
        <v>0</v>
      </c>
      <c r="M3203" s="26" t="s">
        <v>8126</v>
      </c>
    </row>
    <row r="3204" spans="1:13" ht="15" customHeight="1">
      <c r="A3204" s="25" t="s">
        <v>11899</v>
      </c>
      <c r="B3204" s="26" t="s">
        <v>5423</v>
      </c>
      <c r="C3204" s="26" t="s">
        <v>11900</v>
      </c>
      <c r="D3204" s="26" t="s">
        <v>11901</v>
      </c>
      <c r="E3204" s="26" t="s">
        <v>7387</v>
      </c>
      <c r="F3204" s="27">
        <v>6350985</v>
      </c>
      <c r="G3204" s="27">
        <v>0</v>
      </c>
      <c r="H3204" s="27">
        <v>0</v>
      </c>
      <c r="I3204" s="27">
        <v>0</v>
      </c>
      <c r="J3204" s="30">
        <f t="shared" si="150"/>
        <v>0</v>
      </c>
      <c r="K3204" s="30">
        <f t="shared" si="151"/>
        <v>0</v>
      </c>
      <c r="L3204" s="26">
        <f t="shared" si="152"/>
        <v>0</v>
      </c>
      <c r="M3204" s="26">
        <v>0</v>
      </c>
    </row>
    <row r="3205" spans="1:13" ht="15" customHeight="1">
      <c r="A3205" s="25" t="s">
        <v>11902</v>
      </c>
      <c r="B3205" s="26" t="s">
        <v>5427</v>
      </c>
      <c r="C3205" s="26" t="s">
        <v>11903</v>
      </c>
      <c r="D3205" s="26" t="s">
        <v>11901</v>
      </c>
      <c r="E3205" s="26" t="s">
        <v>5452</v>
      </c>
      <c r="F3205" s="27">
        <v>6314754</v>
      </c>
      <c r="G3205" s="27">
        <v>1</v>
      </c>
      <c r="H3205" s="27">
        <v>0</v>
      </c>
      <c r="I3205" s="27">
        <v>1</v>
      </c>
      <c r="J3205" s="30">
        <f t="shared" si="150"/>
        <v>1</v>
      </c>
      <c r="K3205" s="30">
        <f t="shared" si="151"/>
        <v>0</v>
      </c>
      <c r="L3205" s="26">
        <f t="shared" si="152"/>
        <v>0</v>
      </c>
      <c r="M3205" s="26"/>
    </row>
    <row r="3206" spans="1:13" ht="15" customHeight="1">
      <c r="A3206" s="25" t="s">
        <v>11904</v>
      </c>
      <c r="B3206" s="26" t="s">
        <v>5423</v>
      </c>
      <c r="C3206" s="26" t="s">
        <v>11905</v>
      </c>
      <c r="D3206" s="26" t="s">
        <v>11906</v>
      </c>
      <c r="E3206" s="26" t="s">
        <v>5504</v>
      </c>
      <c r="F3206" s="27">
        <v>6350257</v>
      </c>
      <c r="G3206" s="27">
        <v>0</v>
      </c>
      <c r="H3206" s="27">
        <v>1</v>
      </c>
      <c r="I3206" s="27">
        <v>1</v>
      </c>
      <c r="J3206" s="30">
        <f t="shared" si="150"/>
        <v>0</v>
      </c>
      <c r="K3206" s="30">
        <f t="shared" si="151"/>
        <v>1</v>
      </c>
      <c r="L3206" s="26">
        <f t="shared" si="152"/>
        <v>0</v>
      </c>
      <c r="M3206" s="26"/>
    </row>
    <row r="3207" spans="1:13" ht="15" customHeight="1">
      <c r="A3207" s="25" t="s">
        <v>11907</v>
      </c>
      <c r="B3207" s="26" t="s">
        <v>5423</v>
      </c>
      <c r="C3207" s="26" t="s">
        <v>11908</v>
      </c>
      <c r="D3207" s="26" t="s">
        <v>11906</v>
      </c>
      <c r="E3207" s="26" t="s">
        <v>5426</v>
      </c>
      <c r="F3207" s="27">
        <v>6350857</v>
      </c>
      <c r="G3207" s="27">
        <v>0</v>
      </c>
      <c r="H3207" s="27">
        <v>0</v>
      </c>
      <c r="I3207" s="27">
        <v>0</v>
      </c>
      <c r="J3207" s="30">
        <f t="shared" si="150"/>
        <v>0</v>
      </c>
      <c r="K3207" s="30">
        <f t="shared" si="151"/>
        <v>0</v>
      </c>
      <c r="L3207" s="26">
        <f t="shared" si="152"/>
        <v>0</v>
      </c>
      <c r="M3207" s="26">
        <v>0</v>
      </c>
    </row>
    <row r="3208" spans="1:13" ht="15" customHeight="1">
      <c r="A3208" s="25" t="s">
        <v>11909</v>
      </c>
      <c r="B3208" s="26" t="s">
        <v>5423</v>
      </c>
      <c r="C3208" s="26" t="s">
        <v>11910</v>
      </c>
      <c r="D3208" s="26" t="s">
        <v>11906</v>
      </c>
      <c r="E3208" s="26" t="s">
        <v>5968</v>
      </c>
      <c r="F3208" s="27">
        <v>6350569</v>
      </c>
      <c r="G3208" s="27">
        <v>1</v>
      </c>
      <c r="H3208" s="27">
        <v>0</v>
      </c>
      <c r="I3208" s="27">
        <v>1</v>
      </c>
      <c r="J3208" s="30">
        <f t="shared" si="150"/>
        <v>1</v>
      </c>
      <c r="K3208" s="30">
        <f t="shared" si="151"/>
        <v>0</v>
      </c>
      <c r="L3208" s="26">
        <f t="shared" si="152"/>
        <v>0</v>
      </c>
      <c r="M3208" s="26" t="s">
        <v>8209</v>
      </c>
    </row>
    <row r="3209" spans="1:13" ht="15" customHeight="1">
      <c r="A3209" s="25" t="s">
        <v>11911</v>
      </c>
      <c r="B3209" s="26" t="s">
        <v>5423</v>
      </c>
      <c r="C3209" s="26" t="s">
        <v>11912</v>
      </c>
      <c r="D3209" s="26" t="s">
        <v>11901</v>
      </c>
      <c r="E3209" s="26" t="s">
        <v>5439</v>
      </c>
      <c r="F3209" s="27">
        <v>6332886</v>
      </c>
      <c r="G3209" s="27">
        <v>1</v>
      </c>
      <c r="H3209" s="27">
        <v>0</v>
      </c>
      <c r="I3209" s="27">
        <v>1</v>
      </c>
      <c r="J3209" s="30">
        <f t="shared" si="150"/>
        <v>1</v>
      </c>
      <c r="K3209" s="30">
        <f t="shared" si="151"/>
        <v>0</v>
      </c>
      <c r="L3209" s="26">
        <f t="shared" si="152"/>
        <v>0</v>
      </c>
      <c r="M3209" s="26" t="s">
        <v>9595</v>
      </c>
    </row>
    <row r="3210" spans="1:13" ht="15" customHeight="1">
      <c r="A3210" s="25" t="s">
        <v>11913</v>
      </c>
      <c r="B3210" s="26" t="s">
        <v>5427</v>
      </c>
      <c r="C3210" s="26" t="s">
        <v>11914</v>
      </c>
      <c r="D3210" s="26" t="s">
        <v>11853</v>
      </c>
      <c r="E3210" s="26" t="s">
        <v>5488</v>
      </c>
      <c r="F3210" s="27">
        <v>5942369</v>
      </c>
      <c r="G3210" s="27">
        <v>1</v>
      </c>
      <c r="H3210" s="27">
        <v>0</v>
      </c>
      <c r="I3210" s="27">
        <v>1</v>
      </c>
      <c r="J3210" s="30">
        <f t="shared" si="150"/>
        <v>1</v>
      </c>
      <c r="K3210" s="30">
        <f t="shared" si="151"/>
        <v>0</v>
      </c>
      <c r="L3210" s="26">
        <f t="shared" si="152"/>
        <v>0</v>
      </c>
      <c r="M3210" s="26"/>
    </row>
    <row r="3211" spans="1:13" ht="15" customHeight="1">
      <c r="A3211" s="25" t="s">
        <v>11915</v>
      </c>
      <c r="B3211" s="26" t="s">
        <v>5423</v>
      </c>
      <c r="C3211" s="26" t="s">
        <v>11916</v>
      </c>
      <c r="D3211" s="26" t="s">
        <v>11853</v>
      </c>
      <c r="E3211" s="26" t="s">
        <v>5433</v>
      </c>
      <c r="F3211" s="27">
        <v>6236168</v>
      </c>
      <c r="G3211" s="27">
        <v>0</v>
      </c>
      <c r="H3211" s="27">
        <v>0</v>
      </c>
      <c r="I3211" s="27">
        <v>0</v>
      </c>
      <c r="J3211" s="30">
        <f t="shared" si="150"/>
        <v>0</v>
      </c>
      <c r="K3211" s="30">
        <f t="shared" si="151"/>
        <v>0</v>
      </c>
      <c r="L3211" s="26">
        <f t="shared" si="152"/>
        <v>0</v>
      </c>
      <c r="M3211" s="26">
        <v>0</v>
      </c>
    </row>
    <row r="3212" spans="1:13" ht="15" customHeight="1">
      <c r="A3212" s="25" t="s">
        <v>11917</v>
      </c>
      <c r="B3212" s="26" t="s">
        <v>5423</v>
      </c>
      <c r="C3212" s="26" t="s">
        <v>11918</v>
      </c>
      <c r="D3212" s="26" t="s">
        <v>11853</v>
      </c>
      <c r="E3212" s="26" t="s">
        <v>5491</v>
      </c>
      <c r="F3212" s="27">
        <v>6329986</v>
      </c>
      <c r="G3212" s="27">
        <v>0</v>
      </c>
      <c r="H3212" s="27">
        <v>0</v>
      </c>
      <c r="I3212" s="27">
        <v>0</v>
      </c>
      <c r="J3212" s="30">
        <f t="shared" si="150"/>
        <v>0</v>
      </c>
      <c r="K3212" s="30">
        <f t="shared" si="151"/>
        <v>0</v>
      </c>
      <c r="L3212" s="26">
        <f t="shared" si="152"/>
        <v>0</v>
      </c>
      <c r="M3212" s="26">
        <v>0</v>
      </c>
    </row>
    <row r="3213" spans="1:13" ht="15" customHeight="1">
      <c r="A3213" s="25" t="s">
        <v>11919</v>
      </c>
      <c r="B3213" s="26" t="s">
        <v>5423</v>
      </c>
      <c r="C3213" s="26" t="s">
        <v>11920</v>
      </c>
      <c r="D3213" s="26" t="s">
        <v>11893</v>
      </c>
      <c r="E3213" s="26" t="s">
        <v>5452</v>
      </c>
      <c r="F3213" s="27">
        <v>6352398</v>
      </c>
      <c r="G3213" s="27">
        <v>0</v>
      </c>
      <c r="H3213" s="27">
        <v>0</v>
      </c>
      <c r="I3213" s="27">
        <v>0</v>
      </c>
      <c r="J3213" s="30">
        <f t="shared" si="150"/>
        <v>0</v>
      </c>
      <c r="K3213" s="30">
        <f t="shared" si="151"/>
        <v>0</v>
      </c>
      <c r="L3213" s="26">
        <f t="shared" si="152"/>
        <v>0</v>
      </c>
      <c r="M3213" s="26">
        <v>0</v>
      </c>
    </row>
    <row r="3214" spans="1:13" ht="15" customHeight="1">
      <c r="A3214" s="25" t="s">
        <v>11921</v>
      </c>
      <c r="B3214" s="26" t="s">
        <v>5427</v>
      </c>
      <c r="C3214" s="26" t="s">
        <v>11922</v>
      </c>
      <c r="D3214" s="26" t="s">
        <v>11906</v>
      </c>
      <c r="E3214" s="26" t="s">
        <v>5707</v>
      </c>
      <c r="F3214" s="27">
        <v>6331983</v>
      </c>
      <c r="G3214" s="27">
        <v>1</v>
      </c>
      <c r="H3214" s="27">
        <v>0</v>
      </c>
      <c r="I3214" s="27">
        <v>1</v>
      </c>
      <c r="J3214" s="30">
        <f t="shared" si="150"/>
        <v>1</v>
      </c>
      <c r="K3214" s="30">
        <f t="shared" si="151"/>
        <v>0</v>
      </c>
      <c r="L3214" s="26">
        <f t="shared" si="152"/>
        <v>0</v>
      </c>
      <c r="M3214" s="26"/>
    </row>
    <row r="3215" spans="1:13" ht="15" customHeight="1">
      <c r="A3215" s="25" t="s">
        <v>11923</v>
      </c>
      <c r="B3215" s="26" t="s">
        <v>5423</v>
      </c>
      <c r="C3215" s="26" t="s">
        <v>11924</v>
      </c>
      <c r="D3215" s="26" t="s">
        <v>11884</v>
      </c>
      <c r="E3215" s="26" t="s">
        <v>5468</v>
      </c>
      <c r="F3215" s="27">
        <v>6351658</v>
      </c>
      <c r="G3215" s="27">
        <v>0</v>
      </c>
      <c r="H3215" s="27">
        <v>0</v>
      </c>
      <c r="I3215" s="27">
        <v>0</v>
      </c>
      <c r="J3215" s="30">
        <f t="shared" si="150"/>
        <v>0</v>
      </c>
      <c r="K3215" s="30">
        <f t="shared" si="151"/>
        <v>0</v>
      </c>
      <c r="L3215" s="26">
        <f t="shared" si="152"/>
        <v>0</v>
      </c>
      <c r="M3215" s="26">
        <v>0</v>
      </c>
    </row>
    <row r="3216" spans="1:13" ht="15" customHeight="1">
      <c r="A3216" s="25" t="s">
        <v>11925</v>
      </c>
      <c r="B3216" s="26" t="s">
        <v>5423</v>
      </c>
      <c r="C3216" s="26" t="s">
        <v>11926</v>
      </c>
      <c r="D3216" s="26" t="s">
        <v>11884</v>
      </c>
      <c r="E3216" s="26" t="s">
        <v>5514</v>
      </c>
      <c r="F3216" s="27">
        <v>6352811</v>
      </c>
      <c r="G3216" s="27">
        <v>0</v>
      </c>
      <c r="H3216" s="27">
        <v>0</v>
      </c>
      <c r="I3216" s="27">
        <v>0</v>
      </c>
      <c r="J3216" s="30">
        <f t="shared" si="150"/>
        <v>0</v>
      </c>
      <c r="K3216" s="30">
        <f t="shared" si="151"/>
        <v>0</v>
      </c>
      <c r="L3216" s="26">
        <f t="shared" si="152"/>
        <v>0</v>
      </c>
      <c r="M3216" s="26">
        <v>0</v>
      </c>
    </row>
    <row r="3217" spans="1:13" ht="15" customHeight="1">
      <c r="A3217" s="25" t="s">
        <v>11927</v>
      </c>
      <c r="B3217" s="26" t="s">
        <v>5423</v>
      </c>
      <c r="C3217" s="26" t="s">
        <v>11928</v>
      </c>
      <c r="D3217" s="26" t="s">
        <v>11884</v>
      </c>
      <c r="E3217" s="26" t="s">
        <v>5447</v>
      </c>
      <c r="F3217" s="27">
        <v>6352975</v>
      </c>
      <c r="G3217" s="27">
        <v>1</v>
      </c>
      <c r="H3217" s="27">
        <v>0</v>
      </c>
      <c r="I3217" s="27">
        <v>1</v>
      </c>
      <c r="J3217" s="30">
        <f t="shared" si="150"/>
        <v>1</v>
      </c>
      <c r="K3217" s="30">
        <f t="shared" si="151"/>
        <v>0</v>
      </c>
      <c r="L3217" s="26">
        <f t="shared" si="152"/>
        <v>0</v>
      </c>
      <c r="M3217" s="26"/>
    </row>
    <row r="3218" spans="1:13" ht="15" customHeight="1">
      <c r="A3218" s="25" t="s">
        <v>11929</v>
      </c>
      <c r="B3218" s="26" t="s">
        <v>5423</v>
      </c>
      <c r="C3218" s="26" t="s">
        <v>11930</v>
      </c>
      <c r="D3218" s="26" t="s">
        <v>11884</v>
      </c>
      <c r="E3218" s="26" t="s">
        <v>5480</v>
      </c>
      <c r="F3218" s="27">
        <v>6352696</v>
      </c>
      <c r="G3218" s="27">
        <v>1</v>
      </c>
      <c r="H3218" s="27">
        <v>1</v>
      </c>
      <c r="I3218" s="27">
        <v>1</v>
      </c>
      <c r="J3218" s="30">
        <f t="shared" si="150"/>
        <v>1</v>
      </c>
      <c r="K3218" s="30">
        <f t="shared" si="151"/>
        <v>1</v>
      </c>
      <c r="L3218" s="26">
        <f t="shared" si="152"/>
        <v>1</v>
      </c>
      <c r="M3218" s="26"/>
    </row>
    <row r="3219" spans="1:13" ht="15" customHeight="1">
      <c r="A3219" s="25" t="s">
        <v>11931</v>
      </c>
      <c r="B3219" s="26" t="s">
        <v>5423</v>
      </c>
      <c r="C3219" s="26" t="s">
        <v>11932</v>
      </c>
      <c r="D3219" s="26" t="s">
        <v>11933</v>
      </c>
      <c r="E3219" s="26" t="s">
        <v>5586</v>
      </c>
      <c r="F3219" s="27">
        <v>6354330</v>
      </c>
      <c r="G3219" s="27">
        <v>0</v>
      </c>
      <c r="H3219" s="27">
        <v>0</v>
      </c>
      <c r="I3219" s="27">
        <v>0</v>
      </c>
      <c r="J3219" s="30">
        <f t="shared" si="150"/>
        <v>0</v>
      </c>
      <c r="K3219" s="30">
        <f t="shared" si="151"/>
        <v>0</v>
      </c>
      <c r="L3219" s="26">
        <f t="shared" si="152"/>
        <v>0</v>
      </c>
      <c r="M3219" s="26" t="s">
        <v>11934</v>
      </c>
    </row>
    <row r="3220" spans="1:13" ht="15" customHeight="1">
      <c r="A3220" s="25" t="s">
        <v>11935</v>
      </c>
      <c r="B3220" s="26" t="s">
        <v>5423</v>
      </c>
      <c r="C3220" s="26" t="s">
        <v>11936</v>
      </c>
      <c r="D3220" s="26" t="s">
        <v>11933</v>
      </c>
      <c r="E3220" s="26" t="s">
        <v>5468</v>
      </c>
      <c r="F3220" s="27">
        <v>6343565</v>
      </c>
      <c r="G3220" s="27">
        <v>1</v>
      </c>
      <c r="H3220" s="27">
        <v>0</v>
      </c>
      <c r="I3220" s="27">
        <v>1</v>
      </c>
      <c r="J3220" s="30">
        <f t="shared" si="150"/>
        <v>1</v>
      </c>
      <c r="K3220" s="30">
        <f t="shared" si="151"/>
        <v>0</v>
      </c>
      <c r="L3220" s="26">
        <f t="shared" si="152"/>
        <v>0</v>
      </c>
      <c r="M3220" s="26"/>
    </row>
    <row r="3221" spans="1:13" ht="15" customHeight="1">
      <c r="A3221" s="25" t="s">
        <v>11937</v>
      </c>
      <c r="B3221" s="26" t="s">
        <v>5423</v>
      </c>
      <c r="C3221" s="26" t="s">
        <v>11938</v>
      </c>
      <c r="D3221" s="26" t="s">
        <v>11939</v>
      </c>
      <c r="E3221" s="26" t="s">
        <v>5447</v>
      </c>
      <c r="F3221" s="27">
        <v>6339766</v>
      </c>
      <c r="G3221" s="27">
        <v>1</v>
      </c>
      <c r="H3221" s="27">
        <v>0</v>
      </c>
      <c r="I3221" s="27">
        <v>1</v>
      </c>
      <c r="J3221" s="30">
        <f t="shared" si="150"/>
        <v>1</v>
      </c>
      <c r="K3221" s="30">
        <f t="shared" si="151"/>
        <v>0</v>
      </c>
      <c r="L3221" s="26">
        <f t="shared" si="152"/>
        <v>0</v>
      </c>
      <c r="M3221" s="26"/>
    </row>
    <row r="3222" spans="1:13" ht="15" customHeight="1">
      <c r="A3222" s="25" t="s">
        <v>11940</v>
      </c>
      <c r="B3222" s="26" t="s">
        <v>5423</v>
      </c>
      <c r="C3222" s="26" t="s">
        <v>11941</v>
      </c>
      <c r="D3222" s="26" t="s">
        <v>11890</v>
      </c>
      <c r="E3222" s="26" t="s">
        <v>5550</v>
      </c>
      <c r="F3222" s="27">
        <v>6345226</v>
      </c>
      <c r="G3222" s="27">
        <v>1</v>
      </c>
      <c r="H3222" s="27">
        <v>1</v>
      </c>
      <c r="I3222" s="27">
        <v>1</v>
      </c>
      <c r="J3222" s="30">
        <f t="shared" si="150"/>
        <v>1</v>
      </c>
      <c r="K3222" s="30">
        <f t="shared" si="151"/>
        <v>1</v>
      </c>
      <c r="L3222" s="26">
        <f t="shared" si="152"/>
        <v>1</v>
      </c>
      <c r="M3222" s="26"/>
    </row>
    <row r="3223" spans="1:13" ht="15" customHeight="1">
      <c r="A3223" s="25" t="s">
        <v>11942</v>
      </c>
      <c r="B3223" s="26" t="s">
        <v>5423</v>
      </c>
      <c r="C3223" s="26" t="s">
        <v>11943</v>
      </c>
      <c r="D3223" s="26" t="s">
        <v>11933</v>
      </c>
      <c r="E3223" s="26" t="s">
        <v>5560</v>
      </c>
      <c r="F3223" s="27">
        <v>4886891</v>
      </c>
      <c r="G3223" s="27">
        <v>1</v>
      </c>
      <c r="H3223" s="27">
        <v>1</v>
      </c>
      <c r="I3223" s="27">
        <v>1</v>
      </c>
      <c r="J3223" s="30">
        <f t="shared" si="150"/>
        <v>1</v>
      </c>
      <c r="K3223" s="30">
        <f t="shared" si="151"/>
        <v>1</v>
      </c>
      <c r="L3223" s="26">
        <f t="shared" si="152"/>
        <v>1</v>
      </c>
      <c r="M3223" s="26"/>
    </row>
    <row r="3224" spans="1:13" ht="15" customHeight="1">
      <c r="A3224" s="25" t="s">
        <v>11944</v>
      </c>
      <c r="B3224" s="26" t="s">
        <v>5423</v>
      </c>
      <c r="C3224" s="26" t="s">
        <v>11945</v>
      </c>
      <c r="D3224" s="26" t="s">
        <v>11946</v>
      </c>
      <c r="E3224" s="26" t="s">
        <v>5485</v>
      </c>
      <c r="F3224" s="27">
        <v>6356526</v>
      </c>
      <c r="G3224" s="27">
        <v>0</v>
      </c>
      <c r="H3224" s="27">
        <v>0</v>
      </c>
      <c r="I3224" s="27">
        <v>0</v>
      </c>
      <c r="J3224" s="30">
        <f t="shared" si="150"/>
        <v>0</v>
      </c>
      <c r="K3224" s="30">
        <f t="shared" si="151"/>
        <v>0</v>
      </c>
      <c r="L3224" s="26">
        <f t="shared" si="152"/>
        <v>0</v>
      </c>
      <c r="M3224" s="26">
        <v>0</v>
      </c>
    </row>
    <row r="3225" spans="1:13" ht="15" customHeight="1">
      <c r="A3225" s="25" t="s">
        <v>11947</v>
      </c>
      <c r="B3225" s="26" t="s">
        <v>5423</v>
      </c>
      <c r="C3225" s="26" t="s">
        <v>11948</v>
      </c>
      <c r="D3225" s="26" t="s">
        <v>11946</v>
      </c>
      <c r="E3225" s="26" t="s">
        <v>5517</v>
      </c>
      <c r="F3225" s="27">
        <v>6356741</v>
      </c>
      <c r="G3225" s="27">
        <v>0</v>
      </c>
      <c r="H3225" s="27">
        <v>0</v>
      </c>
      <c r="I3225" s="27">
        <v>0</v>
      </c>
      <c r="J3225" s="30">
        <f t="shared" si="150"/>
        <v>0</v>
      </c>
      <c r="K3225" s="30">
        <f t="shared" si="151"/>
        <v>0</v>
      </c>
      <c r="L3225" s="26">
        <f t="shared" si="152"/>
        <v>0</v>
      </c>
      <c r="M3225" s="26">
        <v>0</v>
      </c>
    </row>
    <row r="3226" spans="1:13" ht="15" customHeight="1">
      <c r="A3226" s="25" t="s">
        <v>11949</v>
      </c>
      <c r="B3226" s="26" t="s">
        <v>5427</v>
      </c>
      <c r="C3226" s="26" t="s">
        <v>11950</v>
      </c>
      <c r="D3226" s="26" t="s">
        <v>11951</v>
      </c>
      <c r="E3226" s="26" t="s">
        <v>5575</v>
      </c>
      <c r="F3226" s="27">
        <v>6347673</v>
      </c>
      <c r="G3226" s="27">
        <v>1</v>
      </c>
      <c r="H3226" s="27">
        <v>0</v>
      </c>
      <c r="I3226" s="27">
        <v>1</v>
      </c>
      <c r="J3226" s="30">
        <f t="shared" si="150"/>
        <v>1</v>
      </c>
      <c r="K3226" s="30">
        <f t="shared" si="151"/>
        <v>0</v>
      </c>
      <c r="L3226" s="26">
        <f t="shared" si="152"/>
        <v>0</v>
      </c>
      <c r="M3226" s="26"/>
    </row>
    <row r="3227" spans="1:13" ht="15" customHeight="1">
      <c r="A3227" s="25">
        <v>1829754</v>
      </c>
      <c r="B3227" s="26" t="s">
        <v>5423</v>
      </c>
      <c r="C3227" s="26" t="s">
        <v>11952</v>
      </c>
      <c r="D3227" s="26" t="s">
        <v>11933</v>
      </c>
      <c r="E3227" s="26" t="s">
        <v>5458</v>
      </c>
      <c r="F3227" s="27">
        <v>6359724</v>
      </c>
      <c r="G3227" s="27">
        <v>0</v>
      </c>
      <c r="H3227" s="27">
        <v>0</v>
      </c>
      <c r="I3227" s="27">
        <v>0</v>
      </c>
      <c r="J3227" s="30">
        <f t="shared" si="150"/>
        <v>0</v>
      </c>
      <c r="K3227" s="30">
        <f t="shared" si="151"/>
        <v>0</v>
      </c>
      <c r="L3227" s="26">
        <f t="shared" si="152"/>
        <v>0</v>
      </c>
      <c r="M3227" s="26">
        <v>0</v>
      </c>
    </row>
    <row r="3228" spans="1:13" ht="15" customHeight="1">
      <c r="A3228" s="25" t="s">
        <v>11953</v>
      </c>
      <c r="B3228" s="26" t="s">
        <v>5423</v>
      </c>
      <c r="C3228" s="26" t="s">
        <v>11954</v>
      </c>
      <c r="D3228" s="26" t="s">
        <v>11946</v>
      </c>
      <c r="E3228" s="26" t="s">
        <v>5540</v>
      </c>
      <c r="F3228" s="27">
        <v>6336387</v>
      </c>
      <c r="G3228" s="27">
        <v>1</v>
      </c>
      <c r="H3228" s="27">
        <v>1</v>
      </c>
      <c r="I3228" s="27">
        <v>1</v>
      </c>
      <c r="J3228" s="30">
        <f t="shared" si="150"/>
        <v>1</v>
      </c>
      <c r="K3228" s="30">
        <f t="shared" si="151"/>
        <v>1</v>
      </c>
      <c r="L3228" s="26">
        <f t="shared" si="152"/>
        <v>1</v>
      </c>
      <c r="M3228" s="26"/>
    </row>
    <row r="3229" spans="1:13" ht="15" customHeight="1">
      <c r="A3229" s="25" t="s">
        <v>11955</v>
      </c>
      <c r="B3229" s="26" t="s">
        <v>5427</v>
      </c>
      <c r="C3229" s="26" t="s">
        <v>11956</v>
      </c>
      <c r="D3229" s="26" t="s">
        <v>11957</v>
      </c>
      <c r="E3229" s="26" t="s">
        <v>5475</v>
      </c>
      <c r="F3229" s="27">
        <v>6356368</v>
      </c>
      <c r="G3229" s="27">
        <v>1</v>
      </c>
      <c r="H3229" s="27">
        <v>1</v>
      </c>
      <c r="I3229" s="27">
        <v>1</v>
      </c>
      <c r="J3229" s="30">
        <f t="shared" si="150"/>
        <v>1</v>
      </c>
      <c r="K3229" s="30">
        <f t="shared" si="151"/>
        <v>1</v>
      </c>
      <c r="L3229" s="26">
        <f t="shared" si="152"/>
        <v>1</v>
      </c>
      <c r="M3229" s="26" t="s">
        <v>8045</v>
      </c>
    </row>
    <row r="3230" spans="1:13" ht="15" customHeight="1">
      <c r="A3230" s="25" t="s">
        <v>11958</v>
      </c>
      <c r="B3230" s="26" t="s">
        <v>5423</v>
      </c>
      <c r="C3230" s="26" t="s">
        <v>11959</v>
      </c>
      <c r="D3230" s="26" t="s">
        <v>11502</v>
      </c>
      <c r="E3230" s="26" t="s">
        <v>5504</v>
      </c>
      <c r="F3230" s="27">
        <v>6375328</v>
      </c>
      <c r="G3230" s="27">
        <v>1</v>
      </c>
      <c r="H3230" s="27">
        <v>0</v>
      </c>
      <c r="I3230" s="27">
        <v>1</v>
      </c>
      <c r="J3230" s="30">
        <f t="shared" si="150"/>
        <v>1</v>
      </c>
      <c r="K3230" s="30">
        <f t="shared" si="151"/>
        <v>0</v>
      </c>
      <c r="L3230" s="26">
        <f t="shared" si="152"/>
        <v>0</v>
      </c>
      <c r="M3230" s="26"/>
    </row>
    <row r="3231" spans="1:13" ht="15" customHeight="1">
      <c r="A3231" s="25" t="s">
        <v>11960</v>
      </c>
      <c r="B3231" s="26" t="s">
        <v>5427</v>
      </c>
      <c r="C3231" s="26" t="s">
        <v>11961</v>
      </c>
      <c r="D3231" s="26" t="s">
        <v>11962</v>
      </c>
      <c r="E3231" s="26" t="s">
        <v>5603</v>
      </c>
      <c r="F3231" s="27">
        <v>6338677</v>
      </c>
      <c r="G3231" s="27">
        <v>1</v>
      </c>
      <c r="H3231" s="27">
        <v>0</v>
      </c>
      <c r="I3231" s="27">
        <v>1</v>
      </c>
      <c r="J3231" s="30">
        <f t="shared" si="150"/>
        <v>1</v>
      </c>
      <c r="K3231" s="30">
        <f t="shared" si="151"/>
        <v>0</v>
      </c>
      <c r="L3231" s="26">
        <f t="shared" si="152"/>
        <v>0</v>
      </c>
      <c r="M3231" s="26"/>
    </row>
    <row r="3232" spans="1:13" ht="15" customHeight="1">
      <c r="A3232" s="25" t="s">
        <v>11963</v>
      </c>
      <c r="B3232" s="26" t="s">
        <v>5423</v>
      </c>
      <c r="C3232" s="26" t="s">
        <v>11964</v>
      </c>
      <c r="D3232" s="26" t="s">
        <v>11965</v>
      </c>
      <c r="E3232" s="26" t="s">
        <v>5426</v>
      </c>
      <c r="F3232" s="27">
        <v>6226964</v>
      </c>
      <c r="G3232" s="27">
        <v>0</v>
      </c>
      <c r="H3232" s="27">
        <v>0</v>
      </c>
      <c r="I3232" s="27">
        <v>0</v>
      </c>
      <c r="J3232" s="30">
        <f t="shared" si="150"/>
        <v>0</v>
      </c>
      <c r="K3232" s="30">
        <f t="shared" si="151"/>
        <v>0</v>
      </c>
      <c r="L3232" s="26">
        <f t="shared" si="152"/>
        <v>0</v>
      </c>
      <c r="M3232" s="26">
        <v>0</v>
      </c>
    </row>
    <row r="3233" spans="1:13" ht="15" customHeight="1">
      <c r="A3233" s="25" t="s">
        <v>11966</v>
      </c>
      <c r="B3233" s="26" t="s">
        <v>5427</v>
      </c>
      <c r="C3233" s="26" t="s">
        <v>11967</v>
      </c>
      <c r="D3233" s="26" t="s">
        <v>11968</v>
      </c>
      <c r="E3233" s="26" t="s">
        <v>9962</v>
      </c>
      <c r="F3233" s="27">
        <v>6358880</v>
      </c>
      <c r="G3233" s="27">
        <v>0</v>
      </c>
      <c r="H3233" s="27">
        <v>0</v>
      </c>
      <c r="I3233" s="27">
        <v>0</v>
      </c>
      <c r="J3233" s="30">
        <f t="shared" si="150"/>
        <v>0</v>
      </c>
      <c r="K3233" s="30">
        <f t="shared" si="151"/>
        <v>0</v>
      </c>
      <c r="L3233" s="26">
        <f t="shared" si="152"/>
        <v>0</v>
      </c>
      <c r="M3233" s="26">
        <v>0</v>
      </c>
    </row>
    <row r="3234" spans="1:13" ht="15" customHeight="1">
      <c r="A3234" s="25" t="s">
        <v>11969</v>
      </c>
      <c r="B3234" s="26" t="s">
        <v>5427</v>
      </c>
      <c r="C3234" s="26" t="s">
        <v>11970</v>
      </c>
      <c r="D3234" s="26" t="s">
        <v>11971</v>
      </c>
      <c r="E3234" s="26" t="s">
        <v>5485</v>
      </c>
      <c r="F3234" s="27">
        <v>6359172</v>
      </c>
      <c r="G3234" s="27">
        <v>0</v>
      </c>
      <c r="H3234" s="27">
        <v>1</v>
      </c>
      <c r="I3234" s="27">
        <v>1</v>
      </c>
      <c r="J3234" s="30">
        <f t="shared" si="150"/>
        <v>0</v>
      </c>
      <c r="K3234" s="30">
        <f t="shared" si="151"/>
        <v>1</v>
      </c>
      <c r="L3234" s="26">
        <f t="shared" si="152"/>
        <v>0</v>
      </c>
      <c r="M3234" s="26"/>
    </row>
    <row r="3235" spans="1:13" ht="15" customHeight="1">
      <c r="A3235" s="25" t="s">
        <v>11972</v>
      </c>
      <c r="B3235" s="26" t="s">
        <v>5427</v>
      </c>
      <c r="C3235" s="26" t="s">
        <v>11973</v>
      </c>
      <c r="D3235" s="26" t="s">
        <v>11974</v>
      </c>
      <c r="E3235" s="26" t="s">
        <v>5442</v>
      </c>
      <c r="F3235" s="27">
        <v>6358241</v>
      </c>
      <c r="G3235" s="27">
        <v>1</v>
      </c>
      <c r="H3235" s="27">
        <v>0</v>
      </c>
      <c r="I3235" s="27">
        <v>1</v>
      </c>
      <c r="J3235" s="30">
        <f t="shared" si="150"/>
        <v>1</v>
      </c>
      <c r="K3235" s="30">
        <f t="shared" si="151"/>
        <v>0</v>
      </c>
      <c r="L3235" s="26">
        <f t="shared" si="152"/>
        <v>0</v>
      </c>
      <c r="M3235" s="26"/>
    </row>
    <row r="3236" spans="1:13" ht="15" customHeight="1">
      <c r="A3236" s="25" t="s">
        <v>11975</v>
      </c>
      <c r="B3236" s="26" t="s">
        <v>5423</v>
      </c>
      <c r="C3236" s="26" t="s">
        <v>11976</v>
      </c>
      <c r="D3236" s="26" t="s">
        <v>11974</v>
      </c>
      <c r="E3236" s="26" t="s">
        <v>5540</v>
      </c>
      <c r="F3236" s="27">
        <v>6359218</v>
      </c>
      <c r="G3236" s="27">
        <v>0</v>
      </c>
      <c r="H3236" s="27">
        <v>0</v>
      </c>
      <c r="I3236" s="27">
        <v>0</v>
      </c>
      <c r="J3236" s="30">
        <f t="shared" si="150"/>
        <v>0</v>
      </c>
      <c r="K3236" s="30">
        <f t="shared" si="151"/>
        <v>0</v>
      </c>
      <c r="L3236" s="26">
        <f t="shared" si="152"/>
        <v>0</v>
      </c>
      <c r="M3236" s="26">
        <v>0</v>
      </c>
    </row>
    <row r="3237" spans="1:13" ht="15" customHeight="1">
      <c r="A3237" s="25" t="s">
        <v>11977</v>
      </c>
      <c r="B3237" s="26" t="s">
        <v>5427</v>
      </c>
      <c r="C3237" s="26" t="s">
        <v>11978</v>
      </c>
      <c r="D3237" s="26" t="s">
        <v>11951</v>
      </c>
      <c r="E3237" s="26" t="s">
        <v>5535</v>
      </c>
      <c r="F3237" s="27">
        <v>5291808</v>
      </c>
      <c r="G3237" s="27">
        <v>1</v>
      </c>
      <c r="H3237" s="27">
        <v>0</v>
      </c>
      <c r="I3237" s="27">
        <v>1</v>
      </c>
      <c r="J3237" s="30">
        <f t="shared" si="150"/>
        <v>1</v>
      </c>
      <c r="K3237" s="30">
        <f t="shared" si="151"/>
        <v>0</v>
      </c>
      <c r="L3237" s="26">
        <f t="shared" si="152"/>
        <v>0</v>
      </c>
      <c r="M3237" s="26"/>
    </row>
    <row r="3238" spans="1:13" ht="15" customHeight="1">
      <c r="A3238" s="25" t="s">
        <v>11979</v>
      </c>
      <c r="B3238" s="26" t="s">
        <v>5423</v>
      </c>
      <c r="C3238" s="26" t="s">
        <v>11980</v>
      </c>
      <c r="D3238" s="26" t="s">
        <v>11951</v>
      </c>
      <c r="E3238" s="26" t="s">
        <v>5540</v>
      </c>
      <c r="F3238" s="27">
        <v>6350853</v>
      </c>
      <c r="G3238" s="27">
        <v>1</v>
      </c>
      <c r="H3238" s="27">
        <v>1</v>
      </c>
      <c r="I3238" s="27">
        <v>1</v>
      </c>
      <c r="J3238" s="30">
        <f t="shared" si="150"/>
        <v>1</v>
      </c>
      <c r="K3238" s="30">
        <f t="shared" si="151"/>
        <v>1</v>
      </c>
      <c r="L3238" s="26">
        <f t="shared" si="152"/>
        <v>1</v>
      </c>
      <c r="M3238" s="26"/>
    </row>
    <row r="3239" spans="1:13" ht="15" customHeight="1">
      <c r="A3239" s="25" t="s">
        <v>11981</v>
      </c>
      <c r="B3239" s="26" t="s">
        <v>5423</v>
      </c>
      <c r="C3239" s="26" t="s">
        <v>11982</v>
      </c>
      <c r="D3239" s="26" t="s">
        <v>11951</v>
      </c>
      <c r="E3239" s="26" t="s">
        <v>5683</v>
      </c>
      <c r="F3239" s="27">
        <v>6359722</v>
      </c>
      <c r="G3239" s="27">
        <v>1</v>
      </c>
      <c r="H3239" s="27">
        <v>0</v>
      </c>
      <c r="I3239" s="27">
        <v>1</v>
      </c>
      <c r="J3239" s="30">
        <f t="shared" si="150"/>
        <v>1</v>
      </c>
      <c r="K3239" s="30">
        <f t="shared" si="151"/>
        <v>0</v>
      </c>
      <c r="L3239" s="26">
        <f t="shared" si="152"/>
        <v>0</v>
      </c>
      <c r="M3239" s="26"/>
    </row>
    <row r="3240" spans="1:13" ht="15" customHeight="1">
      <c r="A3240" s="25" t="s">
        <v>11983</v>
      </c>
      <c r="B3240" s="26" t="s">
        <v>5423</v>
      </c>
      <c r="C3240" s="26" t="s">
        <v>11984</v>
      </c>
      <c r="D3240" s="26" t="s">
        <v>11985</v>
      </c>
      <c r="E3240" s="26" t="s">
        <v>5891</v>
      </c>
      <c r="F3240" s="27">
        <v>6360167</v>
      </c>
      <c r="G3240" s="27">
        <v>0</v>
      </c>
      <c r="H3240" s="27">
        <v>0</v>
      </c>
      <c r="I3240" s="27">
        <v>0</v>
      </c>
      <c r="J3240" s="30">
        <f t="shared" si="150"/>
        <v>0</v>
      </c>
      <c r="K3240" s="30">
        <f t="shared" si="151"/>
        <v>0</v>
      </c>
      <c r="L3240" s="26">
        <f t="shared" si="152"/>
        <v>0</v>
      </c>
      <c r="M3240" s="26">
        <v>0</v>
      </c>
    </row>
    <row r="3241" spans="1:13" ht="15" customHeight="1">
      <c r="A3241" s="25" t="s">
        <v>11986</v>
      </c>
      <c r="B3241" s="26" t="s">
        <v>5423</v>
      </c>
      <c r="C3241" s="26" t="s">
        <v>11987</v>
      </c>
      <c r="D3241" s="26" t="s">
        <v>11988</v>
      </c>
      <c r="E3241" s="26" t="s">
        <v>5586</v>
      </c>
      <c r="F3241" s="27">
        <v>6246120</v>
      </c>
      <c r="G3241" s="27">
        <v>1</v>
      </c>
      <c r="H3241" s="27">
        <v>1</v>
      </c>
      <c r="I3241" s="27">
        <v>1</v>
      </c>
      <c r="J3241" s="30">
        <f t="shared" si="150"/>
        <v>1</v>
      </c>
      <c r="K3241" s="30">
        <f t="shared" si="151"/>
        <v>1</v>
      </c>
      <c r="L3241" s="26">
        <f t="shared" si="152"/>
        <v>1</v>
      </c>
      <c r="M3241" s="26"/>
    </row>
    <row r="3242" spans="1:13" ht="15" customHeight="1">
      <c r="A3242" s="25" t="s">
        <v>11989</v>
      </c>
      <c r="B3242" s="26" t="s">
        <v>5423</v>
      </c>
      <c r="C3242" s="26" t="s">
        <v>11990</v>
      </c>
      <c r="D3242" s="26" t="s">
        <v>11896</v>
      </c>
      <c r="E3242" s="26" t="s">
        <v>5522</v>
      </c>
      <c r="F3242" s="27">
        <v>6353528</v>
      </c>
      <c r="G3242" s="27">
        <v>1</v>
      </c>
      <c r="H3242" s="27">
        <v>0</v>
      </c>
      <c r="I3242" s="27">
        <v>1</v>
      </c>
      <c r="J3242" s="30">
        <f t="shared" si="150"/>
        <v>1</v>
      </c>
      <c r="K3242" s="30">
        <f t="shared" si="151"/>
        <v>0</v>
      </c>
      <c r="L3242" s="26">
        <f t="shared" si="152"/>
        <v>0</v>
      </c>
      <c r="M3242" s="26"/>
    </row>
    <row r="3243" spans="1:13" ht="15" customHeight="1">
      <c r="A3243" s="25" t="s">
        <v>11991</v>
      </c>
      <c r="B3243" s="26" t="s">
        <v>5427</v>
      </c>
      <c r="C3243" s="26" t="s">
        <v>11992</v>
      </c>
      <c r="D3243" s="26" t="s">
        <v>11965</v>
      </c>
      <c r="E3243" s="26" t="s">
        <v>5718</v>
      </c>
      <c r="F3243" s="27">
        <v>6361163</v>
      </c>
      <c r="G3243" s="27">
        <v>1</v>
      </c>
      <c r="H3243" s="27">
        <v>1</v>
      </c>
      <c r="I3243" s="27">
        <v>1</v>
      </c>
      <c r="J3243" s="30">
        <f t="shared" si="150"/>
        <v>1</v>
      </c>
      <c r="K3243" s="30">
        <f t="shared" si="151"/>
        <v>1</v>
      </c>
      <c r="L3243" s="26">
        <f t="shared" si="152"/>
        <v>1</v>
      </c>
      <c r="M3243" s="26"/>
    </row>
    <row r="3244" spans="1:13" ht="15" customHeight="1">
      <c r="A3244" s="25" t="s">
        <v>11993</v>
      </c>
      <c r="B3244" s="26" t="s">
        <v>5423</v>
      </c>
      <c r="C3244" s="26" t="s">
        <v>11994</v>
      </c>
      <c r="D3244" s="26" t="s">
        <v>11965</v>
      </c>
      <c r="E3244" s="26" t="s">
        <v>5491</v>
      </c>
      <c r="F3244" s="27">
        <v>6361722</v>
      </c>
      <c r="G3244" s="27">
        <v>1</v>
      </c>
      <c r="H3244" s="27">
        <v>1</v>
      </c>
      <c r="I3244" s="27">
        <v>1</v>
      </c>
      <c r="J3244" s="30">
        <f t="shared" si="150"/>
        <v>1</v>
      </c>
      <c r="K3244" s="30">
        <f t="shared" si="151"/>
        <v>1</v>
      </c>
      <c r="L3244" s="26">
        <f t="shared" si="152"/>
        <v>1</v>
      </c>
      <c r="M3244" s="26"/>
    </row>
    <row r="3245" spans="1:13" ht="15" customHeight="1">
      <c r="A3245" s="25" t="s">
        <v>11995</v>
      </c>
      <c r="B3245" s="26" t="s">
        <v>5423</v>
      </c>
      <c r="C3245" s="26" t="s">
        <v>11996</v>
      </c>
      <c r="D3245" s="26" t="s">
        <v>11832</v>
      </c>
      <c r="E3245" s="26" t="s">
        <v>5452</v>
      </c>
      <c r="F3245" s="27">
        <v>6361931</v>
      </c>
      <c r="G3245" s="27">
        <v>1</v>
      </c>
      <c r="H3245" s="27">
        <v>1</v>
      </c>
      <c r="I3245" s="27">
        <v>1</v>
      </c>
      <c r="J3245" s="30">
        <f t="shared" si="150"/>
        <v>1</v>
      </c>
      <c r="K3245" s="30">
        <f t="shared" si="151"/>
        <v>1</v>
      </c>
      <c r="L3245" s="26">
        <f t="shared" si="152"/>
        <v>1</v>
      </c>
      <c r="M3245" s="26"/>
    </row>
    <row r="3246" spans="1:13" ht="15" customHeight="1">
      <c r="A3246" s="25" t="s">
        <v>11997</v>
      </c>
      <c r="B3246" s="26" t="s">
        <v>5423</v>
      </c>
      <c r="C3246" s="26" t="s">
        <v>11998</v>
      </c>
      <c r="D3246" s="26" t="s">
        <v>11832</v>
      </c>
      <c r="E3246" s="26" t="s">
        <v>5683</v>
      </c>
      <c r="F3246" s="27">
        <v>5938677</v>
      </c>
      <c r="G3246" s="27">
        <v>1</v>
      </c>
      <c r="H3246" s="27">
        <v>1</v>
      </c>
      <c r="I3246" s="27">
        <v>1</v>
      </c>
      <c r="J3246" s="30">
        <f t="shared" si="150"/>
        <v>1</v>
      </c>
      <c r="K3246" s="30">
        <f t="shared" si="151"/>
        <v>1</v>
      </c>
      <c r="L3246" s="26">
        <f t="shared" si="152"/>
        <v>1</v>
      </c>
      <c r="M3246" s="26"/>
    </row>
    <row r="3247" spans="1:13" ht="15" customHeight="1">
      <c r="A3247" s="25" t="s">
        <v>11999</v>
      </c>
      <c r="B3247" s="26" t="s">
        <v>5423</v>
      </c>
      <c r="C3247" s="26" t="s">
        <v>12000</v>
      </c>
      <c r="D3247" s="26" t="s">
        <v>12001</v>
      </c>
      <c r="E3247" s="26" t="s">
        <v>5475</v>
      </c>
      <c r="F3247" s="27">
        <v>6363284</v>
      </c>
      <c r="G3247" s="27">
        <v>0</v>
      </c>
      <c r="H3247" s="27">
        <v>0</v>
      </c>
      <c r="I3247" s="27">
        <v>0</v>
      </c>
      <c r="J3247" s="30">
        <f t="shared" si="150"/>
        <v>0</v>
      </c>
      <c r="K3247" s="30">
        <f t="shared" si="151"/>
        <v>0</v>
      </c>
      <c r="L3247" s="26">
        <f t="shared" si="152"/>
        <v>0</v>
      </c>
      <c r="M3247" s="26">
        <v>0</v>
      </c>
    </row>
    <row r="3248" spans="1:13" ht="15" customHeight="1">
      <c r="A3248" s="25" t="s">
        <v>12002</v>
      </c>
      <c r="B3248" s="26" t="s">
        <v>5423</v>
      </c>
      <c r="C3248" s="26" t="s">
        <v>12003</v>
      </c>
      <c r="D3248" s="26" t="s">
        <v>12001</v>
      </c>
      <c r="E3248" s="26" t="s">
        <v>5603</v>
      </c>
      <c r="F3248" s="27">
        <v>6162933</v>
      </c>
      <c r="G3248" s="27">
        <v>0</v>
      </c>
      <c r="H3248" s="27">
        <v>0</v>
      </c>
      <c r="I3248" s="27">
        <v>0</v>
      </c>
      <c r="J3248" s="30">
        <f t="shared" si="150"/>
        <v>0</v>
      </c>
      <c r="K3248" s="30">
        <f t="shared" si="151"/>
        <v>0</v>
      </c>
      <c r="L3248" s="26">
        <f t="shared" si="152"/>
        <v>0</v>
      </c>
      <c r="M3248" s="26" t="s">
        <v>12004</v>
      </c>
    </row>
    <row r="3249" spans="1:13" ht="15" customHeight="1">
      <c r="A3249" s="25" t="s">
        <v>12005</v>
      </c>
      <c r="B3249" s="26" t="s">
        <v>5427</v>
      </c>
      <c r="C3249" s="26" t="s">
        <v>12006</v>
      </c>
      <c r="D3249" s="26" t="s">
        <v>12001</v>
      </c>
      <c r="E3249" s="26" t="s">
        <v>5458</v>
      </c>
      <c r="F3249" s="27">
        <v>6355454</v>
      </c>
      <c r="G3249" s="27">
        <v>1</v>
      </c>
      <c r="H3249" s="27">
        <v>0</v>
      </c>
      <c r="I3249" s="27">
        <v>1</v>
      </c>
      <c r="J3249" s="30">
        <f t="shared" si="150"/>
        <v>1</v>
      </c>
      <c r="K3249" s="30">
        <f t="shared" si="151"/>
        <v>0</v>
      </c>
      <c r="L3249" s="26">
        <f t="shared" si="152"/>
        <v>0</v>
      </c>
      <c r="M3249" s="26"/>
    </row>
    <row r="3250" spans="1:13" ht="15" customHeight="1">
      <c r="A3250" s="25" t="s">
        <v>12007</v>
      </c>
      <c r="B3250" s="26" t="s">
        <v>5423</v>
      </c>
      <c r="C3250" s="26" t="s">
        <v>12008</v>
      </c>
      <c r="D3250" s="26" t="s">
        <v>12009</v>
      </c>
      <c r="E3250" s="26" t="s">
        <v>5463</v>
      </c>
      <c r="F3250" s="27">
        <v>6082697</v>
      </c>
      <c r="G3250" s="27">
        <v>0</v>
      </c>
      <c r="H3250" s="27">
        <v>0</v>
      </c>
      <c r="I3250" s="27">
        <v>0</v>
      </c>
      <c r="J3250" s="30">
        <f t="shared" si="150"/>
        <v>0</v>
      </c>
      <c r="K3250" s="30">
        <f t="shared" si="151"/>
        <v>0</v>
      </c>
      <c r="L3250" s="26">
        <f t="shared" si="152"/>
        <v>0</v>
      </c>
      <c r="M3250" s="26" t="s">
        <v>11356</v>
      </c>
    </row>
    <row r="3251" spans="1:13" ht="15" customHeight="1">
      <c r="A3251" s="25" t="s">
        <v>12010</v>
      </c>
      <c r="B3251" s="26" t="s">
        <v>5423</v>
      </c>
      <c r="C3251" s="26" t="s">
        <v>12011</v>
      </c>
      <c r="D3251" s="26" t="s">
        <v>12012</v>
      </c>
      <c r="E3251" s="26" t="s">
        <v>5463</v>
      </c>
      <c r="F3251" s="27">
        <v>6364298</v>
      </c>
      <c r="G3251" s="27">
        <v>0</v>
      </c>
      <c r="H3251" s="27">
        <v>1</v>
      </c>
      <c r="I3251" s="27">
        <v>1</v>
      </c>
      <c r="J3251" s="30">
        <f t="shared" si="150"/>
        <v>0</v>
      </c>
      <c r="K3251" s="30">
        <f t="shared" si="151"/>
        <v>1</v>
      </c>
      <c r="L3251" s="26">
        <f t="shared" si="152"/>
        <v>0</v>
      </c>
      <c r="M3251" s="26"/>
    </row>
    <row r="3252" spans="1:13" ht="15" customHeight="1">
      <c r="A3252" s="25" t="s">
        <v>12013</v>
      </c>
      <c r="B3252" s="26" t="s">
        <v>5423</v>
      </c>
      <c r="C3252" s="26" t="s">
        <v>12014</v>
      </c>
      <c r="D3252" s="26" t="s">
        <v>12015</v>
      </c>
      <c r="E3252" s="26" t="s">
        <v>5436</v>
      </c>
      <c r="F3252" s="27">
        <v>6364876</v>
      </c>
      <c r="G3252" s="27">
        <v>1</v>
      </c>
      <c r="H3252" s="27">
        <v>0</v>
      </c>
      <c r="I3252" s="27">
        <v>1</v>
      </c>
      <c r="J3252" s="30">
        <f t="shared" si="150"/>
        <v>1</v>
      </c>
      <c r="K3252" s="30">
        <f t="shared" si="151"/>
        <v>0</v>
      </c>
      <c r="L3252" s="26">
        <f t="shared" si="152"/>
        <v>0</v>
      </c>
      <c r="M3252" s="26"/>
    </row>
    <row r="3253" spans="1:13" ht="15" customHeight="1">
      <c r="A3253" s="25" t="s">
        <v>12016</v>
      </c>
      <c r="B3253" s="26" t="s">
        <v>5423</v>
      </c>
      <c r="C3253" s="26" t="s">
        <v>12017</v>
      </c>
      <c r="D3253" s="26" t="s">
        <v>11957</v>
      </c>
      <c r="E3253" s="26" t="s">
        <v>5504</v>
      </c>
      <c r="F3253" s="27">
        <v>6330492</v>
      </c>
      <c r="G3253" s="27">
        <v>1</v>
      </c>
      <c r="H3253" s="27">
        <v>1</v>
      </c>
      <c r="I3253" s="27">
        <v>1</v>
      </c>
      <c r="J3253" s="30">
        <f t="shared" si="150"/>
        <v>1</v>
      </c>
      <c r="K3253" s="30">
        <f t="shared" si="151"/>
        <v>1</v>
      </c>
      <c r="L3253" s="26">
        <f t="shared" si="152"/>
        <v>1</v>
      </c>
      <c r="M3253" s="26"/>
    </row>
    <row r="3254" spans="1:13" ht="15" customHeight="1">
      <c r="A3254" s="25" t="s">
        <v>12018</v>
      </c>
      <c r="B3254" s="26" t="s">
        <v>5423</v>
      </c>
      <c r="C3254" s="26" t="s">
        <v>12019</v>
      </c>
      <c r="D3254" s="26" t="s">
        <v>11957</v>
      </c>
      <c r="E3254" s="26" t="s">
        <v>5891</v>
      </c>
      <c r="F3254" s="27">
        <v>6358090</v>
      </c>
      <c r="G3254" s="27">
        <v>1</v>
      </c>
      <c r="H3254" s="27">
        <v>1</v>
      </c>
      <c r="I3254" s="27">
        <v>1</v>
      </c>
      <c r="J3254" s="30">
        <f t="shared" si="150"/>
        <v>1</v>
      </c>
      <c r="K3254" s="30">
        <f t="shared" si="151"/>
        <v>1</v>
      </c>
      <c r="L3254" s="26">
        <f t="shared" si="152"/>
        <v>1</v>
      </c>
      <c r="M3254" s="26"/>
    </row>
    <row r="3255" spans="1:13" ht="15" customHeight="1">
      <c r="A3255" s="25" t="s">
        <v>12020</v>
      </c>
      <c r="B3255" s="26" t="s">
        <v>5427</v>
      </c>
      <c r="C3255" s="26" t="s">
        <v>12021</v>
      </c>
      <c r="D3255" s="26" t="s">
        <v>12012</v>
      </c>
      <c r="E3255" s="26" t="s">
        <v>5763</v>
      </c>
      <c r="F3255" s="27">
        <v>5323150</v>
      </c>
      <c r="G3255" s="27">
        <v>0</v>
      </c>
      <c r="H3255" s="27">
        <v>0</v>
      </c>
      <c r="I3255" s="27">
        <v>0</v>
      </c>
      <c r="J3255" s="30">
        <f t="shared" si="150"/>
        <v>0</v>
      </c>
      <c r="K3255" s="30">
        <f t="shared" si="151"/>
        <v>0</v>
      </c>
      <c r="L3255" s="26">
        <f t="shared" si="152"/>
        <v>0</v>
      </c>
      <c r="M3255" s="26" t="s">
        <v>5557</v>
      </c>
    </row>
    <row r="3256" spans="1:13" ht="15" customHeight="1">
      <c r="A3256" s="25" t="s">
        <v>12022</v>
      </c>
      <c r="B3256" s="26" t="s">
        <v>5423</v>
      </c>
      <c r="C3256" s="26" t="s">
        <v>12023</v>
      </c>
      <c r="D3256" s="26" t="s">
        <v>11832</v>
      </c>
      <c r="E3256" s="26" t="s">
        <v>5430</v>
      </c>
      <c r="F3256" s="27">
        <v>6365623</v>
      </c>
      <c r="G3256" s="27">
        <v>1</v>
      </c>
      <c r="H3256" s="27">
        <v>1</v>
      </c>
      <c r="I3256" s="27">
        <v>1</v>
      </c>
      <c r="J3256" s="30">
        <f t="shared" si="150"/>
        <v>1</v>
      </c>
      <c r="K3256" s="30">
        <f t="shared" si="151"/>
        <v>1</v>
      </c>
      <c r="L3256" s="26">
        <f t="shared" si="152"/>
        <v>1</v>
      </c>
      <c r="M3256" s="26"/>
    </row>
    <row r="3257" spans="1:13" ht="15" customHeight="1">
      <c r="A3257" s="25" t="s">
        <v>12024</v>
      </c>
      <c r="B3257" s="26" t="s">
        <v>5423</v>
      </c>
      <c r="C3257" s="26" t="s">
        <v>12025</v>
      </c>
      <c r="D3257" s="26" t="s">
        <v>11985</v>
      </c>
      <c r="E3257" s="26" t="s">
        <v>5488</v>
      </c>
      <c r="F3257" s="27">
        <v>6366727</v>
      </c>
      <c r="G3257" s="27">
        <v>1</v>
      </c>
      <c r="H3257" s="27">
        <v>0</v>
      </c>
      <c r="I3257" s="27">
        <v>1</v>
      </c>
      <c r="J3257" s="30">
        <f t="shared" si="150"/>
        <v>1</v>
      </c>
      <c r="K3257" s="30">
        <f t="shared" si="151"/>
        <v>0</v>
      </c>
      <c r="L3257" s="26">
        <f t="shared" si="152"/>
        <v>0</v>
      </c>
      <c r="M3257" s="26"/>
    </row>
    <row r="3258" spans="1:13" ht="15" customHeight="1">
      <c r="A3258" s="25" t="s">
        <v>12026</v>
      </c>
      <c r="B3258" s="26" t="s">
        <v>5423</v>
      </c>
      <c r="C3258" s="26" t="s">
        <v>12027</v>
      </c>
      <c r="D3258" s="26" t="s">
        <v>12028</v>
      </c>
      <c r="E3258" s="26" t="s">
        <v>5586</v>
      </c>
      <c r="F3258" s="27">
        <v>6356843</v>
      </c>
      <c r="G3258" s="27">
        <v>1</v>
      </c>
      <c r="H3258" s="27">
        <v>0</v>
      </c>
      <c r="I3258" s="27">
        <v>1</v>
      </c>
      <c r="J3258" s="30">
        <f t="shared" si="150"/>
        <v>1</v>
      </c>
      <c r="K3258" s="30">
        <f t="shared" si="151"/>
        <v>0</v>
      </c>
      <c r="L3258" s="26">
        <f t="shared" si="152"/>
        <v>0</v>
      </c>
      <c r="M3258" s="26"/>
    </row>
    <row r="3259" spans="1:13" ht="15" customHeight="1">
      <c r="A3259" s="25" t="s">
        <v>12029</v>
      </c>
      <c r="B3259" s="26" t="s">
        <v>5423</v>
      </c>
      <c r="C3259" s="26" t="s">
        <v>12030</v>
      </c>
      <c r="D3259" s="26" t="s">
        <v>12031</v>
      </c>
      <c r="E3259" s="26" t="s">
        <v>5439</v>
      </c>
      <c r="F3259" s="27">
        <v>5630340</v>
      </c>
      <c r="G3259" s="27">
        <v>0</v>
      </c>
      <c r="H3259" s="27">
        <v>0</v>
      </c>
      <c r="I3259" s="27">
        <v>0</v>
      </c>
      <c r="J3259" s="30">
        <f t="shared" si="150"/>
        <v>0</v>
      </c>
      <c r="K3259" s="30">
        <f t="shared" si="151"/>
        <v>0</v>
      </c>
      <c r="L3259" s="26">
        <f t="shared" si="152"/>
        <v>0</v>
      </c>
      <c r="M3259" s="26" t="s">
        <v>5557</v>
      </c>
    </row>
    <row r="3260" spans="1:13" ht="15" customHeight="1">
      <c r="A3260" s="25" t="s">
        <v>12032</v>
      </c>
      <c r="B3260" s="26" t="s">
        <v>5423</v>
      </c>
      <c r="C3260" s="26" t="s">
        <v>12033</v>
      </c>
      <c r="D3260" s="26" t="s">
        <v>11957</v>
      </c>
      <c r="E3260" s="26" t="s">
        <v>5488</v>
      </c>
      <c r="F3260" s="27">
        <v>6366942</v>
      </c>
      <c r="G3260" s="27">
        <v>0</v>
      </c>
      <c r="H3260" s="27">
        <v>0</v>
      </c>
      <c r="I3260" s="27">
        <v>0</v>
      </c>
      <c r="J3260" s="30">
        <f t="shared" si="150"/>
        <v>0</v>
      </c>
      <c r="K3260" s="30">
        <f t="shared" si="151"/>
        <v>0</v>
      </c>
      <c r="L3260" s="26">
        <f t="shared" si="152"/>
        <v>0</v>
      </c>
      <c r="M3260" s="26">
        <v>0</v>
      </c>
    </row>
    <row r="3261" spans="1:13" ht="15" customHeight="1">
      <c r="A3261" s="25" t="s">
        <v>12034</v>
      </c>
      <c r="B3261" s="26" t="s">
        <v>5423</v>
      </c>
      <c r="C3261" s="26" t="s">
        <v>12035</v>
      </c>
      <c r="D3261" s="26" t="s">
        <v>12036</v>
      </c>
      <c r="E3261" s="26" t="s">
        <v>5763</v>
      </c>
      <c r="F3261" s="27">
        <v>6368711</v>
      </c>
      <c r="G3261" s="27">
        <v>0</v>
      </c>
      <c r="H3261" s="27">
        <v>1</v>
      </c>
      <c r="I3261" s="27">
        <v>1</v>
      </c>
      <c r="J3261" s="30">
        <f t="shared" si="150"/>
        <v>0</v>
      </c>
      <c r="K3261" s="30">
        <f t="shared" si="151"/>
        <v>1</v>
      </c>
      <c r="L3261" s="26">
        <f t="shared" si="152"/>
        <v>0</v>
      </c>
      <c r="M3261" s="26"/>
    </row>
    <row r="3262" spans="1:13" ht="15" customHeight="1">
      <c r="A3262" s="25" t="s">
        <v>12037</v>
      </c>
      <c r="B3262" s="26" t="s">
        <v>5423</v>
      </c>
      <c r="C3262" s="26" t="s">
        <v>12038</v>
      </c>
      <c r="D3262" s="26" t="s">
        <v>12036</v>
      </c>
      <c r="E3262" s="26" t="s">
        <v>5707</v>
      </c>
      <c r="F3262" s="27">
        <v>6351177</v>
      </c>
      <c r="G3262" s="27">
        <v>1</v>
      </c>
      <c r="H3262" s="27">
        <v>0</v>
      </c>
      <c r="I3262" s="27">
        <v>1</v>
      </c>
      <c r="J3262" s="30">
        <f t="shared" si="150"/>
        <v>1</v>
      </c>
      <c r="K3262" s="30">
        <f t="shared" si="151"/>
        <v>0</v>
      </c>
      <c r="L3262" s="26">
        <f t="shared" si="152"/>
        <v>0</v>
      </c>
      <c r="M3262" s="26"/>
    </row>
    <row r="3263" spans="1:13" ht="15" customHeight="1">
      <c r="A3263" s="25" t="s">
        <v>12039</v>
      </c>
      <c r="B3263" s="26" t="s">
        <v>5427</v>
      </c>
      <c r="C3263" s="26" t="s">
        <v>12040</v>
      </c>
      <c r="D3263" s="26" t="s">
        <v>12041</v>
      </c>
      <c r="E3263" s="26" t="s">
        <v>5560</v>
      </c>
      <c r="F3263" s="27">
        <v>6368049</v>
      </c>
      <c r="G3263" s="27">
        <v>1</v>
      </c>
      <c r="H3263" s="27">
        <v>0</v>
      </c>
      <c r="I3263" s="27">
        <v>1</v>
      </c>
      <c r="J3263" s="30">
        <f t="shared" si="150"/>
        <v>1</v>
      </c>
      <c r="K3263" s="30">
        <f t="shared" si="151"/>
        <v>0</v>
      </c>
      <c r="L3263" s="26">
        <f t="shared" si="152"/>
        <v>0</v>
      </c>
      <c r="M3263" s="26"/>
    </row>
    <row r="3264" spans="1:13" ht="15" customHeight="1">
      <c r="A3264" s="25" t="s">
        <v>12042</v>
      </c>
      <c r="B3264" s="26" t="s">
        <v>5427</v>
      </c>
      <c r="C3264" s="26" t="s">
        <v>12043</v>
      </c>
      <c r="D3264" s="26" t="s">
        <v>11985</v>
      </c>
      <c r="E3264" s="26" t="s">
        <v>5433</v>
      </c>
      <c r="F3264" s="27">
        <v>6343059</v>
      </c>
      <c r="G3264" s="27">
        <v>1</v>
      </c>
      <c r="H3264" s="27">
        <v>0</v>
      </c>
      <c r="I3264" s="27">
        <v>1</v>
      </c>
      <c r="J3264" s="30">
        <f t="shared" si="150"/>
        <v>1</v>
      </c>
      <c r="K3264" s="30">
        <f t="shared" si="151"/>
        <v>0</v>
      </c>
      <c r="L3264" s="26">
        <f t="shared" si="152"/>
        <v>0</v>
      </c>
      <c r="M3264" s="26"/>
    </row>
    <row r="3265" spans="1:13" ht="15" customHeight="1">
      <c r="A3265" s="25" t="s">
        <v>12044</v>
      </c>
      <c r="B3265" s="26" t="s">
        <v>5423</v>
      </c>
      <c r="C3265" s="26" t="s">
        <v>12045</v>
      </c>
      <c r="D3265" s="26" t="s">
        <v>12046</v>
      </c>
      <c r="E3265" s="26" t="s">
        <v>5468</v>
      </c>
      <c r="F3265" s="27">
        <v>6368111</v>
      </c>
      <c r="G3265" s="27">
        <v>0</v>
      </c>
      <c r="H3265" s="27">
        <v>1</v>
      </c>
      <c r="I3265" s="27">
        <v>1</v>
      </c>
      <c r="J3265" s="30">
        <f t="shared" si="150"/>
        <v>0</v>
      </c>
      <c r="K3265" s="30">
        <f t="shared" si="151"/>
        <v>1</v>
      </c>
      <c r="L3265" s="26">
        <f t="shared" si="152"/>
        <v>0</v>
      </c>
      <c r="M3265" s="26" t="s">
        <v>12047</v>
      </c>
    </row>
    <row r="3266" spans="1:13" ht="15" customHeight="1">
      <c r="A3266" s="25" t="s">
        <v>12048</v>
      </c>
      <c r="B3266" s="26" t="s">
        <v>5427</v>
      </c>
      <c r="C3266" s="26" t="s">
        <v>12049</v>
      </c>
      <c r="D3266" s="26" t="s">
        <v>11985</v>
      </c>
      <c r="E3266" s="26" t="s">
        <v>5480</v>
      </c>
      <c r="F3266" s="27">
        <v>6368692</v>
      </c>
      <c r="G3266" s="27">
        <v>0</v>
      </c>
      <c r="H3266" s="27">
        <v>0</v>
      </c>
      <c r="I3266" s="27">
        <v>0</v>
      </c>
      <c r="J3266" s="30">
        <f t="shared" ref="J3266:J3329" si="153">IF(G3266&gt;0,1,0)</f>
        <v>0</v>
      </c>
      <c r="K3266" s="30">
        <f t="shared" ref="K3266:K3329" si="154">IF(H3266&gt;0,1,0)</f>
        <v>0</v>
      </c>
      <c r="L3266" s="26">
        <f t="shared" ref="L3266:L3329" si="155">IF(G3266&gt;0,IF(H3266&gt;0,1,0),0)</f>
        <v>0</v>
      </c>
      <c r="M3266" s="26">
        <v>0</v>
      </c>
    </row>
    <row r="3267" spans="1:13" ht="15" customHeight="1">
      <c r="A3267" s="25" t="s">
        <v>12050</v>
      </c>
      <c r="B3267" s="26" t="s">
        <v>5427</v>
      </c>
      <c r="C3267" s="26" t="s">
        <v>12051</v>
      </c>
      <c r="D3267" s="26" t="s">
        <v>11985</v>
      </c>
      <c r="E3267" s="26" t="s">
        <v>5522</v>
      </c>
      <c r="F3267" s="27">
        <v>6367919</v>
      </c>
      <c r="G3267" s="27">
        <v>1</v>
      </c>
      <c r="H3267" s="27">
        <v>0</v>
      </c>
      <c r="I3267" s="27">
        <v>1</v>
      </c>
      <c r="J3267" s="30">
        <f t="shared" si="153"/>
        <v>1</v>
      </c>
      <c r="K3267" s="30">
        <f t="shared" si="154"/>
        <v>0</v>
      </c>
      <c r="L3267" s="26">
        <f t="shared" si="155"/>
        <v>0</v>
      </c>
      <c r="M3267" s="26"/>
    </row>
    <row r="3268" spans="1:13" ht="15" customHeight="1">
      <c r="A3268" s="25" t="s">
        <v>12052</v>
      </c>
      <c r="B3268" s="26" t="s">
        <v>5427</v>
      </c>
      <c r="C3268" s="26" t="s">
        <v>12053</v>
      </c>
      <c r="D3268" s="26" t="s">
        <v>12054</v>
      </c>
      <c r="E3268" s="26" t="s">
        <v>5514</v>
      </c>
      <c r="F3268" s="27">
        <v>6368034</v>
      </c>
      <c r="G3268" s="27">
        <v>1</v>
      </c>
      <c r="H3268" s="27">
        <v>1</v>
      </c>
      <c r="I3268" s="27">
        <v>1</v>
      </c>
      <c r="J3268" s="30">
        <f t="shared" si="153"/>
        <v>1</v>
      </c>
      <c r="K3268" s="30">
        <f t="shared" si="154"/>
        <v>1</v>
      </c>
      <c r="L3268" s="26">
        <f t="shared" si="155"/>
        <v>1</v>
      </c>
      <c r="M3268" s="26"/>
    </row>
    <row r="3269" spans="1:13" ht="15" customHeight="1">
      <c r="A3269" s="25" t="s">
        <v>12055</v>
      </c>
      <c r="B3269" s="26" t="s">
        <v>5423</v>
      </c>
      <c r="C3269" s="26" t="s">
        <v>12056</v>
      </c>
      <c r="D3269" s="26" t="s">
        <v>12057</v>
      </c>
      <c r="E3269" s="26" t="s">
        <v>5501</v>
      </c>
      <c r="F3269" s="27">
        <v>6369549</v>
      </c>
      <c r="G3269" s="27">
        <v>0</v>
      </c>
      <c r="H3269" s="27">
        <v>0</v>
      </c>
      <c r="I3269" s="27">
        <v>0</v>
      </c>
      <c r="J3269" s="30">
        <f t="shared" si="153"/>
        <v>0</v>
      </c>
      <c r="K3269" s="30">
        <f t="shared" si="154"/>
        <v>0</v>
      </c>
      <c r="L3269" s="26">
        <f t="shared" si="155"/>
        <v>0</v>
      </c>
      <c r="M3269" s="26">
        <v>0</v>
      </c>
    </row>
    <row r="3270" spans="1:13" ht="15" customHeight="1">
      <c r="A3270" s="25" t="s">
        <v>12058</v>
      </c>
      <c r="B3270" s="26" t="s">
        <v>5423</v>
      </c>
      <c r="C3270" s="26" t="s">
        <v>12059</v>
      </c>
      <c r="D3270" s="26" t="s">
        <v>12060</v>
      </c>
      <c r="E3270" s="26" t="s">
        <v>5586</v>
      </c>
      <c r="F3270" s="27">
        <v>6369409</v>
      </c>
      <c r="G3270" s="27">
        <v>1</v>
      </c>
      <c r="H3270" s="27">
        <v>1</v>
      </c>
      <c r="I3270" s="27">
        <v>1</v>
      </c>
      <c r="J3270" s="30">
        <f t="shared" si="153"/>
        <v>1</v>
      </c>
      <c r="K3270" s="30">
        <f t="shared" si="154"/>
        <v>1</v>
      </c>
      <c r="L3270" s="26">
        <f t="shared" si="155"/>
        <v>1</v>
      </c>
      <c r="M3270" s="26"/>
    </row>
    <row r="3271" spans="1:13" ht="15" customHeight="1">
      <c r="A3271" s="25" t="s">
        <v>12061</v>
      </c>
      <c r="B3271" s="26" t="s">
        <v>5427</v>
      </c>
      <c r="C3271" s="26" t="s">
        <v>12062</v>
      </c>
      <c r="D3271" s="26" t="s">
        <v>11985</v>
      </c>
      <c r="E3271" s="26" t="s">
        <v>5514</v>
      </c>
      <c r="F3271" s="27"/>
      <c r="G3271" s="27">
        <v>0</v>
      </c>
      <c r="H3271" s="27">
        <v>0</v>
      </c>
      <c r="I3271" s="27">
        <v>0</v>
      </c>
      <c r="J3271" s="30">
        <f t="shared" si="153"/>
        <v>0</v>
      </c>
      <c r="K3271" s="30">
        <f t="shared" si="154"/>
        <v>0</v>
      </c>
      <c r="L3271" s="26">
        <f t="shared" si="155"/>
        <v>0</v>
      </c>
      <c r="M3271" s="26" t="s">
        <v>8147</v>
      </c>
    </row>
    <row r="3272" spans="1:13" ht="15" customHeight="1">
      <c r="A3272" s="25" t="s">
        <v>12063</v>
      </c>
      <c r="B3272" s="26" t="s">
        <v>5427</v>
      </c>
      <c r="C3272" s="26" t="s">
        <v>12064</v>
      </c>
      <c r="D3272" s="26" t="s">
        <v>12065</v>
      </c>
      <c r="E3272" s="26" t="s">
        <v>5891</v>
      </c>
      <c r="F3272" s="27">
        <v>5810868</v>
      </c>
      <c r="G3272" s="27">
        <v>1</v>
      </c>
      <c r="H3272" s="27">
        <v>1</v>
      </c>
      <c r="I3272" s="27">
        <v>1</v>
      </c>
      <c r="J3272" s="30">
        <f t="shared" si="153"/>
        <v>1</v>
      </c>
      <c r="K3272" s="30">
        <f t="shared" si="154"/>
        <v>1</v>
      </c>
      <c r="L3272" s="26">
        <f t="shared" si="155"/>
        <v>1</v>
      </c>
      <c r="M3272" s="26"/>
    </row>
    <row r="3273" spans="1:13" ht="15" customHeight="1">
      <c r="A3273" s="25" t="s">
        <v>12066</v>
      </c>
      <c r="B3273" s="26" t="s">
        <v>5423</v>
      </c>
      <c r="C3273" s="26" t="s">
        <v>12067</v>
      </c>
      <c r="D3273" s="26" t="s">
        <v>12068</v>
      </c>
      <c r="E3273" s="26" t="s">
        <v>5458</v>
      </c>
      <c r="F3273" s="27">
        <v>6086782</v>
      </c>
      <c r="G3273" s="27">
        <v>0</v>
      </c>
      <c r="H3273" s="27">
        <v>0</v>
      </c>
      <c r="I3273" s="27">
        <v>0</v>
      </c>
      <c r="J3273" s="30">
        <f t="shared" si="153"/>
        <v>0</v>
      </c>
      <c r="K3273" s="30">
        <f t="shared" si="154"/>
        <v>0</v>
      </c>
      <c r="L3273" s="26">
        <f t="shared" si="155"/>
        <v>0</v>
      </c>
      <c r="M3273" s="26" t="s">
        <v>11217</v>
      </c>
    </row>
    <row r="3274" spans="1:13" ht="15" customHeight="1">
      <c r="A3274" s="25" t="s">
        <v>12069</v>
      </c>
      <c r="B3274" s="26" t="s">
        <v>5423</v>
      </c>
      <c r="C3274" s="26" t="s">
        <v>12070</v>
      </c>
      <c r="D3274" s="26" t="s">
        <v>12071</v>
      </c>
      <c r="E3274" s="26" t="s">
        <v>5463</v>
      </c>
      <c r="F3274" s="27">
        <v>6371021</v>
      </c>
      <c r="G3274" s="27">
        <v>1</v>
      </c>
      <c r="H3274" s="27">
        <v>1</v>
      </c>
      <c r="I3274" s="27">
        <v>1</v>
      </c>
      <c r="J3274" s="30">
        <f t="shared" si="153"/>
        <v>1</v>
      </c>
      <c r="K3274" s="30">
        <f t="shared" si="154"/>
        <v>1</v>
      </c>
      <c r="L3274" s="26">
        <f t="shared" si="155"/>
        <v>1</v>
      </c>
      <c r="M3274" s="26"/>
    </row>
    <row r="3275" spans="1:13" ht="15" customHeight="1">
      <c r="A3275" s="25" t="s">
        <v>12072</v>
      </c>
      <c r="B3275" s="26" t="s">
        <v>5423</v>
      </c>
      <c r="C3275" s="26" t="s">
        <v>12073</v>
      </c>
      <c r="D3275" s="26" t="s">
        <v>12068</v>
      </c>
      <c r="E3275" s="26" t="s">
        <v>5485</v>
      </c>
      <c r="F3275" s="27">
        <v>6371020</v>
      </c>
      <c r="G3275" s="27">
        <v>1</v>
      </c>
      <c r="H3275" s="27">
        <v>1</v>
      </c>
      <c r="I3275" s="27">
        <v>1</v>
      </c>
      <c r="J3275" s="30">
        <f t="shared" si="153"/>
        <v>1</v>
      </c>
      <c r="K3275" s="30">
        <f t="shared" si="154"/>
        <v>1</v>
      </c>
      <c r="L3275" s="26">
        <f t="shared" si="155"/>
        <v>1</v>
      </c>
      <c r="M3275" s="26"/>
    </row>
    <row r="3276" spans="1:13" ht="15" customHeight="1">
      <c r="A3276" s="25" t="s">
        <v>12074</v>
      </c>
      <c r="B3276" s="26" t="s">
        <v>5423</v>
      </c>
      <c r="C3276" s="26" t="s">
        <v>12075</v>
      </c>
      <c r="D3276" s="26" t="s">
        <v>12076</v>
      </c>
      <c r="E3276" s="26" t="s">
        <v>5452</v>
      </c>
      <c r="F3276" s="27">
        <v>6373306</v>
      </c>
      <c r="G3276" s="27">
        <v>0</v>
      </c>
      <c r="H3276" s="27">
        <v>0</v>
      </c>
      <c r="I3276" s="27">
        <v>0</v>
      </c>
      <c r="J3276" s="30">
        <f t="shared" si="153"/>
        <v>0</v>
      </c>
      <c r="K3276" s="30">
        <f t="shared" si="154"/>
        <v>0</v>
      </c>
      <c r="L3276" s="26">
        <f t="shared" si="155"/>
        <v>0</v>
      </c>
      <c r="M3276" s="26">
        <v>0</v>
      </c>
    </row>
    <row r="3277" spans="1:13" ht="15" customHeight="1">
      <c r="A3277" s="25" t="s">
        <v>12077</v>
      </c>
      <c r="B3277" s="26" t="s">
        <v>5427</v>
      </c>
      <c r="C3277" s="26" t="s">
        <v>12078</v>
      </c>
      <c r="D3277" s="26" t="s">
        <v>12076</v>
      </c>
      <c r="E3277" s="26" t="s">
        <v>5545</v>
      </c>
      <c r="F3277" s="27">
        <v>6373302</v>
      </c>
      <c r="G3277" s="27">
        <v>0</v>
      </c>
      <c r="H3277" s="27">
        <v>0</v>
      </c>
      <c r="I3277" s="27">
        <v>0</v>
      </c>
      <c r="J3277" s="30">
        <f t="shared" si="153"/>
        <v>0</v>
      </c>
      <c r="K3277" s="30">
        <f t="shared" si="154"/>
        <v>0</v>
      </c>
      <c r="L3277" s="26">
        <f t="shared" si="155"/>
        <v>0</v>
      </c>
      <c r="M3277" s="26">
        <v>0</v>
      </c>
    </row>
    <row r="3278" spans="1:13" ht="15" customHeight="1">
      <c r="A3278" s="25" t="s">
        <v>12079</v>
      </c>
      <c r="B3278" s="26" t="s">
        <v>5427</v>
      </c>
      <c r="C3278" s="26" t="s">
        <v>12080</v>
      </c>
      <c r="D3278" s="26" t="s">
        <v>12081</v>
      </c>
      <c r="E3278" s="26" t="s">
        <v>6123</v>
      </c>
      <c r="F3278" s="27">
        <v>6327085</v>
      </c>
      <c r="G3278" s="27">
        <v>1</v>
      </c>
      <c r="H3278" s="27">
        <v>1</v>
      </c>
      <c r="I3278" s="27">
        <v>1</v>
      </c>
      <c r="J3278" s="30">
        <f t="shared" si="153"/>
        <v>1</v>
      </c>
      <c r="K3278" s="30">
        <f t="shared" si="154"/>
        <v>1</v>
      </c>
      <c r="L3278" s="26">
        <f t="shared" si="155"/>
        <v>1</v>
      </c>
      <c r="M3278" s="26"/>
    </row>
    <row r="3279" spans="1:13" ht="15" customHeight="1">
      <c r="A3279" s="25" t="s">
        <v>12082</v>
      </c>
      <c r="B3279" s="26" t="s">
        <v>5423</v>
      </c>
      <c r="C3279" s="26" t="s">
        <v>12083</v>
      </c>
      <c r="D3279" s="26" t="s">
        <v>12084</v>
      </c>
      <c r="E3279" s="26" t="s">
        <v>5480</v>
      </c>
      <c r="F3279" s="27">
        <v>6372644</v>
      </c>
      <c r="G3279" s="27">
        <v>1</v>
      </c>
      <c r="H3279" s="27">
        <v>1</v>
      </c>
      <c r="I3279" s="27">
        <v>1</v>
      </c>
      <c r="J3279" s="30">
        <f t="shared" si="153"/>
        <v>1</v>
      </c>
      <c r="K3279" s="30">
        <f t="shared" si="154"/>
        <v>1</v>
      </c>
      <c r="L3279" s="26">
        <f t="shared" si="155"/>
        <v>1</v>
      </c>
      <c r="M3279" s="26" t="s">
        <v>9990</v>
      </c>
    </row>
    <row r="3280" spans="1:13" ht="15" customHeight="1">
      <c r="A3280" s="25" t="s">
        <v>12085</v>
      </c>
      <c r="B3280" s="26" t="s">
        <v>5427</v>
      </c>
      <c r="C3280" s="26" t="s">
        <v>12086</v>
      </c>
      <c r="D3280" s="26" t="s">
        <v>12087</v>
      </c>
      <c r="E3280" s="26" t="s">
        <v>5540</v>
      </c>
      <c r="F3280" s="27">
        <v>6296599</v>
      </c>
      <c r="G3280" s="27">
        <v>1</v>
      </c>
      <c r="H3280" s="27">
        <v>1</v>
      </c>
      <c r="I3280" s="27">
        <v>1</v>
      </c>
      <c r="J3280" s="30">
        <f t="shared" si="153"/>
        <v>1</v>
      </c>
      <c r="K3280" s="30">
        <f t="shared" si="154"/>
        <v>1</v>
      </c>
      <c r="L3280" s="26">
        <f t="shared" si="155"/>
        <v>1</v>
      </c>
      <c r="M3280" s="26"/>
    </row>
    <row r="3281" spans="1:13" ht="15" customHeight="1">
      <c r="A3281" s="25" t="s">
        <v>12088</v>
      </c>
      <c r="B3281" s="26" t="s">
        <v>5423</v>
      </c>
      <c r="C3281" s="26" t="s">
        <v>12089</v>
      </c>
      <c r="D3281" s="26" t="s">
        <v>12090</v>
      </c>
      <c r="E3281" s="26" t="s">
        <v>5488</v>
      </c>
      <c r="F3281" s="27">
        <v>6372962</v>
      </c>
      <c r="G3281" s="27">
        <v>0</v>
      </c>
      <c r="H3281" s="27">
        <v>1</v>
      </c>
      <c r="I3281" s="27">
        <v>1</v>
      </c>
      <c r="J3281" s="30">
        <f t="shared" si="153"/>
        <v>0</v>
      </c>
      <c r="K3281" s="30">
        <f t="shared" si="154"/>
        <v>1</v>
      </c>
      <c r="L3281" s="26">
        <f t="shared" si="155"/>
        <v>0</v>
      </c>
      <c r="M3281" s="26"/>
    </row>
    <row r="3282" spans="1:13" ht="15" customHeight="1">
      <c r="A3282" s="25" t="s">
        <v>12091</v>
      </c>
      <c r="B3282" s="26" t="s">
        <v>5423</v>
      </c>
      <c r="C3282" s="26" t="s">
        <v>12092</v>
      </c>
      <c r="D3282" s="26" t="s">
        <v>12054</v>
      </c>
      <c r="E3282" s="26" t="s">
        <v>5683</v>
      </c>
      <c r="F3282" s="27">
        <v>6360453</v>
      </c>
      <c r="G3282" s="27">
        <v>1</v>
      </c>
      <c r="H3282" s="27">
        <v>1</v>
      </c>
      <c r="I3282" s="27">
        <v>1</v>
      </c>
      <c r="J3282" s="30">
        <f t="shared" si="153"/>
        <v>1</v>
      </c>
      <c r="K3282" s="30">
        <f t="shared" si="154"/>
        <v>1</v>
      </c>
      <c r="L3282" s="26">
        <f t="shared" si="155"/>
        <v>1</v>
      </c>
      <c r="M3282" s="26"/>
    </row>
    <row r="3283" spans="1:13" ht="15" customHeight="1">
      <c r="A3283" s="25">
        <v>1837128</v>
      </c>
      <c r="B3283" s="26" t="s">
        <v>5427</v>
      </c>
      <c r="C3283" s="26" t="s">
        <v>12093</v>
      </c>
      <c r="D3283" s="26" t="s">
        <v>12094</v>
      </c>
      <c r="E3283" s="26" t="s">
        <v>5442</v>
      </c>
      <c r="F3283" s="27">
        <v>5014918</v>
      </c>
      <c r="G3283" s="27">
        <v>1</v>
      </c>
      <c r="H3283" s="27">
        <v>0</v>
      </c>
      <c r="I3283" s="27">
        <v>1</v>
      </c>
      <c r="J3283" s="30">
        <f t="shared" si="153"/>
        <v>1</v>
      </c>
      <c r="K3283" s="30">
        <f t="shared" si="154"/>
        <v>0</v>
      </c>
      <c r="L3283" s="26">
        <f t="shared" si="155"/>
        <v>0</v>
      </c>
      <c r="M3283" s="26"/>
    </row>
    <row r="3284" spans="1:13" ht="15" customHeight="1">
      <c r="A3284" s="25" t="s">
        <v>12095</v>
      </c>
      <c r="B3284" s="26" t="s">
        <v>5423</v>
      </c>
      <c r="C3284" s="26" t="s">
        <v>12096</v>
      </c>
      <c r="D3284" s="26" t="s">
        <v>12097</v>
      </c>
      <c r="E3284" s="26" t="s">
        <v>5442</v>
      </c>
      <c r="F3284" s="27">
        <v>5106158</v>
      </c>
      <c r="G3284" s="27">
        <v>0</v>
      </c>
      <c r="H3284" s="27">
        <v>0</v>
      </c>
      <c r="I3284" s="27">
        <v>0</v>
      </c>
      <c r="J3284" s="30">
        <f t="shared" si="153"/>
        <v>0</v>
      </c>
      <c r="K3284" s="30">
        <f t="shared" si="154"/>
        <v>0</v>
      </c>
      <c r="L3284" s="26">
        <f t="shared" si="155"/>
        <v>0</v>
      </c>
      <c r="M3284" s="26" t="s">
        <v>5557</v>
      </c>
    </row>
    <row r="3285" spans="1:13" ht="15" customHeight="1">
      <c r="A3285" s="25" t="s">
        <v>12098</v>
      </c>
      <c r="B3285" s="26" t="s">
        <v>5427</v>
      </c>
      <c r="C3285" s="26" t="s">
        <v>12099</v>
      </c>
      <c r="D3285" s="26" t="s">
        <v>12054</v>
      </c>
      <c r="E3285" s="26" t="s">
        <v>5488</v>
      </c>
      <c r="F3285" s="27">
        <v>6365687</v>
      </c>
      <c r="G3285" s="27">
        <v>1</v>
      </c>
      <c r="H3285" s="27">
        <v>1</v>
      </c>
      <c r="I3285" s="27">
        <v>1</v>
      </c>
      <c r="J3285" s="30">
        <f t="shared" si="153"/>
        <v>1</v>
      </c>
      <c r="K3285" s="30">
        <f t="shared" si="154"/>
        <v>1</v>
      </c>
      <c r="L3285" s="26">
        <f t="shared" si="155"/>
        <v>1</v>
      </c>
      <c r="M3285" s="26"/>
    </row>
    <row r="3286" spans="1:13" ht="15" customHeight="1">
      <c r="A3286" s="25" t="s">
        <v>12100</v>
      </c>
      <c r="B3286" s="26" t="s">
        <v>5427</v>
      </c>
      <c r="C3286" s="26" t="s">
        <v>12101</v>
      </c>
      <c r="D3286" s="26" t="s">
        <v>12087</v>
      </c>
      <c r="E3286" s="26" t="s">
        <v>5504</v>
      </c>
      <c r="F3286" s="27">
        <v>6365151</v>
      </c>
      <c r="G3286" s="27">
        <v>1</v>
      </c>
      <c r="H3286" s="27">
        <v>1</v>
      </c>
      <c r="I3286" s="27">
        <v>1</v>
      </c>
      <c r="J3286" s="30">
        <f t="shared" si="153"/>
        <v>1</v>
      </c>
      <c r="K3286" s="30">
        <f t="shared" si="154"/>
        <v>1</v>
      </c>
      <c r="L3286" s="26">
        <f t="shared" si="155"/>
        <v>1</v>
      </c>
      <c r="M3286" s="26"/>
    </row>
    <row r="3287" spans="1:13" ht="15" customHeight="1">
      <c r="A3287" s="25" t="s">
        <v>12102</v>
      </c>
      <c r="B3287" s="26" t="s">
        <v>5427</v>
      </c>
      <c r="C3287" s="26" t="s">
        <v>12103</v>
      </c>
      <c r="D3287" s="26" t="s">
        <v>12090</v>
      </c>
      <c r="E3287" s="26" t="s">
        <v>5517</v>
      </c>
      <c r="F3287" s="27">
        <v>6375928</v>
      </c>
      <c r="G3287" s="27">
        <v>1</v>
      </c>
      <c r="H3287" s="27">
        <v>1</v>
      </c>
      <c r="I3287" s="27">
        <v>1</v>
      </c>
      <c r="J3287" s="30">
        <f t="shared" si="153"/>
        <v>1</v>
      </c>
      <c r="K3287" s="30">
        <f t="shared" si="154"/>
        <v>1</v>
      </c>
      <c r="L3287" s="26">
        <f t="shared" si="155"/>
        <v>1</v>
      </c>
      <c r="M3287" s="26"/>
    </row>
    <row r="3288" spans="1:13" ht="15" customHeight="1">
      <c r="A3288" s="25" t="s">
        <v>12104</v>
      </c>
      <c r="B3288" s="26" t="s">
        <v>5427</v>
      </c>
      <c r="C3288" s="26" t="s">
        <v>12105</v>
      </c>
      <c r="D3288" s="26" t="s">
        <v>12094</v>
      </c>
      <c r="E3288" s="26" t="s">
        <v>5507</v>
      </c>
      <c r="F3288" s="27">
        <v>6371316</v>
      </c>
      <c r="G3288" s="27">
        <v>1</v>
      </c>
      <c r="H3288" s="27">
        <v>0</v>
      </c>
      <c r="I3288" s="27">
        <v>1</v>
      </c>
      <c r="J3288" s="30">
        <f t="shared" si="153"/>
        <v>1</v>
      </c>
      <c r="K3288" s="30">
        <f t="shared" si="154"/>
        <v>0</v>
      </c>
      <c r="L3288" s="26">
        <f t="shared" si="155"/>
        <v>0</v>
      </c>
      <c r="M3288" s="26" t="s">
        <v>9423</v>
      </c>
    </row>
    <row r="3289" spans="1:13" ht="15" customHeight="1">
      <c r="A3289" s="25" t="s">
        <v>12106</v>
      </c>
      <c r="B3289" s="26" t="s">
        <v>5423</v>
      </c>
      <c r="C3289" s="26" t="s">
        <v>12107</v>
      </c>
      <c r="D3289" s="26" t="s">
        <v>12094</v>
      </c>
      <c r="E3289" s="26" t="s">
        <v>5455</v>
      </c>
      <c r="F3289" s="27">
        <v>6376526</v>
      </c>
      <c r="G3289" s="27">
        <v>1</v>
      </c>
      <c r="H3289" s="27">
        <v>1</v>
      </c>
      <c r="I3289" s="27">
        <v>1</v>
      </c>
      <c r="J3289" s="30">
        <f t="shared" si="153"/>
        <v>1</v>
      </c>
      <c r="K3289" s="30">
        <f t="shared" si="154"/>
        <v>1</v>
      </c>
      <c r="L3289" s="26">
        <f t="shared" si="155"/>
        <v>1</v>
      </c>
      <c r="M3289" s="26"/>
    </row>
    <row r="3290" spans="1:13" ht="15" customHeight="1">
      <c r="A3290" s="25" t="s">
        <v>12108</v>
      </c>
      <c r="B3290" s="26" t="s">
        <v>5427</v>
      </c>
      <c r="C3290" s="26" t="s">
        <v>12109</v>
      </c>
      <c r="D3290" s="26" t="s">
        <v>12110</v>
      </c>
      <c r="E3290" s="26" t="s">
        <v>5504</v>
      </c>
      <c r="F3290" s="27">
        <v>6376291</v>
      </c>
      <c r="G3290" s="27">
        <v>1</v>
      </c>
      <c r="H3290" s="27">
        <v>0</v>
      </c>
      <c r="I3290" s="27">
        <v>1</v>
      </c>
      <c r="J3290" s="30">
        <f t="shared" si="153"/>
        <v>1</v>
      </c>
      <c r="K3290" s="30">
        <f t="shared" si="154"/>
        <v>0</v>
      </c>
      <c r="L3290" s="26">
        <f t="shared" si="155"/>
        <v>0</v>
      </c>
      <c r="M3290" s="26"/>
    </row>
    <row r="3291" spans="1:13" ht="15" customHeight="1">
      <c r="A3291" s="25" t="s">
        <v>12111</v>
      </c>
      <c r="B3291" s="26" t="s">
        <v>5423</v>
      </c>
      <c r="C3291" s="26" t="s">
        <v>12112</v>
      </c>
      <c r="D3291" s="26" t="s">
        <v>12094</v>
      </c>
      <c r="E3291" s="26" t="s">
        <v>5522</v>
      </c>
      <c r="F3291" s="27">
        <v>6358091</v>
      </c>
      <c r="G3291" s="27">
        <v>1</v>
      </c>
      <c r="H3291" s="27">
        <v>0</v>
      </c>
      <c r="I3291" s="27">
        <v>1</v>
      </c>
      <c r="J3291" s="30">
        <f t="shared" si="153"/>
        <v>1</v>
      </c>
      <c r="K3291" s="30">
        <f t="shared" si="154"/>
        <v>0</v>
      </c>
      <c r="L3291" s="26">
        <f t="shared" si="155"/>
        <v>0</v>
      </c>
      <c r="M3291" s="26"/>
    </row>
    <row r="3292" spans="1:13" ht="15" customHeight="1">
      <c r="A3292" s="25" t="s">
        <v>12113</v>
      </c>
      <c r="B3292" s="26" t="s">
        <v>5427</v>
      </c>
      <c r="C3292" s="26" t="s">
        <v>12114</v>
      </c>
      <c r="D3292" s="26" t="s">
        <v>12115</v>
      </c>
      <c r="E3292" s="26" t="s">
        <v>5575</v>
      </c>
      <c r="F3292" s="27">
        <v>6376530</v>
      </c>
      <c r="G3292" s="27">
        <v>1</v>
      </c>
      <c r="H3292" s="27">
        <v>0</v>
      </c>
      <c r="I3292" s="27">
        <v>1</v>
      </c>
      <c r="J3292" s="30">
        <f t="shared" si="153"/>
        <v>1</v>
      </c>
      <c r="K3292" s="30">
        <f t="shared" si="154"/>
        <v>0</v>
      </c>
      <c r="L3292" s="26">
        <f t="shared" si="155"/>
        <v>0</v>
      </c>
      <c r="M3292" s="26"/>
    </row>
    <row r="3293" spans="1:13" ht="15" customHeight="1">
      <c r="A3293" s="25" t="s">
        <v>12116</v>
      </c>
      <c r="B3293" s="26" t="s">
        <v>5423</v>
      </c>
      <c r="C3293" s="26" t="s">
        <v>12117</v>
      </c>
      <c r="D3293" s="26" t="s">
        <v>12094</v>
      </c>
      <c r="E3293" s="26" t="s">
        <v>5452</v>
      </c>
      <c r="F3293" s="27">
        <v>6377240</v>
      </c>
      <c r="G3293" s="27">
        <v>0</v>
      </c>
      <c r="H3293" s="27">
        <v>0</v>
      </c>
      <c r="I3293" s="27">
        <v>0</v>
      </c>
      <c r="J3293" s="30">
        <f t="shared" si="153"/>
        <v>0</v>
      </c>
      <c r="K3293" s="30">
        <f t="shared" si="154"/>
        <v>0</v>
      </c>
      <c r="L3293" s="26">
        <f t="shared" si="155"/>
        <v>0</v>
      </c>
      <c r="M3293" s="26">
        <v>0</v>
      </c>
    </row>
    <row r="3294" spans="1:13" ht="15" customHeight="1">
      <c r="A3294" s="25" t="s">
        <v>12118</v>
      </c>
      <c r="B3294" s="26" t="s">
        <v>5423</v>
      </c>
      <c r="C3294" s="26" t="s">
        <v>12119</v>
      </c>
      <c r="D3294" s="26" t="s">
        <v>12084</v>
      </c>
      <c r="E3294" s="26" t="s">
        <v>5488</v>
      </c>
      <c r="F3294" s="27">
        <v>6376533</v>
      </c>
      <c r="G3294" s="27">
        <v>1</v>
      </c>
      <c r="H3294" s="27">
        <v>0</v>
      </c>
      <c r="I3294" s="27">
        <v>1</v>
      </c>
      <c r="J3294" s="30">
        <f t="shared" si="153"/>
        <v>1</v>
      </c>
      <c r="K3294" s="30">
        <f t="shared" si="154"/>
        <v>0</v>
      </c>
      <c r="L3294" s="26">
        <f t="shared" si="155"/>
        <v>0</v>
      </c>
      <c r="M3294" s="26"/>
    </row>
    <row r="3295" spans="1:13" ht="15" customHeight="1">
      <c r="A3295" s="25" t="s">
        <v>12120</v>
      </c>
      <c r="B3295" s="26" t="s">
        <v>5423</v>
      </c>
      <c r="C3295" s="26" t="s">
        <v>12121</v>
      </c>
      <c r="D3295" s="26" t="s">
        <v>12081</v>
      </c>
      <c r="E3295" s="26" t="s">
        <v>5447</v>
      </c>
      <c r="F3295" s="27"/>
      <c r="G3295" s="27">
        <v>0</v>
      </c>
      <c r="H3295" s="27">
        <v>0</v>
      </c>
      <c r="I3295" s="27">
        <v>0</v>
      </c>
      <c r="J3295" s="30">
        <f t="shared" si="153"/>
        <v>0</v>
      </c>
      <c r="K3295" s="30">
        <f t="shared" si="154"/>
        <v>0</v>
      </c>
      <c r="L3295" s="26">
        <f t="shared" si="155"/>
        <v>0</v>
      </c>
      <c r="M3295" s="26" t="s">
        <v>8147</v>
      </c>
    </row>
    <row r="3296" spans="1:13" ht="15" customHeight="1">
      <c r="A3296" s="25" t="s">
        <v>12122</v>
      </c>
      <c r="B3296" s="26" t="s">
        <v>5423</v>
      </c>
      <c r="C3296" s="26" t="s">
        <v>12123</v>
      </c>
      <c r="D3296" s="26" t="s">
        <v>12094</v>
      </c>
      <c r="E3296" s="26" t="s">
        <v>5529</v>
      </c>
      <c r="F3296" s="27">
        <v>6316415</v>
      </c>
      <c r="G3296" s="27">
        <v>1</v>
      </c>
      <c r="H3296" s="27">
        <v>1</v>
      </c>
      <c r="I3296" s="27">
        <v>1</v>
      </c>
      <c r="J3296" s="30">
        <f t="shared" si="153"/>
        <v>1</v>
      </c>
      <c r="K3296" s="30">
        <f t="shared" si="154"/>
        <v>1</v>
      </c>
      <c r="L3296" s="26">
        <f t="shared" si="155"/>
        <v>1</v>
      </c>
      <c r="M3296" s="26"/>
    </row>
    <row r="3297" spans="1:13" ht="15" customHeight="1">
      <c r="A3297" s="25" t="s">
        <v>12124</v>
      </c>
      <c r="B3297" s="26" t="s">
        <v>5423</v>
      </c>
      <c r="C3297" s="26" t="s">
        <v>12125</v>
      </c>
      <c r="D3297" s="26" t="s">
        <v>12126</v>
      </c>
      <c r="E3297" s="26" t="s">
        <v>5540</v>
      </c>
      <c r="F3297" s="27"/>
      <c r="G3297" s="27">
        <v>0</v>
      </c>
      <c r="H3297" s="27">
        <v>0</v>
      </c>
      <c r="I3297" s="27">
        <v>0</v>
      </c>
      <c r="J3297" s="30">
        <f t="shared" si="153"/>
        <v>0</v>
      </c>
      <c r="K3297" s="30">
        <f t="shared" si="154"/>
        <v>0</v>
      </c>
      <c r="L3297" s="26">
        <f t="shared" si="155"/>
        <v>0</v>
      </c>
      <c r="M3297" s="26" t="s">
        <v>12127</v>
      </c>
    </row>
    <row r="3298" spans="1:13" ht="15" customHeight="1">
      <c r="A3298" s="25" t="s">
        <v>12128</v>
      </c>
      <c r="B3298" s="26" t="s">
        <v>5423</v>
      </c>
      <c r="C3298" s="26" t="s">
        <v>12129</v>
      </c>
      <c r="D3298" s="26" t="s">
        <v>12115</v>
      </c>
      <c r="E3298" s="26" t="s">
        <v>5545</v>
      </c>
      <c r="F3298" s="27">
        <v>6364299</v>
      </c>
      <c r="G3298" s="27">
        <v>1</v>
      </c>
      <c r="H3298" s="27">
        <v>1</v>
      </c>
      <c r="I3298" s="27">
        <v>1</v>
      </c>
      <c r="J3298" s="30">
        <f t="shared" si="153"/>
        <v>1</v>
      </c>
      <c r="K3298" s="30">
        <f t="shared" si="154"/>
        <v>1</v>
      </c>
      <c r="L3298" s="26">
        <f t="shared" si="155"/>
        <v>1</v>
      </c>
      <c r="M3298" s="26"/>
    </row>
    <row r="3299" spans="1:13" ht="15" customHeight="1">
      <c r="A3299" s="25" t="s">
        <v>12130</v>
      </c>
      <c r="B3299" s="26" t="s">
        <v>5423</v>
      </c>
      <c r="C3299" s="26" t="s">
        <v>12131</v>
      </c>
      <c r="D3299" s="26" t="s">
        <v>12090</v>
      </c>
      <c r="E3299" s="26" t="s">
        <v>5485</v>
      </c>
      <c r="F3299" s="27">
        <v>6377867</v>
      </c>
      <c r="G3299" s="27">
        <v>0</v>
      </c>
      <c r="H3299" s="27">
        <v>1</v>
      </c>
      <c r="I3299" s="27">
        <v>1</v>
      </c>
      <c r="J3299" s="30">
        <f t="shared" si="153"/>
        <v>0</v>
      </c>
      <c r="K3299" s="30">
        <f t="shared" si="154"/>
        <v>1</v>
      </c>
      <c r="L3299" s="26">
        <f t="shared" si="155"/>
        <v>0</v>
      </c>
      <c r="M3299" s="26"/>
    </row>
    <row r="3300" spans="1:13" ht="15" customHeight="1">
      <c r="A3300" s="25" t="s">
        <v>12132</v>
      </c>
      <c r="B3300" s="26" t="s">
        <v>5423</v>
      </c>
      <c r="C3300" s="26" t="s">
        <v>12133</v>
      </c>
      <c r="D3300" s="26" t="s">
        <v>12090</v>
      </c>
      <c r="E3300" s="26" t="s">
        <v>5532</v>
      </c>
      <c r="F3300" s="27">
        <v>6360083</v>
      </c>
      <c r="G3300" s="27">
        <v>1</v>
      </c>
      <c r="H3300" s="27">
        <v>1</v>
      </c>
      <c r="I3300" s="27">
        <v>1</v>
      </c>
      <c r="J3300" s="30">
        <f t="shared" si="153"/>
        <v>1</v>
      </c>
      <c r="K3300" s="30">
        <f t="shared" si="154"/>
        <v>1</v>
      </c>
      <c r="L3300" s="26">
        <f t="shared" si="155"/>
        <v>1</v>
      </c>
      <c r="M3300" s="26"/>
    </row>
    <row r="3301" spans="1:13" ht="15" customHeight="1">
      <c r="A3301" s="25" t="s">
        <v>12134</v>
      </c>
      <c r="B3301" s="26" t="s">
        <v>5423</v>
      </c>
      <c r="C3301" s="26" t="s">
        <v>12135</v>
      </c>
      <c r="D3301" s="26" t="s">
        <v>12094</v>
      </c>
      <c r="E3301" s="26" t="s">
        <v>5529</v>
      </c>
      <c r="F3301" s="27">
        <v>6379134</v>
      </c>
      <c r="G3301" s="27">
        <v>0</v>
      </c>
      <c r="H3301" s="27">
        <v>0</v>
      </c>
      <c r="I3301" s="27">
        <v>0</v>
      </c>
      <c r="J3301" s="30">
        <f t="shared" si="153"/>
        <v>0</v>
      </c>
      <c r="K3301" s="30">
        <f t="shared" si="154"/>
        <v>0</v>
      </c>
      <c r="L3301" s="26">
        <f t="shared" si="155"/>
        <v>0</v>
      </c>
      <c r="M3301" s="26">
        <v>0</v>
      </c>
    </row>
    <row r="3302" spans="1:13" ht="15" customHeight="1">
      <c r="A3302" s="25" t="s">
        <v>12136</v>
      </c>
      <c r="B3302" s="26" t="s">
        <v>5427</v>
      </c>
      <c r="C3302" s="26" t="s">
        <v>12137</v>
      </c>
      <c r="D3302" s="26" t="s">
        <v>12138</v>
      </c>
      <c r="E3302" s="26" t="s">
        <v>5586</v>
      </c>
      <c r="F3302" s="27">
        <v>6047971</v>
      </c>
      <c r="G3302" s="27">
        <v>1</v>
      </c>
      <c r="H3302" s="27">
        <v>1</v>
      </c>
      <c r="I3302" s="27">
        <v>1</v>
      </c>
      <c r="J3302" s="30">
        <f t="shared" si="153"/>
        <v>1</v>
      </c>
      <c r="K3302" s="30">
        <f t="shared" si="154"/>
        <v>1</v>
      </c>
      <c r="L3302" s="26">
        <f t="shared" si="155"/>
        <v>1</v>
      </c>
      <c r="M3302" s="26"/>
    </row>
    <row r="3303" spans="1:13" ht="15" customHeight="1">
      <c r="A3303" s="25" t="s">
        <v>12139</v>
      </c>
      <c r="B3303" s="26" t="s">
        <v>5423</v>
      </c>
      <c r="C3303" s="26" t="s">
        <v>12140</v>
      </c>
      <c r="D3303" s="26" t="s">
        <v>12138</v>
      </c>
      <c r="E3303" s="26" t="s">
        <v>5455</v>
      </c>
      <c r="F3303" s="27">
        <v>6379599</v>
      </c>
      <c r="G3303" s="27">
        <v>1</v>
      </c>
      <c r="H3303" s="27">
        <v>1</v>
      </c>
      <c r="I3303" s="27">
        <v>1</v>
      </c>
      <c r="J3303" s="30">
        <f t="shared" si="153"/>
        <v>1</v>
      </c>
      <c r="K3303" s="30">
        <f t="shared" si="154"/>
        <v>1</v>
      </c>
      <c r="L3303" s="26">
        <f t="shared" si="155"/>
        <v>1</v>
      </c>
      <c r="M3303" s="26"/>
    </row>
    <row r="3304" spans="1:13" ht="15" customHeight="1">
      <c r="A3304" s="25" t="s">
        <v>12141</v>
      </c>
      <c r="B3304" s="26" t="s">
        <v>5423</v>
      </c>
      <c r="C3304" s="26" t="s">
        <v>12142</v>
      </c>
      <c r="D3304" s="26" t="s">
        <v>12126</v>
      </c>
      <c r="E3304" s="26" t="s">
        <v>5540</v>
      </c>
      <c r="F3304" s="27">
        <v>6379600</v>
      </c>
      <c r="G3304" s="27">
        <v>1</v>
      </c>
      <c r="H3304" s="27">
        <v>1</v>
      </c>
      <c r="I3304" s="27">
        <v>1</v>
      </c>
      <c r="J3304" s="30">
        <f t="shared" si="153"/>
        <v>1</v>
      </c>
      <c r="K3304" s="30">
        <f t="shared" si="154"/>
        <v>1</v>
      </c>
      <c r="L3304" s="26">
        <f t="shared" si="155"/>
        <v>1</v>
      </c>
      <c r="M3304" s="26"/>
    </row>
    <row r="3305" spans="1:13" ht="15" customHeight="1">
      <c r="A3305" s="25" t="s">
        <v>12143</v>
      </c>
      <c r="B3305" s="26" t="s">
        <v>5427</v>
      </c>
      <c r="C3305" s="26" t="s">
        <v>12144</v>
      </c>
      <c r="D3305" s="26" t="s">
        <v>12097</v>
      </c>
      <c r="E3305" s="26" t="s">
        <v>5475</v>
      </c>
      <c r="F3305" s="27">
        <v>6381697</v>
      </c>
      <c r="G3305" s="27">
        <v>0</v>
      </c>
      <c r="H3305" s="27">
        <v>0</v>
      </c>
      <c r="I3305" s="27">
        <v>0</v>
      </c>
      <c r="J3305" s="30">
        <f t="shared" si="153"/>
        <v>0</v>
      </c>
      <c r="K3305" s="30">
        <f t="shared" si="154"/>
        <v>0</v>
      </c>
      <c r="L3305" s="26">
        <f t="shared" si="155"/>
        <v>0</v>
      </c>
      <c r="M3305" s="26">
        <v>0</v>
      </c>
    </row>
    <row r="3306" spans="1:13" ht="15" customHeight="1">
      <c r="A3306" s="25" t="s">
        <v>12145</v>
      </c>
      <c r="B3306" s="26" t="s">
        <v>5423</v>
      </c>
      <c r="C3306" s="26" t="s">
        <v>12146</v>
      </c>
      <c r="D3306" s="26" t="s">
        <v>12147</v>
      </c>
      <c r="E3306" s="26" t="s">
        <v>5550</v>
      </c>
      <c r="F3306" s="27">
        <v>6381162</v>
      </c>
      <c r="G3306" s="27">
        <v>1</v>
      </c>
      <c r="H3306" s="27">
        <v>0</v>
      </c>
      <c r="I3306" s="27">
        <v>1</v>
      </c>
      <c r="J3306" s="30">
        <f t="shared" si="153"/>
        <v>1</v>
      </c>
      <c r="K3306" s="30">
        <f t="shared" si="154"/>
        <v>0</v>
      </c>
      <c r="L3306" s="26">
        <f t="shared" si="155"/>
        <v>0</v>
      </c>
      <c r="M3306" s="26"/>
    </row>
    <row r="3307" spans="1:13" ht="15" customHeight="1">
      <c r="A3307" s="25" t="s">
        <v>12148</v>
      </c>
      <c r="B3307" s="26" t="s">
        <v>5427</v>
      </c>
      <c r="C3307" s="26" t="s">
        <v>12149</v>
      </c>
      <c r="D3307" s="26" t="s">
        <v>12138</v>
      </c>
      <c r="E3307" s="26" t="s">
        <v>5772</v>
      </c>
      <c r="F3307" s="27">
        <v>6381168</v>
      </c>
      <c r="G3307" s="27">
        <v>1</v>
      </c>
      <c r="H3307" s="27">
        <v>0</v>
      </c>
      <c r="I3307" s="27">
        <v>1</v>
      </c>
      <c r="J3307" s="30">
        <f t="shared" si="153"/>
        <v>1</v>
      </c>
      <c r="K3307" s="30">
        <f t="shared" si="154"/>
        <v>0</v>
      </c>
      <c r="L3307" s="26">
        <f t="shared" si="155"/>
        <v>0</v>
      </c>
      <c r="M3307" s="26"/>
    </row>
    <row r="3308" spans="1:13" ht="15" customHeight="1">
      <c r="A3308" s="25" t="s">
        <v>12150</v>
      </c>
      <c r="B3308" s="26" t="s">
        <v>5423</v>
      </c>
      <c r="C3308" s="26" t="s">
        <v>12151</v>
      </c>
      <c r="D3308" s="26" t="s">
        <v>12152</v>
      </c>
      <c r="E3308" s="26" t="s">
        <v>5426</v>
      </c>
      <c r="F3308" s="27">
        <v>6374756</v>
      </c>
      <c r="G3308" s="27">
        <v>0</v>
      </c>
      <c r="H3308" s="27">
        <v>0</v>
      </c>
      <c r="I3308" s="27">
        <v>0</v>
      </c>
      <c r="J3308" s="30">
        <f t="shared" si="153"/>
        <v>0</v>
      </c>
      <c r="K3308" s="30">
        <f t="shared" si="154"/>
        <v>0</v>
      </c>
      <c r="L3308" s="26">
        <f t="shared" si="155"/>
        <v>0</v>
      </c>
      <c r="M3308" s="26">
        <v>0</v>
      </c>
    </row>
    <row r="3309" spans="1:13" ht="15" customHeight="1">
      <c r="A3309" s="25" t="s">
        <v>12153</v>
      </c>
      <c r="B3309" s="26" t="s">
        <v>5427</v>
      </c>
      <c r="C3309" s="26" t="s">
        <v>12154</v>
      </c>
      <c r="D3309" s="26" t="s">
        <v>12155</v>
      </c>
      <c r="E3309" s="26" t="s">
        <v>5683</v>
      </c>
      <c r="F3309" s="27">
        <v>5814491</v>
      </c>
      <c r="G3309" s="27">
        <v>1</v>
      </c>
      <c r="H3309" s="27">
        <v>0</v>
      </c>
      <c r="I3309" s="27">
        <v>1</v>
      </c>
      <c r="J3309" s="30">
        <f t="shared" si="153"/>
        <v>1</v>
      </c>
      <c r="K3309" s="30">
        <f t="shared" si="154"/>
        <v>0</v>
      </c>
      <c r="L3309" s="26">
        <f t="shared" si="155"/>
        <v>0</v>
      </c>
      <c r="M3309" s="26"/>
    </row>
    <row r="3310" spans="1:13" ht="15" customHeight="1">
      <c r="A3310" s="25" t="s">
        <v>12156</v>
      </c>
      <c r="B3310" s="26" t="s">
        <v>5427</v>
      </c>
      <c r="C3310" s="26" t="s">
        <v>12157</v>
      </c>
      <c r="D3310" s="26" t="s">
        <v>12147</v>
      </c>
      <c r="E3310" s="26" t="s">
        <v>5535</v>
      </c>
      <c r="F3310" s="27">
        <v>6374954</v>
      </c>
      <c r="G3310" s="27">
        <v>1</v>
      </c>
      <c r="H3310" s="27">
        <v>0</v>
      </c>
      <c r="I3310" s="27">
        <v>1</v>
      </c>
      <c r="J3310" s="30">
        <f t="shared" si="153"/>
        <v>1</v>
      </c>
      <c r="K3310" s="30">
        <f t="shared" si="154"/>
        <v>0</v>
      </c>
      <c r="L3310" s="26">
        <f t="shared" si="155"/>
        <v>0</v>
      </c>
      <c r="M3310" s="26"/>
    </row>
    <row r="3311" spans="1:13" ht="15" customHeight="1">
      <c r="A3311" s="25" t="s">
        <v>12158</v>
      </c>
      <c r="B3311" s="26" t="s">
        <v>5427</v>
      </c>
      <c r="C3311" s="26" t="s">
        <v>12159</v>
      </c>
      <c r="D3311" s="26" t="s">
        <v>12126</v>
      </c>
      <c r="E3311" s="26" t="s">
        <v>5529</v>
      </c>
      <c r="F3311" s="27">
        <v>6382497</v>
      </c>
      <c r="G3311" s="27">
        <v>1</v>
      </c>
      <c r="H3311" s="27">
        <v>1</v>
      </c>
      <c r="I3311" s="27">
        <v>1</v>
      </c>
      <c r="J3311" s="30">
        <f t="shared" si="153"/>
        <v>1</v>
      </c>
      <c r="K3311" s="30">
        <f t="shared" si="154"/>
        <v>1</v>
      </c>
      <c r="L3311" s="26">
        <f t="shared" si="155"/>
        <v>1</v>
      </c>
      <c r="M3311" s="26"/>
    </row>
    <row r="3312" spans="1:13" ht="15" customHeight="1">
      <c r="A3312" s="25" t="s">
        <v>12160</v>
      </c>
      <c r="B3312" s="26" t="s">
        <v>5423</v>
      </c>
      <c r="C3312" s="26" t="s">
        <v>12161</v>
      </c>
      <c r="D3312" s="26" t="s">
        <v>12162</v>
      </c>
      <c r="E3312" s="26" t="s">
        <v>5468</v>
      </c>
      <c r="F3312" s="27">
        <v>6382086</v>
      </c>
      <c r="G3312" s="27">
        <v>1</v>
      </c>
      <c r="H3312" s="27">
        <v>0</v>
      </c>
      <c r="I3312" s="27">
        <v>1</v>
      </c>
      <c r="J3312" s="30">
        <f t="shared" si="153"/>
        <v>1</v>
      </c>
      <c r="K3312" s="30">
        <f t="shared" si="154"/>
        <v>0</v>
      </c>
      <c r="L3312" s="26">
        <f t="shared" si="155"/>
        <v>0</v>
      </c>
      <c r="M3312" s="26"/>
    </row>
    <row r="3313" spans="1:13" ht="15" customHeight="1">
      <c r="A3313" s="25" t="s">
        <v>12163</v>
      </c>
      <c r="B3313" s="26" t="s">
        <v>5427</v>
      </c>
      <c r="C3313" s="26" t="s">
        <v>12164</v>
      </c>
      <c r="D3313" s="26" t="s">
        <v>12155</v>
      </c>
      <c r="E3313" s="26" t="s">
        <v>5560</v>
      </c>
      <c r="F3313" s="27">
        <v>6373625</v>
      </c>
      <c r="G3313" s="27">
        <v>1</v>
      </c>
      <c r="H3313" s="27">
        <v>1</v>
      </c>
      <c r="I3313" s="27">
        <v>1</v>
      </c>
      <c r="J3313" s="30">
        <f t="shared" si="153"/>
        <v>1</v>
      </c>
      <c r="K3313" s="30">
        <f t="shared" si="154"/>
        <v>1</v>
      </c>
      <c r="L3313" s="26">
        <f t="shared" si="155"/>
        <v>1</v>
      </c>
      <c r="M3313" s="26" t="s">
        <v>10175</v>
      </c>
    </row>
    <row r="3314" spans="1:13" ht="15" customHeight="1">
      <c r="A3314" s="25" t="s">
        <v>12165</v>
      </c>
      <c r="B3314" s="26" t="s">
        <v>5423</v>
      </c>
      <c r="C3314" s="26" t="s">
        <v>12166</v>
      </c>
      <c r="D3314" s="26" t="s">
        <v>12167</v>
      </c>
      <c r="E3314" s="26" t="s">
        <v>5545</v>
      </c>
      <c r="F3314" s="27">
        <v>6373625</v>
      </c>
      <c r="G3314" s="27">
        <v>1</v>
      </c>
      <c r="H3314" s="27">
        <v>1</v>
      </c>
      <c r="I3314" s="27">
        <v>1</v>
      </c>
      <c r="J3314" s="30">
        <f t="shared" si="153"/>
        <v>1</v>
      </c>
      <c r="K3314" s="30">
        <f t="shared" si="154"/>
        <v>1</v>
      </c>
      <c r="L3314" s="26">
        <f t="shared" si="155"/>
        <v>1</v>
      </c>
      <c r="M3314" s="26" t="s">
        <v>9990</v>
      </c>
    </row>
    <row r="3315" spans="1:13" ht="15" customHeight="1">
      <c r="A3315" s="25" t="s">
        <v>12168</v>
      </c>
      <c r="B3315" s="26" t="s">
        <v>5423</v>
      </c>
      <c r="C3315" s="26" t="s">
        <v>12169</v>
      </c>
      <c r="D3315" s="26" t="s">
        <v>12170</v>
      </c>
      <c r="E3315" s="26" t="s">
        <v>5455</v>
      </c>
      <c r="F3315" s="27">
        <v>6360707</v>
      </c>
      <c r="G3315" s="27">
        <v>1</v>
      </c>
      <c r="H3315" s="27">
        <v>1</v>
      </c>
      <c r="I3315" s="27">
        <v>1</v>
      </c>
      <c r="J3315" s="30">
        <f t="shared" si="153"/>
        <v>1</v>
      </c>
      <c r="K3315" s="30">
        <f t="shared" si="154"/>
        <v>1</v>
      </c>
      <c r="L3315" s="26">
        <f t="shared" si="155"/>
        <v>1</v>
      </c>
      <c r="M3315" s="26"/>
    </row>
    <row r="3316" spans="1:13" ht="15" customHeight="1">
      <c r="A3316" s="25" t="s">
        <v>12171</v>
      </c>
      <c r="B3316" s="26" t="s">
        <v>5427</v>
      </c>
      <c r="C3316" s="26" t="s">
        <v>12172</v>
      </c>
      <c r="D3316" s="26" t="s">
        <v>12173</v>
      </c>
      <c r="E3316" s="26" t="s">
        <v>5517</v>
      </c>
      <c r="F3316" s="27">
        <v>6383372</v>
      </c>
      <c r="G3316" s="27">
        <v>1</v>
      </c>
      <c r="H3316" s="27">
        <v>0</v>
      </c>
      <c r="I3316" s="27">
        <v>1</v>
      </c>
      <c r="J3316" s="30">
        <f t="shared" si="153"/>
        <v>1</v>
      </c>
      <c r="K3316" s="30">
        <f t="shared" si="154"/>
        <v>0</v>
      </c>
      <c r="L3316" s="26">
        <f t="shared" si="155"/>
        <v>0</v>
      </c>
      <c r="M3316" s="26"/>
    </row>
    <row r="3317" spans="1:13" ht="15" customHeight="1">
      <c r="A3317" s="25" t="s">
        <v>12174</v>
      </c>
      <c r="B3317" s="26" t="s">
        <v>5423</v>
      </c>
      <c r="C3317" s="26" t="s">
        <v>12175</v>
      </c>
      <c r="D3317" s="26" t="s">
        <v>12176</v>
      </c>
      <c r="E3317" s="26" t="s">
        <v>5968</v>
      </c>
      <c r="F3317" s="27">
        <v>6384268</v>
      </c>
      <c r="G3317" s="27">
        <v>0</v>
      </c>
      <c r="H3317" s="27">
        <v>1</v>
      </c>
      <c r="I3317" s="27">
        <v>1</v>
      </c>
      <c r="J3317" s="30">
        <f t="shared" si="153"/>
        <v>0</v>
      </c>
      <c r="K3317" s="30">
        <f t="shared" si="154"/>
        <v>1</v>
      </c>
      <c r="L3317" s="26">
        <f t="shared" si="155"/>
        <v>0</v>
      </c>
      <c r="M3317" s="26"/>
    </row>
    <row r="3318" spans="1:13" ht="15" customHeight="1">
      <c r="A3318" s="25" t="s">
        <v>12177</v>
      </c>
      <c r="B3318" s="26" t="s">
        <v>5427</v>
      </c>
      <c r="C3318" s="26" t="s">
        <v>12178</v>
      </c>
      <c r="D3318" s="26" t="s">
        <v>12170</v>
      </c>
      <c r="E3318" s="26" t="s">
        <v>5540</v>
      </c>
      <c r="F3318" s="27"/>
      <c r="G3318" s="27">
        <v>0</v>
      </c>
      <c r="H3318" s="27">
        <v>0</v>
      </c>
      <c r="I3318" s="27">
        <v>0</v>
      </c>
      <c r="J3318" s="30">
        <f t="shared" si="153"/>
        <v>0</v>
      </c>
      <c r="K3318" s="30">
        <f t="shared" si="154"/>
        <v>0</v>
      </c>
      <c r="L3318" s="26">
        <f t="shared" si="155"/>
        <v>0</v>
      </c>
      <c r="M3318" s="26" t="s">
        <v>5557</v>
      </c>
    </row>
    <row r="3319" spans="1:13" ht="15" customHeight="1">
      <c r="A3319" s="25" t="s">
        <v>12179</v>
      </c>
      <c r="B3319" s="26" t="s">
        <v>5427</v>
      </c>
      <c r="C3319" s="26" t="s">
        <v>12180</v>
      </c>
      <c r="D3319" s="26" t="s">
        <v>12181</v>
      </c>
      <c r="E3319" s="26" t="s">
        <v>5575</v>
      </c>
      <c r="F3319" s="27"/>
      <c r="G3319" s="27">
        <v>0</v>
      </c>
      <c r="H3319" s="27">
        <v>0</v>
      </c>
      <c r="I3319" s="27">
        <v>0</v>
      </c>
      <c r="J3319" s="30">
        <f t="shared" si="153"/>
        <v>0</v>
      </c>
      <c r="K3319" s="30">
        <f t="shared" si="154"/>
        <v>0</v>
      </c>
      <c r="L3319" s="26">
        <f t="shared" si="155"/>
        <v>0</v>
      </c>
      <c r="M3319" s="26" t="s">
        <v>9956</v>
      </c>
    </row>
    <row r="3320" spans="1:13" ht="15" customHeight="1">
      <c r="A3320" s="25" t="s">
        <v>12182</v>
      </c>
      <c r="B3320" s="26" t="s">
        <v>5423</v>
      </c>
      <c r="C3320" s="26" t="s">
        <v>12183</v>
      </c>
      <c r="D3320" s="26" t="s">
        <v>12181</v>
      </c>
      <c r="E3320" s="26" t="s">
        <v>5458</v>
      </c>
      <c r="F3320" s="27">
        <v>6385072</v>
      </c>
      <c r="G3320" s="27">
        <v>1</v>
      </c>
      <c r="H3320" s="27">
        <v>0</v>
      </c>
      <c r="I3320" s="27">
        <v>1</v>
      </c>
      <c r="J3320" s="30">
        <f t="shared" si="153"/>
        <v>1</v>
      </c>
      <c r="K3320" s="30">
        <f t="shared" si="154"/>
        <v>0</v>
      </c>
      <c r="L3320" s="26">
        <f t="shared" si="155"/>
        <v>0</v>
      </c>
      <c r="M3320" s="26"/>
    </row>
    <row r="3321" spans="1:13" ht="15" customHeight="1">
      <c r="A3321" s="25" t="s">
        <v>12184</v>
      </c>
      <c r="B3321" s="26" t="s">
        <v>5427</v>
      </c>
      <c r="C3321" s="26" t="s">
        <v>12185</v>
      </c>
      <c r="D3321" s="26" t="s">
        <v>12186</v>
      </c>
      <c r="E3321" s="26" t="s">
        <v>5683</v>
      </c>
      <c r="F3321" s="27">
        <v>6384795</v>
      </c>
      <c r="G3321" s="27">
        <v>1</v>
      </c>
      <c r="H3321" s="27">
        <v>1</v>
      </c>
      <c r="I3321" s="27">
        <v>1</v>
      </c>
      <c r="J3321" s="30">
        <f t="shared" si="153"/>
        <v>1</v>
      </c>
      <c r="K3321" s="30">
        <f t="shared" si="154"/>
        <v>1</v>
      </c>
      <c r="L3321" s="26">
        <f t="shared" si="155"/>
        <v>1</v>
      </c>
      <c r="M3321" s="26"/>
    </row>
    <row r="3322" spans="1:13" ht="15" customHeight="1">
      <c r="A3322" s="25" t="s">
        <v>12187</v>
      </c>
      <c r="B3322" s="26" t="s">
        <v>5423</v>
      </c>
      <c r="C3322" s="26" t="s">
        <v>12188</v>
      </c>
      <c r="D3322" s="26" t="s">
        <v>12189</v>
      </c>
      <c r="E3322" s="26" t="s">
        <v>5707</v>
      </c>
      <c r="F3322" s="27">
        <v>6226222</v>
      </c>
      <c r="G3322" s="27">
        <v>1</v>
      </c>
      <c r="H3322" s="27">
        <v>0</v>
      </c>
      <c r="I3322" s="27">
        <v>1</v>
      </c>
      <c r="J3322" s="30">
        <f t="shared" si="153"/>
        <v>1</v>
      </c>
      <c r="K3322" s="30">
        <f t="shared" si="154"/>
        <v>0</v>
      </c>
      <c r="L3322" s="26">
        <f t="shared" si="155"/>
        <v>0</v>
      </c>
      <c r="M3322" s="26"/>
    </row>
    <row r="3323" spans="1:13" ht="15" customHeight="1">
      <c r="A3323" s="25" t="s">
        <v>12190</v>
      </c>
      <c r="B3323" s="26" t="s">
        <v>5423</v>
      </c>
      <c r="C3323" s="26" t="s">
        <v>12191</v>
      </c>
      <c r="D3323" s="26" t="s">
        <v>12192</v>
      </c>
      <c r="E3323" s="26" t="s">
        <v>5491</v>
      </c>
      <c r="F3323" s="27">
        <v>6308826</v>
      </c>
      <c r="G3323" s="27">
        <v>1</v>
      </c>
      <c r="H3323" s="27">
        <v>0</v>
      </c>
      <c r="I3323" s="27">
        <v>1</v>
      </c>
      <c r="J3323" s="30">
        <f t="shared" si="153"/>
        <v>1</v>
      </c>
      <c r="K3323" s="30">
        <f t="shared" si="154"/>
        <v>0</v>
      </c>
      <c r="L3323" s="26">
        <f t="shared" si="155"/>
        <v>0</v>
      </c>
      <c r="M3323" s="26"/>
    </row>
    <row r="3324" spans="1:13" ht="15" customHeight="1">
      <c r="A3324" s="25" t="s">
        <v>12193</v>
      </c>
      <c r="B3324" s="26" t="s">
        <v>5423</v>
      </c>
      <c r="C3324" s="26" t="s">
        <v>12194</v>
      </c>
      <c r="D3324" s="26" t="s">
        <v>12195</v>
      </c>
      <c r="E3324" s="26" t="s">
        <v>5517</v>
      </c>
      <c r="F3324" s="27">
        <v>6385973</v>
      </c>
      <c r="G3324" s="27">
        <v>1</v>
      </c>
      <c r="H3324" s="27">
        <v>1</v>
      </c>
      <c r="I3324" s="27">
        <v>1</v>
      </c>
      <c r="J3324" s="30">
        <f t="shared" si="153"/>
        <v>1</v>
      </c>
      <c r="K3324" s="30">
        <f t="shared" si="154"/>
        <v>1</v>
      </c>
      <c r="L3324" s="26">
        <f t="shared" si="155"/>
        <v>1</v>
      </c>
      <c r="M3324" s="26"/>
    </row>
    <row r="3325" spans="1:13" ht="15" customHeight="1">
      <c r="A3325" s="25" t="s">
        <v>12196</v>
      </c>
      <c r="B3325" s="26" t="s">
        <v>5423</v>
      </c>
      <c r="C3325" s="26" t="s">
        <v>12197</v>
      </c>
      <c r="D3325" s="26" t="s">
        <v>12186</v>
      </c>
      <c r="E3325" s="26" t="s">
        <v>5535</v>
      </c>
      <c r="F3325" s="27"/>
      <c r="G3325" s="27">
        <v>0</v>
      </c>
      <c r="H3325" s="27">
        <v>0</v>
      </c>
      <c r="I3325" s="27">
        <v>0</v>
      </c>
      <c r="J3325" s="30">
        <f t="shared" si="153"/>
        <v>0</v>
      </c>
      <c r="K3325" s="30">
        <f t="shared" si="154"/>
        <v>0</v>
      </c>
      <c r="L3325" s="26">
        <f t="shared" si="155"/>
        <v>0</v>
      </c>
      <c r="M3325" s="26" t="s">
        <v>5557</v>
      </c>
    </row>
    <row r="3326" spans="1:13" ht="15" customHeight="1">
      <c r="A3326" s="25" t="s">
        <v>12198</v>
      </c>
      <c r="B3326" s="26" t="s">
        <v>5423</v>
      </c>
      <c r="C3326" s="26" t="s">
        <v>12199</v>
      </c>
      <c r="D3326" s="26" t="s">
        <v>12200</v>
      </c>
      <c r="E3326" s="26" t="s">
        <v>5550</v>
      </c>
      <c r="F3326" s="27">
        <v>6351841</v>
      </c>
      <c r="G3326" s="27">
        <v>1</v>
      </c>
      <c r="H3326" s="27">
        <v>1</v>
      </c>
      <c r="I3326" s="27">
        <v>1</v>
      </c>
      <c r="J3326" s="30">
        <f t="shared" si="153"/>
        <v>1</v>
      </c>
      <c r="K3326" s="30">
        <f t="shared" si="154"/>
        <v>1</v>
      </c>
      <c r="L3326" s="26">
        <f t="shared" si="155"/>
        <v>1</v>
      </c>
      <c r="M3326" s="26"/>
    </row>
    <row r="3327" spans="1:13" ht="15" customHeight="1">
      <c r="A3327" s="25" t="s">
        <v>12201</v>
      </c>
      <c r="B3327" s="26" t="s">
        <v>5423</v>
      </c>
      <c r="C3327" s="26" t="s">
        <v>12202</v>
      </c>
      <c r="D3327" s="26" t="s">
        <v>12195</v>
      </c>
      <c r="E3327" s="26" t="s">
        <v>5535</v>
      </c>
      <c r="F3327" s="27">
        <v>6197096</v>
      </c>
      <c r="G3327" s="27">
        <v>0</v>
      </c>
      <c r="H3327" s="27">
        <v>1</v>
      </c>
      <c r="I3327" s="27">
        <v>1</v>
      </c>
      <c r="J3327" s="30">
        <f t="shared" si="153"/>
        <v>0</v>
      </c>
      <c r="K3327" s="30">
        <f t="shared" si="154"/>
        <v>1</v>
      </c>
      <c r="L3327" s="26">
        <f t="shared" si="155"/>
        <v>0</v>
      </c>
      <c r="M3327" s="26"/>
    </row>
    <row r="3328" spans="1:13" ht="15" customHeight="1">
      <c r="A3328" s="25" t="s">
        <v>12203</v>
      </c>
      <c r="B3328" s="26" t="s">
        <v>5423</v>
      </c>
      <c r="C3328" s="26" t="s">
        <v>12204</v>
      </c>
      <c r="D3328" s="26" t="s">
        <v>12195</v>
      </c>
      <c r="E3328" s="26" t="s">
        <v>5491</v>
      </c>
      <c r="F3328" s="27">
        <v>6386849</v>
      </c>
      <c r="G3328" s="27">
        <v>1</v>
      </c>
      <c r="H3328" s="27">
        <v>1</v>
      </c>
      <c r="I3328" s="27">
        <v>1</v>
      </c>
      <c r="J3328" s="30">
        <f t="shared" si="153"/>
        <v>1</v>
      </c>
      <c r="K3328" s="30">
        <f t="shared" si="154"/>
        <v>1</v>
      </c>
      <c r="L3328" s="26">
        <f t="shared" si="155"/>
        <v>1</v>
      </c>
      <c r="M3328" s="26"/>
    </row>
    <row r="3329" spans="1:13" ht="15" customHeight="1">
      <c r="A3329" s="25" t="s">
        <v>12205</v>
      </c>
      <c r="B3329" s="26" t="s">
        <v>5423</v>
      </c>
      <c r="C3329" s="26" t="s">
        <v>12206</v>
      </c>
      <c r="D3329" s="26" t="s">
        <v>12031</v>
      </c>
      <c r="E3329" s="26" t="s">
        <v>5468</v>
      </c>
      <c r="F3329" s="27"/>
      <c r="G3329" s="27">
        <v>0</v>
      </c>
      <c r="H3329" s="27">
        <v>0</v>
      </c>
      <c r="I3329" s="27">
        <v>0</v>
      </c>
      <c r="J3329" s="30">
        <f t="shared" si="153"/>
        <v>0</v>
      </c>
      <c r="K3329" s="30">
        <f t="shared" si="154"/>
        <v>0</v>
      </c>
      <c r="L3329" s="26">
        <f t="shared" si="155"/>
        <v>0</v>
      </c>
      <c r="M3329" s="26" t="s">
        <v>5557</v>
      </c>
    </row>
    <row r="3330" spans="1:13" ht="15" customHeight="1">
      <c r="A3330" s="25" t="s">
        <v>12207</v>
      </c>
      <c r="B3330" s="26" t="s">
        <v>5423</v>
      </c>
      <c r="C3330" s="26" t="s">
        <v>12208</v>
      </c>
      <c r="D3330" s="26" t="s">
        <v>12195</v>
      </c>
      <c r="E3330" s="26" t="s">
        <v>5430</v>
      </c>
      <c r="F3330" s="27">
        <v>6386729</v>
      </c>
      <c r="G3330" s="27">
        <v>1</v>
      </c>
      <c r="H3330" s="27">
        <v>1</v>
      </c>
      <c r="I3330" s="27">
        <v>1</v>
      </c>
      <c r="J3330" s="30">
        <f t="shared" ref="J3330:J3393" si="156">IF(G3330&gt;0,1,0)</f>
        <v>1</v>
      </c>
      <c r="K3330" s="30">
        <f t="shared" ref="K3330:K3393" si="157">IF(H3330&gt;0,1,0)</f>
        <v>1</v>
      </c>
      <c r="L3330" s="26">
        <f t="shared" ref="L3330:L3393" si="158">IF(G3330&gt;0,IF(H3330&gt;0,1,0),0)</f>
        <v>1</v>
      </c>
      <c r="M3330" s="26"/>
    </row>
    <row r="3331" spans="1:13" ht="15" customHeight="1">
      <c r="A3331" s="25" t="s">
        <v>12209</v>
      </c>
      <c r="B3331" s="26" t="s">
        <v>5423</v>
      </c>
      <c r="C3331" s="26" t="s">
        <v>12210</v>
      </c>
      <c r="D3331" s="26" t="s">
        <v>12211</v>
      </c>
      <c r="E3331" s="26" t="s">
        <v>5532</v>
      </c>
      <c r="F3331" s="27">
        <v>6387045</v>
      </c>
      <c r="G3331" s="27">
        <v>0</v>
      </c>
      <c r="H3331" s="27">
        <v>1</v>
      </c>
      <c r="I3331" s="27">
        <v>1</v>
      </c>
      <c r="J3331" s="30">
        <f t="shared" si="156"/>
        <v>0</v>
      </c>
      <c r="K3331" s="30">
        <f t="shared" si="157"/>
        <v>1</v>
      </c>
      <c r="L3331" s="26">
        <f t="shared" si="158"/>
        <v>0</v>
      </c>
      <c r="M3331" s="32" t="s">
        <v>12212</v>
      </c>
    </row>
    <row r="3332" spans="1:13" ht="15" customHeight="1">
      <c r="A3332" s="25" t="s">
        <v>12213</v>
      </c>
      <c r="B3332" s="26" t="s">
        <v>5423</v>
      </c>
      <c r="C3332" s="26" t="s">
        <v>12214</v>
      </c>
      <c r="D3332" s="26" t="s">
        <v>12195</v>
      </c>
      <c r="E3332" s="26" t="s">
        <v>5491</v>
      </c>
      <c r="F3332" s="27">
        <v>6386733</v>
      </c>
      <c r="G3332" s="27">
        <v>1</v>
      </c>
      <c r="H3332" s="27">
        <v>1</v>
      </c>
      <c r="I3332" s="27">
        <v>1</v>
      </c>
      <c r="J3332" s="30">
        <f t="shared" si="156"/>
        <v>1</v>
      </c>
      <c r="K3332" s="30">
        <f t="shared" si="157"/>
        <v>1</v>
      </c>
      <c r="L3332" s="26">
        <f t="shared" si="158"/>
        <v>1</v>
      </c>
      <c r="M3332" s="26"/>
    </row>
    <row r="3333" spans="1:13" ht="15" customHeight="1">
      <c r="A3333" s="25" t="s">
        <v>12215</v>
      </c>
      <c r="B3333" s="26" t="s">
        <v>5423</v>
      </c>
      <c r="C3333" s="26" t="s">
        <v>12216</v>
      </c>
      <c r="D3333" s="26" t="s">
        <v>12195</v>
      </c>
      <c r="E3333" s="26" t="s">
        <v>5439</v>
      </c>
      <c r="F3333" s="27">
        <v>6031775</v>
      </c>
      <c r="G3333" s="27">
        <v>1</v>
      </c>
      <c r="H3333" s="27">
        <v>1</v>
      </c>
      <c r="I3333" s="27">
        <v>1</v>
      </c>
      <c r="J3333" s="30">
        <f t="shared" si="156"/>
        <v>1</v>
      </c>
      <c r="K3333" s="30">
        <f t="shared" si="157"/>
        <v>1</v>
      </c>
      <c r="L3333" s="26">
        <f t="shared" si="158"/>
        <v>1</v>
      </c>
      <c r="M3333" s="26"/>
    </row>
    <row r="3334" spans="1:13" ht="15" customHeight="1">
      <c r="A3334" s="25" t="s">
        <v>12217</v>
      </c>
      <c r="B3334" s="26" t="s">
        <v>5427</v>
      </c>
      <c r="C3334" s="26" t="s">
        <v>12218</v>
      </c>
      <c r="D3334" s="26" t="s">
        <v>12031</v>
      </c>
      <c r="E3334" s="26" t="s">
        <v>5430</v>
      </c>
      <c r="F3334" s="27"/>
      <c r="G3334" s="27">
        <v>0</v>
      </c>
      <c r="H3334" s="27">
        <v>0</v>
      </c>
      <c r="I3334" s="27">
        <v>0</v>
      </c>
      <c r="J3334" s="30">
        <f t="shared" si="156"/>
        <v>0</v>
      </c>
      <c r="K3334" s="30">
        <f t="shared" si="157"/>
        <v>0</v>
      </c>
      <c r="L3334" s="26">
        <f t="shared" si="158"/>
        <v>0</v>
      </c>
      <c r="M3334" s="26" t="s">
        <v>5557</v>
      </c>
    </row>
    <row r="3335" spans="1:13" ht="15" customHeight="1">
      <c r="A3335" s="25" t="s">
        <v>12219</v>
      </c>
      <c r="B3335" s="26" t="s">
        <v>5427</v>
      </c>
      <c r="C3335" s="26" t="s">
        <v>12220</v>
      </c>
      <c r="D3335" s="26" t="s">
        <v>12031</v>
      </c>
      <c r="E3335" s="26" t="s">
        <v>5891</v>
      </c>
      <c r="F3335" s="27">
        <v>6388107</v>
      </c>
      <c r="G3335" s="27">
        <v>0</v>
      </c>
      <c r="H3335" s="27">
        <v>0</v>
      </c>
      <c r="I3335" s="27">
        <v>0</v>
      </c>
      <c r="J3335" s="30">
        <f t="shared" si="156"/>
        <v>0</v>
      </c>
      <c r="K3335" s="30">
        <f t="shared" si="157"/>
        <v>0</v>
      </c>
      <c r="L3335" s="26">
        <f t="shared" si="158"/>
        <v>0</v>
      </c>
      <c r="M3335" s="26">
        <v>0</v>
      </c>
    </row>
    <row r="3336" spans="1:13" ht="15" customHeight="1">
      <c r="A3336" s="25" t="s">
        <v>12221</v>
      </c>
      <c r="B3336" s="26" t="s">
        <v>5423</v>
      </c>
      <c r="C3336" s="26" t="s">
        <v>12222</v>
      </c>
      <c r="D3336" s="26" t="s">
        <v>12223</v>
      </c>
      <c r="E3336" s="26" t="s">
        <v>5447</v>
      </c>
      <c r="F3336" s="27">
        <v>6384903</v>
      </c>
      <c r="G3336" s="27">
        <v>1</v>
      </c>
      <c r="H3336" s="27">
        <v>0</v>
      </c>
      <c r="I3336" s="27">
        <v>1</v>
      </c>
      <c r="J3336" s="30">
        <f t="shared" si="156"/>
        <v>1</v>
      </c>
      <c r="K3336" s="30">
        <f t="shared" si="157"/>
        <v>0</v>
      </c>
      <c r="L3336" s="26">
        <f t="shared" si="158"/>
        <v>0</v>
      </c>
      <c r="M3336" s="26"/>
    </row>
    <row r="3337" spans="1:13" ht="15" customHeight="1">
      <c r="A3337" s="25" t="s">
        <v>12224</v>
      </c>
      <c r="B3337" s="26" t="s">
        <v>5423</v>
      </c>
      <c r="C3337" s="26" t="s">
        <v>12225</v>
      </c>
      <c r="D3337" s="26" t="s">
        <v>12211</v>
      </c>
      <c r="E3337" s="26" t="s">
        <v>5968</v>
      </c>
      <c r="F3337" s="27">
        <v>6389628</v>
      </c>
      <c r="G3337" s="27">
        <v>0</v>
      </c>
      <c r="H3337" s="27">
        <v>0</v>
      </c>
      <c r="I3337" s="27">
        <v>0</v>
      </c>
      <c r="J3337" s="30">
        <f t="shared" si="156"/>
        <v>0</v>
      </c>
      <c r="K3337" s="30">
        <f t="shared" si="157"/>
        <v>0</v>
      </c>
      <c r="L3337" s="26">
        <f t="shared" si="158"/>
        <v>0</v>
      </c>
      <c r="M3337" s="26">
        <v>0</v>
      </c>
    </row>
    <row r="3338" spans="1:13" ht="15" customHeight="1">
      <c r="A3338" s="25" t="s">
        <v>12226</v>
      </c>
      <c r="B3338" s="26" t="s">
        <v>5423</v>
      </c>
      <c r="C3338" s="26" t="s">
        <v>12227</v>
      </c>
      <c r="D3338" s="26" t="s">
        <v>12228</v>
      </c>
      <c r="E3338" s="26" t="s">
        <v>5442</v>
      </c>
      <c r="F3338" s="27">
        <v>6388585</v>
      </c>
      <c r="G3338" s="27">
        <v>1</v>
      </c>
      <c r="H3338" s="27">
        <v>1</v>
      </c>
      <c r="I3338" s="27">
        <v>1</v>
      </c>
      <c r="J3338" s="30">
        <f t="shared" si="156"/>
        <v>1</v>
      </c>
      <c r="K3338" s="30">
        <f t="shared" si="157"/>
        <v>1</v>
      </c>
      <c r="L3338" s="26">
        <f t="shared" si="158"/>
        <v>1</v>
      </c>
      <c r="M3338" s="26"/>
    </row>
    <row r="3339" spans="1:13" ht="15" customHeight="1">
      <c r="A3339" s="25" t="s">
        <v>12229</v>
      </c>
      <c r="B3339" s="26" t="s">
        <v>5423</v>
      </c>
      <c r="C3339" s="26" t="s">
        <v>12230</v>
      </c>
      <c r="D3339" s="26" t="s">
        <v>12211</v>
      </c>
      <c r="E3339" s="26" t="s">
        <v>5540</v>
      </c>
      <c r="F3339" s="27">
        <v>6356410</v>
      </c>
      <c r="G3339" s="27">
        <v>1</v>
      </c>
      <c r="H3339" s="27">
        <v>0</v>
      </c>
      <c r="I3339" s="27">
        <v>1</v>
      </c>
      <c r="J3339" s="30">
        <f t="shared" si="156"/>
        <v>1</v>
      </c>
      <c r="K3339" s="30">
        <f t="shared" si="157"/>
        <v>0</v>
      </c>
      <c r="L3339" s="26">
        <f t="shared" si="158"/>
        <v>0</v>
      </c>
      <c r="M3339" s="26"/>
    </row>
    <row r="3340" spans="1:13" ht="15" customHeight="1">
      <c r="A3340" s="25" t="s">
        <v>12231</v>
      </c>
      <c r="B3340" s="26" t="s">
        <v>5423</v>
      </c>
      <c r="C3340" s="26" t="s">
        <v>12232</v>
      </c>
      <c r="D3340" s="26" t="s">
        <v>12233</v>
      </c>
      <c r="E3340" s="26" t="s">
        <v>5455</v>
      </c>
      <c r="F3340" s="27">
        <v>6298105</v>
      </c>
      <c r="G3340" s="27">
        <v>1</v>
      </c>
      <c r="H3340" s="27">
        <v>0</v>
      </c>
      <c r="I3340" s="27">
        <v>1</v>
      </c>
      <c r="J3340" s="30">
        <f t="shared" si="156"/>
        <v>1</v>
      </c>
      <c r="K3340" s="30">
        <f t="shared" si="157"/>
        <v>0</v>
      </c>
      <c r="L3340" s="26">
        <f t="shared" si="158"/>
        <v>0</v>
      </c>
      <c r="M3340" s="26" t="s">
        <v>8045</v>
      </c>
    </row>
    <row r="3341" spans="1:13" ht="15" customHeight="1">
      <c r="A3341" s="25" t="s">
        <v>12234</v>
      </c>
      <c r="B3341" s="26" t="s">
        <v>5423</v>
      </c>
      <c r="C3341" s="26" t="s">
        <v>12235</v>
      </c>
      <c r="D3341" s="26" t="s">
        <v>12236</v>
      </c>
      <c r="E3341" s="26" t="s">
        <v>5491</v>
      </c>
      <c r="F3341" s="27">
        <v>6339631</v>
      </c>
      <c r="G3341" s="27">
        <v>1</v>
      </c>
      <c r="H3341" s="27">
        <v>0</v>
      </c>
      <c r="I3341" s="27">
        <v>1</v>
      </c>
      <c r="J3341" s="30">
        <f t="shared" si="156"/>
        <v>1</v>
      </c>
      <c r="K3341" s="30">
        <f t="shared" si="157"/>
        <v>0</v>
      </c>
      <c r="L3341" s="26">
        <f t="shared" si="158"/>
        <v>0</v>
      </c>
      <c r="M3341" s="26"/>
    </row>
    <row r="3342" spans="1:13" ht="15" customHeight="1">
      <c r="A3342" s="25" t="s">
        <v>12237</v>
      </c>
      <c r="B3342" s="26" t="s">
        <v>5423</v>
      </c>
      <c r="C3342" s="26" t="s">
        <v>12238</v>
      </c>
      <c r="D3342" s="26" t="s">
        <v>12239</v>
      </c>
      <c r="E3342" s="26" t="s">
        <v>5458</v>
      </c>
      <c r="F3342" s="27">
        <v>6348416</v>
      </c>
      <c r="G3342" s="27">
        <v>1</v>
      </c>
      <c r="H3342" s="27">
        <v>0</v>
      </c>
      <c r="I3342" s="27">
        <v>1</v>
      </c>
      <c r="J3342" s="30">
        <f t="shared" si="156"/>
        <v>1</v>
      </c>
      <c r="K3342" s="30">
        <f t="shared" si="157"/>
        <v>0</v>
      </c>
      <c r="L3342" s="26">
        <f t="shared" si="158"/>
        <v>0</v>
      </c>
      <c r="M3342" s="26"/>
    </row>
    <row r="3343" spans="1:13" ht="15" customHeight="1">
      <c r="A3343" s="25" t="s">
        <v>12240</v>
      </c>
      <c r="B3343" s="26" t="s">
        <v>5427</v>
      </c>
      <c r="C3343" s="26" t="s">
        <v>12241</v>
      </c>
      <c r="D3343" s="26" t="s">
        <v>12173</v>
      </c>
      <c r="E3343" s="26" t="s">
        <v>5522</v>
      </c>
      <c r="F3343" s="27">
        <v>6358358</v>
      </c>
      <c r="G3343" s="27">
        <v>1</v>
      </c>
      <c r="H3343" s="27">
        <v>1</v>
      </c>
      <c r="I3343" s="27">
        <v>1</v>
      </c>
      <c r="J3343" s="30">
        <f t="shared" si="156"/>
        <v>1</v>
      </c>
      <c r="K3343" s="30">
        <f t="shared" si="157"/>
        <v>1</v>
      </c>
      <c r="L3343" s="26">
        <f t="shared" si="158"/>
        <v>1</v>
      </c>
      <c r="M3343" s="26"/>
    </row>
    <row r="3344" spans="1:13" ht="15" customHeight="1">
      <c r="A3344" s="25" t="s">
        <v>12242</v>
      </c>
      <c r="B3344" s="26" t="s">
        <v>5423</v>
      </c>
      <c r="C3344" s="26" t="s">
        <v>12243</v>
      </c>
      <c r="D3344" s="26" t="s">
        <v>12244</v>
      </c>
      <c r="E3344" s="26" t="s">
        <v>5603</v>
      </c>
      <c r="F3344" s="27">
        <v>6390939</v>
      </c>
      <c r="G3344" s="27">
        <v>1</v>
      </c>
      <c r="H3344" s="27">
        <v>0</v>
      </c>
      <c r="I3344" s="27">
        <v>1</v>
      </c>
      <c r="J3344" s="30">
        <f t="shared" si="156"/>
        <v>1</v>
      </c>
      <c r="K3344" s="30">
        <f t="shared" si="157"/>
        <v>0</v>
      </c>
      <c r="L3344" s="26">
        <f t="shared" si="158"/>
        <v>0</v>
      </c>
      <c r="M3344" s="26"/>
    </row>
    <row r="3345" spans="1:13" ht="15" customHeight="1">
      <c r="A3345" s="25">
        <v>1843903</v>
      </c>
      <c r="B3345" s="26" t="s">
        <v>5423</v>
      </c>
      <c r="C3345" s="26" t="s">
        <v>12245</v>
      </c>
      <c r="D3345" s="26" t="s">
        <v>12246</v>
      </c>
      <c r="E3345" s="26" t="s">
        <v>5488</v>
      </c>
      <c r="F3345" s="27">
        <v>6389740</v>
      </c>
      <c r="G3345" s="27">
        <v>1</v>
      </c>
      <c r="H3345" s="27">
        <v>1</v>
      </c>
      <c r="I3345" s="27">
        <v>1</v>
      </c>
      <c r="J3345" s="30">
        <f t="shared" si="156"/>
        <v>1</v>
      </c>
      <c r="K3345" s="30">
        <f t="shared" si="157"/>
        <v>1</v>
      </c>
      <c r="L3345" s="26">
        <f t="shared" si="158"/>
        <v>1</v>
      </c>
      <c r="M3345" s="26"/>
    </row>
    <row r="3346" spans="1:13" ht="15" customHeight="1">
      <c r="A3346" s="25">
        <v>1843909</v>
      </c>
      <c r="B3346" s="26" t="s">
        <v>5427</v>
      </c>
      <c r="C3346" s="26" t="s">
        <v>12247</v>
      </c>
      <c r="D3346" s="26" t="s">
        <v>12173</v>
      </c>
      <c r="E3346" s="26" t="s">
        <v>5433</v>
      </c>
      <c r="F3346" s="27">
        <v>6344469</v>
      </c>
      <c r="G3346" s="27">
        <v>1</v>
      </c>
      <c r="H3346" s="27">
        <v>0</v>
      </c>
      <c r="I3346" s="27">
        <v>1</v>
      </c>
      <c r="J3346" s="30">
        <f t="shared" si="156"/>
        <v>1</v>
      </c>
      <c r="K3346" s="30">
        <f t="shared" si="157"/>
        <v>0</v>
      </c>
      <c r="L3346" s="26">
        <f t="shared" si="158"/>
        <v>0</v>
      </c>
      <c r="M3346" s="26"/>
    </row>
    <row r="3347" spans="1:13" ht="15" customHeight="1">
      <c r="A3347" s="25">
        <v>1844215</v>
      </c>
      <c r="B3347" s="26" t="s">
        <v>5423</v>
      </c>
      <c r="C3347" s="26" t="s">
        <v>12248</v>
      </c>
      <c r="D3347" s="26" t="s">
        <v>12249</v>
      </c>
      <c r="E3347" s="26" t="s">
        <v>5683</v>
      </c>
      <c r="F3347" s="27"/>
      <c r="G3347" s="27">
        <v>0</v>
      </c>
      <c r="H3347" s="27">
        <v>0</v>
      </c>
      <c r="I3347" s="27">
        <v>0</v>
      </c>
      <c r="J3347" s="30">
        <f t="shared" si="156"/>
        <v>0</v>
      </c>
      <c r="K3347" s="30">
        <f t="shared" si="157"/>
        <v>0</v>
      </c>
      <c r="L3347" s="26">
        <f t="shared" si="158"/>
        <v>0</v>
      </c>
      <c r="M3347" s="26" t="s">
        <v>5557</v>
      </c>
    </row>
    <row r="3348" spans="1:13" ht="15" customHeight="1">
      <c r="A3348" s="25">
        <v>1844250</v>
      </c>
      <c r="B3348" s="26" t="s">
        <v>5423</v>
      </c>
      <c r="C3348" s="26" t="s">
        <v>12250</v>
      </c>
      <c r="D3348" s="26" t="s">
        <v>12176</v>
      </c>
      <c r="E3348" s="26" t="s">
        <v>5532</v>
      </c>
      <c r="F3348" s="27">
        <v>6390503</v>
      </c>
      <c r="G3348" s="27">
        <v>1</v>
      </c>
      <c r="H3348" s="27">
        <v>0</v>
      </c>
      <c r="I3348" s="27">
        <v>1</v>
      </c>
      <c r="J3348" s="30">
        <f t="shared" si="156"/>
        <v>1</v>
      </c>
      <c r="K3348" s="30">
        <f t="shared" si="157"/>
        <v>0</v>
      </c>
      <c r="L3348" s="26">
        <f t="shared" si="158"/>
        <v>0</v>
      </c>
      <c r="M3348" s="26"/>
    </row>
    <row r="3349" spans="1:13" ht="15" customHeight="1">
      <c r="A3349" s="25">
        <v>1844531</v>
      </c>
      <c r="B3349" s="26" t="s">
        <v>5427</v>
      </c>
      <c r="C3349" s="26" t="s">
        <v>12251</v>
      </c>
      <c r="D3349" s="26" t="s">
        <v>12173</v>
      </c>
      <c r="E3349" s="26" t="s">
        <v>5683</v>
      </c>
      <c r="F3349" s="27">
        <v>6391915</v>
      </c>
      <c r="G3349" s="27">
        <v>0</v>
      </c>
      <c r="H3349" s="27">
        <v>0</v>
      </c>
      <c r="I3349" s="27">
        <v>0</v>
      </c>
      <c r="J3349" s="30">
        <f t="shared" si="156"/>
        <v>0</v>
      </c>
      <c r="K3349" s="30">
        <f t="shared" si="157"/>
        <v>0</v>
      </c>
      <c r="L3349" s="26">
        <f t="shared" si="158"/>
        <v>0</v>
      </c>
      <c r="M3349" s="26">
        <v>0</v>
      </c>
    </row>
    <row r="3350" spans="1:13" ht="15" customHeight="1">
      <c r="A3350" s="25">
        <v>1844553</v>
      </c>
      <c r="B3350" s="26" t="s">
        <v>5423</v>
      </c>
      <c r="C3350" s="26" t="s">
        <v>12252</v>
      </c>
      <c r="D3350" s="26" t="s">
        <v>12223</v>
      </c>
      <c r="E3350" s="26" t="s">
        <v>5522</v>
      </c>
      <c r="F3350" s="27">
        <v>6391960</v>
      </c>
      <c r="G3350" s="27">
        <v>0</v>
      </c>
      <c r="H3350" s="27">
        <v>0</v>
      </c>
      <c r="I3350" s="27">
        <v>0</v>
      </c>
      <c r="J3350" s="30">
        <f t="shared" si="156"/>
        <v>0</v>
      </c>
      <c r="K3350" s="30">
        <f t="shared" si="157"/>
        <v>0</v>
      </c>
      <c r="L3350" s="26">
        <f t="shared" si="158"/>
        <v>0</v>
      </c>
      <c r="M3350" s="26">
        <v>0</v>
      </c>
    </row>
    <row r="3351" spans="1:13" ht="15" customHeight="1">
      <c r="A3351" s="25">
        <v>1844979</v>
      </c>
      <c r="B3351" s="26" t="s">
        <v>5427</v>
      </c>
      <c r="C3351" s="26" t="s">
        <v>12253</v>
      </c>
      <c r="D3351" s="26" t="s">
        <v>12223</v>
      </c>
      <c r="E3351" s="26" t="s">
        <v>8392</v>
      </c>
      <c r="F3351" s="27">
        <v>3449839</v>
      </c>
      <c r="G3351" s="27">
        <v>1</v>
      </c>
      <c r="H3351" s="27">
        <v>0</v>
      </c>
      <c r="I3351" s="27">
        <v>1</v>
      </c>
      <c r="J3351" s="30">
        <f t="shared" si="156"/>
        <v>1</v>
      </c>
      <c r="K3351" s="30">
        <f t="shared" si="157"/>
        <v>0</v>
      </c>
      <c r="L3351" s="26">
        <f t="shared" si="158"/>
        <v>0</v>
      </c>
      <c r="M3351" s="26"/>
    </row>
    <row r="3352" spans="1:13" ht="15" customHeight="1">
      <c r="A3352" s="25">
        <v>1845015</v>
      </c>
      <c r="B3352" s="26" t="s">
        <v>5427</v>
      </c>
      <c r="C3352" s="26" t="s">
        <v>12254</v>
      </c>
      <c r="D3352" s="26" t="s">
        <v>12255</v>
      </c>
      <c r="E3352" s="26" t="s">
        <v>5529</v>
      </c>
      <c r="F3352" s="27"/>
      <c r="G3352" s="27">
        <v>0</v>
      </c>
      <c r="H3352" s="27">
        <v>0</v>
      </c>
      <c r="I3352" s="27">
        <v>0</v>
      </c>
      <c r="J3352" s="30">
        <f t="shared" si="156"/>
        <v>0</v>
      </c>
      <c r="K3352" s="30">
        <f t="shared" si="157"/>
        <v>0</v>
      </c>
      <c r="L3352" s="26">
        <f t="shared" si="158"/>
        <v>0</v>
      </c>
      <c r="M3352" s="26" t="s">
        <v>8017</v>
      </c>
    </row>
    <row r="3353" spans="1:13" ht="15" customHeight="1">
      <c r="A3353" s="25">
        <v>1845251</v>
      </c>
      <c r="B3353" s="26" t="s">
        <v>5427</v>
      </c>
      <c r="C3353" s="26" t="s">
        <v>12256</v>
      </c>
      <c r="D3353" s="26" t="s">
        <v>12223</v>
      </c>
      <c r="E3353" s="26" t="s">
        <v>5532</v>
      </c>
      <c r="F3353" s="27">
        <v>6264593</v>
      </c>
      <c r="G3353" s="27">
        <v>1</v>
      </c>
      <c r="H3353" s="27">
        <v>0</v>
      </c>
      <c r="I3353" s="27">
        <v>1</v>
      </c>
      <c r="J3353" s="30">
        <f t="shared" si="156"/>
        <v>1</v>
      </c>
      <c r="K3353" s="30">
        <f t="shared" si="157"/>
        <v>0</v>
      </c>
      <c r="L3353" s="26">
        <f t="shared" si="158"/>
        <v>0</v>
      </c>
      <c r="M3353" s="26"/>
    </row>
    <row r="3354" spans="1:13" ht="15" customHeight="1">
      <c r="A3354" s="25">
        <v>1845302</v>
      </c>
      <c r="B3354" s="26" t="s">
        <v>5423</v>
      </c>
      <c r="C3354" s="26" t="s">
        <v>12257</v>
      </c>
      <c r="D3354" s="26" t="s">
        <v>12258</v>
      </c>
      <c r="E3354" s="26" t="s">
        <v>5781</v>
      </c>
      <c r="F3354" s="27">
        <v>6315683</v>
      </c>
      <c r="G3354" s="27">
        <v>1</v>
      </c>
      <c r="H3354" s="27">
        <v>1</v>
      </c>
      <c r="I3354" s="27">
        <v>1</v>
      </c>
      <c r="J3354" s="30">
        <f t="shared" si="156"/>
        <v>1</v>
      </c>
      <c r="K3354" s="30">
        <f t="shared" si="157"/>
        <v>1</v>
      </c>
      <c r="L3354" s="26">
        <f t="shared" si="158"/>
        <v>1</v>
      </c>
      <c r="M3354" s="26" t="s">
        <v>12259</v>
      </c>
    </row>
    <row r="3355" spans="1:13" ht="15" customHeight="1">
      <c r="A3355" s="25">
        <v>1845312</v>
      </c>
      <c r="B3355" s="26" t="s">
        <v>5427</v>
      </c>
      <c r="C3355" s="26" t="s">
        <v>12260</v>
      </c>
      <c r="D3355" s="26" t="s">
        <v>12261</v>
      </c>
      <c r="E3355" s="26" t="s">
        <v>6075</v>
      </c>
      <c r="F3355" s="27">
        <v>6393749</v>
      </c>
      <c r="G3355" s="27">
        <v>0</v>
      </c>
      <c r="H3355" s="27">
        <v>1</v>
      </c>
      <c r="I3355" s="27">
        <v>1</v>
      </c>
      <c r="J3355" s="30">
        <f t="shared" si="156"/>
        <v>0</v>
      </c>
      <c r="K3355" s="30">
        <f t="shared" si="157"/>
        <v>1</v>
      </c>
      <c r="L3355" s="26">
        <f t="shared" si="158"/>
        <v>0</v>
      </c>
      <c r="M3355" s="26"/>
    </row>
    <row r="3356" spans="1:13" ht="15" customHeight="1">
      <c r="A3356" s="25">
        <v>1845322</v>
      </c>
      <c r="B3356" s="26" t="s">
        <v>5423</v>
      </c>
      <c r="C3356" s="26" t="s">
        <v>12262</v>
      </c>
      <c r="D3356" s="26" t="s">
        <v>12236</v>
      </c>
      <c r="E3356" s="26" t="s">
        <v>5475</v>
      </c>
      <c r="F3356" s="27">
        <v>6326470</v>
      </c>
      <c r="G3356" s="27">
        <v>0</v>
      </c>
      <c r="H3356" s="27">
        <v>0</v>
      </c>
      <c r="I3356" s="27">
        <v>0</v>
      </c>
      <c r="J3356" s="30">
        <f t="shared" si="156"/>
        <v>0</v>
      </c>
      <c r="K3356" s="30">
        <f t="shared" si="157"/>
        <v>0</v>
      </c>
      <c r="L3356" s="26">
        <f t="shared" si="158"/>
        <v>0</v>
      </c>
      <c r="M3356" s="26">
        <v>0</v>
      </c>
    </row>
    <row r="3357" spans="1:13" ht="15" customHeight="1">
      <c r="A3357" s="25">
        <v>1845390</v>
      </c>
      <c r="B3357" s="26" t="s">
        <v>5427</v>
      </c>
      <c r="C3357" s="26" t="s">
        <v>12263</v>
      </c>
      <c r="D3357" s="26" t="s">
        <v>12249</v>
      </c>
      <c r="E3357" s="26" t="s">
        <v>6075</v>
      </c>
      <c r="F3357" s="27">
        <v>6393523</v>
      </c>
      <c r="G3357" s="27">
        <v>1</v>
      </c>
      <c r="H3357" s="27">
        <v>1</v>
      </c>
      <c r="I3357" s="27">
        <v>1</v>
      </c>
      <c r="J3357" s="30">
        <f t="shared" si="156"/>
        <v>1</v>
      </c>
      <c r="K3357" s="30">
        <f t="shared" si="157"/>
        <v>1</v>
      </c>
      <c r="L3357" s="26">
        <f t="shared" si="158"/>
        <v>1</v>
      </c>
      <c r="M3357" s="26"/>
    </row>
    <row r="3358" spans="1:13" ht="15" customHeight="1">
      <c r="A3358" s="25">
        <v>1845468</v>
      </c>
      <c r="B3358" s="26" t="s">
        <v>5423</v>
      </c>
      <c r="C3358" s="26" t="s">
        <v>12264</v>
      </c>
      <c r="D3358" s="26" t="s">
        <v>12249</v>
      </c>
      <c r="E3358" s="26" t="s">
        <v>5488</v>
      </c>
      <c r="F3358" s="27">
        <v>6393524</v>
      </c>
      <c r="G3358" s="27">
        <v>1</v>
      </c>
      <c r="H3358" s="27">
        <v>1</v>
      </c>
      <c r="I3358" s="27">
        <v>1</v>
      </c>
      <c r="J3358" s="30">
        <f t="shared" si="156"/>
        <v>1</v>
      </c>
      <c r="K3358" s="30">
        <f t="shared" si="157"/>
        <v>1</v>
      </c>
      <c r="L3358" s="26">
        <f t="shared" si="158"/>
        <v>1</v>
      </c>
      <c r="M3358" s="26"/>
    </row>
    <row r="3359" spans="1:13" ht="15" customHeight="1">
      <c r="A3359" s="25" t="s">
        <v>12265</v>
      </c>
      <c r="B3359" s="26" t="s">
        <v>5423</v>
      </c>
      <c r="C3359" s="26" t="s">
        <v>12266</v>
      </c>
      <c r="D3359" s="26" t="s">
        <v>12249</v>
      </c>
      <c r="E3359" s="26" t="s">
        <v>5480</v>
      </c>
      <c r="F3359" s="27"/>
      <c r="G3359" s="27">
        <v>0</v>
      </c>
      <c r="H3359" s="27">
        <v>0</v>
      </c>
      <c r="I3359" s="27">
        <v>0</v>
      </c>
      <c r="J3359" s="30">
        <f t="shared" si="156"/>
        <v>0</v>
      </c>
      <c r="K3359" s="30">
        <f t="shared" si="157"/>
        <v>0</v>
      </c>
      <c r="L3359" s="26">
        <f t="shared" si="158"/>
        <v>0</v>
      </c>
      <c r="M3359" s="26" t="s">
        <v>5567</v>
      </c>
    </row>
    <row r="3360" spans="1:13" ht="15" customHeight="1">
      <c r="A3360" s="25">
        <v>1845608</v>
      </c>
      <c r="B3360" s="26" t="s">
        <v>5423</v>
      </c>
      <c r="C3360" s="26" t="s">
        <v>12267</v>
      </c>
      <c r="D3360" s="26" t="s">
        <v>12249</v>
      </c>
      <c r="E3360" s="26" t="s">
        <v>5480</v>
      </c>
      <c r="F3360" s="27">
        <v>5459155</v>
      </c>
      <c r="G3360" s="27">
        <v>0</v>
      </c>
      <c r="H3360" s="27">
        <v>1</v>
      </c>
      <c r="I3360" s="27">
        <v>1</v>
      </c>
      <c r="J3360" s="30">
        <f t="shared" si="156"/>
        <v>0</v>
      </c>
      <c r="K3360" s="30">
        <f t="shared" si="157"/>
        <v>1</v>
      </c>
      <c r="L3360" s="26">
        <f t="shared" si="158"/>
        <v>0</v>
      </c>
      <c r="M3360" s="26"/>
    </row>
    <row r="3361" spans="1:13" ht="15" customHeight="1">
      <c r="A3361" s="25">
        <v>1845652</v>
      </c>
      <c r="B3361" s="26" t="s">
        <v>5427</v>
      </c>
      <c r="C3361" s="26" t="s">
        <v>12268</v>
      </c>
      <c r="D3361" s="26" t="s">
        <v>12249</v>
      </c>
      <c r="E3361" s="26" t="s">
        <v>5433</v>
      </c>
      <c r="F3361" s="27">
        <v>6394115</v>
      </c>
      <c r="G3361" s="27">
        <v>1</v>
      </c>
      <c r="H3361" s="27">
        <v>1</v>
      </c>
      <c r="I3361" s="27">
        <v>1</v>
      </c>
      <c r="J3361" s="30">
        <f t="shared" si="156"/>
        <v>1</v>
      </c>
      <c r="K3361" s="30">
        <f t="shared" si="157"/>
        <v>1</v>
      </c>
      <c r="L3361" s="26">
        <f t="shared" si="158"/>
        <v>1</v>
      </c>
      <c r="M3361" s="26"/>
    </row>
    <row r="3362" spans="1:13" ht="15" customHeight="1">
      <c r="A3362" s="25">
        <v>1846082</v>
      </c>
      <c r="B3362" s="26" t="s">
        <v>5427</v>
      </c>
      <c r="C3362" s="26" t="s">
        <v>12269</v>
      </c>
      <c r="D3362" s="26" t="s">
        <v>12261</v>
      </c>
      <c r="E3362" s="26" t="s">
        <v>5501</v>
      </c>
      <c r="F3362" s="27"/>
      <c r="G3362" s="27">
        <v>0</v>
      </c>
      <c r="H3362" s="27">
        <v>0</v>
      </c>
      <c r="I3362" s="27">
        <v>0</v>
      </c>
      <c r="J3362" s="30">
        <f t="shared" si="156"/>
        <v>0</v>
      </c>
      <c r="K3362" s="30">
        <f t="shared" si="157"/>
        <v>0</v>
      </c>
      <c r="L3362" s="26">
        <f t="shared" si="158"/>
        <v>0</v>
      </c>
      <c r="M3362" s="26">
        <v>0</v>
      </c>
    </row>
    <row r="3363" spans="1:13" ht="15" customHeight="1">
      <c r="A3363" s="25">
        <v>1846087</v>
      </c>
      <c r="B3363" s="26" t="s">
        <v>5427</v>
      </c>
      <c r="C3363" s="26" t="s">
        <v>12270</v>
      </c>
      <c r="D3363" s="26" t="s">
        <v>12271</v>
      </c>
      <c r="E3363" s="26" t="s">
        <v>5550</v>
      </c>
      <c r="F3363" s="27">
        <v>6396275</v>
      </c>
      <c r="G3363" s="27">
        <v>0</v>
      </c>
      <c r="H3363" s="27">
        <v>0</v>
      </c>
      <c r="I3363" s="27">
        <v>0</v>
      </c>
      <c r="J3363" s="30">
        <f t="shared" si="156"/>
        <v>0</v>
      </c>
      <c r="K3363" s="30">
        <f t="shared" si="157"/>
        <v>0</v>
      </c>
      <c r="L3363" s="26">
        <f t="shared" si="158"/>
        <v>0</v>
      </c>
      <c r="M3363" s="26">
        <v>0</v>
      </c>
    </row>
    <row r="3364" spans="1:13" ht="15" customHeight="1">
      <c r="A3364" s="25">
        <v>1846106</v>
      </c>
      <c r="B3364" s="26" t="s">
        <v>5423</v>
      </c>
      <c r="C3364" s="26" t="s">
        <v>12272</v>
      </c>
      <c r="D3364" s="26" t="s">
        <v>12249</v>
      </c>
      <c r="E3364" s="26" t="s">
        <v>5683</v>
      </c>
      <c r="F3364" s="27">
        <v>6396347</v>
      </c>
      <c r="G3364" s="27">
        <v>0</v>
      </c>
      <c r="H3364" s="27">
        <v>0</v>
      </c>
      <c r="I3364" s="27">
        <v>0</v>
      </c>
      <c r="J3364" s="30">
        <f t="shared" si="156"/>
        <v>0</v>
      </c>
      <c r="K3364" s="30">
        <f t="shared" si="157"/>
        <v>0</v>
      </c>
      <c r="L3364" s="26">
        <f t="shared" si="158"/>
        <v>0</v>
      </c>
      <c r="M3364" s="26">
        <v>0</v>
      </c>
    </row>
    <row r="3365" spans="1:13" ht="15" customHeight="1">
      <c r="A3365" s="25">
        <v>1846179</v>
      </c>
      <c r="B3365" s="26" t="s">
        <v>5427</v>
      </c>
      <c r="C3365" s="26" t="s">
        <v>12273</v>
      </c>
      <c r="D3365" s="26" t="s">
        <v>12249</v>
      </c>
      <c r="E3365" s="26" t="s">
        <v>5491</v>
      </c>
      <c r="F3365" s="27">
        <v>6344660</v>
      </c>
      <c r="G3365" s="27">
        <v>1</v>
      </c>
      <c r="H3365" s="27">
        <v>0</v>
      </c>
      <c r="I3365" s="27">
        <v>1</v>
      </c>
      <c r="J3365" s="30">
        <f t="shared" si="156"/>
        <v>1</v>
      </c>
      <c r="K3365" s="30">
        <f t="shared" si="157"/>
        <v>0</v>
      </c>
      <c r="L3365" s="26">
        <f t="shared" si="158"/>
        <v>0</v>
      </c>
      <c r="M3365" s="26"/>
    </row>
    <row r="3366" spans="1:13" ht="15" customHeight="1">
      <c r="A3366" s="25">
        <v>1846194</v>
      </c>
      <c r="B3366" s="26" t="s">
        <v>5423</v>
      </c>
      <c r="C3366" s="26" t="s">
        <v>12274</v>
      </c>
      <c r="D3366" s="26" t="s">
        <v>12258</v>
      </c>
      <c r="E3366" s="26" t="s">
        <v>5475</v>
      </c>
      <c r="F3366" s="27">
        <v>6395543</v>
      </c>
      <c r="G3366" s="27">
        <v>1</v>
      </c>
      <c r="H3366" s="27">
        <v>0</v>
      </c>
      <c r="I3366" s="27">
        <v>1</v>
      </c>
      <c r="J3366" s="30">
        <f t="shared" si="156"/>
        <v>1</v>
      </c>
      <c r="K3366" s="30">
        <f t="shared" si="157"/>
        <v>0</v>
      </c>
      <c r="L3366" s="26">
        <f t="shared" si="158"/>
        <v>0</v>
      </c>
      <c r="M3366" s="26" t="s">
        <v>12275</v>
      </c>
    </row>
    <row r="3367" spans="1:13" ht="15" customHeight="1">
      <c r="A3367" s="25" t="s">
        <v>12276</v>
      </c>
      <c r="B3367" s="26" t="s">
        <v>5423</v>
      </c>
      <c r="C3367" s="26" t="s">
        <v>12277</v>
      </c>
      <c r="D3367" s="26" t="s">
        <v>12278</v>
      </c>
      <c r="E3367" s="26" t="s">
        <v>5485</v>
      </c>
      <c r="F3367" s="27">
        <v>6395545</v>
      </c>
      <c r="G3367" s="27">
        <v>0</v>
      </c>
      <c r="H3367" s="27">
        <v>0</v>
      </c>
      <c r="I3367" s="27">
        <v>0</v>
      </c>
      <c r="J3367" s="30">
        <f t="shared" si="156"/>
        <v>0</v>
      </c>
      <c r="K3367" s="30">
        <f t="shared" si="157"/>
        <v>0</v>
      </c>
      <c r="L3367" s="26">
        <f t="shared" si="158"/>
        <v>0</v>
      </c>
      <c r="M3367" s="26" t="s">
        <v>8969</v>
      </c>
    </row>
    <row r="3368" spans="1:13" ht="15" customHeight="1">
      <c r="A3368" s="25">
        <v>1846220</v>
      </c>
      <c r="B3368" s="26" t="s">
        <v>5427</v>
      </c>
      <c r="C3368" s="26" t="s">
        <v>12279</v>
      </c>
      <c r="D3368" s="26" t="s">
        <v>12249</v>
      </c>
      <c r="E3368" s="26" t="s">
        <v>5439</v>
      </c>
      <c r="F3368" s="27">
        <v>6395547</v>
      </c>
      <c r="G3368" s="27">
        <v>0</v>
      </c>
      <c r="H3368" s="27">
        <v>0</v>
      </c>
      <c r="I3368" s="27">
        <v>0</v>
      </c>
      <c r="J3368" s="30">
        <f t="shared" si="156"/>
        <v>0</v>
      </c>
      <c r="K3368" s="30">
        <f t="shared" si="157"/>
        <v>0</v>
      </c>
      <c r="L3368" s="26">
        <f t="shared" si="158"/>
        <v>0</v>
      </c>
      <c r="M3368" s="26" t="s">
        <v>5567</v>
      </c>
    </row>
    <row r="3369" spans="1:13" ht="15" customHeight="1">
      <c r="A3369" s="25">
        <v>1846240</v>
      </c>
      <c r="B3369" s="26" t="s">
        <v>5423</v>
      </c>
      <c r="C3369" s="26" t="s">
        <v>12280</v>
      </c>
      <c r="D3369" s="26" t="s">
        <v>12258</v>
      </c>
      <c r="E3369" s="26" t="s">
        <v>5763</v>
      </c>
      <c r="F3369" s="27">
        <v>6256714</v>
      </c>
      <c r="G3369" s="27">
        <v>1</v>
      </c>
      <c r="H3369" s="27">
        <v>0</v>
      </c>
      <c r="I3369" s="27">
        <v>1</v>
      </c>
      <c r="J3369" s="30">
        <f t="shared" si="156"/>
        <v>1</v>
      </c>
      <c r="K3369" s="30">
        <f t="shared" si="157"/>
        <v>0</v>
      </c>
      <c r="L3369" s="26">
        <f t="shared" si="158"/>
        <v>0</v>
      </c>
      <c r="M3369" s="26"/>
    </row>
    <row r="3370" spans="1:13" ht="15" customHeight="1">
      <c r="A3370" s="25">
        <v>1846249</v>
      </c>
      <c r="B3370" s="26" t="s">
        <v>5423</v>
      </c>
      <c r="C3370" s="26" t="s">
        <v>12281</v>
      </c>
      <c r="D3370" s="26" t="s">
        <v>12258</v>
      </c>
      <c r="E3370" s="26" t="s">
        <v>5447</v>
      </c>
      <c r="F3370" s="27">
        <v>6376534</v>
      </c>
      <c r="G3370" s="27">
        <v>1</v>
      </c>
      <c r="H3370" s="27">
        <v>1</v>
      </c>
      <c r="I3370" s="27">
        <v>1</v>
      </c>
      <c r="J3370" s="30">
        <f t="shared" si="156"/>
        <v>1</v>
      </c>
      <c r="K3370" s="30">
        <f t="shared" si="157"/>
        <v>1</v>
      </c>
      <c r="L3370" s="26">
        <f t="shared" si="158"/>
        <v>1</v>
      </c>
      <c r="M3370" s="26"/>
    </row>
    <row r="3371" spans="1:13" ht="15" customHeight="1">
      <c r="A3371" s="25">
        <v>1846271</v>
      </c>
      <c r="B3371" s="26" t="s">
        <v>5427</v>
      </c>
      <c r="C3371" s="26" t="s">
        <v>12282</v>
      </c>
      <c r="D3371" s="26" t="s">
        <v>12261</v>
      </c>
      <c r="E3371" s="26" t="s">
        <v>5603</v>
      </c>
      <c r="F3371" s="27">
        <v>6386393</v>
      </c>
      <c r="G3371" s="27">
        <v>1</v>
      </c>
      <c r="H3371" s="27">
        <v>0</v>
      </c>
      <c r="I3371" s="27">
        <v>1</v>
      </c>
      <c r="J3371" s="30">
        <f t="shared" si="156"/>
        <v>1</v>
      </c>
      <c r="K3371" s="30">
        <f t="shared" si="157"/>
        <v>0</v>
      </c>
      <c r="L3371" s="26">
        <f t="shared" si="158"/>
        <v>0</v>
      </c>
      <c r="M3371" s="26"/>
    </row>
    <row r="3372" spans="1:13" ht="15" customHeight="1">
      <c r="A3372" s="25">
        <v>1846587</v>
      </c>
      <c r="B3372" s="26" t="s">
        <v>5423</v>
      </c>
      <c r="C3372" s="26" t="s">
        <v>12283</v>
      </c>
      <c r="D3372" s="26" t="s">
        <v>12258</v>
      </c>
      <c r="E3372" s="26" t="s">
        <v>5426</v>
      </c>
      <c r="F3372" s="27">
        <v>6396001</v>
      </c>
      <c r="G3372" s="27">
        <v>1</v>
      </c>
      <c r="H3372" s="27">
        <v>0</v>
      </c>
      <c r="I3372" s="27">
        <v>1</v>
      </c>
      <c r="J3372" s="30">
        <f t="shared" si="156"/>
        <v>1</v>
      </c>
      <c r="K3372" s="30">
        <f t="shared" si="157"/>
        <v>0</v>
      </c>
      <c r="L3372" s="26">
        <f t="shared" si="158"/>
        <v>0</v>
      </c>
      <c r="M3372" s="26"/>
    </row>
    <row r="3373" spans="1:13" ht="15" customHeight="1">
      <c r="A3373" s="25">
        <v>1846645</v>
      </c>
      <c r="B3373" s="26" t="s">
        <v>5423</v>
      </c>
      <c r="C3373" s="26" t="s">
        <v>12284</v>
      </c>
      <c r="D3373" s="26" t="s">
        <v>12285</v>
      </c>
      <c r="E3373" s="26" t="s">
        <v>5436</v>
      </c>
      <c r="F3373" s="27"/>
      <c r="G3373" s="27">
        <v>0</v>
      </c>
      <c r="H3373" s="27">
        <v>0</v>
      </c>
      <c r="I3373" s="27">
        <v>0</v>
      </c>
      <c r="J3373" s="30">
        <f t="shared" si="156"/>
        <v>0</v>
      </c>
      <c r="K3373" s="30">
        <f t="shared" si="157"/>
        <v>0</v>
      </c>
      <c r="L3373" s="26">
        <f t="shared" si="158"/>
        <v>0</v>
      </c>
      <c r="M3373" s="26" t="s">
        <v>5557</v>
      </c>
    </row>
    <row r="3374" spans="1:13" ht="15" customHeight="1">
      <c r="A3374" s="25">
        <v>1846669</v>
      </c>
      <c r="B3374" s="26" t="s">
        <v>5423</v>
      </c>
      <c r="C3374" s="26" t="s">
        <v>12286</v>
      </c>
      <c r="D3374" s="26" t="s">
        <v>12287</v>
      </c>
      <c r="E3374" s="26" t="s">
        <v>5430</v>
      </c>
      <c r="F3374" s="27">
        <v>6390697</v>
      </c>
      <c r="G3374" s="27">
        <v>1</v>
      </c>
      <c r="H3374" s="27">
        <v>0</v>
      </c>
      <c r="I3374" s="27">
        <v>1</v>
      </c>
      <c r="J3374" s="30">
        <f t="shared" si="156"/>
        <v>1</v>
      </c>
      <c r="K3374" s="30">
        <f t="shared" si="157"/>
        <v>0</v>
      </c>
      <c r="L3374" s="26">
        <f t="shared" si="158"/>
        <v>0</v>
      </c>
      <c r="M3374" s="26"/>
    </row>
    <row r="3375" spans="1:13" ht="15" customHeight="1">
      <c r="A3375" s="25">
        <v>1847003</v>
      </c>
      <c r="B3375" s="26" t="s">
        <v>5423</v>
      </c>
      <c r="C3375" s="26" t="s">
        <v>12288</v>
      </c>
      <c r="D3375" s="26" t="s">
        <v>12246</v>
      </c>
      <c r="E3375" s="26" t="s">
        <v>5426</v>
      </c>
      <c r="F3375" s="27">
        <v>6257406</v>
      </c>
      <c r="G3375" s="27">
        <v>1</v>
      </c>
      <c r="H3375" s="27">
        <v>0</v>
      </c>
      <c r="I3375" s="27">
        <v>1</v>
      </c>
      <c r="J3375" s="30">
        <f t="shared" si="156"/>
        <v>1</v>
      </c>
      <c r="K3375" s="30">
        <f t="shared" si="157"/>
        <v>0</v>
      </c>
      <c r="L3375" s="26">
        <f t="shared" si="158"/>
        <v>0</v>
      </c>
      <c r="M3375" s="26"/>
    </row>
    <row r="3376" spans="1:13" ht="15" customHeight="1">
      <c r="A3376" s="25">
        <v>1847823</v>
      </c>
      <c r="B3376" s="26" t="s">
        <v>5427</v>
      </c>
      <c r="C3376" s="26" t="s">
        <v>12289</v>
      </c>
      <c r="D3376" s="26" t="s">
        <v>12236</v>
      </c>
      <c r="E3376" s="26" t="s">
        <v>5442</v>
      </c>
      <c r="F3376" s="27">
        <v>6400593</v>
      </c>
      <c r="G3376" s="27">
        <v>0</v>
      </c>
      <c r="H3376" s="27">
        <v>0</v>
      </c>
      <c r="I3376" s="27">
        <v>0</v>
      </c>
      <c r="J3376" s="30">
        <f t="shared" si="156"/>
        <v>0</v>
      </c>
      <c r="K3376" s="30">
        <f t="shared" si="157"/>
        <v>0</v>
      </c>
      <c r="L3376" s="26">
        <f t="shared" si="158"/>
        <v>0</v>
      </c>
      <c r="M3376" s="26">
        <v>0</v>
      </c>
    </row>
    <row r="3377" spans="1:13" ht="15" customHeight="1">
      <c r="A3377" s="25">
        <v>1847954</v>
      </c>
      <c r="B3377" s="26" t="s">
        <v>5427</v>
      </c>
      <c r="C3377" s="26" t="s">
        <v>12290</v>
      </c>
      <c r="D3377" s="26" t="s">
        <v>12236</v>
      </c>
      <c r="E3377" s="26" t="s">
        <v>5485</v>
      </c>
      <c r="F3377" s="27">
        <v>6400582</v>
      </c>
      <c r="G3377" s="27">
        <v>0</v>
      </c>
      <c r="H3377" s="27">
        <v>0</v>
      </c>
      <c r="I3377" s="27">
        <v>0</v>
      </c>
      <c r="J3377" s="30">
        <f t="shared" si="156"/>
        <v>0</v>
      </c>
      <c r="K3377" s="30">
        <f t="shared" si="157"/>
        <v>0</v>
      </c>
      <c r="L3377" s="26">
        <f t="shared" si="158"/>
        <v>0</v>
      </c>
      <c r="M3377" s="26">
        <v>0</v>
      </c>
    </row>
    <row r="3378" spans="1:13" ht="15" customHeight="1">
      <c r="A3378" s="25">
        <v>1848593</v>
      </c>
      <c r="B3378" s="26" t="s">
        <v>5427</v>
      </c>
      <c r="C3378" s="26" t="s">
        <v>12291</v>
      </c>
      <c r="D3378" s="26" t="s">
        <v>12292</v>
      </c>
      <c r="E3378" s="26" t="s">
        <v>8392</v>
      </c>
      <c r="F3378" s="27">
        <v>6401209</v>
      </c>
      <c r="G3378" s="27">
        <v>0</v>
      </c>
      <c r="H3378" s="27">
        <v>1</v>
      </c>
      <c r="I3378" s="27">
        <v>1</v>
      </c>
      <c r="J3378" s="30">
        <f t="shared" si="156"/>
        <v>0</v>
      </c>
      <c r="K3378" s="30">
        <f t="shared" si="157"/>
        <v>1</v>
      </c>
      <c r="L3378" s="26">
        <f t="shared" si="158"/>
        <v>0</v>
      </c>
      <c r="M3378" s="26"/>
    </row>
    <row r="3379" spans="1:13" ht="15" customHeight="1">
      <c r="A3379" s="25">
        <v>1848753</v>
      </c>
      <c r="B3379" s="26" t="s">
        <v>5427</v>
      </c>
      <c r="C3379" s="26" t="s">
        <v>12293</v>
      </c>
      <c r="D3379" s="26" t="s">
        <v>12294</v>
      </c>
      <c r="E3379" s="26" t="s">
        <v>5610</v>
      </c>
      <c r="F3379" s="27">
        <v>6402442</v>
      </c>
      <c r="G3379" s="27">
        <v>0</v>
      </c>
      <c r="H3379" s="27">
        <v>0</v>
      </c>
      <c r="I3379" s="27">
        <v>0</v>
      </c>
      <c r="J3379" s="30">
        <f t="shared" si="156"/>
        <v>0</v>
      </c>
      <c r="K3379" s="30">
        <f t="shared" si="157"/>
        <v>0</v>
      </c>
      <c r="L3379" s="26">
        <f t="shared" si="158"/>
        <v>0</v>
      </c>
      <c r="M3379" s="26">
        <v>0</v>
      </c>
    </row>
    <row r="3380" spans="1:13" ht="15" customHeight="1">
      <c r="A3380" s="25" t="s">
        <v>12295</v>
      </c>
      <c r="B3380" s="26" t="s">
        <v>5423</v>
      </c>
      <c r="C3380" s="26" t="s">
        <v>12296</v>
      </c>
      <c r="D3380" s="26" t="s">
        <v>12297</v>
      </c>
      <c r="E3380" s="26" t="s">
        <v>5439</v>
      </c>
      <c r="F3380" s="27"/>
      <c r="G3380" s="27">
        <v>0</v>
      </c>
      <c r="H3380" s="27">
        <v>0</v>
      </c>
      <c r="I3380" s="27">
        <v>0</v>
      </c>
      <c r="J3380" s="30">
        <f t="shared" si="156"/>
        <v>0</v>
      </c>
      <c r="K3380" s="30">
        <f t="shared" si="157"/>
        <v>0</v>
      </c>
      <c r="L3380" s="26">
        <f t="shared" si="158"/>
        <v>0</v>
      </c>
      <c r="M3380" s="26" t="s">
        <v>5567</v>
      </c>
    </row>
    <row r="3381" spans="1:13" ht="15" customHeight="1">
      <c r="A3381" s="25">
        <v>1848841</v>
      </c>
      <c r="B3381" s="26" t="s">
        <v>5427</v>
      </c>
      <c r="C3381" s="26" t="s">
        <v>12298</v>
      </c>
      <c r="D3381" s="26" t="s">
        <v>12297</v>
      </c>
      <c r="E3381" s="26" t="s">
        <v>5475</v>
      </c>
      <c r="F3381" s="27">
        <v>6350712</v>
      </c>
      <c r="G3381" s="27">
        <v>1</v>
      </c>
      <c r="H3381" s="27">
        <v>1</v>
      </c>
      <c r="I3381" s="27">
        <v>1</v>
      </c>
      <c r="J3381" s="30">
        <f t="shared" si="156"/>
        <v>1</v>
      </c>
      <c r="K3381" s="30">
        <f t="shared" si="157"/>
        <v>1</v>
      </c>
      <c r="L3381" s="26">
        <f t="shared" si="158"/>
        <v>1</v>
      </c>
      <c r="M3381" s="26"/>
    </row>
    <row r="3382" spans="1:13" ht="15" customHeight="1">
      <c r="A3382" s="25">
        <v>1848862</v>
      </c>
      <c r="B3382" s="26" t="s">
        <v>5423</v>
      </c>
      <c r="C3382" s="26" t="s">
        <v>12299</v>
      </c>
      <c r="D3382" s="26" t="s">
        <v>12297</v>
      </c>
      <c r="E3382" s="26" t="s">
        <v>5535</v>
      </c>
      <c r="F3382" s="27">
        <v>6142373</v>
      </c>
      <c r="G3382" s="27">
        <v>1</v>
      </c>
      <c r="H3382" s="27">
        <v>1</v>
      </c>
      <c r="I3382" s="27">
        <v>1</v>
      </c>
      <c r="J3382" s="30">
        <f t="shared" si="156"/>
        <v>1</v>
      </c>
      <c r="K3382" s="30">
        <f t="shared" si="157"/>
        <v>1</v>
      </c>
      <c r="L3382" s="26">
        <f t="shared" si="158"/>
        <v>1</v>
      </c>
      <c r="M3382" s="26"/>
    </row>
    <row r="3383" spans="1:13" ht="15" customHeight="1">
      <c r="A3383" s="25">
        <v>1848874</v>
      </c>
      <c r="B3383" s="26" t="s">
        <v>5427</v>
      </c>
      <c r="C3383" s="26" t="s">
        <v>12300</v>
      </c>
      <c r="D3383" s="26" t="s">
        <v>12297</v>
      </c>
      <c r="E3383" s="26" t="s">
        <v>5439</v>
      </c>
      <c r="F3383" s="27">
        <v>6402448</v>
      </c>
      <c r="G3383" s="27">
        <v>1</v>
      </c>
      <c r="H3383" s="27">
        <v>1</v>
      </c>
      <c r="I3383" s="27">
        <v>1</v>
      </c>
      <c r="J3383" s="30">
        <f t="shared" si="156"/>
        <v>1</v>
      </c>
      <c r="K3383" s="30">
        <f t="shared" si="157"/>
        <v>1</v>
      </c>
      <c r="L3383" s="26">
        <f t="shared" si="158"/>
        <v>1</v>
      </c>
      <c r="M3383" s="26"/>
    </row>
    <row r="3384" spans="1:13" ht="15" customHeight="1">
      <c r="A3384" s="25">
        <v>1849027</v>
      </c>
      <c r="B3384" s="26" t="s">
        <v>5423</v>
      </c>
      <c r="C3384" s="26" t="s">
        <v>12301</v>
      </c>
      <c r="D3384" s="26" t="s">
        <v>12302</v>
      </c>
      <c r="E3384" s="26" t="s">
        <v>5532</v>
      </c>
      <c r="F3384" s="27">
        <v>6403666</v>
      </c>
      <c r="G3384" s="27">
        <v>0</v>
      </c>
      <c r="H3384" s="27">
        <v>0</v>
      </c>
      <c r="I3384" s="27">
        <v>0</v>
      </c>
      <c r="J3384" s="30">
        <f t="shared" si="156"/>
        <v>0</v>
      </c>
      <c r="K3384" s="30">
        <f t="shared" si="157"/>
        <v>0</v>
      </c>
      <c r="L3384" s="26">
        <f t="shared" si="158"/>
        <v>0</v>
      </c>
      <c r="M3384" s="26">
        <v>0</v>
      </c>
    </row>
    <row r="3385" spans="1:13" ht="15" customHeight="1">
      <c r="A3385" s="25">
        <v>1849091</v>
      </c>
      <c r="B3385" s="26" t="s">
        <v>5427</v>
      </c>
      <c r="C3385" s="26" t="s">
        <v>12303</v>
      </c>
      <c r="D3385" s="26" t="s">
        <v>12294</v>
      </c>
      <c r="E3385" s="26" t="s">
        <v>5781</v>
      </c>
      <c r="F3385" s="27">
        <v>6398526</v>
      </c>
      <c r="G3385" s="27">
        <v>1</v>
      </c>
      <c r="H3385" s="27">
        <v>0</v>
      </c>
      <c r="I3385" s="27">
        <v>1</v>
      </c>
      <c r="J3385" s="30">
        <f t="shared" si="156"/>
        <v>1</v>
      </c>
      <c r="K3385" s="30">
        <f t="shared" si="157"/>
        <v>0</v>
      </c>
      <c r="L3385" s="26">
        <f t="shared" si="158"/>
        <v>0</v>
      </c>
      <c r="M3385" s="26" t="s">
        <v>12304</v>
      </c>
    </row>
    <row r="3386" spans="1:13" ht="15" customHeight="1">
      <c r="A3386" s="25">
        <v>1849121</v>
      </c>
      <c r="B3386" s="26" t="s">
        <v>5423</v>
      </c>
      <c r="C3386" s="26" t="s">
        <v>12305</v>
      </c>
      <c r="D3386" s="26" t="s">
        <v>12306</v>
      </c>
      <c r="E3386" s="26" t="s">
        <v>5447</v>
      </c>
      <c r="F3386" s="27">
        <v>6402783</v>
      </c>
      <c r="G3386" s="27">
        <v>1</v>
      </c>
      <c r="H3386" s="27">
        <v>1</v>
      </c>
      <c r="I3386" s="27">
        <v>1</v>
      </c>
      <c r="J3386" s="30">
        <f t="shared" si="156"/>
        <v>1</v>
      </c>
      <c r="K3386" s="30">
        <f t="shared" si="157"/>
        <v>1</v>
      </c>
      <c r="L3386" s="26">
        <f t="shared" si="158"/>
        <v>1</v>
      </c>
      <c r="M3386" s="26"/>
    </row>
    <row r="3387" spans="1:13" ht="15" customHeight="1">
      <c r="A3387" s="25">
        <v>1849132</v>
      </c>
      <c r="B3387" s="26" t="s">
        <v>5423</v>
      </c>
      <c r="C3387" s="26" t="s">
        <v>12307</v>
      </c>
      <c r="D3387" s="26" t="s">
        <v>12294</v>
      </c>
      <c r="E3387" s="26" t="s">
        <v>5491</v>
      </c>
      <c r="F3387" s="27">
        <v>6403663</v>
      </c>
      <c r="G3387" s="27">
        <v>0</v>
      </c>
      <c r="H3387" s="27">
        <v>0</v>
      </c>
      <c r="I3387" s="27">
        <v>0</v>
      </c>
      <c r="J3387" s="30">
        <f t="shared" si="156"/>
        <v>0</v>
      </c>
      <c r="K3387" s="30">
        <f t="shared" si="157"/>
        <v>0</v>
      </c>
      <c r="L3387" s="26">
        <f t="shared" si="158"/>
        <v>0</v>
      </c>
      <c r="M3387" s="26">
        <v>0</v>
      </c>
    </row>
    <row r="3388" spans="1:13" ht="15" customHeight="1">
      <c r="A3388" s="25">
        <v>1849156</v>
      </c>
      <c r="B3388" s="26" t="s">
        <v>5423</v>
      </c>
      <c r="C3388" s="26" t="s">
        <v>12308</v>
      </c>
      <c r="D3388" s="26" t="s">
        <v>12309</v>
      </c>
      <c r="E3388" s="26" t="s">
        <v>5683</v>
      </c>
      <c r="F3388" s="27">
        <v>6402779</v>
      </c>
      <c r="G3388" s="27">
        <v>1</v>
      </c>
      <c r="H3388" s="27">
        <v>1</v>
      </c>
      <c r="I3388" s="27">
        <v>1</v>
      </c>
      <c r="J3388" s="30">
        <f t="shared" si="156"/>
        <v>1</v>
      </c>
      <c r="K3388" s="30">
        <f t="shared" si="157"/>
        <v>1</v>
      </c>
      <c r="L3388" s="26">
        <f t="shared" si="158"/>
        <v>1</v>
      </c>
      <c r="M3388" s="26"/>
    </row>
    <row r="3389" spans="1:13" ht="15" customHeight="1">
      <c r="A3389" s="25">
        <v>1849612</v>
      </c>
      <c r="B3389" s="26" t="s">
        <v>5423</v>
      </c>
      <c r="C3389" s="26" t="s">
        <v>12310</v>
      </c>
      <c r="D3389" s="26" t="s">
        <v>12306</v>
      </c>
      <c r="E3389" s="26" t="s">
        <v>5504</v>
      </c>
      <c r="F3389" s="27"/>
      <c r="G3389" s="27">
        <v>0</v>
      </c>
      <c r="H3389" s="27">
        <v>0</v>
      </c>
      <c r="I3389" s="27">
        <v>0</v>
      </c>
      <c r="J3389" s="30">
        <f t="shared" si="156"/>
        <v>0</v>
      </c>
      <c r="K3389" s="30">
        <f t="shared" si="157"/>
        <v>0</v>
      </c>
      <c r="L3389" s="26">
        <f t="shared" si="158"/>
        <v>0</v>
      </c>
      <c r="M3389" s="26" t="s">
        <v>12127</v>
      </c>
    </row>
    <row r="3390" spans="1:13" ht="15" customHeight="1">
      <c r="A3390" s="25">
        <v>1849636</v>
      </c>
      <c r="B3390" s="26" t="s">
        <v>5423</v>
      </c>
      <c r="C3390" s="26" t="s">
        <v>12311</v>
      </c>
      <c r="D3390" s="26" t="s">
        <v>12302</v>
      </c>
      <c r="E3390" s="26" t="s">
        <v>5517</v>
      </c>
      <c r="F3390" s="27">
        <v>6397111</v>
      </c>
      <c r="G3390" s="27">
        <v>1</v>
      </c>
      <c r="H3390" s="27">
        <v>0</v>
      </c>
      <c r="I3390" s="27">
        <v>1</v>
      </c>
      <c r="J3390" s="30">
        <f t="shared" si="156"/>
        <v>1</v>
      </c>
      <c r="K3390" s="30">
        <f t="shared" si="157"/>
        <v>0</v>
      </c>
      <c r="L3390" s="26">
        <f t="shared" si="158"/>
        <v>0</v>
      </c>
      <c r="M3390" s="26"/>
    </row>
    <row r="3391" spans="1:13" ht="15" customHeight="1">
      <c r="A3391" s="25">
        <v>1849661</v>
      </c>
      <c r="B3391" s="26" t="s">
        <v>5423</v>
      </c>
      <c r="C3391" s="26" t="s">
        <v>12312</v>
      </c>
      <c r="D3391" s="26" t="s">
        <v>12294</v>
      </c>
      <c r="E3391" s="26" t="s">
        <v>5442</v>
      </c>
      <c r="F3391" s="27">
        <v>6392741</v>
      </c>
      <c r="G3391" s="27">
        <v>1</v>
      </c>
      <c r="H3391" s="27">
        <v>0</v>
      </c>
      <c r="I3391" s="27">
        <v>1</v>
      </c>
      <c r="J3391" s="30">
        <f t="shared" si="156"/>
        <v>1</v>
      </c>
      <c r="K3391" s="30">
        <f t="shared" si="157"/>
        <v>0</v>
      </c>
      <c r="L3391" s="26">
        <f t="shared" si="158"/>
        <v>0</v>
      </c>
      <c r="M3391" s="26"/>
    </row>
    <row r="3392" spans="1:13" ht="15" customHeight="1">
      <c r="A3392" s="25">
        <v>1849748</v>
      </c>
      <c r="B3392" s="26" t="s">
        <v>5423</v>
      </c>
      <c r="C3392" s="26" t="s">
        <v>12313</v>
      </c>
      <c r="D3392" s="26" t="s">
        <v>12302</v>
      </c>
      <c r="E3392" s="26" t="s">
        <v>5480</v>
      </c>
      <c r="F3392" s="27">
        <v>6404248</v>
      </c>
      <c r="G3392" s="27">
        <v>1</v>
      </c>
      <c r="H3392" s="27">
        <v>1</v>
      </c>
      <c r="I3392" s="27">
        <v>1</v>
      </c>
      <c r="J3392" s="30">
        <f t="shared" si="156"/>
        <v>1</v>
      </c>
      <c r="K3392" s="30">
        <f t="shared" si="157"/>
        <v>1</v>
      </c>
      <c r="L3392" s="26">
        <f t="shared" si="158"/>
        <v>1</v>
      </c>
      <c r="M3392" s="26"/>
    </row>
    <row r="3393" spans="1:13" ht="15" customHeight="1">
      <c r="A3393" s="25">
        <v>1849764</v>
      </c>
      <c r="B3393" s="26" t="s">
        <v>5423</v>
      </c>
      <c r="C3393" s="26" t="s">
        <v>12314</v>
      </c>
      <c r="D3393" s="26" t="s">
        <v>12315</v>
      </c>
      <c r="E3393" s="26" t="s">
        <v>5475</v>
      </c>
      <c r="F3393" s="27"/>
      <c r="G3393" s="27">
        <v>0</v>
      </c>
      <c r="H3393" s="27">
        <v>0</v>
      </c>
      <c r="I3393" s="27">
        <v>0</v>
      </c>
      <c r="J3393" s="30">
        <f t="shared" si="156"/>
        <v>0</v>
      </c>
      <c r="K3393" s="30">
        <f t="shared" si="157"/>
        <v>0</v>
      </c>
      <c r="L3393" s="26">
        <f t="shared" si="158"/>
        <v>0</v>
      </c>
      <c r="M3393" s="26" t="s">
        <v>5557</v>
      </c>
    </row>
    <row r="3394" spans="1:13" ht="15" customHeight="1">
      <c r="A3394" s="25">
        <v>1849802</v>
      </c>
      <c r="B3394" s="26" t="s">
        <v>5423</v>
      </c>
      <c r="C3394" s="26" t="s">
        <v>12316</v>
      </c>
      <c r="D3394" s="26" t="s">
        <v>12302</v>
      </c>
      <c r="E3394" s="26" t="s">
        <v>5455</v>
      </c>
      <c r="F3394" s="27">
        <v>6404444</v>
      </c>
      <c r="G3394" s="27">
        <v>1</v>
      </c>
      <c r="H3394" s="27">
        <v>0</v>
      </c>
      <c r="I3394" s="27">
        <v>1</v>
      </c>
      <c r="J3394" s="30">
        <f t="shared" ref="J3394:J3457" si="159">IF(G3394&gt;0,1,0)</f>
        <v>1</v>
      </c>
      <c r="K3394" s="30">
        <f t="shared" ref="K3394:K3457" si="160">IF(H3394&gt;0,1,0)</f>
        <v>0</v>
      </c>
      <c r="L3394" s="26">
        <f t="shared" ref="L3394:L3457" si="161">IF(G3394&gt;0,IF(H3394&gt;0,1,0),0)</f>
        <v>0</v>
      </c>
      <c r="M3394" s="26"/>
    </row>
    <row r="3395" spans="1:13" ht="15" customHeight="1">
      <c r="A3395" s="25">
        <v>1849817</v>
      </c>
      <c r="B3395" s="26" t="s">
        <v>5427</v>
      </c>
      <c r="C3395" s="26" t="s">
        <v>12317</v>
      </c>
      <c r="D3395" s="26" t="s">
        <v>12294</v>
      </c>
      <c r="E3395" s="26" t="s">
        <v>5517</v>
      </c>
      <c r="F3395" s="27">
        <v>6286835</v>
      </c>
      <c r="G3395" s="27">
        <v>1</v>
      </c>
      <c r="H3395" s="27">
        <v>1</v>
      </c>
      <c r="I3395" s="27">
        <v>1</v>
      </c>
      <c r="J3395" s="30">
        <f t="shared" si="159"/>
        <v>1</v>
      </c>
      <c r="K3395" s="30">
        <f t="shared" si="160"/>
        <v>1</v>
      </c>
      <c r="L3395" s="26">
        <f t="shared" si="161"/>
        <v>1</v>
      </c>
      <c r="M3395" s="26"/>
    </row>
    <row r="3396" spans="1:13" ht="15" customHeight="1">
      <c r="A3396" s="25">
        <v>1849988</v>
      </c>
      <c r="B3396" s="26" t="s">
        <v>5423</v>
      </c>
      <c r="C3396" s="26" t="s">
        <v>12318</v>
      </c>
      <c r="D3396" s="26" t="s">
        <v>12319</v>
      </c>
      <c r="E3396" s="26" t="s">
        <v>5426</v>
      </c>
      <c r="F3396" s="27">
        <v>6404499</v>
      </c>
      <c r="G3396" s="27">
        <v>0</v>
      </c>
      <c r="H3396" s="27">
        <v>0</v>
      </c>
      <c r="I3396" s="27">
        <v>0</v>
      </c>
      <c r="J3396" s="30">
        <f t="shared" si="159"/>
        <v>0</v>
      </c>
      <c r="K3396" s="30">
        <f t="shared" si="160"/>
        <v>0</v>
      </c>
      <c r="L3396" s="26">
        <f t="shared" si="161"/>
        <v>0</v>
      </c>
      <c r="M3396" s="26">
        <v>0</v>
      </c>
    </row>
    <row r="3397" spans="1:13" ht="15" customHeight="1">
      <c r="A3397" s="25">
        <v>1850020</v>
      </c>
      <c r="B3397" s="26" t="s">
        <v>5423</v>
      </c>
      <c r="C3397" s="26" t="s">
        <v>12320</v>
      </c>
      <c r="D3397" s="26" t="s">
        <v>12321</v>
      </c>
      <c r="E3397" s="26" t="s">
        <v>5458</v>
      </c>
      <c r="F3397" s="27">
        <v>5966623</v>
      </c>
      <c r="G3397" s="27">
        <v>0</v>
      </c>
      <c r="H3397" s="27">
        <v>0</v>
      </c>
      <c r="I3397" s="27">
        <v>0</v>
      </c>
      <c r="J3397" s="30">
        <f t="shared" si="159"/>
        <v>0</v>
      </c>
      <c r="K3397" s="30">
        <f t="shared" si="160"/>
        <v>0</v>
      </c>
      <c r="L3397" s="26">
        <f t="shared" si="161"/>
        <v>0</v>
      </c>
      <c r="M3397" s="26">
        <v>0</v>
      </c>
    </row>
    <row r="3398" spans="1:13" ht="15" customHeight="1">
      <c r="A3398" s="25">
        <v>1850170</v>
      </c>
      <c r="B3398" s="26" t="s">
        <v>5427</v>
      </c>
      <c r="C3398" s="26" t="s">
        <v>12322</v>
      </c>
      <c r="D3398" s="26" t="s">
        <v>12323</v>
      </c>
      <c r="E3398" s="26" t="s">
        <v>5455</v>
      </c>
      <c r="F3398" s="27">
        <v>6377495</v>
      </c>
      <c r="G3398" s="27">
        <v>1</v>
      </c>
      <c r="H3398" s="27">
        <v>0</v>
      </c>
      <c r="I3398" s="27">
        <v>1</v>
      </c>
      <c r="J3398" s="30">
        <f t="shared" si="159"/>
        <v>1</v>
      </c>
      <c r="K3398" s="30">
        <f t="shared" si="160"/>
        <v>0</v>
      </c>
      <c r="L3398" s="26">
        <f t="shared" si="161"/>
        <v>0</v>
      </c>
      <c r="M3398" s="26"/>
    </row>
    <row r="3399" spans="1:13" ht="15" customHeight="1">
      <c r="A3399" s="25">
        <v>1850207</v>
      </c>
      <c r="B3399" s="26" t="s">
        <v>5427</v>
      </c>
      <c r="C3399" s="26" t="s">
        <v>12324</v>
      </c>
      <c r="D3399" s="26" t="s">
        <v>12325</v>
      </c>
      <c r="E3399" s="26" t="s">
        <v>5439</v>
      </c>
      <c r="F3399" s="27">
        <v>6405187</v>
      </c>
      <c r="G3399" s="27">
        <v>1</v>
      </c>
      <c r="H3399" s="27">
        <v>0</v>
      </c>
      <c r="I3399" s="27">
        <v>1</v>
      </c>
      <c r="J3399" s="30">
        <f t="shared" si="159"/>
        <v>1</v>
      </c>
      <c r="K3399" s="30">
        <f t="shared" si="160"/>
        <v>0</v>
      </c>
      <c r="L3399" s="26">
        <f t="shared" si="161"/>
        <v>0</v>
      </c>
      <c r="M3399" s="26"/>
    </row>
    <row r="3400" spans="1:13" ht="15" customHeight="1">
      <c r="A3400" s="25">
        <v>1850212</v>
      </c>
      <c r="B3400" s="26" t="s">
        <v>5423</v>
      </c>
      <c r="C3400" s="26" t="s">
        <v>12326</v>
      </c>
      <c r="D3400" s="26" t="s">
        <v>12325</v>
      </c>
      <c r="E3400" s="26" t="s">
        <v>5517</v>
      </c>
      <c r="F3400" s="27">
        <v>6350382</v>
      </c>
      <c r="G3400" s="27">
        <v>1</v>
      </c>
      <c r="H3400" s="27">
        <v>0</v>
      </c>
      <c r="I3400" s="27">
        <v>1</v>
      </c>
      <c r="J3400" s="30">
        <f t="shared" si="159"/>
        <v>1</v>
      </c>
      <c r="K3400" s="30">
        <f t="shared" si="160"/>
        <v>0</v>
      </c>
      <c r="L3400" s="26">
        <f t="shared" si="161"/>
        <v>0</v>
      </c>
      <c r="M3400" s="26"/>
    </row>
    <row r="3401" spans="1:13" ht="15" customHeight="1">
      <c r="A3401" s="25">
        <v>1850218</v>
      </c>
      <c r="B3401" s="26" t="s">
        <v>5427</v>
      </c>
      <c r="C3401" s="26" t="s">
        <v>12327</v>
      </c>
      <c r="D3401" s="26" t="s">
        <v>12328</v>
      </c>
      <c r="E3401" s="26" t="s">
        <v>5485</v>
      </c>
      <c r="F3401" s="27">
        <v>6397899</v>
      </c>
      <c r="G3401" s="27">
        <v>1</v>
      </c>
      <c r="H3401" s="27">
        <v>0</v>
      </c>
      <c r="I3401" s="27">
        <v>1</v>
      </c>
      <c r="J3401" s="30">
        <f t="shared" si="159"/>
        <v>1</v>
      </c>
      <c r="K3401" s="30">
        <f t="shared" si="160"/>
        <v>0</v>
      </c>
      <c r="L3401" s="26">
        <f t="shared" si="161"/>
        <v>0</v>
      </c>
      <c r="M3401" s="26" t="s">
        <v>12329</v>
      </c>
    </row>
    <row r="3402" spans="1:13" ht="15" customHeight="1">
      <c r="A3402" s="25">
        <v>1850276</v>
      </c>
      <c r="B3402" s="26" t="s">
        <v>5423</v>
      </c>
      <c r="C3402" s="26" t="s">
        <v>12330</v>
      </c>
      <c r="D3402" s="26" t="s">
        <v>12331</v>
      </c>
      <c r="E3402" s="26" t="s">
        <v>5452</v>
      </c>
      <c r="F3402" s="27">
        <v>5121065</v>
      </c>
      <c r="G3402" s="27">
        <v>1</v>
      </c>
      <c r="H3402" s="27">
        <v>1</v>
      </c>
      <c r="I3402" s="27">
        <v>1</v>
      </c>
      <c r="J3402" s="30">
        <f t="shared" si="159"/>
        <v>1</v>
      </c>
      <c r="K3402" s="30">
        <f t="shared" si="160"/>
        <v>1</v>
      </c>
      <c r="L3402" s="26">
        <f t="shared" si="161"/>
        <v>1</v>
      </c>
      <c r="M3402" s="26"/>
    </row>
    <row r="3403" spans="1:13" ht="15" customHeight="1">
      <c r="A3403" s="25">
        <v>1850337</v>
      </c>
      <c r="B3403" s="26" t="s">
        <v>5423</v>
      </c>
      <c r="C3403" s="26" t="s">
        <v>12332</v>
      </c>
      <c r="D3403" s="26" t="s">
        <v>12297</v>
      </c>
      <c r="E3403" s="26" t="s">
        <v>5488</v>
      </c>
      <c r="F3403" s="27">
        <v>6399558</v>
      </c>
      <c r="G3403" s="27">
        <v>1</v>
      </c>
      <c r="H3403" s="27">
        <v>1</v>
      </c>
      <c r="I3403" s="27">
        <v>1</v>
      </c>
      <c r="J3403" s="30">
        <f t="shared" si="159"/>
        <v>1</v>
      </c>
      <c r="K3403" s="30">
        <f t="shared" si="160"/>
        <v>1</v>
      </c>
      <c r="L3403" s="26">
        <f t="shared" si="161"/>
        <v>1</v>
      </c>
      <c r="M3403" s="26"/>
    </row>
    <row r="3404" spans="1:13" ht="15" customHeight="1">
      <c r="A3404" s="25">
        <v>1850350</v>
      </c>
      <c r="B3404" s="26" t="s">
        <v>5427</v>
      </c>
      <c r="C3404" s="26" t="s">
        <v>12333</v>
      </c>
      <c r="D3404" s="26" t="s">
        <v>12325</v>
      </c>
      <c r="E3404" s="26" t="s">
        <v>5535</v>
      </c>
      <c r="F3404" s="27">
        <v>6405693</v>
      </c>
      <c r="G3404" s="27">
        <v>1</v>
      </c>
      <c r="H3404" s="27">
        <v>1</v>
      </c>
      <c r="I3404" s="27">
        <v>1</v>
      </c>
      <c r="J3404" s="30">
        <f t="shared" si="159"/>
        <v>1</v>
      </c>
      <c r="K3404" s="30">
        <f t="shared" si="160"/>
        <v>1</v>
      </c>
      <c r="L3404" s="26">
        <f t="shared" si="161"/>
        <v>1</v>
      </c>
      <c r="M3404" s="26"/>
    </row>
    <row r="3405" spans="1:13" ht="15" customHeight="1">
      <c r="A3405" s="25">
        <v>1850417</v>
      </c>
      <c r="B3405" s="26" t="s">
        <v>5423</v>
      </c>
      <c r="C3405" s="26" t="s">
        <v>12334</v>
      </c>
      <c r="D3405" s="26" t="s">
        <v>12306</v>
      </c>
      <c r="E3405" s="26" t="s">
        <v>5535</v>
      </c>
      <c r="F3405" s="27">
        <v>5952692</v>
      </c>
      <c r="G3405" s="27">
        <v>0</v>
      </c>
      <c r="H3405" s="27">
        <v>0</v>
      </c>
      <c r="I3405" s="27">
        <v>0</v>
      </c>
      <c r="J3405" s="30">
        <f t="shared" si="159"/>
        <v>0</v>
      </c>
      <c r="K3405" s="30">
        <f t="shared" si="160"/>
        <v>0</v>
      </c>
      <c r="L3405" s="26">
        <f t="shared" si="161"/>
        <v>0</v>
      </c>
      <c r="M3405" s="26">
        <v>0</v>
      </c>
    </row>
    <row r="3406" spans="1:13" ht="15" customHeight="1">
      <c r="A3406" s="25">
        <v>1850617</v>
      </c>
      <c r="B3406" s="26" t="s">
        <v>5423</v>
      </c>
      <c r="C3406" s="26" t="s">
        <v>12335</v>
      </c>
      <c r="D3406" s="26" t="s">
        <v>12336</v>
      </c>
      <c r="E3406" s="26" t="s">
        <v>5468</v>
      </c>
      <c r="F3406" s="27">
        <v>6406171</v>
      </c>
      <c r="G3406" s="27">
        <v>1</v>
      </c>
      <c r="H3406" s="27">
        <v>1</v>
      </c>
      <c r="I3406" s="27">
        <v>1</v>
      </c>
      <c r="J3406" s="30">
        <f t="shared" si="159"/>
        <v>1</v>
      </c>
      <c r="K3406" s="30">
        <f t="shared" si="160"/>
        <v>1</v>
      </c>
      <c r="L3406" s="26">
        <f t="shared" si="161"/>
        <v>1</v>
      </c>
      <c r="M3406" s="26"/>
    </row>
    <row r="3407" spans="1:13" ht="15" customHeight="1">
      <c r="A3407" s="25">
        <v>1850794</v>
      </c>
      <c r="B3407" s="26" t="s">
        <v>5427</v>
      </c>
      <c r="C3407" s="26" t="s">
        <v>12337</v>
      </c>
      <c r="D3407" s="26" t="s">
        <v>12338</v>
      </c>
      <c r="E3407" s="26" t="s">
        <v>5436</v>
      </c>
      <c r="F3407" s="27">
        <v>6406927</v>
      </c>
      <c r="G3407" s="27">
        <v>0</v>
      </c>
      <c r="H3407" s="27">
        <v>0</v>
      </c>
      <c r="I3407" s="27">
        <v>0</v>
      </c>
      <c r="J3407" s="30">
        <f t="shared" si="159"/>
        <v>0</v>
      </c>
      <c r="K3407" s="30">
        <f t="shared" si="160"/>
        <v>0</v>
      </c>
      <c r="L3407" s="26">
        <f t="shared" si="161"/>
        <v>0</v>
      </c>
      <c r="M3407" s="26">
        <v>0</v>
      </c>
    </row>
    <row r="3408" spans="1:13" ht="15" customHeight="1">
      <c r="A3408" s="25">
        <v>1850807</v>
      </c>
      <c r="B3408" s="26" t="s">
        <v>5427</v>
      </c>
      <c r="C3408" s="26" t="s">
        <v>12339</v>
      </c>
      <c r="D3408" s="26" t="s">
        <v>12340</v>
      </c>
      <c r="E3408" s="26" t="s">
        <v>5514</v>
      </c>
      <c r="F3408" s="27">
        <v>6407560</v>
      </c>
      <c r="G3408" s="27">
        <v>0</v>
      </c>
      <c r="H3408" s="27">
        <v>0</v>
      </c>
      <c r="I3408" s="27">
        <v>0</v>
      </c>
      <c r="J3408" s="30">
        <f t="shared" si="159"/>
        <v>0</v>
      </c>
      <c r="K3408" s="30">
        <f t="shared" si="160"/>
        <v>0</v>
      </c>
      <c r="L3408" s="26">
        <f t="shared" si="161"/>
        <v>0</v>
      </c>
      <c r="M3408" s="26">
        <v>0</v>
      </c>
    </row>
    <row r="3409" spans="1:13" ht="15" customHeight="1">
      <c r="A3409" s="25">
        <v>1850824</v>
      </c>
      <c r="B3409" s="26" t="s">
        <v>5423</v>
      </c>
      <c r="C3409" s="26" t="s">
        <v>12341</v>
      </c>
      <c r="D3409" s="26" t="s">
        <v>12325</v>
      </c>
      <c r="E3409" s="26" t="s">
        <v>5718</v>
      </c>
      <c r="F3409" s="27">
        <v>6406420</v>
      </c>
      <c r="G3409" s="27">
        <v>1</v>
      </c>
      <c r="H3409" s="27">
        <v>0</v>
      </c>
      <c r="I3409" s="27">
        <v>1</v>
      </c>
      <c r="J3409" s="30">
        <f t="shared" si="159"/>
        <v>1</v>
      </c>
      <c r="K3409" s="30">
        <f t="shared" si="160"/>
        <v>0</v>
      </c>
      <c r="L3409" s="26">
        <f t="shared" si="161"/>
        <v>0</v>
      </c>
      <c r="M3409" s="26"/>
    </row>
    <row r="3410" spans="1:13" ht="15" customHeight="1">
      <c r="A3410" s="25">
        <v>1850855</v>
      </c>
      <c r="B3410" s="26" t="s">
        <v>5423</v>
      </c>
      <c r="C3410" s="26" t="s">
        <v>12342</v>
      </c>
      <c r="D3410" s="26" t="s">
        <v>12325</v>
      </c>
      <c r="E3410" s="26" t="s">
        <v>5540</v>
      </c>
      <c r="F3410" s="27">
        <v>6403106</v>
      </c>
      <c r="G3410" s="27">
        <v>1</v>
      </c>
      <c r="H3410" s="27">
        <v>0</v>
      </c>
      <c r="I3410" s="27">
        <v>1</v>
      </c>
      <c r="J3410" s="30">
        <f t="shared" si="159"/>
        <v>1</v>
      </c>
      <c r="K3410" s="30">
        <f t="shared" si="160"/>
        <v>0</v>
      </c>
      <c r="L3410" s="26">
        <f t="shared" si="161"/>
        <v>0</v>
      </c>
      <c r="M3410" s="26"/>
    </row>
    <row r="3411" spans="1:13" ht="15" customHeight="1">
      <c r="A3411" s="25">
        <v>1850868</v>
      </c>
      <c r="B3411" s="26" t="s">
        <v>5427</v>
      </c>
      <c r="C3411" s="26" t="s">
        <v>12343</v>
      </c>
      <c r="D3411" s="26" t="s">
        <v>12338</v>
      </c>
      <c r="E3411" s="26" t="s">
        <v>5575</v>
      </c>
      <c r="F3411" s="27">
        <v>6406965</v>
      </c>
      <c r="G3411" s="27">
        <v>0</v>
      </c>
      <c r="H3411" s="27">
        <v>0</v>
      </c>
      <c r="I3411" s="27">
        <v>0</v>
      </c>
      <c r="J3411" s="30">
        <f t="shared" si="159"/>
        <v>0</v>
      </c>
      <c r="K3411" s="30">
        <f t="shared" si="160"/>
        <v>0</v>
      </c>
      <c r="L3411" s="26">
        <f t="shared" si="161"/>
        <v>0</v>
      </c>
      <c r="M3411" s="26">
        <v>0</v>
      </c>
    </row>
    <row r="3412" spans="1:13" ht="15" customHeight="1">
      <c r="A3412" s="25">
        <v>1850927</v>
      </c>
      <c r="B3412" s="26" t="s">
        <v>5423</v>
      </c>
      <c r="C3412" s="26" t="s">
        <v>12344</v>
      </c>
      <c r="D3412" s="26" t="s">
        <v>12244</v>
      </c>
      <c r="E3412" s="26" t="s">
        <v>5468</v>
      </c>
      <c r="F3412" s="27">
        <v>6406644</v>
      </c>
      <c r="G3412" s="27">
        <v>1</v>
      </c>
      <c r="H3412" s="27">
        <v>0</v>
      </c>
      <c r="I3412" s="27">
        <v>1</v>
      </c>
      <c r="J3412" s="30">
        <f t="shared" si="159"/>
        <v>1</v>
      </c>
      <c r="K3412" s="30">
        <f t="shared" si="160"/>
        <v>0</v>
      </c>
      <c r="L3412" s="26">
        <f t="shared" si="161"/>
        <v>0</v>
      </c>
      <c r="M3412" s="26"/>
    </row>
    <row r="3413" spans="1:13" ht="15" customHeight="1">
      <c r="A3413" s="25">
        <v>1850945</v>
      </c>
      <c r="B3413" s="26" t="s">
        <v>5423</v>
      </c>
      <c r="C3413" s="26" t="s">
        <v>12345</v>
      </c>
      <c r="D3413" s="26" t="s">
        <v>12338</v>
      </c>
      <c r="E3413" s="26" t="s">
        <v>5436</v>
      </c>
      <c r="F3413" s="27">
        <v>6406907</v>
      </c>
      <c r="G3413" s="27">
        <v>1</v>
      </c>
      <c r="H3413" s="27">
        <v>0</v>
      </c>
      <c r="I3413" s="27">
        <v>1</v>
      </c>
      <c r="J3413" s="30">
        <f t="shared" si="159"/>
        <v>1</v>
      </c>
      <c r="K3413" s="30">
        <f t="shared" si="160"/>
        <v>0</v>
      </c>
      <c r="L3413" s="26">
        <f t="shared" si="161"/>
        <v>0</v>
      </c>
      <c r="M3413" s="26"/>
    </row>
    <row r="3414" spans="1:13" ht="15" customHeight="1">
      <c r="A3414" s="25">
        <v>1851295</v>
      </c>
      <c r="B3414" s="26" t="s">
        <v>5427</v>
      </c>
      <c r="C3414" s="26" t="s">
        <v>12346</v>
      </c>
      <c r="D3414" s="26" t="s">
        <v>12319</v>
      </c>
      <c r="E3414" s="26" t="s">
        <v>5452</v>
      </c>
      <c r="F3414" s="27">
        <v>6407970</v>
      </c>
      <c r="G3414" s="27">
        <v>1</v>
      </c>
      <c r="H3414" s="27">
        <v>0</v>
      </c>
      <c r="I3414" s="27">
        <v>1</v>
      </c>
      <c r="J3414" s="30">
        <f t="shared" si="159"/>
        <v>1</v>
      </c>
      <c r="K3414" s="30">
        <f t="shared" si="160"/>
        <v>0</v>
      </c>
      <c r="L3414" s="26">
        <f t="shared" si="161"/>
        <v>0</v>
      </c>
      <c r="M3414" s="26"/>
    </row>
    <row r="3415" spans="1:13" ht="15" customHeight="1">
      <c r="A3415" s="25">
        <v>1851312</v>
      </c>
      <c r="B3415" s="26" t="s">
        <v>5423</v>
      </c>
      <c r="C3415" s="26" t="s">
        <v>12347</v>
      </c>
      <c r="D3415" s="26" t="s">
        <v>12319</v>
      </c>
      <c r="E3415" s="26" t="s">
        <v>5463</v>
      </c>
      <c r="F3415" s="27">
        <v>6408772</v>
      </c>
      <c r="G3415" s="27">
        <v>0</v>
      </c>
      <c r="H3415" s="27">
        <v>0</v>
      </c>
      <c r="I3415" s="27">
        <v>0</v>
      </c>
      <c r="J3415" s="30">
        <f t="shared" si="159"/>
        <v>0</v>
      </c>
      <c r="K3415" s="30">
        <f t="shared" si="160"/>
        <v>0</v>
      </c>
      <c r="L3415" s="26">
        <f t="shared" si="161"/>
        <v>0</v>
      </c>
      <c r="M3415" s="26">
        <v>0</v>
      </c>
    </row>
    <row r="3416" spans="1:13" ht="15" customHeight="1">
      <c r="A3416" s="25">
        <v>1851439</v>
      </c>
      <c r="B3416" s="26" t="s">
        <v>5427</v>
      </c>
      <c r="C3416" s="26" t="s">
        <v>12348</v>
      </c>
      <c r="D3416" s="26" t="s">
        <v>12349</v>
      </c>
      <c r="E3416" s="26" t="s">
        <v>5504</v>
      </c>
      <c r="F3416" s="27">
        <v>6400485</v>
      </c>
      <c r="G3416" s="27">
        <v>0</v>
      </c>
      <c r="H3416" s="27">
        <v>0</v>
      </c>
      <c r="I3416" s="27">
        <v>0</v>
      </c>
      <c r="J3416" s="30">
        <f t="shared" si="159"/>
        <v>0</v>
      </c>
      <c r="K3416" s="30">
        <f t="shared" si="160"/>
        <v>0</v>
      </c>
      <c r="L3416" s="26">
        <f t="shared" si="161"/>
        <v>0</v>
      </c>
      <c r="M3416" s="26">
        <v>0</v>
      </c>
    </row>
    <row r="3417" spans="1:13" ht="15" customHeight="1">
      <c r="A3417" s="25">
        <v>1851450</v>
      </c>
      <c r="B3417" s="26" t="s">
        <v>5427</v>
      </c>
      <c r="C3417" s="26" t="s">
        <v>12350</v>
      </c>
      <c r="D3417" s="26" t="s">
        <v>12319</v>
      </c>
      <c r="E3417" s="26" t="s">
        <v>5504</v>
      </c>
      <c r="F3417" s="27">
        <v>6408728</v>
      </c>
      <c r="G3417" s="27">
        <v>0</v>
      </c>
      <c r="H3417" s="27">
        <v>0</v>
      </c>
      <c r="I3417" s="27">
        <v>0</v>
      </c>
      <c r="J3417" s="30">
        <f t="shared" si="159"/>
        <v>0</v>
      </c>
      <c r="K3417" s="30">
        <f t="shared" si="160"/>
        <v>0</v>
      </c>
      <c r="L3417" s="26">
        <f t="shared" si="161"/>
        <v>0</v>
      </c>
      <c r="M3417" s="26">
        <v>0</v>
      </c>
    </row>
    <row r="3418" spans="1:13" ht="15" customHeight="1">
      <c r="A3418" s="25">
        <v>1851492</v>
      </c>
      <c r="B3418" s="26" t="s">
        <v>5423</v>
      </c>
      <c r="C3418" s="26" t="s">
        <v>12351</v>
      </c>
      <c r="D3418" s="26" t="s">
        <v>12319</v>
      </c>
      <c r="E3418" s="26" t="s">
        <v>5535</v>
      </c>
      <c r="F3418" s="27">
        <v>6402055</v>
      </c>
      <c r="G3418" s="27">
        <v>1</v>
      </c>
      <c r="H3418" s="27">
        <v>1</v>
      </c>
      <c r="I3418" s="27">
        <v>1</v>
      </c>
      <c r="J3418" s="30">
        <f t="shared" si="159"/>
        <v>1</v>
      </c>
      <c r="K3418" s="30">
        <f t="shared" si="160"/>
        <v>1</v>
      </c>
      <c r="L3418" s="26">
        <f t="shared" si="161"/>
        <v>1</v>
      </c>
      <c r="M3418" s="26" t="s">
        <v>12352</v>
      </c>
    </row>
    <row r="3419" spans="1:13" ht="15" customHeight="1">
      <c r="A3419" s="25">
        <v>1851650</v>
      </c>
      <c r="B3419" s="26" t="s">
        <v>5423</v>
      </c>
      <c r="C3419" s="26" t="s">
        <v>12353</v>
      </c>
      <c r="D3419" s="26" t="s">
        <v>12340</v>
      </c>
      <c r="E3419" s="26" t="s">
        <v>5529</v>
      </c>
      <c r="F3419" s="27">
        <v>6310056</v>
      </c>
      <c r="G3419" s="27">
        <v>1</v>
      </c>
      <c r="H3419" s="27">
        <v>1</v>
      </c>
      <c r="I3419" s="27">
        <v>1</v>
      </c>
      <c r="J3419" s="30">
        <f t="shared" si="159"/>
        <v>1</v>
      </c>
      <c r="K3419" s="30">
        <f t="shared" si="160"/>
        <v>1</v>
      </c>
      <c r="L3419" s="26">
        <f t="shared" si="161"/>
        <v>1</v>
      </c>
      <c r="M3419" s="26"/>
    </row>
    <row r="3420" spans="1:13" ht="15" customHeight="1">
      <c r="A3420" s="25">
        <v>1851760</v>
      </c>
      <c r="B3420" s="26" t="s">
        <v>5427</v>
      </c>
      <c r="C3420" s="26" t="s">
        <v>12354</v>
      </c>
      <c r="D3420" s="26" t="s">
        <v>12321</v>
      </c>
      <c r="E3420" s="26" t="s">
        <v>5458</v>
      </c>
      <c r="F3420" s="27">
        <v>6404613</v>
      </c>
      <c r="G3420" s="27">
        <v>1</v>
      </c>
      <c r="H3420" s="27">
        <v>0</v>
      </c>
      <c r="I3420" s="27">
        <v>1</v>
      </c>
      <c r="J3420" s="30">
        <f t="shared" si="159"/>
        <v>1</v>
      </c>
      <c r="K3420" s="30">
        <f t="shared" si="160"/>
        <v>0</v>
      </c>
      <c r="L3420" s="26">
        <f t="shared" si="161"/>
        <v>0</v>
      </c>
      <c r="M3420" s="26"/>
    </row>
    <row r="3421" spans="1:13" ht="15" customHeight="1">
      <c r="A3421" s="25">
        <v>1851829</v>
      </c>
      <c r="B3421" s="26" t="s">
        <v>5423</v>
      </c>
      <c r="C3421" s="26" t="s">
        <v>12355</v>
      </c>
      <c r="D3421" s="26" t="s">
        <v>12356</v>
      </c>
      <c r="E3421" s="26" t="s">
        <v>5535</v>
      </c>
      <c r="F3421" s="27">
        <v>6409429</v>
      </c>
      <c r="G3421" s="27">
        <v>0</v>
      </c>
      <c r="H3421" s="27">
        <v>0</v>
      </c>
      <c r="I3421" s="27">
        <v>0</v>
      </c>
      <c r="J3421" s="30">
        <f t="shared" si="159"/>
        <v>0</v>
      </c>
      <c r="K3421" s="30">
        <f t="shared" si="160"/>
        <v>0</v>
      </c>
      <c r="L3421" s="26">
        <f t="shared" si="161"/>
        <v>0</v>
      </c>
      <c r="M3421" s="26">
        <v>0</v>
      </c>
    </row>
    <row r="3422" spans="1:13" ht="15" customHeight="1">
      <c r="A3422" s="25">
        <v>1851995</v>
      </c>
      <c r="B3422" s="26" t="s">
        <v>5427</v>
      </c>
      <c r="C3422" s="26" t="s">
        <v>12357</v>
      </c>
      <c r="D3422" s="26" t="s">
        <v>12321</v>
      </c>
      <c r="E3422" s="26" t="s">
        <v>5463</v>
      </c>
      <c r="F3422" s="27">
        <v>6409304</v>
      </c>
      <c r="G3422" s="27">
        <v>0</v>
      </c>
      <c r="H3422" s="27">
        <v>0</v>
      </c>
      <c r="I3422" s="27">
        <v>0</v>
      </c>
      <c r="J3422" s="30">
        <f t="shared" si="159"/>
        <v>0</v>
      </c>
      <c r="K3422" s="30">
        <f t="shared" si="160"/>
        <v>0</v>
      </c>
      <c r="L3422" s="26">
        <f t="shared" si="161"/>
        <v>0</v>
      </c>
      <c r="M3422" s="26">
        <v>0</v>
      </c>
    </row>
    <row r="3423" spans="1:13" ht="15" customHeight="1">
      <c r="A3423" s="25">
        <v>1852187</v>
      </c>
      <c r="B3423" s="26" t="s">
        <v>5423</v>
      </c>
      <c r="C3423" s="26" t="s">
        <v>12358</v>
      </c>
      <c r="D3423" s="26" t="s">
        <v>12349</v>
      </c>
      <c r="E3423" s="26" t="s">
        <v>5458</v>
      </c>
      <c r="F3423" s="27">
        <v>6410218</v>
      </c>
      <c r="G3423" s="27">
        <v>1</v>
      </c>
      <c r="H3423" s="27">
        <v>1</v>
      </c>
      <c r="I3423" s="27">
        <v>1</v>
      </c>
      <c r="J3423" s="30">
        <f t="shared" si="159"/>
        <v>1</v>
      </c>
      <c r="K3423" s="30">
        <f t="shared" si="160"/>
        <v>1</v>
      </c>
      <c r="L3423" s="26">
        <f t="shared" si="161"/>
        <v>1</v>
      </c>
      <c r="M3423" s="26"/>
    </row>
    <row r="3424" spans="1:13" ht="15" customHeight="1">
      <c r="A3424" s="25">
        <v>1852200</v>
      </c>
      <c r="B3424" s="26" t="s">
        <v>5423</v>
      </c>
      <c r="C3424" s="26" t="s">
        <v>12359</v>
      </c>
      <c r="D3424" s="26" t="s">
        <v>12349</v>
      </c>
      <c r="E3424" s="26" t="s">
        <v>5468</v>
      </c>
      <c r="F3424" s="27">
        <v>6410234</v>
      </c>
      <c r="G3424" s="27">
        <v>1</v>
      </c>
      <c r="H3424" s="27">
        <v>1</v>
      </c>
      <c r="I3424" s="27">
        <v>1</v>
      </c>
      <c r="J3424" s="30">
        <f t="shared" si="159"/>
        <v>1</v>
      </c>
      <c r="K3424" s="30">
        <f t="shared" si="160"/>
        <v>1</v>
      </c>
      <c r="L3424" s="26">
        <f t="shared" si="161"/>
        <v>1</v>
      </c>
      <c r="M3424" s="26"/>
    </row>
    <row r="3425" spans="1:13" ht="15" customHeight="1">
      <c r="A3425" s="25">
        <v>1852225</v>
      </c>
      <c r="B3425" s="26" t="s">
        <v>5423</v>
      </c>
      <c r="C3425" s="26" t="s">
        <v>12360</v>
      </c>
      <c r="D3425" s="26" t="s">
        <v>12361</v>
      </c>
      <c r="E3425" s="26" t="s">
        <v>5458</v>
      </c>
      <c r="F3425" s="27">
        <v>6410215</v>
      </c>
      <c r="G3425" s="27">
        <v>1</v>
      </c>
      <c r="H3425" s="27">
        <v>1</v>
      </c>
      <c r="I3425" s="27">
        <v>1</v>
      </c>
      <c r="J3425" s="30">
        <f t="shared" si="159"/>
        <v>1</v>
      </c>
      <c r="K3425" s="30">
        <f t="shared" si="160"/>
        <v>1</v>
      </c>
      <c r="L3425" s="26">
        <f t="shared" si="161"/>
        <v>1</v>
      </c>
      <c r="M3425" s="26"/>
    </row>
    <row r="3426" spans="1:13" ht="15" customHeight="1">
      <c r="A3426" s="25">
        <v>1852293</v>
      </c>
      <c r="B3426" s="26" t="s">
        <v>5423</v>
      </c>
      <c r="C3426" s="26" t="s">
        <v>12362</v>
      </c>
      <c r="D3426" s="26" t="s">
        <v>12349</v>
      </c>
      <c r="E3426" s="26" t="s">
        <v>5514</v>
      </c>
      <c r="F3426" s="27">
        <v>6410401</v>
      </c>
      <c r="G3426" s="27">
        <v>1</v>
      </c>
      <c r="H3426" s="27">
        <v>1</v>
      </c>
      <c r="I3426" s="27">
        <v>1</v>
      </c>
      <c r="J3426" s="30">
        <f t="shared" si="159"/>
        <v>1</v>
      </c>
      <c r="K3426" s="30">
        <f t="shared" si="160"/>
        <v>1</v>
      </c>
      <c r="L3426" s="26">
        <f t="shared" si="161"/>
        <v>1</v>
      </c>
      <c r="M3426" s="26"/>
    </row>
    <row r="3427" spans="1:13" ht="15" customHeight="1">
      <c r="A3427" s="25">
        <v>1852296</v>
      </c>
      <c r="B3427" s="26" t="s">
        <v>5423</v>
      </c>
      <c r="C3427" s="26" t="s">
        <v>12363</v>
      </c>
      <c r="D3427" s="26" t="s">
        <v>12349</v>
      </c>
      <c r="E3427" s="26" t="s">
        <v>5718</v>
      </c>
      <c r="F3427" s="27">
        <v>6410402</v>
      </c>
      <c r="G3427" s="27">
        <v>1</v>
      </c>
      <c r="H3427" s="27">
        <v>1</v>
      </c>
      <c r="I3427" s="27">
        <v>1</v>
      </c>
      <c r="J3427" s="30">
        <f t="shared" si="159"/>
        <v>1</v>
      </c>
      <c r="K3427" s="30">
        <f t="shared" si="160"/>
        <v>1</v>
      </c>
      <c r="L3427" s="26">
        <f t="shared" si="161"/>
        <v>1</v>
      </c>
      <c r="M3427" s="26"/>
    </row>
    <row r="3428" spans="1:13" ht="15" customHeight="1">
      <c r="A3428" s="25">
        <v>1852302</v>
      </c>
      <c r="B3428" s="26" t="s">
        <v>5427</v>
      </c>
      <c r="C3428" s="26" t="s">
        <v>12364</v>
      </c>
      <c r="D3428" s="26" t="s">
        <v>12349</v>
      </c>
      <c r="E3428" s="26" t="s">
        <v>5480</v>
      </c>
      <c r="F3428" s="27">
        <v>6411588</v>
      </c>
      <c r="G3428" s="27">
        <v>1</v>
      </c>
      <c r="H3428" s="27">
        <v>1</v>
      </c>
      <c r="I3428" s="27">
        <v>1</v>
      </c>
      <c r="J3428" s="30">
        <f t="shared" si="159"/>
        <v>1</v>
      </c>
      <c r="K3428" s="30">
        <f t="shared" si="160"/>
        <v>1</v>
      </c>
      <c r="L3428" s="26">
        <f t="shared" si="161"/>
        <v>1</v>
      </c>
      <c r="M3428" s="26"/>
    </row>
    <row r="3429" spans="1:13" ht="15" customHeight="1">
      <c r="A3429" s="25">
        <v>1852507</v>
      </c>
      <c r="B3429" s="26" t="s">
        <v>5423</v>
      </c>
      <c r="C3429" s="26" t="s">
        <v>12365</v>
      </c>
      <c r="D3429" s="26" t="s">
        <v>12366</v>
      </c>
      <c r="E3429" s="26" t="s">
        <v>5458</v>
      </c>
      <c r="F3429" s="27">
        <v>6404475</v>
      </c>
      <c r="G3429" s="27">
        <v>1</v>
      </c>
      <c r="H3429" s="27">
        <v>0</v>
      </c>
      <c r="I3429" s="27">
        <v>1</v>
      </c>
      <c r="J3429" s="30">
        <f t="shared" si="159"/>
        <v>1</v>
      </c>
      <c r="K3429" s="30">
        <f t="shared" si="160"/>
        <v>0</v>
      </c>
      <c r="L3429" s="26">
        <f t="shared" si="161"/>
        <v>0</v>
      </c>
      <c r="M3429" s="26"/>
    </row>
    <row r="3430" spans="1:13" ht="15" customHeight="1">
      <c r="A3430" s="25">
        <v>1852565</v>
      </c>
      <c r="B3430" s="26" t="s">
        <v>5423</v>
      </c>
      <c r="C3430" s="26" t="s">
        <v>12367</v>
      </c>
      <c r="D3430" s="26" t="s">
        <v>12361</v>
      </c>
      <c r="E3430" s="26" t="s">
        <v>5455</v>
      </c>
      <c r="F3430" s="27">
        <v>6410979</v>
      </c>
      <c r="G3430" s="27">
        <v>1</v>
      </c>
      <c r="H3430" s="27">
        <v>1</v>
      </c>
      <c r="I3430" s="27">
        <v>1</v>
      </c>
      <c r="J3430" s="30">
        <f t="shared" si="159"/>
        <v>1</v>
      </c>
      <c r="K3430" s="30">
        <f t="shared" si="160"/>
        <v>1</v>
      </c>
      <c r="L3430" s="26">
        <f t="shared" si="161"/>
        <v>1</v>
      </c>
      <c r="M3430" s="26"/>
    </row>
    <row r="3431" spans="1:13" ht="15" customHeight="1">
      <c r="A3431" s="25">
        <v>1852594</v>
      </c>
      <c r="B3431" s="26" t="s">
        <v>5423</v>
      </c>
      <c r="C3431" s="26" t="s">
        <v>12368</v>
      </c>
      <c r="D3431" s="26" t="s">
        <v>12321</v>
      </c>
      <c r="E3431" s="26" t="s">
        <v>5447</v>
      </c>
      <c r="F3431" s="27">
        <v>6217720</v>
      </c>
      <c r="G3431" s="27">
        <v>1</v>
      </c>
      <c r="H3431" s="27">
        <v>0</v>
      </c>
      <c r="I3431" s="27">
        <v>1</v>
      </c>
      <c r="J3431" s="30">
        <f t="shared" si="159"/>
        <v>1</v>
      </c>
      <c r="K3431" s="30">
        <f t="shared" si="160"/>
        <v>0</v>
      </c>
      <c r="L3431" s="26">
        <f t="shared" si="161"/>
        <v>0</v>
      </c>
      <c r="M3431" s="26"/>
    </row>
    <row r="3432" spans="1:13" ht="15" customHeight="1">
      <c r="A3432" s="25">
        <v>1852609</v>
      </c>
      <c r="B3432" s="26" t="s">
        <v>5427</v>
      </c>
      <c r="C3432" s="26" t="s">
        <v>12369</v>
      </c>
      <c r="D3432" s="26" t="s">
        <v>12321</v>
      </c>
      <c r="E3432" s="26" t="s">
        <v>5436</v>
      </c>
      <c r="F3432" s="27"/>
      <c r="G3432" s="27">
        <v>0</v>
      </c>
      <c r="H3432" s="27">
        <v>0</v>
      </c>
      <c r="I3432" s="27">
        <v>0</v>
      </c>
      <c r="J3432" s="30">
        <f t="shared" si="159"/>
        <v>0</v>
      </c>
      <c r="K3432" s="30">
        <f t="shared" si="160"/>
        <v>0</v>
      </c>
      <c r="L3432" s="26">
        <f t="shared" si="161"/>
        <v>0</v>
      </c>
      <c r="M3432" s="26" t="s">
        <v>5557</v>
      </c>
    </row>
    <row r="3433" spans="1:13" ht="15" customHeight="1">
      <c r="A3433" s="25">
        <v>1852657</v>
      </c>
      <c r="B3433" s="26" t="s">
        <v>5427</v>
      </c>
      <c r="C3433" s="26" t="s">
        <v>12370</v>
      </c>
      <c r="D3433" s="26" t="s">
        <v>12371</v>
      </c>
      <c r="E3433" s="26" t="s">
        <v>5475</v>
      </c>
      <c r="F3433" s="27">
        <v>6411143</v>
      </c>
      <c r="G3433" s="27">
        <v>0</v>
      </c>
      <c r="H3433" s="27">
        <v>1</v>
      </c>
      <c r="I3433" s="27">
        <v>1</v>
      </c>
      <c r="J3433" s="30">
        <f t="shared" si="159"/>
        <v>0</v>
      </c>
      <c r="K3433" s="30">
        <f t="shared" si="160"/>
        <v>1</v>
      </c>
      <c r="L3433" s="26">
        <f t="shared" si="161"/>
        <v>0</v>
      </c>
      <c r="M3433" s="26"/>
    </row>
    <row r="3434" spans="1:13" ht="15" customHeight="1">
      <c r="A3434" s="25">
        <v>1852688</v>
      </c>
      <c r="B3434" s="26" t="s">
        <v>5427</v>
      </c>
      <c r="C3434" s="26" t="s">
        <v>12372</v>
      </c>
      <c r="D3434" s="26" t="s">
        <v>12321</v>
      </c>
      <c r="E3434" s="26" t="s">
        <v>5654</v>
      </c>
      <c r="F3434" s="27">
        <v>6411173</v>
      </c>
      <c r="G3434" s="27">
        <v>1</v>
      </c>
      <c r="H3434" s="27">
        <v>1</v>
      </c>
      <c r="I3434" s="27">
        <v>1</v>
      </c>
      <c r="J3434" s="30">
        <f t="shared" si="159"/>
        <v>1</v>
      </c>
      <c r="K3434" s="30">
        <f t="shared" si="160"/>
        <v>1</v>
      </c>
      <c r="L3434" s="26">
        <f t="shared" si="161"/>
        <v>1</v>
      </c>
      <c r="M3434" s="26"/>
    </row>
    <row r="3435" spans="1:13" ht="15" customHeight="1">
      <c r="A3435" s="25">
        <v>1853036</v>
      </c>
      <c r="B3435" s="26" t="s">
        <v>5423</v>
      </c>
      <c r="C3435" s="26" t="s">
        <v>12373</v>
      </c>
      <c r="D3435" s="26" t="s">
        <v>12321</v>
      </c>
      <c r="E3435" s="26" t="s">
        <v>5488</v>
      </c>
      <c r="F3435" s="27">
        <v>6413271</v>
      </c>
      <c r="G3435" s="27">
        <v>0</v>
      </c>
      <c r="H3435" s="27">
        <v>0</v>
      </c>
      <c r="I3435" s="27">
        <v>0</v>
      </c>
      <c r="J3435" s="30">
        <f t="shared" si="159"/>
        <v>0</v>
      </c>
      <c r="K3435" s="30">
        <f t="shared" si="160"/>
        <v>0</v>
      </c>
      <c r="L3435" s="26">
        <f t="shared" si="161"/>
        <v>0</v>
      </c>
      <c r="M3435" s="26">
        <v>0</v>
      </c>
    </row>
    <row r="3436" spans="1:13" ht="15" customHeight="1">
      <c r="A3436" s="25">
        <v>1853071</v>
      </c>
      <c r="B3436" s="26" t="s">
        <v>5427</v>
      </c>
      <c r="C3436" s="26" t="s">
        <v>12374</v>
      </c>
      <c r="D3436" s="26" t="s">
        <v>12321</v>
      </c>
      <c r="E3436" s="26" t="s">
        <v>5458</v>
      </c>
      <c r="F3436" s="27">
        <v>6413231</v>
      </c>
      <c r="G3436" s="27">
        <v>0</v>
      </c>
      <c r="H3436" s="27">
        <v>0</v>
      </c>
      <c r="I3436" s="27">
        <v>0</v>
      </c>
      <c r="J3436" s="30">
        <f t="shared" si="159"/>
        <v>0</v>
      </c>
      <c r="K3436" s="30">
        <f t="shared" si="160"/>
        <v>0</v>
      </c>
      <c r="L3436" s="26">
        <f t="shared" si="161"/>
        <v>0</v>
      </c>
      <c r="M3436" s="26">
        <v>0</v>
      </c>
    </row>
    <row r="3437" spans="1:13" ht="15" customHeight="1">
      <c r="A3437" s="25">
        <v>1853092</v>
      </c>
      <c r="B3437" s="26" t="s">
        <v>5423</v>
      </c>
      <c r="C3437" s="26" t="s">
        <v>12375</v>
      </c>
      <c r="D3437" s="26" t="s">
        <v>12321</v>
      </c>
      <c r="E3437" s="26" t="s">
        <v>5463</v>
      </c>
      <c r="F3437" s="27">
        <v>6352435</v>
      </c>
      <c r="G3437" s="27">
        <v>1</v>
      </c>
      <c r="H3437" s="27">
        <v>1</v>
      </c>
      <c r="I3437" s="27">
        <v>1</v>
      </c>
      <c r="J3437" s="30">
        <f t="shared" si="159"/>
        <v>1</v>
      </c>
      <c r="K3437" s="30">
        <f t="shared" si="160"/>
        <v>1</v>
      </c>
      <c r="L3437" s="26">
        <f t="shared" si="161"/>
        <v>1</v>
      </c>
      <c r="M3437" s="26" t="s">
        <v>12376</v>
      </c>
    </row>
    <row r="3438" spans="1:13" ht="15" customHeight="1">
      <c r="A3438" s="25">
        <v>1853197</v>
      </c>
      <c r="B3438" s="26" t="s">
        <v>5427</v>
      </c>
      <c r="C3438" s="26" t="s">
        <v>12377</v>
      </c>
      <c r="D3438" s="26" t="s">
        <v>12321</v>
      </c>
      <c r="E3438" s="26" t="s">
        <v>5763</v>
      </c>
      <c r="F3438" s="27">
        <v>6413254</v>
      </c>
      <c r="G3438" s="27">
        <v>0</v>
      </c>
      <c r="H3438" s="27">
        <v>0</v>
      </c>
      <c r="I3438" s="27">
        <v>0</v>
      </c>
      <c r="J3438" s="30">
        <f t="shared" si="159"/>
        <v>0</v>
      </c>
      <c r="K3438" s="30">
        <f t="shared" si="160"/>
        <v>0</v>
      </c>
      <c r="L3438" s="26">
        <f t="shared" si="161"/>
        <v>0</v>
      </c>
      <c r="M3438" s="26">
        <v>0</v>
      </c>
    </row>
    <row r="3439" spans="1:13" ht="15" customHeight="1">
      <c r="A3439" s="25">
        <v>1853225</v>
      </c>
      <c r="B3439" s="26" t="s">
        <v>5423</v>
      </c>
      <c r="C3439" s="26" t="s">
        <v>12378</v>
      </c>
      <c r="D3439" s="26" t="s">
        <v>12321</v>
      </c>
      <c r="E3439" s="26" t="s">
        <v>5532</v>
      </c>
      <c r="F3439" s="27">
        <v>6399256</v>
      </c>
      <c r="G3439" s="27">
        <v>1</v>
      </c>
      <c r="H3439" s="27">
        <v>0</v>
      </c>
      <c r="I3439" s="27">
        <v>1</v>
      </c>
      <c r="J3439" s="30">
        <f t="shared" si="159"/>
        <v>1</v>
      </c>
      <c r="K3439" s="30">
        <f t="shared" si="160"/>
        <v>0</v>
      </c>
      <c r="L3439" s="26">
        <f t="shared" si="161"/>
        <v>0</v>
      </c>
      <c r="M3439" s="26"/>
    </row>
    <row r="3440" spans="1:13" ht="15" customHeight="1">
      <c r="A3440" s="25">
        <v>1853380</v>
      </c>
      <c r="B3440" s="26" t="s">
        <v>5423</v>
      </c>
      <c r="C3440" s="26" t="s">
        <v>12379</v>
      </c>
      <c r="D3440" s="26" t="s">
        <v>12321</v>
      </c>
      <c r="E3440" s="26" t="s">
        <v>5433</v>
      </c>
      <c r="F3440" s="27">
        <v>6413360</v>
      </c>
      <c r="G3440" s="27">
        <v>0</v>
      </c>
      <c r="H3440" s="27">
        <v>0</v>
      </c>
      <c r="I3440" s="27">
        <v>0</v>
      </c>
      <c r="J3440" s="30">
        <f t="shared" si="159"/>
        <v>0</v>
      </c>
      <c r="K3440" s="30">
        <f t="shared" si="160"/>
        <v>0</v>
      </c>
      <c r="L3440" s="26">
        <f t="shared" si="161"/>
        <v>0</v>
      </c>
      <c r="M3440" s="26">
        <v>0</v>
      </c>
    </row>
    <row r="3441" spans="1:13" ht="15" customHeight="1">
      <c r="A3441" s="25">
        <v>1853562</v>
      </c>
      <c r="B3441" s="26" t="s">
        <v>5423</v>
      </c>
      <c r="C3441" s="26" t="s">
        <v>12380</v>
      </c>
      <c r="D3441" s="26" t="s">
        <v>12381</v>
      </c>
      <c r="E3441" s="26" t="s">
        <v>5586</v>
      </c>
      <c r="F3441" s="27">
        <v>6413711</v>
      </c>
      <c r="G3441" s="27">
        <v>1</v>
      </c>
      <c r="H3441" s="27">
        <v>1</v>
      </c>
      <c r="I3441" s="27">
        <v>1</v>
      </c>
      <c r="J3441" s="30">
        <f t="shared" si="159"/>
        <v>1</v>
      </c>
      <c r="K3441" s="30">
        <f t="shared" si="160"/>
        <v>1</v>
      </c>
      <c r="L3441" s="26">
        <f t="shared" si="161"/>
        <v>1</v>
      </c>
      <c r="M3441" s="26"/>
    </row>
    <row r="3442" spans="1:13" ht="15" customHeight="1">
      <c r="A3442" s="25">
        <v>1853568</v>
      </c>
      <c r="B3442" s="26" t="s">
        <v>5423</v>
      </c>
      <c r="C3442" s="26" t="s">
        <v>12382</v>
      </c>
      <c r="D3442" s="26" t="s">
        <v>12383</v>
      </c>
      <c r="E3442" s="26" t="s">
        <v>5452</v>
      </c>
      <c r="F3442" s="27">
        <v>6408706</v>
      </c>
      <c r="G3442" s="27">
        <v>1</v>
      </c>
      <c r="H3442" s="27">
        <v>1</v>
      </c>
      <c r="I3442" s="27">
        <v>1</v>
      </c>
      <c r="J3442" s="30">
        <f t="shared" si="159"/>
        <v>1</v>
      </c>
      <c r="K3442" s="30">
        <f t="shared" si="160"/>
        <v>1</v>
      </c>
      <c r="L3442" s="26">
        <f t="shared" si="161"/>
        <v>1</v>
      </c>
      <c r="M3442" s="26"/>
    </row>
    <row r="3443" spans="1:13" ht="15" customHeight="1">
      <c r="A3443" s="25">
        <v>1853615</v>
      </c>
      <c r="B3443" s="26" t="s">
        <v>5427</v>
      </c>
      <c r="C3443" s="26" t="s">
        <v>12384</v>
      </c>
      <c r="D3443" s="26" t="s">
        <v>12361</v>
      </c>
      <c r="E3443" s="26" t="s">
        <v>5436</v>
      </c>
      <c r="F3443" s="27">
        <v>6408379</v>
      </c>
      <c r="G3443" s="27">
        <v>1</v>
      </c>
      <c r="H3443" s="27">
        <v>0</v>
      </c>
      <c r="I3443" s="27">
        <v>1</v>
      </c>
      <c r="J3443" s="30">
        <f t="shared" si="159"/>
        <v>1</v>
      </c>
      <c r="K3443" s="30">
        <f t="shared" si="160"/>
        <v>0</v>
      </c>
      <c r="L3443" s="26">
        <f t="shared" si="161"/>
        <v>0</v>
      </c>
      <c r="M3443" s="26"/>
    </row>
    <row r="3444" spans="1:13" ht="15" customHeight="1">
      <c r="A3444" s="25">
        <v>1853651</v>
      </c>
      <c r="B3444" s="26" t="s">
        <v>5423</v>
      </c>
      <c r="C3444" s="26" t="s">
        <v>12385</v>
      </c>
      <c r="D3444" s="26" t="s">
        <v>12349</v>
      </c>
      <c r="E3444" s="26" t="s">
        <v>5452</v>
      </c>
      <c r="F3444" s="27">
        <v>5959466</v>
      </c>
      <c r="G3444" s="27">
        <v>1</v>
      </c>
      <c r="H3444" s="27">
        <v>0</v>
      </c>
      <c r="I3444" s="27">
        <v>1</v>
      </c>
      <c r="J3444" s="30">
        <f t="shared" si="159"/>
        <v>1</v>
      </c>
      <c r="K3444" s="30">
        <f t="shared" si="160"/>
        <v>0</v>
      </c>
      <c r="L3444" s="26">
        <f t="shared" si="161"/>
        <v>0</v>
      </c>
      <c r="M3444" s="26"/>
    </row>
    <row r="3445" spans="1:13" ht="15" customHeight="1">
      <c r="A3445" s="25">
        <v>1853666</v>
      </c>
      <c r="B3445" s="26" t="s">
        <v>5427</v>
      </c>
      <c r="C3445" s="26" t="s">
        <v>12386</v>
      </c>
      <c r="D3445" s="26" t="s">
        <v>12387</v>
      </c>
      <c r="E3445" s="26" t="s">
        <v>5545</v>
      </c>
      <c r="F3445" s="27">
        <v>6414618</v>
      </c>
      <c r="G3445" s="27">
        <v>0</v>
      </c>
      <c r="H3445" s="27">
        <v>0</v>
      </c>
      <c r="I3445" s="27">
        <v>0</v>
      </c>
      <c r="J3445" s="30">
        <f t="shared" si="159"/>
        <v>0</v>
      </c>
      <c r="K3445" s="30">
        <f t="shared" si="160"/>
        <v>0</v>
      </c>
      <c r="L3445" s="26">
        <f t="shared" si="161"/>
        <v>0</v>
      </c>
      <c r="M3445" s="26">
        <v>0</v>
      </c>
    </row>
    <row r="3446" spans="1:13" ht="15" customHeight="1">
      <c r="A3446" s="25">
        <v>1853685</v>
      </c>
      <c r="B3446" s="26" t="s">
        <v>5423</v>
      </c>
      <c r="C3446" s="26" t="s">
        <v>12388</v>
      </c>
      <c r="D3446" s="26" t="s">
        <v>12361</v>
      </c>
      <c r="E3446" s="26" t="s">
        <v>5535</v>
      </c>
      <c r="F3446" s="27">
        <v>6403334</v>
      </c>
      <c r="G3446" s="27">
        <v>1</v>
      </c>
      <c r="H3446" s="27">
        <v>0</v>
      </c>
      <c r="I3446" s="27">
        <v>1</v>
      </c>
      <c r="J3446" s="30">
        <f t="shared" si="159"/>
        <v>1</v>
      </c>
      <c r="K3446" s="30">
        <f t="shared" si="160"/>
        <v>0</v>
      </c>
      <c r="L3446" s="26">
        <f t="shared" si="161"/>
        <v>0</v>
      </c>
      <c r="M3446" s="26"/>
    </row>
    <row r="3447" spans="1:13" ht="15" customHeight="1">
      <c r="A3447" s="25">
        <v>1853701</v>
      </c>
      <c r="B3447" s="26" t="s">
        <v>5427</v>
      </c>
      <c r="C3447" s="26" t="s">
        <v>12389</v>
      </c>
      <c r="D3447" s="26" t="s">
        <v>12349</v>
      </c>
      <c r="E3447" s="26" t="s">
        <v>5535</v>
      </c>
      <c r="F3447" s="27">
        <v>6413571</v>
      </c>
      <c r="G3447" s="27">
        <v>1</v>
      </c>
      <c r="H3447" s="27">
        <v>0</v>
      </c>
      <c r="I3447" s="27">
        <v>1</v>
      </c>
      <c r="J3447" s="30">
        <f t="shared" si="159"/>
        <v>1</v>
      </c>
      <c r="K3447" s="30">
        <f t="shared" si="160"/>
        <v>0</v>
      </c>
      <c r="L3447" s="26">
        <f t="shared" si="161"/>
        <v>0</v>
      </c>
      <c r="M3447" s="26" t="s">
        <v>12390</v>
      </c>
    </row>
    <row r="3448" spans="1:13" ht="15" customHeight="1">
      <c r="A3448" s="25">
        <v>1853767</v>
      </c>
      <c r="B3448" s="26" t="s">
        <v>5427</v>
      </c>
      <c r="C3448" s="26" t="s">
        <v>12391</v>
      </c>
      <c r="D3448" s="26" t="s">
        <v>12392</v>
      </c>
      <c r="E3448" s="26" t="s">
        <v>5475</v>
      </c>
      <c r="F3448" s="27">
        <v>6414077</v>
      </c>
      <c r="G3448" s="27">
        <v>1</v>
      </c>
      <c r="H3448" s="27">
        <v>1</v>
      </c>
      <c r="I3448" s="27">
        <v>1</v>
      </c>
      <c r="J3448" s="30">
        <f t="shared" si="159"/>
        <v>1</v>
      </c>
      <c r="K3448" s="30">
        <f t="shared" si="160"/>
        <v>1</v>
      </c>
      <c r="L3448" s="26">
        <f t="shared" si="161"/>
        <v>1</v>
      </c>
      <c r="M3448" s="26"/>
    </row>
    <row r="3449" spans="1:13" ht="15" customHeight="1">
      <c r="A3449" s="25">
        <v>1853872</v>
      </c>
      <c r="B3449" s="26" t="s">
        <v>5423</v>
      </c>
      <c r="C3449" s="26" t="s">
        <v>12393</v>
      </c>
      <c r="D3449" s="26" t="s">
        <v>12387</v>
      </c>
      <c r="E3449" s="26" t="s">
        <v>5501</v>
      </c>
      <c r="F3449" s="27">
        <v>6398144</v>
      </c>
      <c r="G3449" s="27">
        <v>1</v>
      </c>
      <c r="H3449" s="27">
        <v>1</v>
      </c>
      <c r="I3449" s="27">
        <v>1</v>
      </c>
      <c r="J3449" s="30">
        <f t="shared" si="159"/>
        <v>1</v>
      </c>
      <c r="K3449" s="30">
        <f t="shared" si="160"/>
        <v>1</v>
      </c>
      <c r="L3449" s="26">
        <f t="shared" si="161"/>
        <v>1</v>
      </c>
      <c r="M3449" s="26"/>
    </row>
    <row r="3450" spans="1:13" ht="15" customHeight="1">
      <c r="A3450" s="25">
        <v>1854004</v>
      </c>
      <c r="B3450" s="26" t="s">
        <v>5423</v>
      </c>
      <c r="C3450" s="26" t="s">
        <v>12394</v>
      </c>
      <c r="D3450" s="26" t="s">
        <v>12361</v>
      </c>
      <c r="E3450" s="26" t="s">
        <v>5535</v>
      </c>
      <c r="F3450" s="27">
        <v>6414434</v>
      </c>
      <c r="G3450" s="27">
        <v>1</v>
      </c>
      <c r="H3450" s="27">
        <v>0</v>
      </c>
      <c r="I3450" s="27">
        <v>1</v>
      </c>
      <c r="J3450" s="30">
        <f t="shared" si="159"/>
        <v>1</v>
      </c>
      <c r="K3450" s="30">
        <f t="shared" si="160"/>
        <v>0</v>
      </c>
      <c r="L3450" s="26">
        <f t="shared" si="161"/>
        <v>0</v>
      </c>
      <c r="M3450" s="26"/>
    </row>
    <row r="3451" spans="1:13" ht="15" customHeight="1">
      <c r="A3451" s="25">
        <v>1854019</v>
      </c>
      <c r="B3451" s="26" t="s">
        <v>5423</v>
      </c>
      <c r="C3451" s="26" t="s">
        <v>12395</v>
      </c>
      <c r="D3451" s="26" t="s">
        <v>12244</v>
      </c>
      <c r="E3451" s="26" t="s">
        <v>5426</v>
      </c>
      <c r="F3451" s="27">
        <v>6414482</v>
      </c>
      <c r="G3451" s="27">
        <v>1</v>
      </c>
      <c r="H3451" s="27">
        <v>0</v>
      </c>
      <c r="I3451" s="27">
        <v>1</v>
      </c>
      <c r="J3451" s="30">
        <f t="shared" si="159"/>
        <v>1</v>
      </c>
      <c r="K3451" s="30">
        <f t="shared" si="160"/>
        <v>0</v>
      </c>
      <c r="L3451" s="26">
        <f t="shared" si="161"/>
        <v>0</v>
      </c>
      <c r="M3451" s="26"/>
    </row>
    <row r="3452" spans="1:13" ht="15" customHeight="1">
      <c r="A3452" s="25">
        <v>1854149</v>
      </c>
      <c r="B3452" s="26" t="s">
        <v>5427</v>
      </c>
      <c r="C3452" s="26" t="s">
        <v>12396</v>
      </c>
      <c r="D3452" s="26" t="s">
        <v>12392</v>
      </c>
      <c r="E3452" s="26" t="s">
        <v>5455</v>
      </c>
      <c r="F3452" s="27">
        <v>6415177</v>
      </c>
      <c r="G3452" s="27">
        <v>1</v>
      </c>
      <c r="H3452" s="27">
        <v>1</v>
      </c>
      <c r="I3452" s="27">
        <v>1</v>
      </c>
      <c r="J3452" s="30">
        <f t="shared" si="159"/>
        <v>1</v>
      </c>
      <c r="K3452" s="30">
        <f t="shared" si="160"/>
        <v>1</v>
      </c>
      <c r="L3452" s="26">
        <f t="shared" si="161"/>
        <v>1</v>
      </c>
      <c r="M3452" s="26"/>
    </row>
    <row r="3453" spans="1:13" ht="15" customHeight="1">
      <c r="A3453" s="25">
        <v>1854243</v>
      </c>
      <c r="B3453" s="26" t="s">
        <v>5427</v>
      </c>
      <c r="C3453" s="26" t="s">
        <v>12397</v>
      </c>
      <c r="D3453" s="26" t="s">
        <v>12398</v>
      </c>
      <c r="E3453" s="26" t="s">
        <v>5535</v>
      </c>
      <c r="F3453" s="27">
        <v>6415183</v>
      </c>
      <c r="G3453" s="27">
        <v>1</v>
      </c>
      <c r="H3453" s="27">
        <v>0</v>
      </c>
      <c r="I3453" s="27">
        <v>1</v>
      </c>
      <c r="J3453" s="30">
        <f t="shared" si="159"/>
        <v>1</v>
      </c>
      <c r="K3453" s="30">
        <f t="shared" si="160"/>
        <v>0</v>
      </c>
      <c r="L3453" s="26">
        <f t="shared" si="161"/>
        <v>0</v>
      </c>
      <c r="M3453" s="26"/>
    </row>
    <row r="3454" spans="1:13" ht="15" customHeight="1">
      <c r="A3454" s="25">
        <v>1854314</v>
      </c>
      <c r="B3454" s="26" t="s">
        <v>5427</v>
      </c>
      <c r="C3454" s="26" t="s">
        <v>12399</v>
      </c>
      <c r="D3454" s="26" t="s">
        <v>12244</v>
      </c>
      <c r="E3454" s="26" t="s">
        <v>5586</v>
      </c>
      <c r="F3454" s="27">
        <v>6349119</v>
      </c>
      <c r="G3454" s="27">
        <v>1</v>
      </c>
      <c r="H3454" s="27">
        <v>0</v>
      </c>
      <c r="I3454" s="27">
        <v>1</v>
      </c>
      <c r="J3454" s="30">
        <f t="shared" si="159"/>
        <v>1</v>
      </c>
      <c r="K3454" s="30">
        <f t="shared" si="160"/>
        <v>0</v>
      </c>
      <c r="L3454" s="26">
        <f t="shared" si="161"/>
        <v>0</v>
      </c>
      <c r="M3454" s="26"/>
    </row>
    <row r="3455" spans="1:13" ht="15" customHeight="1">
      <c r="A3455" s="25">
        <v>1854528</v>
      </c>
      <c r="B3455" s="26" t="s">
        <v>5427</v>
      </c>
      <c r="C3455" s="26" t="s">
        <v>12400</v>
      </c>
      <c r="D3455" s="26" t="s">
        <v>12401</v>
      </c>
      <c r="E3455" s="26" t="s">
        <v>5485</v>
      </c>
      <c r="F3455" s="27">
        <v>6416382</v>
      </c>
      <c r="G3455" s="27">
        <v>1</v>
      </c>
      <c r="H3455" s="27">
        <v>0</v>
      </c>
      <c r="I3455" s="27">
        <v>1</v>
      </c>
      <c r="J3455" s="30">
        <f t="shared" si="159"/>
        <v>1</v>
      </c>
      <c r="K3455" s="30">
        <f t="shared" si="160"/>
        <v>0</v>
      </c>
      <c r="L3455" s="26">
        <f t="shared" si="161"/>
        <v>0</v>
      </c>
      <c r="M3455" s="26" t="s">
        <v>12390</v>
      </c>
    </row>
    <row r="3456" spans="1:13" ht="15" customHeight="1">
      <c r="A3456" s="25">
        <v>1854633</v>
      </c>
      <c r="B3456" s="26" t="s">
        <v>5423</v>
      </c>
      <c r="C3456" s="26" t="s">
        <v>12402</v>
      </c>
      <c r="D3456" s="26" t="s">
        <v>12403</v>
      </c>
      <c r="E3456" s="26" t="s">
        <v>5707</v>
      </c>
      <c r="F3456" s="27">
        <v>6416417</v>
      </c>
      <c r="G3456" s="27">
        <v>0</v>
      </c>
      <c r="H3456" s="27">
        <v>0</v>
      </c>
      <c r="I3456" s="27">
        <v>0</v>
      </c>
      <c r="J3456" s="30">
        <f t="shared" si="159"/>
        <v>0</v>
      </c>
      <c r="K3456" s="30">
        <f t="shared" si="160"/>
        <v>0</v>
      </c>
      <c r="L3456" s="26">
        <f t="shared" si="161"/>
        <v>0</v>
      </c>
      <c r="M3456" s="26"/>
    </row>
    <row r="3457" spans="1:13" ht="15" customHeight="1">
      <c r="A3457" s="25">
        <v>1854666</v>
      </c>
      <c r="B3457" s="26" t="s">
        <v>5423</v>
      </c>
      <c r="C3457" s="26" t="s">
        <v>12404</v>
      </c>
      <c r="D3457" s="26" t="s">
        <v>12401</v>
      </c>
      <c r="E3457" s="26" t="s">
        <v>5436</v>
      </c>
      <c r="F3457" s="27">
        <v>6416388</v>
      </c>
      <c r="G3457" s="27">
        <v>1</v>
      </c>
      <c r="H3457" s="27">
        <v>1</v>
      </c>
      <c r="I3457" s="27">
        <v>1</v>
      </c>
      <c r="J3457" s="30">
        <f t="shared" si="159"/>
        <v>1</v>
      </c>
      <c r="K3457" s="30">
        <f t="shared" si="160"/>
        <v>1</v>
      </c>
      <c r="L3457" s="26">
        <f t="shared" si="161"/>
        <v>1</v>
      </c>
      <c r="M3457" s="26"/>
    </row>
    <row r="3458" spans="1:13" ht="15" customHeight="1">
      <c r="A3458" s="25">
        <v>1854717</v>
      </c>
      <c r="B3458" s="26" t="s">
        <v>5427</v>
      </c>
      <c r="C3458" s="26" t="s">
        <v>12405</v>
      </c>
      <c r="D3458" s="26" t="s">
        <v>12401</v>
      </c>
      <c r="E3458" s="26" t="s">
        <v>5560</v>
      </c>
      <c r="F3458" s="27">
        <v>5810521</v>
      </c>
      <c r="G3458" s="27">
        <v>2</v>
      </c>
      <c r="H3458" s="27">
        <v>0</v>
      </c>
      <c r="I3458" s="27">
        <v>1</v>
      </c>
      <c r="J3458" s="30">
        <f t="shared" ref="J3458:J3521" si="162">IF(G3458&gt;0,1,0)</f>
        <v>1</v>
      </c>
      <c r="K3458" s="30">
        <f t="shared" ref="K3458:K3521" si="163">IF(H3458&gt;0,1,0)</f>
        <v>0</v>
      </c>
      <c r="L3458" s="26">
        <f t="shared" ref="L3458:L3521" si="164">IF(G3458&gt;0,IF(H3458&gt;0,1,0),0)</f>
        <v>0</v>
      </c>
      <c r="M3458" s="26" t="s">
        <v>5611</v>
      </c>
    </row>
    <row r="3459" spans="1:13" ht="15" customHeight="1">
      <c r="A3459" s="25" t="s">
        <v>12406</v>
      </c>
      <c r="B3459" s="26" t="s">
        <v>5423</v>
      </c>
      <c r="C3459" s="26" t="s">
        <v>12407</v>
      </c>
      <c r="D3459" s="26" t="s">
        <v>12408</v>
      </c>
      <c r="E3459" s="26" t="s">
        <v>5452</v>
      </c>
      <c r="F3459" s="27">
        <v>5515264</v>
      </c>
      <c r="G3459" s="27">
        <v>0</v>
      </c>
      <c r="H3459" s="27">
        <v>0</v>
      </c>
      <c r="I3459" s="27">
        <v>0</v>
      </c>
      <c r="J3459" s="30">
        <f t="shared" si="162"/>
        <v>0</v>
      </c>
      <c r="K3459" s="30">
        <f t="shared" si="163"/>
        <v>0</v>
      </c>
      <c r="L3459" s="26">
        <f t="shared" si="164"/>
        <v>0</v>
      </c>
      <c r="M3459" s="26" t="s">
        <v>12409</v>
      </c>
    </row>
    <row r="3460" spans="1:13" ht="15" customHeight="1">
      <c r="A3460" s="25">
        <v>1854852</v>
      </c>
      <c r="B3460" s="26" t="s">
        <v>5427</v>
      </c>
      <c r="C3460" s="26" t="s">
        <v>12410</v>
      </c>
      <c r="D3460" s="26" t="s">
        <v>12392</v>
      </c>
      <c r="E3460" s="26" t="s">
        <v>5707</v>
      </c>
      <c r="F3460" s="27">
        <v>6416391</v>
      </c>
      <c r="G3460" s="27">
        <v>1</v>
      </c>
      <c r="H3460" s="27">
        <v>1</v>
      </c>
      <c r="I3460" s="27">
        <v>1</v>
      </c>
      <c r="J3460" s="30">
        <f t="shared" si="162"/>
        <v>1</v>
      </c>
      <c r="K3460" s="30">
        <f t="shared" si="163"/>
        <v>1</v>
      </c>
      <c r="L3460" s="26">
        <f t="shared" si="164"/>
        <v>1</v>
      </c>
      <c r="M3460" s="26" t="s">
        <v>12411</v>
      </c>
    </row>
    <row r="3461" spans="1:13" ht="15" customHeight="1">
      <c r="A3461" s="25">
        <v>1854989</v>
      </c>
      <c r="B3461" s="26" t="s">
        <v>5423</v>
      </c>
      <c r="C3461" s="26" t="s">
        <v>12412</v>
      </c>
      <c r="D3461" s="26" t="s">
        <v>12413</v>
      </c>
      <c r="E3461" s="26" t="s">
        <v>5586</v>
      </c>
      <c r="F3461" s="27">
        <v>5802195</v>
      </c>
      <c r="G3461" s="27">
        <v>1</v>
      </c>
      <c r="H3461" s="27">
        <v>1</v>
      </c>
      <c r="I3461" s="27">
        <v>1</v>
      </c>
      <c r="J3461" s="30">
        <f t="shared" si="162"/>
        <v>1</v>
      </c>
      <c r="K3461" s="30">
        <f t="shared" si="163"/>
        <v>1</v>
      </c>
      <c r="L3461" s="26">
        <f t="shared" si="164"/>
        <v>1</v>
      </c>
      <c r="M3461" s="26" t="s">
        <v>12390</v>
      </c>
    </row>
    <row r="3462" spans="1:13" ht="15" customHeight="1">
      <c r="A3462" s="25">
        <v>1855078</v>
      </c>
      <c r="B3462" s="26" t="s">
        <v>5423</v>
      </c>
      <c r="C3462" s="26" t="s">
        <v>12414</v>
      </c>
      <c r="D3462" s="26" t="s">
        <v>12401</v>
      </c>
      <c r="E3462" s="26" t="s">
        <v>5439</v>
      </c>
      <c r="F3462" s="27"/>
      <c r="G3462" s="27">
        <v>0</v>
      </c>
      <c r="H3462" s="27">
        <v>0</v>
      </c>
      <c r="I3462" s="27">
        <v>0</v>
      </c>
      <c r="J3462" s="30">
        <f t="shared" si="162"/>
        <v>0</v>
      </c>
      <c r="K3462" s="30">
        <f t="shared" si="163"/>
        <v>0</v>
      </c>
      <c r="L3462" s="26">
        <f t="shared" si="164"/>
        <v>0</v>
      </c>
      <c r="M3462" s="26">
        <v>0</v>
      </c>
    </row>
    <row r="3463" spans="1:13" ht="15" customHeight="1">
      <c r="A3463" s="25">
        <v>1855138</v>
      </c>
      <c r="B3463" s="26" t="s">
        <v>5423</v>
      </c>
      <c r="C3463" s="26" t="s">
        <v>12415</v>
      </c>
      <c r="D3463" s="26" t="s">
        <v>12413</v>
      </c>
      <c r="E3463" s="26" t="s">
        <v>5455</v>
      </c>
      <c r="F3463" s="27">
        <v>6417045</v>
      </c>
      <c r="G3463" s="27">
        <v>0</v>
      </c>
      <c r="H3463" s="27">
        <v>0</v>
      </c>
      <c r="I3463" s="27">
        <v>0</v>
      </c>
      <c r="J3463" s="30">
        <f t="shared" si="162"/>
        <v>0</v>
      </c>
      <c r="K3463" s="30">
        <f t="shared" si="163"/>
        <v>0</v>
      </c>
      <c r="L3463" s="26">
        <f t="shared" si="164"/>
        <v>0</v>
      </c>
      <c r="M3463" s="26"/>
    </row>
    <row r="3464" spans="1:13" ht="15" customHeight="1">
      <c r="A3464" s="25">
        <v>1855260</v>
      </c>
      <c r="B3464" s="26" t="s">
        <v>5423</v>
      </c>
      <c r="C3464" s="26" t="s">
        <v>12416</v>
      </c>
      <c r="D3464" s="26" t="s">
        <v>12403</v>
      </c>
      <c r="E3464" s="26" t="s">
        <v>5436</v>
      </c>
      <c r="F3464" s="27">
        <v>6341867</v>
      </c>
      <c r="G3464" s="27">
        <v>1</v>
      </c>
      <c r="H3464" s="27">
        <v>0</v>
      </c>
      <c r="I3464" s="27">
        <v>1</v>
      </c>
      <c r="J3464" s="30">
        <f t="shared" si="162"/>
        <v>1</v>
      </c>
      <c r="K3464" s="30">
        <f t="shared" si="163"/>
        <v>0</v>
      </c>
      <c r="L3464" s="26">
        <f t="shared" si="164"/>
        <v>0</v>
      </c>
      <c r="M3464" s="26"/>
    </row>
    <row r="3465" spans="1:13" ht="15" customHeight="1">
      <c r="A3465" s="25">
        <v>1855262</v>
      </c>
      <c r="B3465" s="26" t="s">
        <v>5427</v>
      </c>
      <c r="C3465" s="26" t="s">
        <v>12417</v>
      </c>
      <c r="D3465" s="26" t="s">
        <v>12418</v>
      </c>
      <c r="E3465" s="26" t="s">
        <v>5968</v>
      </c>
      <c r="F3465" s="27">
        <v>6400553</v>
      </c>
      <c r="G3465" s="27">
        <v>1</v>
      </c>
      <c r="H3465" s="27">
        <v>0</v>
      </c>
      <c r="I3465" s="27">
        <v>1</v>
      </c>
      <c r="J3465" s="30">
        <f t="shared" si="162"/>
        <v>1</v>
      </c>
      <c r="K3465" s="30">
        <f t="shared" si="163"/>
        <v>0</v>
      </c>
      <c r="L3465" s="26">
        <f t="shared" si="164"/>
        <v>0</v>
      </c>
      <c r="M3465" s="26"/>
    </row>
    <row r="3466" spans="1:13" ht="15" customHeight="1">
      <c r="A3466" s="25">
        <v>1855303</v>
      </c>
      <c r="B3466" s="26" t="s">
        <v>5423</v>
      </c>
      <c r="C3466" s="26" t="s">
        <v>12419</v>
      </c>
      <c r="D3466" s="26" t="s">
        <v>12403</v>
      </c>
      <c r="E3466" s="26" t="s">
        <v>5540</v>
      </c>
      <c r="F3466" s="27">
        <v>6417750</v>
      </c>
      <c r="G3466" s="27">
        <v>0</v>
      </c>
      <c r="H3466" s="27">
        <v>0</v>
      </c>
      <c r="I3466" s="27">
        <v>0</v>
      </c>
      <c r="J3466" s="30">
        <f t="shared" si="162"/>
        <v>0</v>
      </c>
      <c r="K3466" s="30">
        <f t="shared" si="163"/>
        <v>0</v>
      </c>
      <c r="L3466" s="26">
        <f t="shared" si="164"/>
        <v>0</v>
      </c>
      <c r="M3466" s="26">
        <v>0</v>
      </c>
    </row>
    <row r="3467" spans="1:13" ht="15" customHeight="1">
      <c r="A3467" s="25">
        <v>1855323</v>
      </c>
      <c r="B3467" s="26" t="s">
        <v>5423</v>
      </c>
      <c r="C3467" s="26" t="s">
        <v>12420</v>
      </c>
      <c r="D3467" s="26" t="s">
        <v>12421</v>
      </c>
      <c r="E3467" s="26" t="s">
        <v>5529</v>
      </c>
      <c r="F3467" s="27"/>
      <c r="G3467" s="27">
        <v>0</v>
      </c>
      <c r="H3467" s="27">
        <v>0</v>
      </c>
      <c r="I3467" s="27">
        <v>0</v>
      </c>
      <c r="J3467" s="30">
        <f t="shared" si="162"/>
        <v>0</v>
      </c>
      <c r="K3467" s="30">
        <f t="shared" si="163"/>
        <v>0</v>
      </c>
      <c r="L3467" s="26">
        <f t="shared" si="164"/>
        <v>0</v>
      </c>
      <c r="M3467" s="26" t="s">
        <v>6310</v>
      </c>
    </row>
    <row r="3468" spans="1:13" ht="15" customHeight="1">
      <c r="A3468" s="25">
        <v>1855498</v>
      </c>
      <c r="B3468" s="26" t="s">
        <v>5423</v>
      </c>
      <c r="C3468" s="26" t="s">
        <v>12422</v>
      </c>
      <c r="D3468" s="26" t="s">
        <v>12423</v>
      </c>
      <c r="E3468" s="26" t="s">
        <v>5504</v>
      </c>
      <c r="F3468" s="27">
        <v>6395822</v>
      </c>
      <c r="G3468" s="27">
        <v>1</v>
      </c>
      <c r="H3468" s="27">
        <v>1</v>
      </c>
      <c r="I3468" s="27">
        <v>1</v>
      </c>
      <c r="J3468" s="30">
        <f t="shared" si="162"/>
        <v>1</v>
      </c>
      <c r="K3468" s="30">
        <f t="shared" si="163"/>
        <v>1</v>
      </c>
      <c r="L3468" s="26">
        <f t="shared" si="164"/>
        <v>1</v>
      </c>
      <c r="M3468" s="26"/>
    </row>
    <row r="3469" spans="1:13" ht="15" customHeight="1">
      <c r="A3469" s="25" t="s">
        <v>12424</v>
      </c>
      <c r="B3469" s="26" t="s">
        <v>5423</v>
      </c>
      <c r="C3469" s="26" t="s">
        <v>12425</v>
      </c>
      <c r="D3469" s="26" t="s">
        <v>12426</v>
      </c>
      <c r="E3469" s="26" t="s">
        <v>5452</v>
      </c>
      <c r="F3469" s="27">
        <v>5515264</v>
      </c>
      <c r="G3469" s="27">
        <v>1</v>
      </c>
      <c r="H3469" s="27">
        <v>1</v>
      </c>
      <c r="I3469" s="27">
        <v>1</v>
      </c>
      <c r="J3469" s="30">
        <f t="shared" si="162"/>
        <v>1</v>
      </c>
      <c r="K3469" s="30">
        <f t="shared" si="163"/>
        <v>1</v>
      </c>
      <c r="L3469" s="26">
        <f t="shared" si="164"/>
        <v>1</v>
      </c>
      <c r="M3469" s="26"/>
    </row>
    <row r="3470" spans="1:13" ht="15" customHeight="1">
      <c r="A3470" s="25" t="s">
        <v>12427</v>
      </c>
      <c r="B3470" s="26" t="s">
        <v>5427</v>
      </c>
      <c r="C3470" s="26" t="s">
        <v>12428</v>
      </c>
      <c r="D3470" s="26" t="s">
        <v>12244</v>
      </c>
      <c r="E3470" s="26" t="s">
        <v>5891</v>
      </c>
      <c r="F3470" s="27"/>
      <c r="G3470" s="27">
        <v>0</v>
      </c>
      <c r="H3470" s="27">
        <v>0</v>
      </c>
      <c r="I3470" s="27">
        <v>0</v>
      </c>
      <c r="J3470" s="30">
        <f t="shared" si="162"/>
        <v>0</v>
      </c>
      <c r="K3470" s="30">
        <f t="shared" si="163"/>
        <v>0</v>
      </c>
      <c r="L3470" s="26">
        <f t="shared" si="164"/>
        <v>0</v>
      </c>
      <c r="M3470" s="26"/>
    </row>
    <row r="3471" spans="1:13" ht="15" customHeight="1">
      <c r="A3471" s="25">
        <v>1855823</v>
      </c>
      <c r="B3471" s="26" t="s">
        <v>5423</v>
      </c>
      <c r="C3471" s="26" t="s">
        <v>12429</v>
      </c>
      <c r="D3471" s="26" t="s">
        <v>12285</v>
      </c>
      <c r="E3471" s="26" t="s">
        <v>5447</v>
      </c>
      <c r="F3471" s="27">
        <v>6419074</v>
      </c>
      <c r="G3471" s="27">
        <v>1</v>
      </c>
      <c r="H3471" s="27">
        <v>1</v>
      </c>
      <c r="I3471" s="27">
        <v>1</v>
      </c>
      <c r="J3471" s="30">
        <f t="shared" si="162"/>
        <v>1</v>
      </c>
      <c r="K3471" s="30">
        <f t="shared" si="163"/>
        <v>1</v>
      </c>
      <c r="L3471" s="26">
        <f t="shared" si="164"/>
        <v>1</v>
      </c>
      <c r="M3471" s="26"/>
    </row>
    <row r="3472" spans="1:13" ht="15" customHeight="1">
      <c r="A3472" s="25">
        <v>1855841</v>
      </c>
      <c r="B3472" s="26" t="s">
        <v>5423</v>
      </c>
      <c r="C3472" s="26" t="s">
        <v>12430</v>
      </c>
      <c r="D3472" s="26" t="s">
        <v>12285</v>
      </c>
      <c r="E3472" s="26" t="s">
        <v>5433</v>
      </c>
      <c r="F3472" s="27"/>
      <c r="G3472" s="27">
        <v>0</v>
      </c>
      <c r="H3472" s="27">
        <v>0</v>
      </c>
      <c r="I3472" s="27">
        <v>0</v>
      </c>
      <c r="J3472" s="30">
        <f t="shared" si="162"/>
        <v>0</v>
      </c>
      <c r="K3472" s="30">
        <f t="shared" si="163"/>
        <v>0</v>
      </c>
      <c r="L3472" s="26">
        <f t="shared" si="164"/>
        <v>0</v>
      </c>
      <c r="M3472" s="26" t="s">
        <v>5567</v>
      </c>
    </row>
    <row r="3473" spans="1:13" ht="15" customHeight="1">
      <c r="A3473" s="25">
        <v>1855890</v>
      </c>
      <c r="B3473" s="26" t="s">
        <v>5427</v>
      </c>
      <c r="C3473" s="26" t="s">
        <v>12431</v>
      </c>
      <c r="D3473" s="26" t="s">
        <v>12285</v>
      </c>
      <c r="E3473" s="26" t="s">
        <v>5485</v>
      </c>
      <c r="F3473" s="27"/>
      <c r="G3473" s="27">
        <v>0</v>
      </c>
      <c r="H3473" s="27">
        <v>0</v>
      </c>
      <c r="I3473" s="27">
        <v>0</v>
      </c>
      <c r="J3473" s="30">
        <f t="shared" si="162"/>
        <v>0</v>
      </c>
      <c r="K3473" s="30">
        <f t="shared" si="163"/>
        <v>0</v>
      </c>
      <c r="L3473" s="26">
        <f t="shared" si="164"/>
        <v>0</v>
      </c>
      <c r="M3473" s="26" t="s">
        <v>7302</v>
      </c>
    </row>
    <row r="3474" spans="1:13" ht="15" customHeight="1">
      <c r="A3474" s="25">
        <v>1855912</v>
      </c>
      <c r="B3474" s="26" t="s">
        <v>5423</v>
      </c>
      <c r="C3474" s="26" t="s">
        <v>12432</v>
      </c>
      <c r="D3474" s="26" t="s">
        <v>12413</v>
      </c>
      <c r="E3474" s="26" t="s">
        <v>5455</v>
      </c>
      <c r="F3474" s="27"/>
      <c r="G3474" s="27">
        <v>0</v>
      </c>
      <c r="H3474" s="27">
        <v>0</v>
      </c>
      <c r="I3474" s="27">
        <v>0</v>
      </c>
      <c r="J3474" s="30">
        <f t="shared" si="162"/>
        <v>0</v>
      </c>
      <c r="K3474" s="30">
        <f t="shared" si="163"/>
        <v>0</v>
      </c>
      <c r="L3474" s="26">
        <f t="shared" si="164"/>
        <v>0</v>
      </c>
      <c r="M3474" s="26" t="s">
        <v>7302</v>
      </c>
    </row>
    <row r="3475" spans="1:13" ht="15" customHeight="1">
      <c r="A3475" s="25">
        <v>1855920</v>
      </c>
      <c r="B3475" s="26" t="s">
        <v>5423</v>
      </c>
      <c r="C3475" s="26" t="s">
        <v>12433</v>
      </c>
      <c r="D3475" s="26" t="s">
        <v>12285</v>
      </c>
      <c r="E3475" s="26" t="s">
        <v>5452</v>
      </c>
      <c r="F3475" s="27">
        <v>6419073</v>
      </c>
      <c r="G3475" s="27">
        <v>0</v>
      </c>
      <c r="H3475" s="27">
        <v>0</v>
      </c>
      <c r="I3475" s="27">
        <v>0</v>
      </c>
      <c r="J3475" s="30">
        <f t="shared" si="162"/>
        <v>0</v>
      </c>
      <c r="K3475" s="30">
        <f t="shared" si="163"/>
        <v>0</v>
      </c>
      <c r="L3475" s="26">
        <f t="shared" si="164"/>
        <v>0</v>
      </c>
      <c r="M3475" s="26">
        <v>0</v>
      </c>
    </row>
    <row r="3476" spans="1:13" ht="15" customHeight="1">
      <c r="A3476" s="25">
        <v>1855932</v>
      </c>
      <c r="B3476" s="26" t="s">
        <v>5427</v>
      </c>
      <c r="C3476" s="26" t="s">
        <v>12434</v>
      </c>
      <c r="D3476" s="26" t="s">
        <v>12413</v>
      </c>
      <c r="E3476" s="26" t="s">
        <v>5455</v>
      </c>
      <c r="F3476" s="27">
        <v>6419886</v>
      </c>
      <c r="G3476" s="27">
        <v>0</v>
      </c>
      <c r="H3476" s="27">
        <v>0</v>
      </c>
      <c r="I3476" s="27">
        <v>0</v>
      </c>
      <c r="J3476" s="30">
        <f t="shared" si="162"/>
        <v>0</v>
      </c>
      <c r="K3476" s="30">
        <f t="shared" si="163"/>
        <v>0</v>
      </c>
      <c r="L3476" s="26">
        <f t="shared" si="164"/>
        <v>0</v>
      </c>
      <c r="M3476" s="26">
        <v>0</v>
      </c>
    </row>
    <row r="3477" spans="1:13" ht="15" customHeight="1">
      <c r="A3477" s="25">
        <v>1855939</v>
      </c>
      <c r="B3477" s="26" t="s">
        <v>5423</v>
      </c>
      <c r="C3477" s="26" t="s">
        <v>12435</v>
      </c>
      <c r="D3477" s="26" t="s">
        <v>12403</v>
      </c>
      <c r="E3477" s="26" t="s">
        <v>5447</v>
      </c>
      <c r="F3477" s="27"/>
      <c r="G3477" s="27">
        <v>0</v>
      </c>
      <c r="H3477" s="27">
        <v>0</v>
      </c>
      <c r="I3477" s="27">
        <v>0</v>
      </c>
      <c r="J3477" s="30">
        <f t="shared" si="162"/>
        <v>0</v>
      </c>
      <c r="K3477" s="30">
        <f t="shared" si="163"/>
        <v>0</v>
      </c>
      <c r="L3477" s="26">
        <f t="shared" si="164"/>
        <v>0</v>
      </c>
      <c r="M3477" s="26" t="s">
        <v>7302</v>
      </c>
    </row>
    <row r="3478" spans="1:13" ht="15" customHeight="1">
      <c r="A3478" s="25">
        <v>1855945</v>
      </c>
      <c r="B3478" s="26" t="s">
        <v>5423</v>
      </c>
      <c r="C3478" s="26" t="s">
        <v>12436</v>
      </c>
      <c r="D3478" s="26" t="s">
        <v>12426</v>
      </c>
      <c r="E3478" s="26" t="s">
        <v>5535</v>
      </c>
      <c r="F3478" s="27">
        <v>6419077</v>
      </c>
      <c r="G3478" s="27">
        <v>1</v>
      </c>
      <c r="H3478" s="27">
        <v>1</v>
      </c>
      <c r="I3478" s="27">
        <v>1</v>
      </c>
      <c r="J3478" s="30">
        <f t="shared" si="162"/>
        <v>1</v>
      </c>
      <c r="K3478" s="30">
        <f t="shared" si="163"/>
        <v>1</v>
      </c>
      <c r="L3478" s="26">
        <f t="shared" si="164"/>
        <v>1</v>
      </c>
      <c r="M3478" s="26"/>
    </row>
    <row r="3479" spans="1:13" ht="15" customHeight="1">
      <c r="A3479" s="25">
        <v>1856154</v>
      </c>
      <c r="B3479" s="26" t="s">
        <v>5423</v>
      </c>
      <c r="C3479" s="26" t="s">
        <v>12437</v>
      </c>
      <c r="D3479" s="26" t="s">
        <v>12315</v>
      </c>
      <c r="E3479" s="26" t="s">
        <v>5522</v>
      </c>
      <c r="F3479" s="27"/>
      <c r="G3479" s="27">
        <v>0</v>
      </c>
      <c r="H3479" s="27">
        <v>0</v>
      </c>
      <c r="I3479" s="27">
        <v>0</v>
      </c>
      <c r="J3479" s="30">
        <f t="shared" si="162"/>
        <v>0</v>
      </c>
      <c r="K3479" s="30">
        <f t="shared" si="163"/>
        <v>0</v>
      </c>
      <c r="L3479" s="26">
        <f t="shared" si="164"/>
        <v>0</v>
      </c>
      <c r="M3479" s="26" t="s">
        <v>7302</v>
      </c>
    </row>
    <row r="3480" spans="1:13" ht="15" customHeight="1">
      <c r="A3480" s="25">
        <v>1856195</v>
      </c>
      <c r="B3480" s="26" t="s">
        <v>5423</v>
      </c>
      <c r="C3480" s="26" t="s">
        <v>12438</v>
      </c>
      <c r="D3480" s="26" t="s">
        <v>12413</v>
      </c>
      <c r="E3480" s="26" t="s">
        <v>5891</v>
      </c>
      <c r="F3480" s="27">
        <v>6411551</v>
      </c>
      <c r="G3480" s="27">
        <v>1</v>
      </c>
      <c r="H3480" s="27">
        <v>0</v>
      </c>
      <c r="I3480" s="27">
        <v>1</v>
      </c>
      <c r="J3480" s="30">
        <f t="shared" si="162"/>
        <v>1</v>
      </c>
      <c r="K3480" s="30">
        <f t="shared" si="163"/>
        <v>0</v>
      </c>
      <c r="L3480" s="26">
        <f t="shared" si="164"/>
        <v>0</v>
      </c>
      <c r="M3480" s="26"/>
    </row>
    <row r="3481" spans="1:13" ht="15" customHeight="1">
      <c r="A3481" s="25">
        <v>1856343</v>
      </c>
      <c r="B3481" s="26" t="s">
        <v>5423</v>
      </c>
      <c r="C3481" s="26" t="s">
        <v>12439</v>
      </c>
      <c r="D3481" s="26" t="s">
        <v>12413</v>
      </c>
      <c r="E3481" s="26" t="s">
        <v>5603</v>
      </c>
      <c r="F3481" s="27">
        <v>6405593</v>
      </c>
      <c r="G3481" s="27">
        <v>0</v>
      </c>
      <c r="H3481" s="27">
        <v>0</v>
      </c>
      <c r="I3481" s="27">
        <v>0</v>
      </c>
      <c r="J3481" s="30">
        <f t="shared" si="162"/>
        <v>0</v>
      </c>
      <c r="K3481" s="30">
        <f t="shared" si="163"/>
        <v>0</v>
      </c>
      <c r="L3481" s="26">
        <f t="shared" si="164"/>
        <v>0</v>
      </c>
      <c r="M3481" s="26"/>
    </row>
    <row r="3482" spans="1:13" ht="15" customHeight="1">
      <c r="A3482" s="25">
        <v>1856408</v>
      </c>
      <c r="B3482" s="26" t="s">
        <v>5423</v>
      </c>
      <c r="C3482" s="26" t="s">
        <v>12440</v>
      </c>
      <c r="D3482" s="26" t="s">
        <v>12244</v>
      </c>
      <c r="E3482" s="26" t="s">
        <v>5540</v>
      </c>
      <c r="F3482" s="27">
        <v>6387582</v>
      </c>
      <c r="G3482" s="27">
        <v>1</v>
      </c>
      <c r="H3482" s="27">
        <v>1</v>
      </c>
      <c r="I3482" s="27">
        <v>1</v>
      </c>
      <c r="J3482" s="30">
        <f t="shared" si="162"/>
        <v>1</v>
      </c>
      <c r="K3482" s="30">
        <f t="shared" si="163"/>
        <v>1</v>
      </c>
      <c r="L3482" s="26">
        <f t="shared" si="164"/>
        <v>1</v>
      </c>
      <c r="M3482" s="26"/>
    </row>
    <row r="3483" spans="1:13" ht="15" customHeight="1">
      <c r="A3483" s="25">
        <v>1856510</v>
      </c>
      <c r="B3483" s="26" t="s">
        <v>5423</v>
      </c>
      <c r="C3483" s="26" t="s">
        <v>12441</v>
      </c>
      <c r="D3483" s="26" t="s">
        <v>12413</v>
      </c>
      <c r="E3483" s="26" t="s">
        <v>5436</v>
      </c>
      <c r="F3483" s="27">
        <v>6421006</v>
      </c>
      <c r="G3483" s="27">
        <v>0</v>
      </c>
      <c r="H3483" s="27">
        <v>0</v>
      </c>
      <c r="I3483" s="27">
        <v>0</v>
      </c>
      <c r="J3483" s="30">
        <f t="shared" si="162"/>
        <v>0</v>
      </c>
      <c r="K3483" s="30">
        <f t="shared" si="163"/>
        <v>0</v>
      </c>
      <c r="L3483" s="26">
        <f t="shared" si="164"/>
        <v>0</v>
      </c>
      <c r="M3483" s="26">
        <v>0</v>
      </c>
    </row>
    <row r="3484" spans="1:13" ht="15" customHeight="1">
      <c r="A3484" s="25">
        <v>1856587</v>
      </c>
      <c r="B3484" s="26" t="s">
        <v>5423</v>
      </c>
      <c r="C3484" s="26" t="s">
        <v>12442</v>
      </c>
      <c r="D3484" s="26" t="s">
        <v>12413</v>
      </c>
      <c r="E3484" s="26" t="s">
        <v>5560</v>
      </c>
      <c r="F3484" s="27">
        <v>6382932</v>
      </c>
      <c r="G3484" s="27">
        <v>1</v>
      </c>
      <c r="H3484" s="27">
        <v>0</v>
      </c>
      <c r="I3484" s="27">
        <v>1</v>
      </c>
      <c r="J3484" s="30">
        <f t="shared" si="162"/>
        <v>1</v>
      </c>
      <c r="K3484" s="30">
        <f t="shared" si="163"/>
        <v>0</v>
      </c>
      <c r="L3484" s="26">
        <f t="shared" si="164"/>
        <v>0</v>
      </c>
      <c r="M3484" s="26"/>
    </row>
    <row r="3485" spans="1:13" ht="15" customHeight="1">
      <c r="A3485" s="25">
        <v>1856791</v>
      </c>
      <c r="B3485" s="26" t="s">
        <v>5427</v>
      </c>
      <c r="C3485" s="26" t="s">
        <v>12443</v>
      </c>
      <c r="D3485" s="26" t="s">
        <v>12244</v>
      </c>
      <c r="E3485" s="26" t="s">
        <v>5458</v>
      </c>
      <c r="F3485" s="27">
        <v>6420757</v>
      </c>
      <c r="G3485" s="27">
        <v>1</v>
      </c>
      <c r="H3485" s="27">
        <v>1</v>
      </c>
      <c r="I3485" s="27">
        <v>1</v>
      </c>
      <c r="J3485" s="30">
        <f t="shared" si="162"/>
        <v>1</v>
      </c>
      <c r="K3485" s="30">
        <f t="shared" si="163"/>
        <v>1</v>
      </c>
      <c r="L3485" s="26">
        <f t="shared" si="164"/>
        <v>1</v>
      </c>
      <c r="M3485" s="26"/>
    </row>
    <row r="3486" spans="1:13" ht="15" customHeight="1">
      <c r="A3486" s="25">
        <v>1856807</v>
      </c>
      <c r="B3486" s="26" t="s">
        <v>5427</v>
      </c>
      <c r="C3486" s="26" t="s">
        <v>12444</v>
      </c>
      <c r="D3486" s="26" t="s">
        <v>12445</v>
      </c>
      <c r="E3486" s="26" t="s">
        <v>5718</v>
      </c>
      <c r="F3486" s="27">
        <v>6415399</v>
      </c>
      <c r="G3486" s="27">
        <v>1</v>
      </c>
      <c r="H3486" s="27">
        <v>0</v>
      </c>
      <c r="I3486" s="27">
        <v>1</v>
      </c>
      <c r="J3486" s="30">
        <f t="shared" si="162"/>
        <v>1</v>
      </c>
      <c r="K3486" s="30">
        <f t="shared" si="163"/>
        <v>0</v>
      </c>
      <c r="L3486" s="26">
        <f t="shared" si="164"/>
        <v>0</v>
      </c>
      <c r="M3486" s="26"/>
    </row>
    <row r="3487" spans="1:13" ht="15" customHeight="1">
      <c r="A3487" s="25">
        <v>1856885</v>
      </c>
      <c r="B3487" s="26" t="s">
        <v>5423</v>
      </c>
      <c r="C3487" s="26" t="s">
        <v>12446</v>
      </c>
      <c r="D3487" s="26" t="s">
        <v>12447</v>
      </c>
      <c r="E3487" s="26" t="s">
        <v>5430</v>
      </c>
      <c r="F3487" s="27">
        <v>6421408</v>
      </c>
      <c r="G3487" s="27">
        <v>1</v>
      </c>
      <c r="H3487" s="27">
        <v>0</v>
      </c>
      <c r="I3487" s="27">
        <v>1</v>
      </c>
      <c r="J3487" s="30">
        <f t="shared" si="162"/>
        <v>1</v>
      </c>
      <c r="K3487" s="30">
        <f t="shared" si="163"/>
        <v>0</v>
      </c>
      <c r="L3487" s="26">
        <f t="shared" si="164"/>
        <v>0</v>
      </c>
      <c r="M3487" s="26"/>
    </row>
    <row r="3488" spans="1:13" ht="15" customHeight="1">
      <c r="A3488" s="25">
        <v>1856962</v>
      </c>
      <c r="B3488" s="26" t="s">
        <v>5423</v>
      </c>
      <c r="C3488" s="26" t="s">
        <v>12448</v>
      </c>
      <c r="D3488" s="26" t="s">
        <v>12447</v>
      </c>
      <c r="E3488" s="26" t="s">
        <v>5436</v>
      </c>
      <c r="F3488" s="27">
        <v>6416826</v>
      </c>
      <c r="G3488" s="27">
        <v>1</v>
      </c>
      <c r="H3488" s="27">
        <v>0</v>
      </c>
      <c r="I3488" s="27">
        <v>1</v>
      </c>
      <c r="J3488" s="30">
        <f t="shared" si="162"/>
        <v>1</v>
      </c>
      <c r="K3488" s="30">
        <f t="shared" si="163"/>
        <v>0</v>
      </c>
      <c r="L3488" s="26">
        <f t="shared" si="164"/>
        <v>0</v>
      </c>
      <c r="M3488" s="26"/>
    </row>
    <row r="3489" spans="1:13" ht="15" customHeight="1">
      <c r="A3489" s="25">
        <v>1856981</v>
      </c>
      <c r="B3489" s="26" t="s">
        <v>5427</v>
      </c>
      <c r="C3489" s="26" t="s">
        <v>12449</v>
      </c>
      <c r="D3489" s="26" t="s">
        <v>11502</v>
      </c>
      <c r="E3489" s="26" t="s">
        <v>5550</v>
      </c>
      <c r="F3489" s="27">
        <v>6421198</v>
      </c>
      <c r="G3489" s="27">
        <v>1</v>
      </c>
      <c r="H3489" s="27">
        <v>0</v>
      </c>
      <c r="I3489" s="27">
        <v>1</v>
      </c>
      <c r="J3489" s="30">
        <f t="shared" si="162"/>
        <v>1</v>
      </c>
      <c r="K3489" s="30">
        <f t="shared" si="163"/>
        <v>0</v>
      </c>
      <c r="L3489" s="26">
        <f t="shared" si="164"/>
        <v>0</v>
      </c>
      <c r="M3489" s="26"/>
    </row>
    <row r="3490" spans="1:13" ht="15" customHeight="1">
      <c r="A3490" s="25">
        <v>1856999</v>
      </c>
      <c r="B3490" s="26" t="s">
        <v>5423</v>
      </c>
      <c r="C3490" s="26" t="s">
        <v>12450</v>
      </c>
      <c r="D3490" s="26" t="s">
        <v>12451</v>
      </c>
      <c r="E3490" s="26" t="s">
        <v>5718</v>
      </c>
      <c r="F3490" s="27">
        <v>6421476</v>
      </c>
      <c r="G3490" s="27">
        <v>1</v>
      </c>
      <c r="H3490" s="27">
        <v>1</v>
      </c>
      <c r="I3490" s="27">
        <v>1</v>
      </c>
      <c r="J3490" s="30">
        <f t="shared" si="162"/>
        <v>1</v>
      </c>
      <c r="K3490" s="30">
        <f t="shared" si="163"/>
        <v>1</v>
      </c>
      <c r="L3490" s="26">
        <f t="shared" si="164"/>
        <v>1</v>
      </c>
      <c r="M3490" s="26"/>
    </row>
    <row r="3491" spans="1:13" ht="15" customHeight="1">
      <c r="A3491" s="25">
        <v>1857021</v>
      </c>
      <c r="B3491" s="26" t="s">
        <v>5427</v>
      </c>
      <c r="C3491" s="26" t="s">
        <v>12452</v>
      </c>
      <c r="D3491" s="26" t="s">
        <v>12453</v>
      </c>
      <c r="E3491" s="26" t="s">
        <v>5494</v>
      </c>
      <c r="F3491" s="27">
        <v>6332908</v>
      </c>
      <c r="G3491" s="27">
        <v>1</v>
      </c>
      <c r="H3491" s="27">
        <v>0</v>
      </c>
      <c r="I3491" s="27">
        <v>1</v>
      </c>
      <c r="J3491" s="30">
        <f t="shared" si="162"/>
        <v>1</v>
      </c>
      <c r="K3491" s="30">
        <f t="shared" si="163"/>
        <v>0</v>
      </c>
      <c r="L3491" s="26">
        <f t="shared" si="164"/>
        <v>0</v>
      </c>
      <c r="M3491" s="26"/>
    </row>
    <row r="3492" spans="1:13" ht="15" customHeight="1">
      <c r="A3492" s="25">
        <v>1857082</v>
      </c>
      <c r="B3492" s="26" t="s">
        <v>5423</v>
      </c>
      <c r="C3492" s="26" t="s">
        <v>12454</v>
      </c>
      <c r="D3492" s="26" t="s">
        <v>12451</v>
      </c>
      <c r="E3492" s="26" t="s">
        <v>5433</v>
      </c>
      <c r="F3492" s="27">
        <v>6421474</v>
      </c>
      <c r="G3492" s="27">
        <v>1</v>
      </c>
      <c r="H3492" s="27">
        <v>1</v>
      </c>
      <c r="I3492" s="27">
        <v>1</v>
      </c>
      <c r="J3492" s="30">
        <f t="shared" si="162"/>
        <v>1</v>
      </c>
      <c r="K3492" s="30">
        <f t="shared" si="163"/>
        <v>1</v>
      </c>
      <c r="L3492" s="26">
        <f t="shared" si="164"/>
        <v>1</v>
      </c>
      <c r="M3492" s="26"/>
    </row>
    <row r="3493" spans="1:13" ht="15" customHeight="1">
      <c r="A3493" s="25" t="s">
        <v>12455</v>
      </c>
      <c r="B3493" s="26" t="s">
        <v>5423</v>
      </c>
      <c r="C3493" s="26" t="s">
        <v>12456</v>
      </c>
      <c r="D3493" s="26" t="s">
        <v>12451</v>
      </c>
      <c r="E3493" s="26" t="s">
        <v>5463</v>
      </c>
      <c r="F3493" s="27">
        <v>6421963</v>
      </c>
      <c r="G3493" s="27">
        <v>0</v>
      </c>
      <c r="H3493" s="27">
        <v>0</v>
      </c>
      <c r="I3493" s="27">
        <v>0</v>
      </c>
      <c r="J3493" s="30">
        <f t="shared" si="162"/>
        <v>0</v>
      </c>
      <c r="K3493" s="30">
        <f t="shared" si="163"/>
        <v>0</v>
      </c>
      <c r="L3493" s="26">
        <f t="shared" si="164"/>
        <v>0</v>
      </c>
      <c r="M3493" s="26">
        <v>0</v>
      </c>
    </row>
    <row r="3494" spans="1:13" ht="15" customHeight="1">
      <c r="A3494" s="25">
        <v>1857131</v>
      </c>
      <c r="B3494" s="26" t="s">
        <v>5423</v>
      </c>
      <c r="C3494" s="26" t="s">
        <v>12457</v>
      </c>
      <c r="D3494" s="26" t="s">
        <v>12244</v>
      </c>
      <c r="E3494" s="26" t="s">
        <v>6541</v>
      </c>
      <c r="F3494" s="27">
        <v>6411878</v>
      </c>
      <c r="G3494" s="27">
        <v>1</v>
      </c>
      <c r="H3494" s="27">
        <v>0</v>
      </c>
      <c r="I3494" s="27">
        <v>1</v>
      </c>
      <c r="J3494" s="30">
        <f t="shared" si="162"/>
        <v>1</v>
      </c>
      <c r="K3494" s="30">
        <f t="shared" si="163"/>
        <v>0</v>
      </c>
      <c r="L3494" s="26">
        <f t="shared" si="164"/>
        <v>0</v>
      </c>
      <c r="M3494" s="26"/>
    </row>
    <row r="3495" spans="1:13" ht="15" customHeight="1">
      <c r="A3495" s="25">
        <v>1857134</v>
      </c>
      <c r="B3495" s="26" t="s">
        <v>5423</v>
      </c>
      <c r="C3495" s="26" t="s">
        <v>12458</v>
      </c>
      <c r="D3495" s="26" t="s">
        <v>12459</v>
      </c>
      <c r="E3495" s="26" t="s">
        <v>5430</v>
      </c>
      <c r="F3495" s="27">
        <v>5696368</v>
      </c>
      <c r="G3495" s="27">
        <v>1</v>
      </c>
      <c r="H3495" s="27">
        <v>1</v>
      </c>
      <c r="I3495" s="27">
        <v>1</v>
      </c>
      <c r="J3495" s="30">
        <f t="shared" si="162"/>
        <v>1</v>
      </c>
      <c r="K3495" s="30">
        <f t="shared" si="163"/>
        <v>1</v>
      </c>
      <c r="L3495" s="26">
        <f t="shared" si="164"/>
        <v>1</v>
      </c>
      <c r="M3495" s="26"/>
    </row>
    <row r="3496" spans="1:13" ht="15" customHeight="1">
      <c r="A3496" s="25" t="s">
        <v>12460</v>
      </c>
      <c r="B3496" s="26" t="s">
        <v>5427</v>
      </c>
      <c r="C3496" s="26" t="s">
        <v>12461</v>
      </c>
      <c r="D3496" s="26" t="s">
        <v>12447</v>
      </c>
      <c r="E3496" s="26" t="s">
        <v>5540</v>
      </c>
      <c r="F3496" s="27">
        <v>5949214</v>
      </c>
      <c r="G3496" s="27">
        <v>0</v>
      </c>
      <c r="H3496" s="27">
        <v>0</v>
      </c>
      <c r="I3496" s="27">
        <v>0</v>
      </c>
      <c r="J3496" s="30">
        <f t="shared" si="162"/>
        <v>0</v>
      </c>
      <c r="K3496" s="30">
        <f t="shared" si="163"/>
        <v>0</v>
      </c>
      <c r="L3496" s="26">
        <f t="shared" si="164"/>
        <v>0</v>
      </c>
      <c r="M3496" s="26">
        <v>0</v>
      </c>
    </row>
    <row r="3497" spans="1:13" ht="15" customHeight="1">
      <c r="A3497" s="25">
        <v>1857619</v>
      </c>
      <c r="B3497" s="26" t="s">
        <v>5423</v>
      </c>
      <c r="C3497" s="26" t="s">
        <v>12462</v>
      </c>
      <c r="D3497" s="26" t="s">
        <v>12463</v>
      </c>
      <c r="E3497" s="26" t="s">
        <v>5430</v>
      </c>
      <c r="F3497" s="27">
        <v>6398005</v>
      </c>
      <c r="G3497" s="27">
        <v>1</v>
      </c>
      <c r="H3497" s="27">
        <v>0</v>
      </c>
      <c r="I3497" s="27">
        <v>1</v>
      </c>
      <c r="J3497" s="30">
        <f t="shared" si="162"/>
        <v>1</v>
      </c>
      <c r="K3497" s="30">
        <f t="shared" si="163"/>
        <v>0</v>
      </c>
      <c r="L3497" s="26">
        <f t="shared" si="164"/>
        <v>0</v>
      </c>
      <c r="M3497" s="26"/>
    </row>
    <row r="3498" spans="1:13" ht="15" customHeight="1">
      <c r="A3498" s="25">
        <v>1857744</v>
      </c>
      <c r="B3498" s="26" t="s">
        <v>5423</v>
      </c>
      <c r="C3498" s="26" t="s">
        <v>12464</v>
      </c>
      <c r="D3498" s="26" t="s">
        <v>12465</v>
      </c>
      <c r="E3498" s="26" t="s">
        <v>5442</v>
      </c>
      <c r="F3498" s="27">
        <v>6320063</v>
      </c>
      <c r="G3498" s="27">
        <v>1</v>
      </c>
      <c r="H3498" s="27">
        <v>1</v>
      </c>
      <c r="I3498" s="27">
        <v>1</v>
      </c>
      <c r="J3498" s="30">
        <f t="shared" si="162"/>
        <v>1</v>
      </c>
      <c r="K3498" s="30">
        <f t="shared" si="163"/>
        <v>1</v>
      </c>
      <c r="L3498" s="26">
        <f t="shared" si="164"/>
        <v>1</v>
      </c>
      <c r="M3498" s="26"/>
    </row>
    <row r="3499" spans="1:13" ht="15" customHeight="1">
      <c r="A3499" s="25">
        <v>1857758</v>
      </c>
      <c r="B3499" s="26" t="s">
        <v>5423</v>
      </c>
      <c r="C3499" s="26" t="s">
        <v>12466</v>
      </c>
      <c r="D3499" s="26" t="s">
        <v>12451</v>
      </c>
      <c r="E3499" s="26" t="s">
        <v>5455</v>
      </c>
      <c r="F3499" s="27">
        <v>5907715</v>
      </c>
      <c r="G3499" s="27">
        <v>1</v>
      </c>
      <c r="H3499" s="27">
        <v>1</v>
      </c>
      <c r="I3499" s="27">
        <v>1</v>
      </c>
      <c r="J3499" s="30">
        <f t="shared" si="162"/>
        <v>1</v>
      </c>
      <c r="K3499" s="30">
        <f t="shared" si="163"/>
        <v>1</v>
      </c>
      <c r="L3499" s="26">
        <f t="shared" si="164"/>
        <v>1</v>
      </c>
      <c r="M3499" s="26"/>
    </row>
    <row r="3500" spans="1:13" ht="15" customHeight="1">
      <c r="A3500" s="25">
        <v>1857813</v>
      </c>
      <c r="B3500" s="26" t="s">
        <v>5427</v>
      </c>
      <c r="C3500" s="26" t="s">
        <v>12467</v>
      </c>
      <c r="D3500" s="26" t="s">
        <v>12465</v>
      </c>
      <c r="E3500" s="26" t="s">
        <v>5683</v>
      </c>
      <c r="F3500" s="27">
        <v>6422933</v>
      </c>
      <c r="G3500" s="27">
        <v>0</v>
      </c>
      <c r="H3500" s="27">
        <v>1</v>
      </c>
      <c r="I3500" s="27">
        <v>1</v>
      </c>
      <c r="J3500" s="30">
        <f t="shared" si="162"/>
        <v>0</v>
      </c>
      <c r="K3500" s="30">
        <f t="shared" si="163"/>
        <v>1</v>
      </c>
      <c r="L3500" s="26">
        <f t="shared" si="164"/>
        <v>0</v>
      </c>
      <c r="M3500" s="26"/>
    </row>
    <row r="3501" spans="1:13" ht="15" customHeight="1">
      <c r="A3501" s="25" t="s">
        <v>12468</v>
      </c>
      <c r="B3501" s="26" t="s">
        <v>5423</v>
      </c>
      <c r="C3501" s="26" t="s">
        <v>12469</v>
      </c>
      <c r="D3501" s="26" t="s">
        <v>12465</v>
      </c>
      <c r="E3501" s="26" t="s">
        <v>5491</v>
      </c>
      <c r="F3501" s="27">
        <v>5603660</v>
      </c>
      <c r="G3501" s="27">
        <v>0</v>
      </c>
      <c r="H3501" s="27">
        <v>0</v>
      </c>
      <c r="I3501" s="27">
        <v>0</v>
      </c>
      <c r="J3501" s="30">
        <f t="shared" si="162"/>
        <v>0</v>
      </c>
      <c r="K3501" s="30">
        <f t="shared" si="163"/>
        <v>0</v>
      </c>
      <c r="L3501" s="26">
        <f t="shared" si="164"/>
        <v>0</v>
      </c>
      <c r="M3501" s="26" t="s">
        <v>7302</v>
      </c>
    </row>
    <row r="3502" spans="1:13" ht="15" customHeight="1">
      <c r="A3502" s="25" t="s">
        <v>12470</v>
      </c>
      <c r="B3502" s="26" t="s">
        <v>5423</v>
      </c>
      <c r="C3502" s="26" t="s">
        <v>12471</v>
      </c>
      <c r="D3502" s="26" t="s">
        <v>12472</v>
      </c>
      <c r="E3502" s="26" t="s">
        <v>5540</v>
      </c>
      <c r="F3502" s="27">
        <v>6379600</v>
      </c>
      <c r="G3502" s="27">
        <v>0</v>
      </c>
      <c r="H3502" s="27">
        <v>0</v>
      </c>
      <c r="I3502" s="27">
        <v>0</v>
      </c>
      <c r="J3502" s="30">
        <f t="shared" si="162"/>
        <v>0</v>
      </c>
      <c r="K3502" s="30">
        <f t="shared" si="163"/>
        <v>0</v>
      </c>
      <c r="L3502" s="26">
        <f t="shared" si="164"/>
        <v>0</v>
      </c>
      <c r="M3502" s="26" t="s">
        <v>7846</v>
      </c>
    </row>
    <row r="3503" spans="1:13" ht="15" customHeight="1">
      <c r="A3503" s="25" t="s">
        <v>12473</v>
      </c>
      <c r="B3503" s="26" t="s">
        <v>5427</v>
      </c>
      <c r="C3503" s="26" t="s">
        <v>12474</v>
      </c>
      <c r="D3503" s="26" t="s">
        <v>12423</v>
      </c>
      <c r="E3503" s="26" t="s">
        <v>5707</v>
      </c>
      <c r="F3503" s="27">
        <v>5582957</v>
      </c>
      <c r="G3503" s="27">
        <v>0</v>
      </c>
      <c r="H3503" s="27">
        <v>0</v>
      </c>
      <c r="I3503" s="27">
        <v>0</v>
      </c>
      <c r="J3503" s="30">
        <f t="shared" si="162"/>
        <v>0</v>
      </c>
      <c r="K3503" s="30">
        <f t="shared" si="163"/>
        <v>0</v>
      </c>
      <c r="L3503" s="26">
        <f t="shared" si="164"/>
        <v>0</v>
      </c>
      <c r="M3503" s="26" t="s">
        <v>7302</v>
      </c>
    </row>
    <row r="3504" spans="1:13" ht="15" customHeight="1">
      <c r="A3504" s="25" t="s">
        <v>12475</v>
      </c>
      <c r="B3504" s="26" t="s">
        <v>5427</v>
      </c>
      <c r="C3504" s="26" t="s">
        <v>12476</v>
      </c>
      <c r="D3504" s="26" t="s">
        <v>12244</v>
      </c>
      <c r="E3504" s="26" t="s">
        <v>5458</v>
      </c>
      <c r="F3504" s="27">
        <v>6420833</v>
      </c>
      <c r="G3504" s="27">
        <v>1</v>
      </c>
      <c r="H3504" s="27">
        <v>1</v>
      </c>
      <c r="I3504" s="27">
        <v>1</v>
      </c>
      <c r="J3504" s="30">
        <f t="shared" si="162"/>
        <v>1</v>
      </c>
      <c r="K3504" s="30">
        <f t="shared" si="163"/>
        <v>1</v>
      </c>
      <c r="L3504" s="26">
        <f t="shared" si="164"/>
        <v>1</v>
      </c>
      <c r="M3504" s="26" t="s">
        <v>12477</v>
      </c>
    </row>
    <row r="3505" spans="1:13" ht="15" customHeight="1">
      <c r="A3505" s="25" t="s">
        <v>12478</v>
      </c>
      <c r="B3505" s="26" t="s">
        <v>5427</v>
      </c>
      <c r="C3505" s="26" t="s">
        <v>12479</v>
      </c>
      <c r="D3505" s="26" t="s">
        <v>12451</v>
      </c>
      <c r="E3505" s="26" t="s">
        <v>5426</v>
      </c>
      <c r="F3505" s="27">
        <v>6413954</v>
      </c>
      <c r="G3505" s="27">
        <v>1</v>
      </c>
      <c r="H3505" s="27">
        <v>0</v>
      </c>
      <c r="I3505" s="27">
        <v>1</v>
      </c>
      <c r="J3505" s="30">
        <f t="shared" si="162"/>
        <v>1</v>
      </c>
      <c r="K3505" s="30">
        <f t="shared" si="163"/>
        <v>0</v>
      </c>
      <c r="L3505" s="26">
        <f t="shared" si="164"/>
        <v>0</v>
      </c>
      <c r="M3505" s="26"/>
    </row>
    <row r="3506" spans="1:13" ht="15" customHeight="1">
      <c r="A3506" s="25" t="s">
        <v>12480</v>
      </c>
      <c r="B3506" s="26" t="s">
        <v>5423</v>
      </c>
      <c r="C3506" s="26" t="s">
        <v>12481</v>
      </c>
      <c r="D3506" s="26" t="s">
        <v>12445</v>
      </c>
      <c r="E3506" s="26" t="s">
        <v>5517</v>
      </c>
      <c r="F3506" s="27">
        <v>5404973</v>
      </c>
      <c r="G3506" s="27">
        <v>0</v>
      </c>
      <c r="H3506" s="27">
        <v>0</v>
      </c>
      <c r="I3506" s="27">
        <v>0</v>
      </c>
      <c r="J3506" s="30">
        <f t="shared" si="162"/>
        <v>0</v>
      </c>
      <c r="K3506" s="30">
        <f t="shared" si="163"/>
        <v>0</v>
      </c>
      <c r="L3506" s="26">
        <f t="shared" si="164"/>
        <v>0</v>
      </c>
      <c r="M3506" s="26" t="s">
        <v>7302</v>
      </c>
    </row>
    <row r="3507" spans="1:13" ht="15" customHeight="1">
      <c r="A3507" s="25" t="s">
        <v>12482</v>
      </c>
      <c r="B3507" s="26" t="s">
        <v>5423</v>
      </c>
      <c r="C3507" s="26" t="s">
        <v>12483</v>
      </c>
      <c r="D3507" s="26" t="s">
        <v>12451</v>
      </c>
      <c r="E3507" s="26" t="s">
        <v>5522</v>
      </c>
      <c r="F3507" s="27">
        <v>6424579</v>
      </c>
      <c r="G3507" s="27">
        <v>0</v>
      </c>
      <c r="H3507" s="27">
        <v>0</v>
      </c>
      <c r="I3507" s="27">
        <v>0</v>
      </c>
      <c r="J3507" s="30">
        <f t="shared" si="162"/>
        <v>0</v>
      </c>
      <c r="K3507" s="30">
        <f t="shared" si="163"/>
        <v>0</v>
      </c>
      <c r="L3507" s="26">
        <f t="shared" si="164"/>
        <v>0</v>
      </c>
      <c r="M3507" s="26">
        <v>0</v>
      </c>
    </row>
    <row r="3508" spans="1:13" ht="15" customHeight="1">
      <c r="A3508" s="25" t="s">
        <v>12484</v>
      </c>
      <c r="B3508" s="26" t="s">
        <v>5423</v>
      </c>
      <c r="C3508" s="26" t="s">
        <v>12485</v>
      </c>
      <c r="D3508" s="26" t="s">
        <v>12486</v>
      </c>
      <c r="E3508" s="26" t="s">
        <v>5468</v>
      </c>
      <c r="F3508" s="27">
        <v>6278231</v>
      </c>
      <c r="G3508" s="27">
        <v>1</v>
      </c>
      <c r="H3508" s="27">
        <v>0</v>
      </c>
      <c r="I3508" s="27">
        <v>1</v>
      </c>
      <c r="J3508" s="30">
        <f t="shared" si="162"/>
        <v>1</v>
      </c>
      <c r="K3508" s="30">
        <f t="shared" si="163"/>
        <v>0</v>
      </c>
      <c r="L3508" s="26">
        <f t="shared" si="164"/>
        <v>0</v>
      </c>
      <c r="M3508" s="26"/>
    </row>
    <row r="3509" spans="1:13" ht="15" customHeight="1">
      <c r="A3509" s="25" t="s">
        <v>12487</v>
      </c>
      <c r="B3509" s="26" t="s">
        <v>5427</v>
      </c>
      <c r="C3509" s="26" t="s">
        <v>12488</v>
      </c>
      <c r="D3509" s="26" t="s">
        <v>12489</v>
      </c>
      <c r="E3509" s="26" t="s">
        <v>5522</v>
      </c>
      <c r="F3509" s="27">
        <v>5136289</v>
      </c>
      <c r="G3509" s="27">
        <v>1</v>
      </c>
      <c r="H3509" s="27">
        <v>0</v>
      </c>
      <c r="I3509" s="27">
        <v>1</v>
      </c>
      <c r="J3509" s="30">
        <f t="shared" si="162"/>
        <v>1</v>
      </c>
      <c r="K3509" s="30">
        <f t="shared" si="163"/>
        <v>0</v>
      </c>
      <c r="L3509" s="26">
        <f t="shared" si="164"/>
        <v>0</v>
      </c>
      <c r="M3509" s="26"/>
    </row>
    <row r="3510" spans="1:13" ht="15" customHeight="1">
      <c r="A3510" s="25" t="s">
        <v>12490</v>
      </c>
      <c r="B3510" s="26" t="s">
        <v>5423</v>
      </c>
      <c r="C3510" s="26" t="s">
        <v>12491</v>
      </c>
      <c r="D3510" s="26" t="s">
        <v>12489</v>
      </c>
      <c r="E3510" s="26" t="s">
        <v>5522</v>
      </c>
      <c r="F3510" s="27">
        <v>6425058</v>
      </c>
      <c r="G3510" s="27">
        <v>0</v>
      </c>
      <c r="H3510" s="27">
        <v>0</v>
      </c>
      <c r="I3510" s="27">
        <v>0</v>
      </c>
      <c r="J3510" s="30">
        <f t="shared" si="162"/>
        <v>0</v>
      </c>
      <c r="K3510" s="30">
        <f t="shared" si="163"/>
        <v>0</v>
      </c>
      <c r="L3510" s="26">
        <f t="shared" si="164"/>
        <v>0</v>
      </c>
      <c r="M3510" s="26">
        <v>0</v>
      </c>
    </row>
    <row r="3511" spans="1:13" ht="15" customHeight="1">
      <c r="A3511" s="25" t="s">
        <v>12492</v>
      </c>
      <c r="B3511" s="26" t="s">
        <v>5423</v>
      </c>
      <c r="C3511" s="26" t="s">
        <v>12493</v>
      </c>
      <c r="D3511" s="26" t="s">
        <v>12489</v>
      </c>
      <c r="E3511" s="26" t="s">
        <v>5480</v>
      </c>
      <c r="F3511" s="27">
        <v>5108320</v>
      </c>
      <c r="G3511" s="27">
        <v>0</v>
      </c>
      <c r="H3511" s="27">
        <v>0</v>
      </c>
      <c r="I3511" s="27">
        <v>0</v>
      </c>
      <c r="J3511" s="30">
        <f t="shared" si="162"/>
        <v>0</v>
      </c>
      <c r="K3511" s="30">
        <f t="shared" si="163"/>
        <v>0</v>
      </c>
      <c r="L3511" s="26">
        <f t="shared" si="164"/>
        <v>0</v>
      </c>
      <c r="M3511" s="26" t="s">
        <v>7302</v>
      </c>
    </row>
    <row r="3512" spans="1:13" ht="15" customHeight="1">
      <c r="A3512" s="25" t="s">
        <v>12494</v>
      </c>
      <c r="B3512" s="26" t="s">
        <v>5427</v>
      </c>
      <c r="C3512" s="26" t="s">
        <v>12495</v>
      </c>
      <c r="D3512" s="26" t="s">
        <v>12496</v>
      </c>
      <c r="E3512" s="26" t="s">
        <v>5586</v>
      </c>
      <c r="F3512" s="27">
        <v>6426095</v>
      </c>
      <c r="G3512" s="27">
        <v>1</v>
      </c>
      <c r="H3512" s="27">
        <v>0</v>
      </c>
      <c r="I3512" s="27">
        <v>1</v>
      </c>
      <c r="J3512" s="30">
        <f t="shared" si="162"/>
        <v>1</v>
      </c>
      <c r="K3512" s="30">
        <f t="shared" si="163"/>
        <v>0</v>
      </c>
      <c r="L3512" s="26">
        <f t="shared" si="164"/>
        <v>0</v>
      </c>
      <c r="M3512" s="26"/>
    </row>
    <row r="3513" spans="1:13" ht="15" customHeight="1">
      <c r="A3513" s="25" t="s">
        <v>12497</v>
      </c>
      <c r="B3513" s="26" t="s">
        <v>5423</v>
      </c>
      <c r="C3513" s="26" t="s">
        <v>12498</v>
      </c>
      <c r="D3513" s="26" t="s">
        <v>12421</v>
      </c>
      <c r="E3513" s="26" t="s">
        <v>5468</v>
      </c>
      <c r="F3513" s="27">
        <v>6426445</v>
      </c>
      <c r="G3513" s="27">
        <v>0</v>
      </c>
      <c r="H3513" s="27">
        <v>0</v>
      </c>
      <c r="I3513" s="27">
        <v>0</v>
      </c>
      <c r="J3513" s="30">
        <f t="shared" si="162"/>
        <v>0</v>
      </c>
      <c r="K3513" s="30">
        <f t="shared" si="163"/>
        <v>0</v>
      </c>
      <c r="L3513" s="26">
        <f t="shared" si="164"/>
        <v>0</v>
      </c>
      <c r="M3513" s="26" t="s">
        <v>12499</v>
      </c>
    </row>
    <row r="3514" spans="1:13" ht="15" customHeight="1">
      <c r="A3514" s="25" t="s">
        <v>12500</v>
      </c>
      <c r="B3514" s="26" t="s">
        <v>5423</v>
      </c>
      <c r="C3514" s="26" t="s">
        <v>12501</v>
      </c>
      <c r="D3514" s="26" t="s">
        <v>12502</v>
      </c>
      <c r="E3514" s="26" t="s">
        <v>5455</v>
      </c>
      <c r="F3514" s="27">
        <v>6427223</v>
      </c>
      <c r="G3514" s="27">
        <v>0</v>
      </c>
      <c r="H3514" s="27">
        <v>0</v>
      </c>
      <c r="I3514" s="27">
        <v>0</v>
      </c>
      <c r="J3514" s="30">
        <f t="shared" si="162"/>
        <v>0</v>
      </c>
      <c r="K3514" s="30">
        <f t="shared" si="163"/>
        <v>0</v>
      </c>
      <c r="L3514" s="26">
        <f t="shared" si="164"/>
        <v>0</v>
      </c>
      <c r="M3514" s="26">
        <v>0</v>
      </c>
    </row>
    <row r="3515" spans="1:13" ht="15" customHeight="1">
      <c r="A3515" s="25" t="s">
        <v>12503</v>
      </c>
      <c r="B3515" s="26" t="s">
        <v>5423</v>
      </c>
      <c r="C3515" s="26" t="s">
        <v>12504</v>
      </c>
      <c r="D3515" s="26" t="s">
        <v>12505</v>
      </c>
      <c r="E3515" s="26" t="s">
        <v>5463</v>
      </c>
      <c r="F3515" s="27">
        <v>6426444</v>
      </c>
      <c r="G3515" s="27">
        <v>1</v>
      </c>
      <c r="H3515" s="27">
        <v>1</v>
      </c>
      <c r="I3515" s="27">
        <v>1</v>
      </c>
      <c r="J3515" s="30">
        <f t="shared" si="162"/>
        <v>1</v>
      </c>
      <c r="K3515" s="30">
        <f t="shared" si="163"/>
        <v>1</v>
      </c>
      <c r="L3515" s="26">
        <f t="shared" si="164"/>
        <v>1</v>
      </c>
      <c r="M3515" s="26"/>
    </row>
    <row r="3516" spans="1:13" ht="15" customHeight="1">
      <c r="A3516" s="25" t="s">
        <v>12506</v>
      </c>
      <c r="B3516" s="26" t="s">
        <v>5423</v>
      </c>
      <c r="C3516" s="26" t="s">
        <v>12507</v>
      </c>
      <c r="D3516" s="26" t="s">
        <v>12502</v>
      </c>
      <c r="E3516" s="26" t="s">
        <v>5488</v>
      </c>
      <c r="F3516" s="27">
        <v>6407284</v>
      </c>
      <c r="G3516" s="27">
        <v>1</v>
      </c>
      <c r="H3516" s="27">
        <v>0</v>
      </c>
      <c r="I3516" s="27">
        <v>1</v>
      </c>
      <c r="J3516" s="30">
        <f t="shared" si="162"/>
        <v>1</v>
      </c>
      <c r="K3516" s="30">
        <f t="shared" si="163"/>
        <v>0</v>
      </c>
      <c r="L3516" s="26">
        <f t="shared" si="164"/>
        <v>0</v>
      </c>
      <c r="M3516" s="26"/>
    </row>
    <row r="3517" spans="1:13" ht="15" customHeight="1">
      <c r="A3517" s="25" t="s">
        <v>12508</v>
      </c>
      <c r="B3517" s="26" t="s">
        <v>5423</v>
      </c>
      <c r="C3517" s="26" t="s">
        <v>12509</v>
      </c>
      <c r="D3517" s="26" t="s">
        <v>12421</v>
      </c>
      <c r="E3517" s="26" t="s">
        <v>5455</v>
      </c>
      <c r="F3517" s="27">
        <v>6426443</v>
      </c>
      <c r="G3517" s="27">
        <v>0</v>
      </c>
      <c r="H3517" s="27">
        <v>1</v>
      </c>
      <c r="I3517" s="27">
        <v>1</v>
      </c>
      <c r="J3517" s="30">
        <f t="shared" si="162"/>
        <v>0</v>
      </c>
      <c r="K3517" s="30">
        <f t="shared" si="163"/>
        <v>1</v>
      </c>
      <c r="L3517" s="26">
        <f t="shared" si="164"/>
        <v>0</v>
      </c>
      <c r="M3517" s="26"/>
    </row>
    <row r="3518" spans="1:13" ht="15" customHeight="1">
      <c r="A3518" s="25" t="s">
        <v>12510</v>
      </c>
      <c r="B3518" s="26" t="s">
        <v>5427</v>
      </c>
      <c r="C3518" s="26" t="s">
        <v>12511</v>
      </c>
      <c r="D3518" s="26" t="s">
        <v>12505</v>
      </c>
      <c r="E3518" s="26" t="s">
        <v>5436</v>
      </c>
      <c r="F3518" s="27">
        <v>6299868</v>
      </c>
      <c r="G3518" s="27">
        <v>1</v>
      </c>
      <c r="H3518" s="27">
        <v>1</v>
      </c>
      <c r="I3518" s="27">
        <v>1</v>
      </c>
      <c r="J3518" s="30">
        <f t="shared" si="162"/>
        <v>1</v>
      </c>
      <c r="K3518" s="30">
        <f t="shared" si="163"/>
        <v>1</v>
      </c>
      <c r="L3518" s="26">
        <f t="shared" si="164"/>
        <v>1</v>
      </c>
      <c r="M3518" s="26"/>
    </row>
    <row r="3519" spans="1:13" ht="15" customHeight="1">
      <c r="A3519" s="25" t="s">
        <v>12512</v>
      </c>
      <c r="B3519" s="26" t="s">
        <v>5423</v>
      </c>
      <c r="C3519" s="26" t="s">
        <v>12513</v>
      </c>
      <c r="D3519" s="26" t="s">
        <v>12421</v>
      </c>
      <c r="E3519" s="26" t="s">
        <v>5514</v>
      </c>
      <c r="F3519" s="27">
        <v>6426486</v>
      </c>
      <c r="G3519" s="27">
        <v>1</v>
      </c>
      <c r="H3519" s="27">
        <v>1</v>
      </c>
      <c r="I3519" s="27">
        <v>1</v>
      </c>
      <c r="J3519" s="30">
        <f t="shared" si="162"/>
        <v>1</v>
      </c>
      <c r="K3519" s="30">
        <f t="shared" si="163"/>
        <v>1</v>
      </c>
      <c r="L3519" s="26">
        <f t="shared" si="164"/>
        <v>1</v>
      </c>
      <c r="M3519" s="26"/>
    </row>
    <row r="3520" spans="1:13" ht="15" customHeight="1">
      <c r="A3520" s="25" t="s">
        <v>12514</v>
      </c>
      <c r="B3520" s="26" t="s">
        <v>5423</v>
      </c>
      <c r="C3520" s="26" t="s">
        <v>12515</v>
      </c>
      <c r="D3520" s="26" t="s">
        <v>12505</v>
      </c>
      <c r="E3520" s="26" t="s">
        <v>5475</v>
      </c>
      <c r="F3520" s="27">
        <v>6426511</v>
      </c>
      <c r="G3520" s="27">
        <v>1</v>
      </c>
      <c r="H3520" s="27">
        <v>1</v>
      </c>
      <c r="I3520" s="27">
        <v>1</v>
      </c>
      <c r="J3520" s="30">
        <f t="shared" si="162"/>
        <v>1</v>
      </c>
      <c r="K3520" s="30">
        <f t="shared" si="163"/>
        <v>1</v>
      </c>
      <c r="L3520" s="26">
        <f t="shared" si="164"/>
        <v>1</v>
      </c>
      <c r="M3520" s="26"/>
    </row>
    <row r="3521" spans="1:13" ht="15" customHeight="1">
      <c r="A3521" s="25" t="s">
        <v>12516</v>
      </c>
      <c r="B3521" s="26" t="s">
        <v>5427</v>
      </c>
      <c r="C3521" s="26" t="s">
        <v>12517</v>
      </c>
      <c r="D3521" s="26" t="s">
        <v>12518</v>
      </c>
      <c r="E3521" s="26" t="s">
        <v>5488</v>
      </c>
      <c r="F3521" s="27">
        <v>6426544</v>
      </c>
      <c r="G3521" s="27">
        <v>1</v>
      </c>
      <c r="H3521" s="27">
        <v>1</v>
      </c>
      <c r="I3521" s="27">
        <v>1</v>
      </c>
      <c r="J3521" s="30">
        <f t="shared" si="162"/>
        <v>1</v>
      </c>
      <c r="K3521" s="30">
        <f t="shared" si="163"/>
        <v>1</v>
      </c>
      <c r="L3521" s="26">
        <f t="shared" si="164"/>
        <v>1</v>
      </c>
      <c r="M3521" s="26"/>
    </row>
    <row r="3522" spans="1:13" ht="15" customHeight="1">
      <c r="A3522" s="25" t="s">
        <v>12519</v>
      </c>
      <c r="B3522" s="26" t="s">
        <v>5423</v>
      </c>
      <c r="C3522" s="26" t="s">
        <v>12520</v>
      </c>
      <c r="D3522" s="26" t="s">
        <v>12421</v>
      </c>
      <c r="E3522" s="26" t="s">
        <v>5426</v>
      </c>
      <c r="F3522" s="27">
        <v>6426618</v>
      </c>
      <c r="G3522" s="27">
        <v>1</v>
      </c>
      <c r="H3522" s="27">
        <v>1</v>
      </c>
      <c r="I3522" s="27">
        <v>1</v>
      </c>
      <c r="J3522" s="30">
        <f t="shared" ref="J3522:J3585" si="165">IF(G3522&gt;0,1,0)</f>
        <v>1</v>
      </c>
      <c r="K3522" s="30">
        <f t="shared" ref="K3522:K3585" si="166">IF(H3522&gt;0,1,0)</f>
        <v>1</v>
      </c>
      <c r="L3522" s="26">
        <f t="shared" ref="L3522:L3585" si="167">IF(G3522&gt;0,IF(H3522&gt;0,1,0),0)</f>
        <v>1</v>
      </c>
      <c r="M3522" s="26"/>
    </row>
    <row r="3523" spans="1:13" ht="15" customHeight="1">
      <c r="A3523" s="25" t="s">
        <v>12521</v>
      </c>
      <c r="B3523" s="26" t="s">
        <v>5427</v>
      </c>
      <c r="C3523" s="26" t="s">
        <v>12522</v>
      </c>
      <c r="D3523" s="26" t="s">
        <v>12523</v>
      </c>
      <c r="E3523" s="26" t="s">
        <v>5488</v>
      </c>
      <c r="F3523" s="27">
        <v>6424040</v>
      </c>
      <c r="G3523" s="27">
        <v>1</v>
      </c>
      <c r="H3523" s="27">
        <v>1</v>
      </c>
      <c r="I3523" s="27">
        <v>1</v>
      </c>
      <c r="J3523" s="30">
        <f t="shared" si="165"/>
        <v>1</v>
      </c>
      <c r="K3523" s="30">
        <f t="shared" si="166"/>
        <v>1</v>
      </c>
      <c r="L3523" s="26">
        <f t="shared" si="167"/>
        <v>1</v>
      </c>
      <c r="M3523" s="26"/>
    </row>
    <row r="3524" spans="1:13" ht="15" customHeight="1">
      <c r="A3524" s="25" t="s">
        <v>12524</v>
      </c>
      <c r="B3524" s="26" t="s">
        <v>5423</v>
      </c>
      <c r="C3524" s="26" t="s">
        <v>12525</v>
      </c>
      <c r="D3524" s="26" t="s">
        <v>12496</v>
      </c>
      <c r="E3524" s="26" t="s">
        <v>5455</v>
      </c>
      <c r="F3524" s="27">
        <v>6416644</v>
      </c>
      <c r="G3524" s="27">
        <v>1</v>
      </c>
      <c r="H3524" s="27">
        <v>0</v>
      </c>
      <c r="I3524" s="27">
        <v>1</v>
      </c>
      <c r="J3524" s="30">
        <f t="shared" si="165"/>
        <v>1</v>
      </c>
      <c r="K3524" s="30">
        <f t="shared" si="166"/>
        <v>0</v>
      </c>
      <c r="L3524" s="26">
        <f t="shared" si="167"/>
        <v>0</v>
      </c>
      <c r="M3524" s="26"/>
    </row>
    <row r="3525" spans="1:13" ht="15" customHeight="1">
      <c r="A3525" s="25" t="s">
        <v>12526</v>
      </c>
      <c r="B3525" s="26" t="s">
        <v>5423</v>
      </c>
      <c r="C3525" s="26" t="s">
        <v>12527</v>
      </c>
      <c r="D3525" s="26" t="s">
        <v>12315</v>
      </c>
      <c r="E3525" s="26" t="s">
        <v>5433</v>
      </c>
      <c r="F3525" s="27">
        <v>5697779</v>
      </c>
      <c r="G3525" s="27">
        <v>0</v>
      </c>
      <c r="H3525" s="27">
        <v>0</v>
      </c>
      <c r="I3525" s="27">
        <v>0</v>
      </c>
      <c r="J3525" s="30">
        <f t="shared" si="165"/>
        <v>0</v>
      </c>
      <c r="K3525" s="30">
        <f t="shared" si="166"/>
        <v>0</v>
      </c>
      <c r="L3525" s="26">
        <f t="shared" si="167"/>
        <v>0</v>
      </c>
      <c r="M3525" s="26">
        <v>0</v>
      </c>
    </row>
    <row r="3526" spans="1:13" ht="15" customHeight="1">
      <c r="A3526" s="25" t="s">
        <v>12528</v>
      </c>
      <c r="B3526" s="26" t="s">
        <v>5423</v>
      </c>
      <c r="C3526" s="26" t="s">
        <v>12529</v>
      </c>
      <c r="D3526" s="26" t="s">
        <v>12518</v>
      </c>
      <c r="E3526" s="26" t="s">
        <v>5488</v>
      </c>
      <c r="F3526" s="27">
        <v>6428997</v>
      </c>
      <c r="G3526" s="27">
        <v>1</v>
      </c>
      <c r="H3526" s="27">
        <v>1</v>
      </c>
      <c r="I3526" s="27">
        <v>1</v>
      </c>
      <c r="J3526" s="30">
        <f t="shared" si="165"/>
        <v>1</v>
      </c>
      <c r="K3526" s="30">
        <f t="shared" si="166"/>
        <v>1</v>
      </c>
      <c r="L3526" s="26">
        <f t="shared" si="167"/>
        <v>1</v>
      </c>
      <c r="M3526" s="26"/>
    </row>
    <row r="3527" spans="1:13" ht="15" customHeight="1">
      <c r="A3527" s="25" t="s">
        <v>12530</v>
      </c>
      <c r="B3527" s="26" t="s">
        <v>5427</v>
      </c>
      <c r="C3527" s="26" t="s">
        <v>12531</v>
      </c>
      <c r="D3527" s="26" t="s">
        <v>12532</v>
      </c>
      <c r="E3527" s="26" t="s">
        <v>5455</v>
      </c>
      <c r="F3527" s="27">
        <v>6420815</v>
      </c>
      <c r="G3527" s="27">
        <v>1</v>
      </c>
      <c r="H3527" s="27">
        <v>0</v>
      </c>
      <c r="I3527" s="27">
        <v>1</v>
      </c>
      <c r="J3527" s="30">
        <f t="shared" si="165"/>
        <v>1</v>
      </c>
      <c r="K3527" s="30">
        <f t="shared" si="166"/>
        <v>0</v>
      </c>
      <c r="L3527" s="26">
        <f t="shared" si="167"/>
        <v>0</v>
      </c>
      <c r="M3527" s="26"/>
    </row>
    <row r="3528" spans="1:13" ht="15" customHeight="1">
      <c r="A3528" s="25" t="s">
        <v>12533</v>
      </c>
      <c r="B3528" s="26" t="s">
        <v>5423</v>
      </c>
      <c r="C3528" s="26" t="s">
        <v>12534</v>
      </c>
      <c r="D3528" s="26" t="s">
        <v>12535</v>
      </c>
      <c r="E3528" s="26" t="s">
        <v>5532</v>
      </c>
      <c r="F3528" s="27">
        <v>5938713</v>
      </c>
      <c r="G3528" s="27">
        <v>0</v>
      </c>
      <c r="H3528" s="27">
        <v>0</v>
      </c>
      <c r="I3528" s="27">
        <v>0</v>
      </c>
      <c r="J3528" s="30">
        <f t="shared" si="165"/>
        <v>0</v>
      </c>
      <c r="K3528" s="30">
        <f t="shared" si="166"/>
        <v>0</v>
      </c>
      <c r="L3528" s="26">
        <f t="shared" si="167"/>
        <v>0</v>
      </c>
      <c r="M3528" s="26" t="s">
        <v>7302</v>
      </c>
    </row>
    <row r="3529" spans="1:13" ht="15" customHeight="1">
      <c r="A3529" s="25" t="s">
        <v>12536</v>
      </c>
      <c r="B3529" s="26" t="s">
        <v>5427</v>
      </c>
      <c r="C3529" s="26" t="s">
        <v>12537</v>
      </c>
      <c r="D3529" s="26" t="s">
        <v>12538</v>
      </c>
      <c r="E3529" s="26" t="s">
        <v>5433</v>
      </c>
      <c r="F3529" s="27">
        <v>5313143</v>
      </c>
      <c r="G3529" s="27">
        <v>1</v>
      </c>
      <c r="H3529" s="27">
        <v>0</v>
      </c>
      <c r="I3529" s="27">
        <v>1</v>
      </c>
      <c r="J3529" s="30">
        <f t="shared" si="165"/>
        <v>1</v>
      </c>
      <c r="K3529" s="30">
        <f t="shared" si="166"/>
        <v>0</v>
      </c>
      <c r="L3529" s="26">
        <f t="shared" si="167"/>
        <v>0</v>
      </c>
      <c r="M3529" s="26"/>
    </row>
    <row r="3530" spans="1:13" ht="15" customHeight="1">
      <c r="A3530" s="25" t="s">
        <v>12539</v>
      </c>
      <c r="B3530" s="26" t="s">
        <v>5423</v>
      </c>
      <c r="C3530" s="26" t="s">
        <v>12540</v>
      </c>
      <c r="D3530" s="26" t="s">
        <v>12518</v>
      </c>
      <c r="E3530" s="26" t="s">
        <v>5488</v>
      </c>
      <c r="F3530" s="27">
        <v>6431889</v>
      </c>
      <c r="G3530" s="27">
        <v>0</v>
      </c>
      <c r="H3530" s="27">
        <v>0</v>
      </c>
      <c r="I3530" s="27">
        <v>0</v>
      </c>
      <c r="J3530" s="30">
        <f t="shared" si="165"/>
        <v>0</v>
      </c>
      <c r="K3530" s="30">
        <f t="shared" si="166"/>
        <v>0</v>
      </c>
      <c r="L3530" s="26">
        <f t="shared" si="167"/>
        <v>0</v>
      </c>
      <c r="M3530" s="26">
        <v>0</v>
      </c>
    </row>
    <row r="3531" spans="1:13" ht="15" customHeight="1">
      <c r="A3531" s="25" t="s">
        <v>12541</v>
      </c>
      <c r="B3531" s="26" t="s">
        <v>5423</v>
      </c>
      <c r="C3531" s="26" t="s">
        <v>12542</v>
      </c>
      <c r="D3531" s="26" t="s">
        <v>12538</v>
      </c>
      <c r="E3531" s="26" t="s">
        <v>5442</v>
      </c>
      <c r="F3531" s="27">
        <v>5271304</v>
      </c>
      <c r="G3531" s="27">
        <v>1</v>
      </c>
      <c r="H3531" s="27">
        <v>0</v>
      </c>
      <c r="I3531" s="27">
        <v>1</v>
      </c>
      <c r="J3531" s="30">
        <f t="shared" si="165"/>
        <v>1</v>
      </c>
      <c r="K3531" s="30">
        <f t="shared" si="166"/>
        <v>0</v>
      </c>
      <c r="L3531" s="26">
        <f t="shared" si="167"/>
        <v>0</v>
      </c>
      <c r="M3531" s="26"/>
    </row>
    <row r="3532" spans="1:13" ht="15" customHeight="1">
      <c r="A3532" s="25" t="s">
        <v>12543</v>
      </c>
      <c r="B3532" s="26" t="s">
        <v>5423</v>
      </c>
      <c r="C3532" s="26" t="s">
        <v>12544</v>
      </c>
      <c r="D3532" s="26" t="s">
        <v>12538</v>
      </c>
      <c r="E3532" s="26" t="s">
        <v>5442</v>
      </c>
      <c r="F3532" s="27">
        <v>6422869</v>
      </c>
      <c r="G3532" s="27">
        <v>0</v>
      </c>
      <c r="H3532" s="27">
        <v>0</v>
      </c>
      <c r="I3532" s="27">
        <v>0</v>
      </c>
      <c r="J3532" s="30">
        <f t="shared" si="165"/>
        <v>0</v>
      </c>
      <c r="K3532" s="30">
        <f t="shared" si="166"/>
        <v>0</v>
      </c>
      <c r="L3532" s="26">
        <f t="shared" si="167"/>
        <v>0</v>
      </c>
      <c r="M3532" s="26">
        <v>0</v>
      </c>
    </row>
    <row r="3533" spans="1:13" ht="15" customHeight="1">
      <c r="A3533" s="25" t="s">
        <v>12545</v>
      </c>
      <c r="B3533" s="26" t="s">
        <v>5423</v>
      </c>
      <c r="C3533" s="26" t="s">
        <v>12546</v>
      </c>
      <c r="D3533" s="26" t="s">
        <v>12518</v>
      </c>
      <c r="E3533" s="26" t="s">
        <v>5560</v>
      </c>
      <c r="F3533" s="27">
        <v>6431877</v>
      </c>
      <c r="G3533" s="27">
        <v>0</v>
      </c>
      <c r="H3533" s="27">
        <v>0</v>
      </c>
      <c r="I3533" s="27">
        <v>0</v>
      </c>
      <c r="J3533" s="30">
        <f t="shared" si="165"/>
        <v>0</v>
      </c>
      <c r="K3533" s="30">
        <f t="shared" si="166"/>
        <v>0</v>
      </c>
      <c r="L3533" s="26">
        <f t="shared" si="167"/>
        <v>0</v>
      </c>
      <c r="M3533" s="26">
        <v>0</v>
      </c>
    </row>
    <row r="3534" spans="1:13" ht="15" customHeight="1">
      <c r="A3534" s="25" t="s">
        <v>12547</v>
      </c>
      <c r="B3534" s="26" t="s">
        <v>5427</v>
      </c>
      <c r="C3534" s="26" t="s">
        <v>12548</v>
      </c>
      <c r="D3534" s="26" t="s">
        <v>12518</v>
      </c>
      <c r="E3534" s="26" t="s">
        <v>5586</v>
      </c>
      <c r="F3534" s="27">
        <v>6423953</v>
      </c>
      <c r="G3534" s="27">
        <v>1</v>
      </c>
      <c r="H3534" s="27">
        <v>1</v>
      </c>
      <c r="I3534" s="27">
        <v>1</v>
      </c>
      <c r="J3534" s="30">
        <f t="shared" si="165"/>
        <v>1</v>
      </c>
      <c r="K3534" s="30">
        <f t="shared" si="166"/>
        <v>1</v>
      </c>
      <c r="L3534" s="26">
        <f t="shared" si="167"/>
        <v>1</v>
      </c>
      <c r="M3534" s="26"/>
    </row>
    <row r="3535" spans="1:13" ht="15" customHeight="1">
      <c r="A3535" s="25" t="s">
        <v>12549</v>
      </c>
      <c r="B3535" s="26" t="s">
        <v>5427</v>
      </c>
      <c r="C3535" s="26" t="s">
        <v>12550</v>
      </c>
      <c r="D3535" s="26" t="s">
        <v>12551</v>
      </c>
      <c r="E3535" s="26" t="s">
        <v>5491</v>
      </c>
      <c r="F3535" s="27">
        <v>6431328</v>
      </c>
      <c r="G3535" s="27">
        <v>1</v>
      </c>
      <c r="H3535" s="27">
        <v>1</v>
      </c>
      <c r="I3535" s="27">
        <v>1</v>
      </c>
      <c r="J3535" s="30">
        <f t="shared" si="165"/>
        <v>1</v>
      </c>
      <c r="K3535" s="30">
        <f t="shared" si="166"/>
        <v>1</v>
      </c>
      <c r="L3535" s="26">
        <f t="shared" si="167"/>
        <v>1</v>
      </c>
      <c r="M3535" s="26"/>
    </row>
    <row r="3536" spans="1:13" ht="15" customHeight="1">
      <c r="A3536" s="25" t="s">
        <v>12552</v>
      </c>
      <c r="B3536" s="26" t="s">
        <v>5427</v>
      </c>
      <c r="C3536" s="26" t="s">
        <v>12553</v>
      </c>
      <c r="D3536" s="26" t="s">
        <v>12551</v>
      </c>
      <c r="E3536" s="26" t="s">
        <v>5439</v>
      </c>
      <c r="F3536" s="27">
        <v>5530232</v>
      </c>
      <c r="G3536" s="27">
        <v>0</v>
      </c>
      <c r="H3536" s="27">
        <v>0</v>
      </c>
      <c r="I3536" s="27">
        <v>0</v>
      </c>
      <c r="J3536" s="30">
        <f t="shared" si="165"/>
        <v>0</v>
      </c>
      <c r="K3536" s="30">
        <f t="shared" si="166"/>
        <v>0</v>
      </c>
      <c r="L3536" s="26">
        <f t="shared" si="167"/>
        <v>0</v>
      </c>
      <c r="M3536" s="26">
        <v>0</v>
      </c>
    </row>
    <row r="3537" spans="1:13" ht="15" customHeight="1">
      <c r="A3537" s="25" t="s">
        <v>12554</v>
      </c>
      <c r="B3537" s="26" t="s">
        <v>5423</v>
      </c>
      <c r="C3537" s="26" t="s">
        <v>12555</v>
      </c>
      <c r="D3537" s="26" t="s">
        <v>12551</v>
      </c>
      <c r="E3537" s="26" t="s">
        <v>5463</v>
      </c>
      <c r="F3537" s="27">
        <v>6263148</v>
      </c>
      <c r="G3537" s="27">
        <v>2</v>
      </c>
      <c r="H3537" s="27">
        <v>1</v>
      </c>
      <c r="I3537" s="27">
        <v>1</v>
      </c>
      <c r="J3537" s="30">
        <f t="shared" si="165"/>
        <v>1</v>
      </c>
      <c r="K3537" s="30">
        <f t="shared" si="166"/>
        <v>1</v>
      </c>
      <c r="L3537" s="26">
        <f t="shared" si="167"/>
        <v>1</v>
      </c>
      <c r="M3537" s="26" t="s">
        <v>5611</v>
      </c>
    </row>
    <row r="3538" spans="1:13" ht="15" customHeight="1">
      <c r="A3538" s="25" t="s">
        <v>12556</v>
      </c>
      <c r="B3538" s="26" t="s">
        <v>5427</v>
      </c>
      <c r="C3538" s="26" t="s">
        <v>12557</v>
      </c>
      <c r="D3538" s="26" t="s">
        <v>12558</v>
      </c>
      <c r="E3538" s="26" t="s">
        <v>5529</v>
      </c>
      <c r="F3538" s="27">
        <v>6431455</v>
      </c>
      <c r="G3538" s="27">
        <v>0</v>
      </c>
      <c r="H3538" s="27">
        <v>1</v>
      </c>
      <c r="I3538" s="27">
        <v>1</v>
      </c>
      <c r="J3538" s="30">
        <f t="shared" si="165"/>
        <v>0</v>
      </c>
      <c r="K3538" s="30">
        <f t="shared" si="166"/>
        <v>1</v>
      </c>
      <c r="L3538" s="26">
        <f t="shared" si="167"/>
        <v>0</v>
      </c>
      <c r="M3538" s="26"/>
    </row>
    <row r="3539" spans="1:13" ht="15" customHeight="1">
      <c r="A3539" s="25" t="s">
        <v>12559</v>
      </c>
      <c r="B3539" s="26" t="s">
        <v>5423</v>
      </c>
      <c r="C3539" s="26" t="s">
        <v>12560</v>
      </c>
      <c r="D3539" s="26" t="s">
        <v>12558</v>
      </c>
      <c r="E3539" s="26" t="s">
        <v>5535</v>
      </c>
      <c r="F3539" s="27">
        <v>5636635</v>
      </c>
      <c r="G3539" s="27">
        <v>1</v>
      </c>
      <c r="H3539" s="27">
        <v>0</v>
      </c>
      <c r="I3539" s="27">
        <v>1</v>
      </c>
      <c r="J3539" s="30">
        <f t="shared" si="165"/>
        <v>1</v>
      </c>
      <c r="K3539" s="30">
        <f t="shared" si="166"/>
        <v>0</v>
      </c>
      <c r="L3539" s="26">
        <f t="shared" si="167"/>
        <v>0</v>
      </c>
      <c r="M3539" s="26"/>
    </row>
    <row r="3540" spans="1:13" ht="15" customHeight="1">
      <c r="A3540" s="25" t="s">
        <v>12561</v>
      </c>
      <c r="B3540" s="26" t="s">
        <v>5423</v>
      </c>
      <c r="C3540" s="26" t="s">
        <v>12562</v>
      </c>
      <c r="D3540" s="26" t="s">
        <v>12538</v>
      </c>
      <c r="E3540" s="26" t="s">
        <v>5452</v>
      </c>
      <c r="F3540" s="27">
        <v>5583991</v>
      </c>
      <c r="G3540" s="27">
        <v>1</v>
      </c>
      <c r="H3540" s="27">
        <v>0</v>
      </c>
      <c r="I3540" s="27">
        <v>1</v>
      </c>
      <c r="J3540" s="30">
        <f t="shared" si="165"/>
        <v>1</v>
      </c>
      <c r="K3540" s="30">
        <f t="shared" si="166"/>
        <v>0</v>
      </c>
      <c r="L3540" s="26">
        <f t="shared" si="167"/>
        <v>0</v>
      </c>
      <c r="M3540" s="26"/>
    </row>
    <row r="3541" spans="1:13" ht="15" customHeight="1">
      <c r="A3541" s="25" t="s">
        <v>12563</v>
      </c>
      <c r="B3541" s="26" t="s">
        <v>5423</v>
      </c>
      <c r="C3541" s="26" t="s">
        <v>12564</v>
      </c>
      <c r="D3541" s="26" t="s">
        <v>12558</v>
      </c>
      <c r="E3541" s="26" t="s">
        <v>5452</v>
      </c>
      <c r="F3541" s="27">
        <v>5134593</v>
      </c>
      <c r="G3541" s="27">
        <v>0</v>
      </c>
      <c r="H3541" s="27">
        <v>0</v>
      </c>
      <c r="I3541" s="27">
        <v>0</v>
      </c>
      <c r="J3541" s="30">
        <f t="shared" si="165"/>
        <v>0</v>
      </c>
      <c r="K3541" s="30">
        <f t="shared" si="166"/>
        <v>0</v>
      </c>
      <c r="L3541" s="26">
        <f t="shared" si="167"/>
        <v>0</v>
      </c>
      <c r="M3541" s="26">
        <v>0</v>
      </c>
    </row>
    <row r="3542" spans="1:13" ht="15" customHeight="1">
      <c r="A3542" s="25" t="s">
        <v>12565</v>
      </c>
      <c r="B3542" s="26" t="s">
        <v>5423</v>
      </c>
      <c r="C3542" s="26" t="s">
        <v>12566</v>
      </c>
      <c r="D3542" s="26" t="s">
        <v>12551</v>
      </c>
      <c r="E3542" s="26" t="s">
        <v>5430</v>
      </c>
      <c r="F3542" s="27">
        <v>6431702</v>
      </c>
      <c r="G3542" s="27">
        <v>0</v>
      </c>
      <c r="H3542" s="27">
        <v>1</v>
      </c>
      <c r="I3542" s="27">
        <v>1</v>
      </c>
      <c r="J3542" s="30">
        <f t="shared" si="165"/>
        <v>0</v>
      </c>
      <c r="K3542" s="30">
        <f t="shared" si="166"/>
        <v>1</v>
      </c>
      <c r="L3542" s="26">
        <f t="shared" si="167"/>
        <v>0</v>
      </c>
      <c r="M3542" s="26"/>
    </row>
    <row r="3543" spans="1:13" ht="15" customHeight="1">
      <c r="A3543" s="25" t="s">
        <v>12567</v>
      </c>
      <c r="B3543" s="26" t="s">
        <v>5423</v>
      </c>
      <c r="C3543" s="26" t="s">
        <v>12568</v>
      </c>
      <c r="D3543" s="26" t="s">
        <v>12518</v>
      </c>
      <c r="E3543" s="26" t="s">
        <v>7387</v>
      </c>
      <c r="F3543" s="27">
        <v>6067164</v>
      </c>
      <c r="G3543" s="27">
        <v>0</v>
      </c>
      <c r="H3543" s="27">
        <v>0</v>
      </c>
      <c r="I3543" s="27">
        <v>0</v>
      </c>
      <c r="J3543" s="30">
        <f t="shared" si="165"/>
        <v>0</v>
      </c>
      <c r="K3543" s="30">
        <f t="shared" si="166"/>
        <v>0</v>
      </c>
      <c r="L3543" s="26">
        <f t="shared" si="167"/>
        <v>0</v>
      </c>
      <c r="M3543" s="26" t="s">
        <v>7302</v>
      </c>
    </row>
    <row r="3544" spans="1:13" ht="15" customHeight="1">
      <c r="A3544" s="25" t="s">
        <v>12569</v>
      </c>
      <c r="B3544" s="26" t="s">
        <v>5423</v>
      </c>
      <c r="C3544" s="26" t="s">
        <v>12570</v>
      </c>
      <c r="D3544" s="26" t="s">
        <v>12551</v>
      </c>
      <c r="E3544" s="26" t="s">
        <v>5447</v>
      </c>
      <c r="F3544" s="27">
        <v>6432397</v>
      </c>
      <c r="G3544" s="27">
        <v>0</v>
      </c>
      <c r="H3544" s="27">
        <v>0</v>
      </c>
      <c r="I3544" s="27">
        <v>0</v>
      </c>
      <c r="J3544" s="30">
        <f t="shared" si="165"/>
        <v>0</v>
      </c>
      <c r="K3544" s="30">
        <f t="shared" si="166"/>
        <v>0</v>
      </c>
      <c r="L3544" s="26">
        <f t="shared" si="167"/>
        <v>0</v>
      </c>
      <c r="M3544" s="26">
        <v>0</v>
      </c>
    </row>
    <row r="3545" spans="1:13" ht="15" customHeight="1">
      <c r="A3545" s="25" t="s">
        <v>12571</v>
      </c>
      <c r="B3545" s="26" t="s">
        <v>5423</v>
      </c>
      <c r="C3545" s="26" t="s">
        <v>12572</v>
      </c>
      <c r="D3545" s="26" t="s">
        <v>12558</v>
      </c>
      <c r="E3545" s="26" t="s">
        <v>5517</v>
      </c>
      <c r="F3545" s="27">
        <v>4981817</v>
      </c>
      <c r="G3545" s="27">
        <v>0</v>
      </c>
      <c r="H3545" s="27">
        <v>0</v>
      </c>
      <c r="I3545" s="27">
        <v>0</v>
      </c>
      <c r="J3545" s="30">
        <f t="shared" si="165"/>
        <v>0</v>
      </c>
      <c r="K3545" s="30">
        <f t="shared" si="166"/>
        <v>0</v>
      </c>
      <c r="L3545" s="26">
        <f t="shared" si="167"/>
        <v>0</v>
      </c>
      <c r="M3545" s="26" t="s">
        <v>7302</v>
      </c>
    </row>
    <row r="3546" spans="1:13" ht="15" customHeight="1">
      <c r="A3546" s="25" t="s">
        <v>12573</v>
      </c>
      <c r="B3546" s="26" t="s">
        <v>5427</v>
      </c>
      <c r="C3546" s="26" t="s">
        <v>12574</v>
      </c>
      <c r="D3546" s="26" t="s">
        <v>12538</v>
      </c>
      <c r="E3546" s="26" t="s">
        <v>5430</v>
      </c>
      <c r="F3546" s="27">
        <v>6434367</v>
      </c>
      <c r="G3546" s="27">
        <v>0</v>
      </c>
      <c r="H3546" s="27">
        <v>0</v>
      </c>
      <c r="I3546" s="27">
        <v>0</v>
      </c>
      <c r="J3546" s="30">
        <f t="shared" si="165"/>
        <v>0</v>
      </c>
      <c r="K3546" s="30">
        <f t="shared" si="166"/>
        <v>0</v>
      </c>
      <c r="L3546" s="26">
        <f t="shared" si="167"/>
        <v>0</v>
      </c>
      <c r="M3546" s="26">
        <v>0</v>
      </c>
    </row>
    <row r="3547" spans="1:13" ht="15" customHeight="1">
      <c r="A3547" s="25" t="s">
        <v>12575</v>
      </c>
      <c r="B3547" s="26" t="s">
        <v>5423</v>
      </c>
      <c r="C3547" s="26" t="s">
        <v>12576</v>
      </c>
      <c r="D3547" s="26" t="s">
        <v>12315</v>
      </c>
      <c r="E3547" s="26" t="s">
        <v>5532</v>
      </c>
      <c r="F3547" s="27">
        <v>6434052</v>
      </c>
      <c r="G3547" s="27">
        <v>0</v>
      </c>
      <c r="H3547" s="27">
        <v>0</v>
      </c>
      <c r="I3547" s="27">
        <v>0</v>
      </c>
      <c r="J3547" s="30">
        <f t="shared" si="165"/>
        <v>0</v>
      </c>
      <c r="K3547" s="30">
        <f t="shared" si="166"/>
        <v>0</v>
      </c>
      <c r="L3547" s="26">
        <f t="shared" si="167"/>
        <v>0</v>
      </c>
      <c r="M3547" s="26">
        <v>0</v>
      </c>
    </row>
    <row r="3548" spans="1:13" ht="15" customHeight="1">
      <c r="A3548" s="25" t="s">
        <v>12577</v>
      </c>
      <c r="B3548" s="26" t="s">
        <v>5423</v>
      </c>
      <c r="C3548" s="26" t="s">
        <v>12578</v>
      </c>
      <c r="D3548" s="26" t="s">
        <v>12579</v>
      </c>
      <c r="E3548" s="26" t="s">
        <v>5468</v>
      </c>
      <c r="F3548" s="27">
        <v>6436276</v>
      </c>
      <c r="G3548" s="27">
        <v>1</v>
      </c>
      <c r="H3548" s="27">
        <v>0</v>
      </c>
      <c r="I3548" s="27">
        <v>1</v>
      </c>
      <c r="J3548" s="30">
        <f t="shared" si="165"/>
        <v>1</v>
      </c>
      <c r="K3548" s="30">
        <f t="shared" si="166"/>
        <v>0</v>
      </c>
      <c r="L3548" s="26">
        <f t="shared" si="167"/>
        <v>0</v>
      </c>
      <c r="M3548" s="26"/>
    </row>
    <row r="3549" spans="1:13" ht="15" customHeight="1">
      <c r="A3549" s="25" t="s">
        <v>12580</v>
      </c>
      <c r="B3549" s="26" t="s">
        <v>5423</v>
      </c>
      <c r="C3549" s="26" t="s">
        <v>12581</v>
      </c>
      <c r="D3549" s="26" t="s">
        <v>12582</v>
      </c>
      <c r="E3549" s="26" t="s">
        <v>5763</v>
      </c>
      <c r="F3549" s="27">
        <v>6422387</v>
      </c>
      <c r="G3549" s="27">
        <v>1</v>
      </c>
      <c r="H3549" s="27">
        <v>1</v>
      </c>
      <c r="I3549" s="27">
        <v>1</v>
      </c>
      <c r="J3549" s="30">
        <f t="shared" si="165"/>
        <v>1</v>
      </c>
      <c r="K3549" s="30">
        <f t="shared" si="166"/>
        <v>1</v>
      </c>
      <c r="L3549" s="26">
        <f t="shared" si="167"/>
        <v>1</v>
      </c>
      <c r="M3549" s="26"/>
    </row>
    <row r="3550" spans="1:13" ht="15" customHeight="1">
      <c r="A3550" s="25" t="s">
        <v>12583</v>
      </c>
      <c r="B3550" s="26" t="s">
        <v>5423</v>
      </c>
      <c r="C3550" s="26" t="s">
        <v>12584</v>
      </c>
      <c r="D3550" s="26" t="s">
        <v>12582</v>
      </c>
      <c r="E3550" s="26" t="s">
        <v>5545</v>
      </c>
      <c r="F3550" s="27">
        <v>6276621</v>
      </c>
      <c r="G3550" s="27">
        <v>1</v>
      </c>
      <c r="H3550" s="27">
        <v>1</v>
      </c>
      <c r="I3550" s="27">
        <v>1</v>
      </c>
      <c r="J3550" s="30">
        <f t="shared" si="165"/>
        <v>1</v>
      </c>
      <c r="K3550" s="30">
        <f t="shared" si="166"/>
        <v>1</v>
      </c>
      <c r="L3550" s="26">
        <f t="shared" si="167"/>
        <v>1</v>
      </c>
      <c r="M3550" s="26"/>
    </row>
    <row r="3551" spans="1:13" ht="15" customHeight="1">
      <c r="A3551" s="25" t="s">
        <v>12585</v>
      </c>
      <c r="B3551" s="26" t="s">
        <v>5423</v>
      </c>
      <c r="C3551" s="26" t="s">
        <v>12586</v>
      </c>
      <c r="D3551" s="26" t="s">
        <v>12587</v>
      </c>
      <c r="E3551" s="26" t="s">
        <v>5452</v>
      </c>
      <c r="F3551" s="27">
        <v>5515264</v>
      </c>
      <c r="G3551" s="27">
        <v>0</v>
      </c>
      <c r="H3551" s="27">
        <v>0</v>
      </c>
      <c r="I3551" s="27">
        <v>0</v>
      </c>
      <c r="J3551" s="30">
        <f t="shared" si="165"/>
        <v>0</v>
      </c>
      <c r="K3551" s="30">
        <f t="shared" si="166"/>
        <v>0</v>
      </c>
      <c r="L3551" s="26">
        <f t="shared" si="167"/>
        <v>0</v>
      </c>
      <c r="M3551" s="26" t="s">
        <v>11415</v>
      </c>
    </row>
    <row r="3552" spans="1:13" ht="15" customHeight="1">
      <c r="A3552" s="25" t="s">
        <v>12588</v>
      </c>
      <c r="B3552" s="26" t="s">
        <v>5423</v>
      </c>
      <c r="C3552" s="26" t="s">
        <v>12589</v>
      </c>
      <c r="D3552" s="26" t="s">
        <v>12590</v>
      </c>
      <c r="E3552" s="26" t="s">
        <v>5468</v>
      </c>
      <c r="F3552" s="27">
        <v>6441509</v>
      </c>
      <c r="G3552" s="27">
        <v>0</v>
      </c>
      <c r="H3552" s="27">
        <v>0</v>
      </c>
      <c r="I3552" s="27">
        <v>0</v>
      </c>
      <c r="J3552" s="30">
        <f t="shared" si="165"/>
        <v>0</v>
      </c>
      <c r="K3552" s="30">
        <f t="shared" si="166"/>
        <v>0</v>
      </c>
      <c r="L3552" s="26">
        <f t="shared" si="167"/>
        <v>0</v>
      </c>
      <c r="M3552" s="26" t="s">
        <v>5567</v>
      </c>
    </row>
    <row r="3553" spans="1:13" ht="15" customHeight="1">
      <c r="A3553" s="25" t="s">
        <v>12591</v>
      </c>
      <c r="B3553" s="26" t="s">
        <v>5423</v>
      </c>
      <c r="C3553" s="26" t="s">
        <v>12592</v>
      </c>
      <c r="D3553" s="26" t="s">
        <v>12593</v>
      </c>
      <c r="E3553" s="26" t="s">
        <v>5452</v>
      </c>
      <c r="F3553" s="27">
        <v>6441513</v>
      </c>
      <c r="G3553" s="27">
        <v>1</v>
      </c>
      <c r="H3553" s="27">
        <v>1</v>
      </c>
      <c r="I3553" s="27">
        <v>1</v>
      </c>
      <c r="J3553" s="30">
        <f t="shared" si="165"/>
        <v>1</v>
      </c>
      <c r="K3553" s="30">
        <f t="shared" si="166"/>
        <v>1</v>
      </c>
      <c r="L3553" s="26">
        <f t="shared" si="167"/>
        <v>1</v>
      </c>
      <c r="M3553" s="26"/>
    </row>
    <row r="3554" spans="1:13" ht="15" customHeight="1">
      <c r="A3554" s="25" t="s">
        <v>12594</v>
      </c>
      <c r="B3554" s="26" t="s">
        <v>5423</v>
      </c>
      <c r="C3554" s="26" t="s">
        <v>12595</v>
      </c>
      <c r="D3554" s="26" t="s">
        <v>12596</v>
      </c>
      <c r="E3554" s="26" t="s">
        <v>5447</v>
      </c>
      <c r="F3554" s="27">
        <v>6441516</v>
      </c>
      <c r="G3554" s="27">
        <v>1</v>
      </c>
      <c r="H3554" s="27">
        <v>1</v>
      </c>
      <c r="I3554" s="27">
        <v>1</v>
      </c>
      <c r="J3554" s="30">
        <f t="shared" si="165"/>
        <v>1</v>
      </c>
      <c r="K3554" s="30">
        <f t="shared" si="166"/>
        <v>1</v>
      </c>
      <c r="L3554" s="26">
        <f t="shared" si="167"/>
        <v>1</v>
      </c>
      <c r="M3554" s="26"/>
    </row>
    <row r="3555" spans="1:13" ht="15" customHeight="1">
      <c r="A3555" s="25" t="s">
        <v>12597</v>
      </c>
      <c r="B3555" s="26" t="s">
        <v>5427</v>
      </c>
      <c r="C3555" s="26" t="s">
        <v>12598</v>
      </c>
      <c r="D3555" s="26" t="s">
        <v>12599</v>
      </c>
      <c r="E3555" s="26" t="s">
        <v>5494</v>
      </c>
      <c r="F3555" s="27">
        <v>6425382</v>
      </c>
      <c r="G3555" s="27">
        <v>1</v>
      </c>
      <c r="H3555" s="27">
        <v>0</v>
      </c>
      <c r="I3555" s="27">
        <v>1</v>
      </c>
      <c r="J3555" s="30">
        <f t="shared" si="165"/>
        <v>1</v>
      </c>
      <c r="K3555" s="30">
        <f t="shared" si="166"/>
        <v>0</v>
      </c>
      <c r="L3555" s="26">
        <f t="shared" si="167"/>
        <v>0</v>
      </c>
      <c r="M3555" s="26"/>
    </row>
    <row r="3556" spans="1:13" ht="15" customHeight="1">
      <c r="A3556" s="25" t="s">
        <v>12600</v>
      </c>
      <c r="B3556" s="26" t="s">
        <v>5423</v>
      </c>
      <c r="C3556" s="26" t="s">
        <v>12601</v>
      </c>
      <c r="D3556" s="26" t="s">
        <v>12602</v>
      </c>
      <c r="E3556" s="26" t="s">
        <v>5540</v>
      </c>
      <c r="F3556" s="27">
        <v>6421282</v>
      </c>
      <c r="G3556" s="27">
        <v>1</v>
      </c>
      <c r="H3556" s="27">
        <v>1</v>
      </c>
      <c r="I3556" s="27">
        <v>1</v>
      </c>
      <c r="J3556" s="30">
        <f t="shared" si="165"/>
        <v>1</v>
      </c>
      <c r="K3556" s="30">
        <f t="shared" si="166"/>
        <v>1</v>
      </c>
      <c r="L3556" s="26">
        <f t="shared" si="167"/>
        <v>1</v>
      </c>
      <c r="M3556" s="26"/>
    </row>
    <row r="3557" spans="1:13" ht="15" customHeight="1">
      <c r="A3557" s="25" t="s">
        <v>12603</v>
      </c>
      <c r="B3557" s="26" t="s">
        <v>5427</v>
      </c>
      <c r="C3557" s="26" t="s">
        <v>12604</v>
      </c>
      <c r="D3557" s="26" t="s">
        <v>12596</v>
      </c>
      <c r="E3557" s="26" t="s">
        <v>5514</v>
      </c>
      <c r="F3557" s="27">
        <v>4467366</v>
      </c>
      <c r="G3557" s="27">
        <v>1</v>
      </c>
      <c r="H3557" s="27">
        <v>1</v>
      </c>
      <c r="I3557" s="27">
        <v>1</v>
      </c>
      <c r="J3557" s="30">
        <f t="shared" si="165"/>
        <v>1</v>
      </c>
      <c r="K3557" s="30">
        <f t="shared" si="166"/>
        <v>1</v>
      </c>
      <c r="L3557" s="26">
        <f t="shared" si="167"/>
        <v>1</v>
      </c>
      <c r="M3557" s="26" t="s">
        <v>12605</v>
      </c>
    </row>
    <row r="3558" spans="1:13" ht="15" customHeight="1">
      <c r="A3558" s="25">
        <v>1865367</v>
      </c>
      <c r="B3558" s="26" t="s">
        <v>5427</v>
      </c>
      <c r="C3558" s="26" t="s">
        <v>12606</v>
      </c>
      <c r="D3558" s="26" t="s">
        <v>12607</v>
      </c>
      <c r="E3558" s="26" t="s">
        <v>11638</v>
      </c>
      <c r="F3558" s="27">
        <v>6441530</v>
      </c>
      <c r="G3558" s="27">
        <v>1</v>
      </c>
      <c r="H3558" s="27">
        <v>1</v>
      </c>
      <c r="I3558" s="27">
        <v>1</v>
      </c>
      <c r="J3558" s="30">
        <f t="shared" si="165"/>
        <v>1</v>
      </c>
      <c r="K3558" s="30">
        <f t="shared" si="166"/>
        <v>1</v>
      </c>
      <c r="L3558" s="26">
        <f t="shared" si="167"/>
        <v>1</v>
      </c>
      <c r="M3558" s="26" t="s">
        <v>10175</v>
      </c>
    </row>
    <row r="3559" spans="1:13" ht="15" customHeight="1">
      <c r="A3559" s="25" t="s">
        <v>12608</v>
      </c>
      <c r="B3559" s="26" t="s">
        <v>5423</v>
      </c>
      <c r="C3559" s="26" t="s">
        <v>12609</v>
      </c>
      <c r="D3559" s="26" t="s">
        <v>12590</v>
      </c>
      <c r="E3559" s="26" t="s">
        <v>5763</v>
      </c>
      <c r="F3559" s="27">
        <v>6441593</v>
      </c>
      <c r="G3559" s="27">
        <v>0</v>
      </c>
      <c r="H3559" s="27">
        <v>0</v>
      </c>
      <c r="I3559" s="27">
        <v>0</v>
      </c>
      <c r="J3559" s="30">
        <f t="shared" si="165"/>
        <v>0</v>
      </c>
      <c r="K3559" s="30">
        <f t="shared" si="166"/>
        <v>0</v>
      </c>
      <c r="L3559" s="26">
        <f t="shared" si="167"/>
        <v>0</v>
      </c>
      <c r="M3559" s="26">
        <v>0</v>
      </c>
    </row>
    <row r="3560" spans="1:13" ht="15" customHeight="1">
      <c r="A3560" s="25" t="s">
        <v>12610</v>
      </c>
      <c r="B3560" s="26" t="s">
        <v>5427</v>
      </c>
      <c r="C3560" s="26" t="s">
        <v>12611</v>
      </c>
      <c r="D3560" s="26" t="s">
        <v>12593</v>
      </c>
      <c r="E3560" s="26" t="s">
        <v>5763</v>
      </c>
      <c r="F3560" s="27">
        <v>6358846</v>
      </c>
      <c r="G3560" s="27">
        <v>1</v>
      </c>
      <c r="H3560" s="27">
        <v>0</v>
      </c>
      <c r="I3560" s="27">
        <v>1</v>
      </c>
      <c r="J3560" s="30">
        <f t="shared" si="165"/>
        <v>1</v>
      </c>
      <c r="K3560" s="30">
        <f t="shared" si="166"/>
        <v>0</v>
      </c>
      <c r="L3560" s="26">
        <f t="shared" si="167"/>
        <v>0</v>
      </c>
      <c r="M3560" s="26"/>
    </row>
    <row r="3561" spans="1:13" ht="15" customHeight="1">
      <c r="A3561" s="25" t="s">
        <v>12612</v>
      </c>
      <c r="B3561" s="26" t="s">
        <v>5423</v>
      </c>
      <c r="C3561" s="26" t="s">
        <v>12613</v>
      </c>
      <c r="D3561" s="26" t="s">
        <v>12614</v>
      </c>
      <c r="E3561" s="26" t="s">
        <v>5683</v>
      </c>
      <c r="F3561" s="27">
        <v>4468461</v>
      </c>
      <c r="G3561" s="27">
        <v>0</v>
      </c>
      <c r="H3561" s="27">
        <v>0</v>
      </c>
      <c r="I3561" s="27">
        <v>0</v>
      </c>
      <c r="J3561" s="30">
        <f t="shared" si="165"/>
        <v>0</v>
      </c>
      <c r="K3561" s="30">
        <f t="shared" si="166"/>
        <v>0</v>
      </c>
      <c r="L3561" s="26">
        <f t="shared" si="167"/>
        <v>0</v>
      </c>
      <c r="M3561" s="26" t="s">
        <v>7302</v>
      </c>
    </row>
    <row r="3562" spans="1:13" ht="15" customHeight="1">
      <c r="A3562" s="25" t="s">
        <v>12615</v>
      </c>
      <c r="B3562" s="26" t="s">
        <v>5423</v>
      </c>
      <c r="C3562" s="26" t="s">
        <v>12616</v>
      </c>
      <c r="D3562" s="26" t="s">
        <v>12607</v>
      </c>
      <c r="E3562" s="26" t="s">
        <v>5488</v>
      </c>
      <c r="F3562" s="27">
        <v>6414380</v>
      </c>
      <c r="G3562" s="27">
        <v>0</v>
      </c>
      <c r="H3562" s="27">
        <v>1</v>
      </c>
      <c r="I3562" s="27">
        <v>1</v>
      </c>
      <c r="J3562" s="30">
        <f t="shared" si="165"/>
        <v>0</v>
      </c>
      <c r="K3562" s="30">
        <f t="shared" si="166"/>
        <v>1</v>
      </c>
      <c r="L3562" s="26">
        <f t="shared" si="167"/>
        <v>0</v>
      </c>
      <c r="M3562" s="26"/>
    </row>
    <row r="3563" spans="1:13" ht="15" customHeight="1">
      <c r="A3563" s="25" t="s">
        <v>12617</v>
      </c>
      <c r="B3563" s="26" t="s">
        <v>5423</v>
      </c>
      <c r="C3563" s="26" t="s">
        <v>12618</v>
      </c>
      <c r="D3563" s="26" t="s">
        <v>12619</v>
      </c>
      <c r="E3563" s="26" t="s">
        <v>5488</v>
      </c>
      <c r="F3563" s="27">
        <v>6443281</v>
      </c>
      <c r="G3563" s="27">
        <v>1</v>
      </c>
      <c r="H3563" s="27">
        <v>0</v>
      </c>
      <c r="I3563" s="27">
        <v>1</v>
      </c>
      <c r="J3563" s="30">
        <f t="shared" si="165"/>
        <v>1</v>
      </c>
      <c r="K3563" s="30">
        <f t="shared" si="166"/>
        <v>0</v>
      </c>
      <c r="L3563" s="26">
        <f t="shared" si="167"/>
        <v>0</v>
      </c>
      <c r="M3563" s="26"/>
    </row>
    <row r="3564" spans="1:13" ht="15" customHeight="1">
      <c r="A3564" s="25" t="s">
        <v>12620</v>
      </c>
      <c r="B3564" s="26" t="s">
        <v>5423</v>
      </c>
      <c r="C3564" s="26" t="s">
        <v>12621</v>
      </c>
      <c r="D3564" s="26" t="s">
        <v>12619</v>
      </c>
      <c r="E3564" s="26" t="s">
        <v>5540</v>
      </c>
      <c r="F3564" s="27">
        <v>6445743</v>
      </c>
      <c r="G3564" s="27">
        <v>0</v>
      </c>
      <c r="H3564" s="27">
        <v>0</v>
      </c>
      <c r="I3564" s="27">
        <v>0</v>
      </c>
      <c r="J3564" s="30">
        <f t="shared" si="165"/>
        <v>0</v>
      </c>
      <c r="K3564" s="30">
        <f t="shared" si="166"/>
        <v>0</v>
      </c>
      <c r="L3564" s="26">
        <f t="shared" si="167"/>
        <v>0</v>
      </c>
      <c r="M3564" s="26">
        <v>0</v>
      </c>
    </row>
    <row r="3565" spans="1:13" ht="15" customHeight="1">
      <c r="A3565" s="25" t="s">
        <v>12622</v>
      </c>
      <c r="B3565" s="26" t="s">
        <v>5427</v>
      </c>
      <c r="C3565" s="26" t="s">
        <v>12623</v>
      </c>
      <c r="D3565" s="26" t="s">
        <v>12619</v>
      </c>
      <c r="E3565" s="26" t="s">
        <v>5447</v>
      </c>
      <c r="F3565" s="27">
        <v>6423212</v>
      </c>
      <c r="G3565" s="27">
        <v>1</v>
      </c>
      <c r="H3565" s="27">
        <v>0</v>
      </c>
      <c r="I3565" s="27">
        <v>1</v>
      </c>
      <c r="J3565" s="30">
        <f t="shared" si="165"/>
        <v>1</v>
      </c>
      <c r="K3565" s="30">
        <f t="shared" si="166"/>
        <v>0</v>
      </c>
      <c r="L3565" s="26">
        <f t="shared" si="167"/>
        <v>0</v>
      </c>
      <c r="M3565" s="26"/>
    </row>
    <row r="3566" spans="1:13" ht="15" customHeight="1">
      <c r="A3566" s="25" t="s">
        <v>12624</v>
      </c>
      <c r="B3566" s="26" t="s">
        <v>5427</v>
      </c>
      <c r="C3566" s="26" t="s">
        <v>12625</v>
      </c>
      <c r="D3566" s="26" t="s">
        <v>12619</v>
      </c>
      <c r="E3566" s="26" t="s">
        <v>5514</v>
      </c>
      <c r="F3566" s="27">
        <v>6427984</v>
      </c>
      <c r="G3566" s="27">
        <v>1</v>
      </c>
      <c r="H3566" s="27">
        <v>0</v>
      </c>
      <c r="I3566" s="27">
        <v>1</v>
      </c>
      <c r="J3566" s="30">
        <f t="shared" si="165"/>
        <v>1</v>
      </c>
      <c r="K3566" s="30">
        <f t="shared" si="166"/>
        <v>0</v>
      </c>
      <c r="L3566" s="26">
        <f t="shared" si="167"/>
        <v>0</v>
      </c>
      <c r="M3566" s="26"/>
    </row>
    <row r="3567" spans="1:13" ht="15" customHeight="1">
      <c r="A3567" s="25" t="s">
        <v>12626</v>
      </c>
      <c r="B3567" s="26" t="s">
        <v>5427</v>
      </c>
      <c r="C3567" s="26" t="s">
        <v>12627</v>
      </c>
      <c r="D3567" s="26" t="s">
        <v>12628</v>
      </c>
      <c r="E3567" s="26" t="s">
        <v>5522</v>
      </c>
      <c r="F3567" s="27">
        <v>6419198</v>
      </c>
      <c r="G3567" s="27">
        <v>1</v>
      </c>
      <c r="H3567" s="27">
        <v>1</v>
      </c>
      <c r="I3567" s="27">
        <v>1</v>
      </c>
      <c r="J3567" s="30">
        <f t="shared" si="165"/>
        <v>1</v>
      </c>
      <c r="K3567" s="30">
        <f t="shared" si="166"/>
        <v>1</v>
      </c>
      <c r="L3567" s="26">
        <f t="shared" si="167"/>
        <v>1</v>
      </c>
      <c r="M3567" s="26"/>
    </row>
    <row r="3568" spans="1:13" ht="15" customHeight="1">
      <c r="A3568" s="25" t="s">
        <v>12629</v>
      </c>
      <c r="B3568" s="26" t="s">
        <v>5423</v>
      </c>
      <c r="C3568" s="26" t="s">
        <v>12630</v>
      </c>
      <c r="D3568" s="26" t="s">
        <v>12582</v>
      </c>
      <c r="E3568" s="26" t="s">
        <v>5763</v>
      </c>
      <c r="F3568" s="27">
        <v>6266821</v>
      </c>
      <c r="G3568" s="27">
        <v>2</v>
      </c>
      <c r="H3568" s="27">
        <v>0</v>
      </c>
      <c r="I3568" s="27">
        <v>1</v>
      </c>
      <c r="J3568" s="30">
        <f t="shared" si="165"/>
        <v>1</v>
      </c>
      <c r="K3568" s="30">
        <f t="shared" si="166"/>
        <v>0</v>
      </c>
      <c r="L3568" s="26">
        <f t="shared" si="167"/>
        <v>0</v>
      </c>
      <c r="M3568" s="26" t="s">
        <v>5611</v>
      </c>
    </row>
    <row r="3569" spans="1:13" ht="15" customHeight="1">
      <c r="A3569" s="25">
        <v>1867266</v>
      </c>
      <c r="B3569" s="26" t="s">
        <v>5427</v>
      </c>
      <c r="C3569" s="26" t="s">
        <v>12631</v>
      </c>
      <c r="D3569" s="26" t="s">
        <v>12632</v>
      </c>
      <c r="E3569" s="26" t="s">
        <v>5517</v>
      </c>
      <c r="F3569" s="27">
        <v>6339451</v>
      </c>
      <c r="G3569" s="27">
        <v>1</v>
      </c>
      <c r="H3569" s="27">
        <v>1</v>
      </c>
      <c r="I3569" s="27">
        <v>1</v>
      </c>
      <c r="J3569" s="30">
        <f t="shared" si="165"/>
        <v>1</v>
      </c>
      <c r="K3569" s="30">
        <f t="shared" si="166"/>
        <v>1</v>
      </c>
      <c r="L3569" s="26">
        <f t="shared" si="167"/>
        <v>1</v>
      </c>
      <c r="M3569" s="26"/>
    </row>
    <row r="3570" spans="1:13" ht="15" customHeight="1">
      <c r="A3570" s="25" t="s">
        <v>12633</v>
      </c>
      <c r="B3570" s="26" t="s">
        <v>5427</v>
      </c>
      <c r="C3570" s="26" t="s">
        <v>12634</v>
      </c>
      <c r="D3570" s="26" t="s">
        <v>12635</v>
      </c>
      <c r="E3570" s="26" t="s">
        <v>5485</v>
      </c>
      <c r="F3570" s="27">
        <v>6446323</v>
      </c>
      <c r="G3570" s="27">
        <v>0</v>
      </c>
      <c r="H3570" s="27">
        <v>0</v>
      </c>
      <c r="I3570" s="27">
        <v>0</v>
      </c>
      <c r="J3570" s="30">
        <f t="shared" si="165"/>
        <v>0</v>
      </c>
      <c r="K3570" s="30">
        <f t="shared" si="166"/>
        <v>0</v>
      </c>
      <c r="L3570" s="26">
        <f t="shared" si="167"/>
        <v>0</v>
      </c>
      <c r="M3570" s="26">
        <v>0</v>
      </c>
    </row>
    <row r="3571" spans="1:13" ht="15" customHeight="1">
      <c r="A3571" s="25" t="s">
        <v>12636</v>
      </c>
      <c r="B3571" s="26" t="s">
        <v>5427</v>
      </c>
      <c r="C3571" s="26" t="s">
        <v>12637</v>
      </c>
      <c r="D3571" s="26" t="s">
        <v>12628</v>
      </c>
      <c r="E3571" s="26" t="s">
        <v>5763</v>
      </c>
      <c r="F3571" s="27">
        <v>6446283</v>
      </c>
      <c r="G3571" s="27">
        <v>1</v>
      </c>
      <c r="H3571" s="27">
        <v>1</v>
      </c>
      <c r="I3571" s="27">
        <v>1</v>
      </c>
      <c r="J3571" s="30">
        <f t="shared" si="165"/>
        <v>1</v>
      </c>
      <c r="K3571" s="30">
        <f t="shared" si="166"/>
        <v>1</v>
      </c>
      <c r="L3571" s="26">
        <f t="shared" si="167"/>
        <v>1</v>
      </c>
      <c r="M3571" s="26"/>
    </row>
    <row r="3572" spans="1:13" ht="15" customHeight="1">
      <c r="A3572" s="25" t="s">
        <v>12638</v>
      </c>
      <c r="B3572" s="26" t="s">
        <v>5423</v>
      </c>
      <c r="C3572" s="26" t="s">
        <v>12639</v>
      </c>
      <c r="D3572" s="26" t="s">
        <v>12628</v>
      </c>
      <c r="E3572" s="26" t="s">
        <v>5433</v>
      </c>
      <c r="F3572" s="27">
        <v>6397983</v>
      </c>
      <c r="G3572" s="27">
        <v>1</v>
      </c>
      <c r="H3572" s="27">
        <v>1</v>
      </c>
      <c r="I3572" s="27">
        <v>1</v>
      </c>
      <c r="J3572" s="30">
        <f t="shared" si="165"/>
        <v>1</v>
      </c>
      <c r="K3572" s="30">
        <f t="shared" si="166"/>
        <v>1</v>
      </c>
      <c r="L3572" s="26">
        <f t="shared" si="167"/>
        <v>1</v>
      </c>
      <c r="M3572" s="26"/>
    </row>
    <row r="3573" spans="1:13" ht="15" customHeight="1">
      <c r="A3573" s="25" t="s">
        <v>12640</v>
      </c>
      <c r="B3573" s="26" t="s">
        <v>5423</v>
      </c>
      <c r="C3573" s="26" t="s">
        <v>12641</v>
      </c>
      <c r="D3573" s="26" t="s">
        <v>12628</v>
      </c>
      <c r="E3573" s="26" t="s">
        <v>5517</v>
      </c>
      <c r="F3573" s="27">
        <v>5878817</v>
      </c>
      <c r="G3573" s="27">
        <v>0</v>
      </c>
      <c r="H3573" s="27">
        <v>0</v>
      </c>
      <c r="I3573" s="27">
        <v>0</v>
      </c>
      <c r="J3573" s="30">
        <f t="shared" si="165"/>
        <v>0</v>
      </c>
      <c r="K3573" s="30">
        <f t="shared" si="166"/>
        <v>0</v>
      </c>
      <c r="L3573" s="26">
        <f t="shared" si="167"/>
        <v>0</v>
      </c>
      <c r="M3573" s="26">
        <v>0</v>
      </c>
    </row>
    <row r="3574" spans="1:13" ht="15" customHeight="1">
      <c r="A3574" s="25" t="s">
        <v>12642</v>
      </c>
      <c r="B3574" s="26" t="s">
        <v>5423</v>
      </c>
      <c r="C3574" s="26" t="s">
        <v>12643</v>
      </c>
      <c r="D3574" s="26" t="s">
        <v>12644</v>
      </c>
      <c r="E3574" s="26" t="s">
        <v>5430</v>
      </c>
      <c r="F3574" s="27">
        <v>5775063</v>
      </c>
      <c r="G3574" s="27">
        <v>1</v>
      </c>
      <c r="H3574" s="27">
        <v>1</v>
      </c>
      <c r="I3574" s="27">
        <v>1</v>
      </c>
      <c r="J3574" s="30">
        <f t="shared" si="165"/>
        <v>1</v>
      </c>
      <c r="K3574" s="30">
        <f t="shared" si="166"/>
        <v>1</v>
      </c>
      <c r="L3574" s="26">
        <f t="shared" si="167"/>
        <v>1</v>
      </c>
      <c r="M3574" s="26"/>
    </row>
    <row r="3575" spans="1:13" ht="15" customHeight="1">
      <c r="A3575" s="25" t="s">
        <v>12645</v>
      </c>
      <c r="B3575" s="26" t="s">
        <v>5423</v>
      </c>
      <c r="C3575" s="26" t="s">
        <v>12646</v>
      </c>
      <c r="D3575" s="26" t="s">
        <v>12628</v>
      </c>
      <c r="E3575" s="26" t="s">
        <v>5550</v>
      </c>
      <c r="F3575" s="27">
        <v>6448339</v>
      </c>
      <c r="G3575" s="27">
        <v>0</v>
      </c>
      <c r="H3575" s="27">
        <v>0</v>
      </c>
      <c r="I3575" s="27">
        <v>0</v>
      </c>
      <c r="J3575" s="30">
        <f t="shared" si="165"/>
        <v>0</v>
      </c>
      <c r="K3575" s="30">
        <f t="shared" si="166"/>
        <v>0</v>
      </c>
      <c r="L3575" s="26">
        <f t="shared" si="167"/>
        <v>0</v>
      </c>
      <c r="M3575" s="26">
        <v>0</v>
      </c>
    </row>
    <row r="3576" spans="1:13" ht="15" customHeight="1">
      <c r="A3576" s="25" t="s">
        <v>12647</v>
      </c>
      <c r="B3576" s="26" t="s">
        <v>5423</v>
      </c>
      <c r="C3576" s="26" t="s">
        <v>12648</v>
      </c>
      <c r="D3576" s="26" t="s">
        <v>12607</v>
      </c>
      <c r="E3576" s="26" t="s">
        <v>5433</v>
      </c>
      <c r="F3576" s="27">
        <v>6447368</v>
      </c>
      <c r="G3576" s="27">
        <v>1</v>
      </c>
      <c r="H3576" s="27">
        <v>0</v>
      </c>
      <c r="I3576" s="27">
        <v>1</v>
      </c>
      <c r="J3576" s="30">
        <f t="shared" si="165"/>
        <v>1</v>
      </c>
      <c r="K3576" s="30">
        <f t="shared" si="166"/>
        <v>0</v>
      </c>
      <c r="L3576" s="26">
        <f t="shared" si="167"/>
        <v>0</v>
      </c>
      <c r="M3576" s="26"/>
    </row>
    <row r="3577" spans="1:13" ht="15" customHeight="1">
      <c r="A3577" s="25" t="s">
        <v>12649</v>
      </c>
      <c r="B3577" s="26" t="s">
        <v>5427</v>
      </c>
      <c r="C3577" s="26" t="s">
        <v>12650</v>
      </c>
      <c r="D3577" s="26" t="s">
        <v>12651</v>
      </c>
      <c r="E3577" s="26" t="s">
        <v>5442</v>
      </c>
      <c r="F3577" s="27">
        <v>6447198</v>
      </c>
      <c r="G3577" s="27">
        <v>1</v>
      </c>
      <c r="H3577" s="27">
        <v>0</v>
      </c>
      <c r="I3577" s="27">
        <v>1</v>
      </c>
      <c r="J3577" s="30">
        <f t="shared" si="165"/>
        <v>1</v>
      </c>
      <c r="K3577" s="30">
        <f t="shared" si="166"/>
        <v>0</v>
      </c>
      <c r="L3577" s="26">
        <f t="shared" si="167"/>
        <v>0</v>
      </c>
      <c r="M3577" s="26"/>
    </row>
    <row r="3578" spans="1:13" ht="15" customHeight="1">
      <c r="A3578" s="25" t="s">
        <v>12652</v>
      </c>
      <c r="B3578" s="26" t="s">
        <v>5423</v>
      </c>
      <c r="C3578" s="26" t="s">
        <v>12653</v>
      </c>
      <c r="D3578" s="26" t="s">
        <v>12628</v>
      </c>
      <c r="E3578" s="26" t="s">
        <v>5439</v>
      </c>
      <c r="F3578" s="27">
        <v>6448326</v>
      </c>
      <c r="G3578" s="27">
        <v>0</v>
      </c>
      <c r="H3578" s="27">
        <v>0</v>
      </c>
      <c r="I3578" s="27">
        <v>0</v>
      </c>
      <c r="J3578" s="30">
        <f t="shared" si="165"/>
        <v>0</v>
      </c>
      <c r="K3578" s="30">
        <f t="shared" si="166"/>
        <v>0</v>
      </c>
      <c r="L3578" s="26">
        <f t="shared" si="167"/>
        <v>0</v>
      </c>
      <c r="M3578" s="26">
        <v>0</v>
      </c>
    </row>
    <row r="3579" spans="1:13" ht="15" customHeight="1">
      <c r="A3579" s="25" t="s">
        <v>12654</v>
      </c>
      <c r="B3579" s="26" t="s">
        <v>5423</v>
      </c>
      <c r="C3579" s="26" t="s">
        <v>12655</v>
      </c>
      <c r="D3579" s="26" t="s">
        <v>12628</v>
      </c>
      <c r="E3579" s="26" t="s">
        <v>5540</v>
      </c>
      <c r="F3579" s="27">
        <v>6448334</v>
      </c>
      <c r="G3579" s="27">
        <v>0</v>
      </c>
      <c r="H3579" s="27">
        <v>0</v>
      </c>
      <c r="I3579" s="27">
        <v>0</v>
      </c>
      <c r="J3579" s="30">
        <f t="shared" si="165"/>
        <v>0</v>
      </c>
      <c r="K3579" s="30">
        <f t="shared" si="166"/>
        <v>0</v>
      </c>
      <c r="L3579" s="26">
        <f t="shared" si="167"/>
        <v>0</v>
      </c>
      <c r="M3579" s="26">
        <v>0</v>
      </c>
    </row>
    <row r="3580" spans="1:13" ht="15" customHeight="1">
      <c r="A3580" s="25" t="s">
        <v>12656</v>
      </c>
      <c r="B3580" s="26" t="s">
        <v>5427</v>
      </c>
      <c r="C3580" s="26" t="s">
        <v>12657</v>
      </c>
      <c r="D3580" s="26" t="s">
        <v>12607</v>
      </c>
      <c r="E3580" s="26" t="s">
        <v>5540</v>
      </c>
      <c r="F3580" s="27">
        <v>6447351</v>
      </c>
      <c r="G3580" s="27">
        <v>1</v>
      </c>
      <c r="H3580" s="27">
        <v>0</v>
      </c>
      <c r="I3580" s="27">
        <v>1</v>
      </c>
      <c r="J3580" s="30">
        <f t="shared" si="165"/>
        <v>1</v>
      </c>
      <c r="K3580" s="30">
        <f t="shared" si="166"/>
        <v>0</v>
      </c>
      <c r="L3580" s="26">
        <f t="shared" si="167"/>
        <v>0</v>
      </c>
      <c r="M3580" s="26"/>
    </row>
    <row r="3581" spans="1:13" ht="15" customHeight="1">
      <c r="A3581" s="25" t="s">
        <v>12658</v>
      </c>
      <c r="B3581" s="26" t="s">
        <v>5427</v>
      </c>
      <c r="C3581" s="26" t="s">
        <v>12659</v>
      </c>
      <c r="D3581" s="26" t="s">
        <v>12607</v>
      </c>
      <c r="E3581" s="26" t="s">
        <v>5475</v>
      </c>
      <c r="F3581" s="27">
        <v>6411143</v>
      </c>
      <c r="G3581" s="27">
        <v>0</v>
      </c>
      <c r="H3581" s="27">
        <v>1</v>
      </c>
      <c r="I3581" s="27">
        <v>1</v>
      </c>
      <c r="J3581" s="30">
        <f t="shared" si="165"/>
        <v>0</v>
      </c>
      <c r="K3581" s="30">
        <f t="shared" si="166"/>
        <v>1</v>
      </c>
      <c r="L3581" s="26">
        <f t="shared" si="167"/>
        <v>0</v>
      </c>
      <c r="M3581" s="26"/>
    </row>
    <row r="3582" spans="1:13" ht="15" customHeight="1">
      <c r="A3582" s="25" t="s">
        <v>12660</v>
      </c>
      <c r="B3582" s="26" t="s">
        <v>5427</v>
      </c>
      <c r="C3582" s="26" t="s">
        <v>12661</v>
      </c>
      <c r="D3582" s="26" t="s">
        <v>12662</v>
      </c>
      <c r="E3582" s="26" t="s">
        <v>5475</v>
      </c>
      <c r="F3582" s="27">
        <v>6449022</v>
      </c>
      <c r="G3582" s="27">
        <v>0</v>
      </c>
      <c r="H3582" s="27">
        <v>0</v>
      </c>
      <c r="I3582" s="27">
        <v>0</v>
      </c>
      <c r="J3582" s="30">
        <f t="shared" si="165"/>
        <v>0</v>
      </c>
      <c r="K3582" s="30">
        <f t="shared" si="166"/>
        <v>0</v>
      </c>
      <c r="L3582" s="26">
        <f t="shared" si="167"/>
        <v>0</v>
      </c>
      <c r="M3582" s="26">
        <v>0</v>
      </c>
    </row>
    <row r="3583" spans="1:13" ht="15" customHeight="1">
      <c r="A3583" s="25" t="s">
        <v>12663</v>
      </c>
      <c r="B3583" s="26" t="s">
        <v>5423</v>
      </c>
      <c r="C3583" s="26" t="s">
        <v>12664</v>
      </c>
      <c r="D3583" s="26" t="s">
        <v>12665</v>
      </c>
      <c r="E3583" s="26" t="s">
        <v>5475</v>
      </c>
      <c r="F3583" s="27">
        <v>6449087</v>
      </c>
      <c r="G3583" s="27">
        <v>0</v>
      </c>
      <c r="H3583" s="27">
        <v>0</v>
      </c>
      <c r="I3583" s="27">
        <v>0</v>
      </c>
      <c r="J3583" s="30">
        <f t="shared" si="165"/>
        <v>0</v>
      </c>
      <c r="K3583" s="30">
        <f t="shared" si="166"/>
        <v>0</v>
      </c>
      <c r="L3583" s="26">
        <f t="shared" si="167"/>
        <v>0</v>
      </c>
      <c r="M3583" s="26">
        <v>0</v>
      </c>
    </row>
    <row r="3584" spans="1:13" ht="15" customHeight="1">
      <c r="A3584" s="25" t="s">
        <v>12666</v>
      </c>
      <c r="B3584" s="26" t="s">
        <v>5423</v>
      </c>
      <c r="C3584" s="26" t="s">
        <v>12667</v>
      </c>
      <c r="D3584" s="26" t="s">
        <v>12665</v>
      </c>
      <c r="E3584" s="26" t="s">
        <v>5514</v>
      </c>
      <c r="F3584" s="27">
        <v>6449514</v>
      </c>
      <c r="G3584" s="27">
        <v>0</v>
      </c>
      <c r="H3584" s="27">
        <v>0</v>
      </c>
      <c r="I3584" s="27">
        <v>0</v>
      </c>
      <c r="J3584" s="30">
        <f t="shared" si="165"/>
        <v>0</v>
      </c>
      <c r="K3584" s="30">
        <f t="shared" si="166"/>
        <v>0</v>
      </c>
      <c r="L3584" s="26">
        <f t="shared" si="167"/>
        <v>0</v>
      </c>
      <c r="M3584" s="26">
        <v>0</v>
      </c>
    </row>
    <row r="3585" spans="1:13" ht="15" customHeight="1">
      <c r="A3585" s="25" t="s">
        <v>12668</v>
      </c>
      <c r="B3585" s="26" t="s">
        <v>5423</v>
      </c>
      <c r="C3585" s="26" t="s">
        <v>12669</v>
      </c>
      <c r="D3585" s="26" t="s">
        <v>12670</v>
      </c>
      <c r="E3585" s="26" t="s">
        <v>5447</v>
      </c>
      <c r="F3585" s="27">
        <v>6448842</v>
      </c>
      <c r="G3585" s="27">
        <v>0</v>
      </c>
      <c r="H3585" s="27">
        <v>0</v>
      </c>
      <c r="I3585" s="27">
        <v>0</v>
      </c>
      <c r="J3585" s="30">
        <f t="shared" si="165"/>
        <v>0</v>
      </c>
      <c r="K3585" s="30">
        <f t="shared" si="166"/>
        <v>0</v>
      </c>
      <c r="L3585" s="26">
        <f t="shared" si="167"/>
        <v>0</v>
      </c>
      <c r="M3585" s="26">
        <v>0</v>
      </c>
    </row>
    <row r="3586" spans="1:13" ht="15" customHeight="1">
      <c r="A3586" s="25" t="s">
        <v>12671</v>
      </c>
      <c r="B3586" s="26" t="s">
        <v>5423</v>
      </c>
      <c r="C3586" s="26" t="s">
        <v>12672</v>
      </c>
      <c r="D3586" s="26" t="s">
        <v>12670</v>
      </c>
      <c r="E3586" s="26" t="s">
        <v>5468</v>
      </c>
      <c r="F3586" s="27">
        <v>6448824</v>
      </c>
      <c r="G3586" s="27">
        <v>0</v>
      </c>
      <c r="H3586" s="27">
        <v>0</v>
      </c>
      <c r="I3586" s="27">
        <v>0</v>
      </c>
      <c r="J3586" s="30">
        <f t="shared" ref="J3586:J3649" si="168">IF(G3586&gt;0,1,0)</f>
        <v>0</v>
      </c>
      <c r="K3586" s="30">
        <f t="shared" ref="K3586:K3649" si="169">IF(H3586&gt;0,1,0)</f>
        <v>0</v>
      </c>
      <c r="L3586" s="26">
        <f t="shared" ref="L3586:L3649" si="170">IF(G3586&gt;0,IF(H3586&gt;0,1,0),0)</f>
        <v>0</v>
      </c>
      <c r="M3586" s="26" t="s">
        <v>5567</v>
      </c>
    </row>
    <row r="3587" spans="1:13" ht="15" customHeight="1">
      <c r="A3587" s="25" t="s">
        <v>12673</v>
      </c>
      <c r="B3587" s="26" t="s">
        <v>5427</v>
      </c>
      <c r="C3587" s="26" t="s">
        <v>12674</v>
      </c>
      <c r="D3587" s="26" t="s">
        <v>12675</v>
      </c>
      <c r="E3587" s="26" t="s">
        <v>6123</v>
      </c>
      <c r="F3587" s="27">
        <v>5773179</v>
      </c>
      <c r="G3587" s="27">
        <v>0</v>
      </c>
      <c r="H3587" s="27">
        <v>0</v>
      </c>
      <c r="I3587" s="27">
        <v>0</v>
      </c>
      <c r="J3587" s="30">
        <f t="shared" si="168"/>
        <v>0</v>
      </c>
      <c r="K3587" s="30">
        <f t="shared" si="169"/>
        <v>0</v>
      </c>
      <c r="L3587" s="26">
        <f t="shared" si="170"/>
        <v>0</v>
      </c>
      <c r="M3587" s="26" t="s">
        <v>7302</v>
      </c>
    </row>
    <row r="3588" spans="1:13" ht="15" customHeight="1">
      <c r="A3588" s="25" t="s">
        <v>12676</v>
      </c>
      <c r="B3588" s="26" t="s">
        <v>5427</v>
      </c>
      <c r="C3588" s="26" t="s">
        <v>12677</v>
      </c>
      <c r="D3588" s="26" t="s">
        <v>12678</v>
      </c>
      <c r="E3588" s="26" t="s">
        <v>5529</v>
      </c>
      <c r="F3588" s="27">
        <v>6449424</v>
      </c>
      <c r="G3588" s="27">
        <v>0</v>
      </c>
      <c r="H3588" s="27">
        <v>0</v>
      </c>
      <c r="I3588" s="27">
        <v>0</v>
      </c>
      <c r="J3588" s="30">
        <f t="shared" si="168"/>
        <v>0</v>
      </c>
      <c r="K3588" s="30">
        <f t="shared" si="169"/>
        <v>0</v>
      </c>
      <c r="L3588" s="26">
        <f t="shared" si="170"/>
        <v>0</v>
      </c>
      <c r="M3588" s="26">
        <v>0</v>
      </c>
    </row>
    <row r="3589" spans="1:13" ht="15" customHeight="1">
      <c r="A3589" s="25" t="s">
        <v>12679</v>
      </c>
      <c r="B3589" s="26" t="s">
        <v>5423</v>
      </c>
      <c r="C3589" s="26" t="s">
        <v>12680</v>
      </c>
      <c r="D3589" s="26" t="s">
        <v>12662</v>
      </c>
      <c r="E3589" s="26" t="s">
        <v>5426</v>
      </c>
      <c r="F3589" s="27">
        <v>6428895</v>
      </c>
      <c r="G3589" s="27">
        <v>0</v>
      </c>
      <c r="H3589" s="27">
        <v>1</v>
      </c>
      <c r="I3589" s="27">
        <v>1</v>
      </c>
      <c r="J3589" s="30">
        <f t="shared" si="168"/>
        <v>0</v>
      </c>
      <c r="K3589" s="30">
        <f t="shared" si="169"/>
        <v>1</v>
      </c>
      <c r="L3589" s="26">
        <f t="shared" si="170"/>
        <v>0</v>
      </c>
      <c r="M3589" s="26"/>
    </row>
    <row r="3590" spans="1:13" ht="15" customHeight="1">
      <c r="A3590" s="25" t="s">
        <v>12681</v>
      </c>
      <c r="B3590" s="26" t="s">
        <v>5423</v>
      </c>
      <c r="C3590" s="26" t="s">
        <v>12682</v>
      </c>
      <c r="D3590" s="26" t="s">
        <v>12662</v>
      </c>
      <c r="E3590" s="26" t="s">
        <v>5455</v>
      </c>
      <c r="F3590" s="27">
        <v>6450734</v>
      </c>
      <c r="G3590" s="27">
        <v>0</v>
      </c>
      <c r="H3590" s="27">
        <v>0</v>
      </c>
      <c r="I3590" s="27">
        <v>0</v>
      </c>
      <c r="J3590" s="30">
        <f t="shared" si="168"/>
        <v>0</v>
      </c>
      <c r="K3590" s="30">
        <f t="shared" si="169"/>
        <v>0</v>
      </c>
      <c r="L3590" s="26">
        <f t="shared" si="170"/>
        <v>0</v>
      </c>
      <c r="M3590" s="26">
        <v>0</v>
      </c>
    </row>
    <row r="3591" spans="1:13" ht="15" customHeight="1">
      <c r="A3591" s="25" t="s">
        <v>12683</v>
      </c>
      <c r="B3591" s="26" t="s">
        <v>5423</v>
      </c>
      <c r="C3591" s="26" t="s">
        <v>12684</v>
      </c>
      <c r="D3591" s="26" t="s">
        <v>12685</v>
      </c>
      <c r="E3591" s="26" t="s">
        <v>5507</v>
      </c>
      <c r="F3591" s="27">
        <v>6444848</v>
      </c>
      <c r="G3591" s="27">
        <v>1</v>
      </c>
      <c r="H3591" s="27">
        <v>1</v>
      </c>
      <c r="I3591" s="27">
        <v>1</v>
      </c>
      <c r="J3591" s="30">
        <f t="shared" si="168"/>
        <v>1</v>
      </c>
      <c r="K3591" s="30">
        <f t="shared" si="169"/>
        <v>1</v>
      </c>
      <c r="L3591" s="26">
        <f t="shared" si="170"/>
        <v>1</v>
      </c>
      <c r="M3591" s="26"/>
    </row>
    <row r="3592" spans="1:13" ht="15" customHeight="1">
      <c r="A3592" s="25" t="s">
        <v>12686</v>
      </c>
      <c r="B3592" s="26" t="s">
        <v>5427</v>
      </c>
      <c r="C3592" s="26" t="s">
        <v>12687</v>
      </c>
      <c r="D3592" s="26" t="s">
        <v>12688</v>
      </c>
      <c r="E3592" s="26" t="s">
        <v>5480</v>
      </c>
      <c r="F3592" s="27">
        <v>6438615</v>
      </c>
      <c r="G3592" s="27">
        <v>1</v>
      </c>
      <c r="H3592" s="27">
        <v>1</v>
      </c>
      <c r="I3592" s="27">
        <v>1</v>
      </c>
      <c r="J3592" s="30">
        <f t="shared" si="168"/>
        <v>1</v>
      </c>
      <c r="K3592" s="30">
        <f t="shared" si="169"/>
        <v>1</v>
      </c>
      <c r="L3592" s="26">
        <f t="shared" si="170"/>
        <v>1</v>
      </c>
      <c r="M3592" s="26"/>
    </row>
    <row r="3593" spans="1:13" ht="15" customHeight="1">
      <c r="A3593" s="25" t="s">
        <v>12689</v>
      </c>
      <c r="B3593" s="26" t="s">
        <v>5427</v>
      </c>
      <c r="C3593" s="26" t="s">
        <v>12690</v>
      </c>
      <c r="D3593" s="26" t="s">
        <v>12685</v>
      </c>
      <c r="E3593" s="26" t="s">
        <v>5535</v>
      </c>
      <c r="F3593" s="27">
        <v>6451275</v>
      </c>
      <c r="G3593" s="27">
        <v>0</v>
      </c>
      <c r="H3593" s="27">
        <v>0</v>
      </c>
      <c r="I3593" s="27">
        <v>0</v>
      </c>
      <c r="J3593" s="30">
        <f t="shared" si="168"/>
        <v>0</v>
      </c>
      <c r="K3593" s="30">
        <f t="shared" si="169"/>
        <v>0</v>
      </c>
      <c r="L3593" s="26">
        <f t="shared" si="170"/>
        <v>0</v>
      </c>
      <c r="M3593" s="26">
        <v>0</v>
      </c>
    </row>
    <row r="3594" spans="1:13" ht="15" customHeight="1">
      <c r="A3594" s="25" t="s">
        <v>12691</v>
      </c>
      <c r="B3594" s="26" t="s">
        <v>5423</v>
      </c>
      <c r="C3594" s="26" t="s">
        <v>12692</v>
      </c>
      <c r="D3594" s="26" t="s">
        <v>12685</v>
      </c>
      <c r="E3594" s="26" t="s">
        <v>5517</v>
      </c>
      <c r="F3594" s="27">
        <v>6451272</v>
      </c>
      <c r="G3594" s="27">
        <v>1</v>
      </c>
      <c r="H3594" s="27">
        <v>0</v>
      </c>
      <c r="I3594" s="27">
        <v>1</v>
      </c>
      <c r="J3594" s="30">
        <f t="shared" si="168"/>
        <v>1</v>
      </c>
      <c r="K3594" s="30">
        <f t="shared" si="169"/>
        <v>0</v>
      </c>
      <c r="L3594" s="26">
        <f t="shared" si="170"/>
        <v>0</v>
      </c>
      <c r="M3594" s="26"/>
    </row>
    <row r="3595" spans="1:13" ht="15" customHeight="1">
      <c r="A3595" s="25" t="s">
        <v>12693</v>
      </c>
      <c r="B3595" s="26" t="s">
        <v>5423</v>
      </c>
      <c r="C3595" s="26" t="s">
        <v>12694</v>
      </c>
      <c r="D3595" s="26" t="s">
        <v>12695</v>
      </c>
      <c r="E3595" s="26" t="s">
        <v>5517</v>
      </c>
      <c r="F3595" s="27">
        <v>6182184</v>
      </c>
      <c r="G3595" s="27">
        <v>2</v>
      </c>
      <c r="H3595" s="27">
        <v>1</v>
      </c>
      <c r="I3595" s="27">
        <v>1</v>
      </c>
      <c r="J3595" s="30">
        <f t="shared" si="168"/>
        <v>1</v>
      </c>
      <c r="K3595" s="30">
        <f t="shared" si="169"/>
        <v>1</v>
      </c>
      <c r="L3595" s="26">
        <f t="shared" si="170"/>
        <v>1</v>
      </c>
      <c r="M3595" s="26" t="s">
        <v>5611</v>
      </c>
    </row>
    <row r="3596" spans="1:13" ht="15" customHeight="1">
      <c r="A3596" s="25" t="s">
        <v>12696</v>
      </c>
      <c r="B3596" s="26" t="s">
        <v>5423</v>
      </c>
      <c r="C3596" s="26" t="s">
        <v>12697</v>
      </c>
      <c r="D3596" s="26" t="s">
        <v>12698</v>
      </c>
      <c r="E3596" s="26" t="s">
        <v>5545</v>
      </c>
      <c r="F3596" s="27">
        <v>3908362</v>
      </c>
      <c r="G3596" s="27">
        <v>0</v>
      </c>
      <c r="H3596" s="27">
        <v>0</v>
      </c>
      <c r="I3596" s="27">
        <v>0</v>
      </c>
      <c r="J3596" s="30">
        <f t="shared" si="168"/>
        <v>0</v>
      </c>
      <c r="K3596" s="30">
        <f t="shared" si="169"/>
        <v>0</v>
      </c>
      <c r="L3596" s="26">
        <f t="shared" si="170"/>
        <v>0</v>
      </c>
      <c r="M3596" s="26" t="s">
        <v>12699</v>
      </c>
    </row>
    <row r="3597" spans="1:13" ht="15" customHeight="1">
      <c r="A3597" s="25" t="s">
        <v>12700</v>
      </c>
      <c r="B3597" s="26" t="s">
        <v>5427</v>
      </c>
      <c r="C3597" s="26" t="s">
        <v>12701</v>
      </c>
      <c r="D3597" s="26" t="s">
        <v>12688</v>
      </c>
      <c r="E3597" s="26" t="s">
        <v>5494</v>
      </c>
      <c r="F3597" s="27">
        <v>6435139</v>
      </c>
      <c r="G3597" s="27">
        <v>1</v>
      </c>
      <c r="H3597" s="27">
        <v>0</v>
      </c>
      <c r="I3597" s="27">
        <v>1</v>
      </c>
      <c r="J3597" s="30">
        <f t="shared" si="168"/>
        <v>1</v>
      </c>
      <c r="K3597" s="30">
        <f t="shared" si="169"/>
        <v>0</v>
      </c>
      <c r="L3597" s="26">
        <f t="shared" si="170"/>
        <v>0</v>
      </c>
      <c r="M3597" s="26"/>
    </row>
    <row r="3598" spans="1:13" ht="15" customHeight="1">
      <c r="A3598" s="25" t="s">
        <v>12702</v>
      </c>
      <c r="B3598" s="26" t="s">
        <v>5423</v>
      </c>
      <c r="C3598" s="26" t="s">
        <v>12703</v>
      </c>
      <c r="D3598" s="26" t="s">
        <v>12704</v>
      </c>
      <c r="E3598" s="26" t="s">
        <v>5468</v>
      </c>
      <c r="F3598" s="27">
        <v>6446666</v>
      </c>
      <c r="G3598" s="27">
        <v>1</v>
      </c>
      <c r="H3598" s="27">
        <v>0</v>
      </c>
      <c r="I3598" s="27">
        <v>1</v>
      </c>
      <c r="J3598" s="30">
        <f t="shared" si="168"/>
        <v>1</v>
      </c>
      <c r="K3598" s="30">
        <f t="shared" si="169"/>
        <v>0</v>
      </c>
      <c r="L3598" s="26">
        <f t="shared" si="170"/>
        <v>0</v>
      </c>
      <c r="M3598" s="26"/>
    </row>
    <row r="3599" spans="1:13" ht="15" customHeight="1">
      <c r="A3599" s="25" t="s">
        <v>12705</v>
      </c>
      <c r="B3599" s="26" t="s">
        <v>5423</v>
      </c>
      <c r="C3599" s="26" t="s">
        <v>12706</v>
      </c>
      <c r="D3599" s="26" t="s">
        <v>12707</v>
      </c>
      <c r="E3599" s="26" t="s">
        <v>5491</v>
      </c>
      <c r="F3599" s="27">
        <v>6455004</v>
      </c>
      <c r="G3599" s="27">
        <v>0</v>
      </c>
      <c r="H3599" s="27">
        <v>0</v>
      </c>
      <c r="I3599" s="27">
        <v>0</v>
      </c>
      <c r="J3599" s="30">
        <f t="shared" si="168"/>
        <v>0</v>
      </c>
      <c r="K3599" s="30">
        <f t="shared" si="169"/>
        <v>0</v>
      </c>
      <c r="L3599" s="26">
        <f t="shared" si="170"/>
        <v>0</v>
      </c>
      <c r="M3599" s="26">
        <v>0</v>
      </c>
    </row>
    <row r="3600" spans="1:13" ht="15" customHeight="1">
      <c r="A3600" s="25" t="s">
        <v>12708</v>
      </c>
      <c r="B3600" s="26" t="s">
        <v>5423</v>
      </c>
      <c r="C3600" s="26" t="s">
        <v>12709</v>
      </c>
      <c r="D3600" s="26" t="s">
        <v>12644</v>
      </c>
      <c r="E3600" s="26" t="s">
        <v>5439</v>
      </c>
      <c r="F3600" s="27">
        <v>5921145</v>
      </c>
      <c r="G3600" s="27">
        <v>0</v>
      </c>
      <c r="H3600" s="27">
        <v>0</v>
      </c>
      <c r="I3600" s="27">
        <v>0</v>
      </c>
      <c r="J3600" s="30">
        <f t="shared" si="168"/>
        <v>0</v>
      </c>
      <c r="K3600" s="30">
        <f t="shared" si="169"/>
        <v>0</v>
      </c>
      <c r="L3600" s="26">
        <f t="shared" si="170"/>
        <v>0</v>
      </c>
      <c r="M3600" s="26" t="s">
        <v>7302</v>
      </c>
    </row>
    <row r="3601" spans="1:13" ht="15" customHeight="1">
      <c r="A3601" s="25" t="s">
        <v>12710</v>
      </c>
      <c r="B3601" s="26" t="s">
        <v>5423</v>
      </c>
      <c r="C3601" s="26" t="s">
        <v>12711</v>
      </c>
      <c r="D3601" s="26" t="s">
        <v>12712</v>
      </c>
      <c r="E3601" s="26" t="s">
        <v>5540</v>
      </c>
      <c r="F3601" s="27">
        <v>6442982</v>
      </c>
      <c r="G3601" s="27">
        <v>1</v>
      </c>
      <c r="H3601" s="27">
        <v>1</v>
      </c>
      <c r="I3601" s="27">
        <v>1</v>
      </c>
      <c r="J3601" s="30">
        <f t="shared" si="168"/>
        <v>1</v>
      </c>
      <c r="K3601" s="30">
        <f t="shared" si="169"/>
        <v>1</v>
      </c>
      <c r="L3601" s="26">
        <f t="shared" si="170"/>
        <v>1</v>
      </c>
      <c r="M3601" s="26"/>
    </row>
    <row r="3602" spans="1:13" ht="15" customHeight="1">
      <c r="A3602" s="25" t="s">
        <v>12713</v>
      </c>
      <c r="B3602" s="26" t="s">
        <v>5423</v>
      </c>
      <c r="C3602" s="26" t="s">
        <v>12714</v>
      </c>
      <c r="D3602" s="26" t="s">
        <v>12715</v>
      </c>
      <c r="E3602" s="26" t="s">
        <v>5455</v>
      </c>
      <c r="F3602" s="27">
        <v>6456002</v>
      </c>
      <c r="G3602" s="27">
        <v>1</v>
      </c>
      <c r="H3602" s="27">
        <v>0</v>
      </c>
      <c r="I3602" s="27">
        <v>1</v>
      </c>
      <c r="J3602" s="30">
        <f t="shared" si="168"/>
        <v>1</v>
      </c>
      <c r="K3602" s="30">
        <f t="shared" si="169"/>
        <v>0</v>
      </c>
      <c r="L3602" s="26">
        <f t="shared" si="170"/>
        <v>0</v>
      </c>
      <c r="M3602" s="26"/>
    </row>
    <row r="3603" spans="1:13" ht="15" customHeight="1">
      <c r="A3603" s="25" t="s">
        <v>12716</v>
      </c>
      <c r="B3603" s="26" t="s">
        <v>5423</v>
      </c>
      <c r="C3603" s="26" t="s">
        <v>12717</v>
      </c>
      <c r="D3603" s="26" t="s">
        <v>12678</v>
      </c>
      <c r="E3603" s="26" t="s">
        <v>6541</v>
      </c>
      <c r="F3603" s="27">
        <v>6455961</v>
      </c>
      <c r="G3603" s="27">
        <v>1</v>
      </c>
      <c r="H3603" s="27">
        <v>1</v>
      </c>
      <c r="I3603" s="27">
        <v>1</v>
      </c>
      <c r="J3603" s="30">
        <f t="shared" si="168"/>
        <v>1</v>
      </c>
      <c r="K3603" s="30">
        <f t="shared" si="169"/>
        <v>1</v>
      </c>
      <c r="L3603" s="26">
        <f t="shared" si="170"/>
        <v>1</v>
      </c>
      <c r="M3603" s="26"/>
    </row>
    <row r="3604" spans="1:13" ht="15" customHeight="1">
      <c r="A3604" s="25" t="s">
        <v>12718</v>
      </c>
      <c r="B3604" s="26" t="s">
        <v>5427</v>
      </c>
      <c r="C3604" s="26" t="s">
        <v>12719</v>
      </c>
      <c r="D3604" s="26" t="s">
        <v>12720</v>
      </c>
      <c r="E3604" s="26" t="s">
        <v>5707</v>
      </c>
      <c r="F3604" s="27">
        <v>6455778</v>
      </c>
      <c r="G3604" s="27">
        <v>1</v>
      </c>
      <c r="H3604" s="27">
        <v>1</v>
      </c>
      <c r="I3604" s="27">
        <v>1</v>
      </c>
      <c r="J3604" s="30">
        <f t="shared" si="168"/>
        <v>1</v>
      </c>
      <c r="K3604" s="30">
        <f t="shared" si="169"/>
        <v>1</v>
      </c>
      <c r="L3604" s="26">
        <f t="shared" si="170"/>
        <v>1</v>
      </c>
      <c r="M3604" s="26"/>
    </row>
    <row r="3605" spans="1:13" ht="15" customHeight="1">
      <c r="A3605" s="25" t="s">
        <v>12721</v>
      </c>
      <c r="B3605" s="26" t="s">
        <v>5427</v>
      </c>
      <c r="C3605" s="26" t="s">
        <v>12722</v>
      </c>
      <c r="D3605" s="26" t="s">
        <v>12704</v>
      </c>
      <c r="E3605" s="26" t="s">
        <v>5535</v>
      </c>
      <c r="F3605" s="27">
        <v>6382157</v>
      </c>
      <c r="G3605" s="27">
        <v>1</v>
      </c>
      <c r="H3605" s="27">
        <v>0</v>
      </c>
      <c r="I3605" s="27">
        <v>1</v>
      </c>
      <c r="J3605" s="30">
        <f t="shared" si="168"/>
        <v>1</v>
      </c>
      <c r="K3605" s="30">
        <f t="shared" si="169"/>
        <v>0</v>
      </c>
      <c r="L3605" s="26">
        <f t="shared" si="170"/>
        <v>0</v>
      </c>
      <c r="M3605" s="26"/>
    </row>
    <row r="3606" spans="1:13" ht="15" customHeight="1">
      <c r="A3606" s="25" t="s">
        <v>12723</v>
      </c>
      <c r="B3606" s="26" t="s">
        <v>5423</v>
      </c>
      <c r="C3606" s="26" t="s">
        <v>12724</v>
      </c>
      <c r="D3606" s="26" t="s">
        <v>12725</v>
      </c>
      <c r="E3606" s="26" t="s">
        <v>5683</v>
      </c>
      <c r="F3606" s="27">
        <v>6457310</v>
      </c>
      <c r="G3606" s="27">
        <v>1</v>
      </c>
      <c r="H3606" s="27">
        <v>0</v>
      </c>
      <c r="I3606" s="27">
        <v>1</v>
      </c>
      <c r="J3606" s="30">
        <f t="shared" si="168"/>
        <v>1</v>
      </c>
      <c r="K3606" s="30">
        <f t="shared" si="169"/>
        <v>0</v>
      </c>
      <c r="L3606" s="26">
        <f t="shared" si="170"/>
        <v>0</v>
      </c>
      <c r="M3606" s="26"/>
    </row>
    <row r="3607" spans="1:13" ht="15" customHeight="1">
      <c r="A3607" s="25" t="s">
        <v>12726</v>
      </c>
      <c r="B3607" s="26" t="s">
        <v>5427</v>
      </c>
      <c r="C3607" s="26" t="s">
        <v>12727</v>
      </c>
      <c r="D3607" s="26" t="s">
        <v>12678</v>
      </c>
      <c r="E3607" s="26" t="s">
        <v>5575</v>
      </c>
      <c r="F3607" s="27">
        <v>6293306</v>
      </c>
      <c r="G3607" s="27">
        <v>1</v>
      </c>
      <c r="H3607" s="27">
        <v>1</v>
      </c>
      <c r="I3607" s="27">
        <v>1</v>
      </c>
      <c r="J3607" s="30">
        <f t="shared" si="168"/>
        <v>1</v>
      </c>
      <c r="K3607" s="30">
        <f t="shared" si="169"/>
        <v>1</v>
      </c>
      <c r="L3607" s="26">
        <f t="shared" si="170"/>
        <v>1</v>
      </c>
      <c r="M3607" s="26"/>
    </row>
    <row r="3608" spans="1:13" ht="15" customHeight="1">
      <c r="A3608" s="25" t="s">
        <v>12728</v>
      </c>
      <c r="B3608" s="26" t="s">
        <v>5427</v>
      </c>
      <c r="C3608" s="26" t="s">
        <v>12729</v>
      </c>
      <c r="D3608" s="26" t="s">
        <v>12725</v>
      </c>
      <c r="E3608" s="26" t="s">
        <v>5535</v>
      </c>
      <c r="F3608" s="27">
        <v>4726667</v>
      </c>
      <c r="G3608" s="27">
        <v>1</v>
      </c>
      <c r="H3608" s="27">
        <v>1</v>
      </c>
      <c r="I3608" s="27">
        <v>1</v>
      </c>
      <c r="J3608" s="30">
        <f t="shared" si="168"/>
        <v>1</v>
      </c>
      <c r="K3608" s="30">
        <f t="shared" si="169"/>
        <v>1</v>
      </c>
      <c r="L3608" s="26">
        <f t="shared" si="170"/>
        <v>1</v>
      </c>
      <c r="M3608" s="26"/>
    </row>
    <row r="3609" spans="1:13" ht="15" customHeight="1">
      <c r="A3609" s="25" t="s">
        <v>12730</v>
      </c>
      <c r="B3609" s="26" t="s">
        <v>5423</v>
      </c>
      <c r="C3609" s="26" t="s">
        <v>12731</v>
      </c>
      <c r="D3609" s="26" t="s">
        <v>12732</v>
      </c>
      <c r="E3609" s="26" t="s">
        <v>5718</v>
      </c>
      <c r="F3609" s="27">
        <v>6456982</v>
      </c>
      <c r="G3609" s="27">
        <v>0</v>
      </c>
      <c r="H3609" s="27">
        <v>0</v>
      </c>
      <c r="I3609" s="27">
        <v>0</v>
      </c>
      <c r="J3609" s="30">
        <f t="shared" si="168"/>
        <v>0</v>
      </c>
      <c r="K3609" s="30">
        <f t="shared" si="169"/>
        <v>0</v>
      </c>
      <c r="L3609" s="26">
        <f t="shared" si="170"/>
        <v>0</v>
      </c>
      <c r="M3609" s="26">
        <v>0</v>
      </c>
    </row>
    <row r="3610" spans="1:13" ht="15" customHeight="1">
      <c r="A3610" s="25" t="s">
        <v>12733</v>
      </c>
      <c r="B3610" s="26" t="s">
        <v>5427</v>
      </c>
      <c r="C3610" s="26" t="s">
        <v>12734</v>
      </c>
      <c r="D3610" s="26" t="s">
        <v>12735</v>
      </c>
      <c r="E3610" s="26" t="s">
        <v>5545</v>
      </c>
      <c r="F3610" s="27">
        <v>6458714</v>
      </c>
      <c r="G3610" s="27">
        <v>0</v>
      </c>
      <c r="H3610" s="27">
        <v>0</v>
      </c>
      <c r="I3610" s="27">
        <v>0</v>
      </c>
      <c r="J3610" s="30">
        <f t="shared" si="168"/>
        <v>0</v>
      </c>
      <c r="K3610" s="30">
        <f t="shared" si="169"/>
        <v>0</v>
      </c>
      <c r="L3610" s="26">
        <f t="shared" si="170"/>
        <v>0</v>
      </c>
      <c r="M3610" s="26">
        <v>0</v>
      </c>
    </row>
    <row r="3611" spans="1:13" ht="15" customHeight="1">
      <c r="A3611" s="25" t="s">
        <v>12736</v>
      </c>
      <c r="B3611" s="26" t="s">
        <v>5423</v>
      </c>
      <c r="C3611" s="26" t="s">
        <v>12737</v>
      </c>
      <c r="D3611" s="26" t="s">
        <v>12738</v>
      </c>
      <c r="E3611" s="26" t="s">
        <v>5517</v>
      </c>
      <c r="F3611" s="27">
        <v>5878817</v>
      </c>
      <c r="G3611" s="27">
        <v>1</v>
      </c>
      <c r="H3611" s="27">
        <v>1</v>
      </c>
      <c r="I3611" s="27">
        <v>1</v>
      </c>
      <c r="J3611" s="30">
        <f t="shared" si="168"/>
        <v>1</v>
      </c>
      <c r="K3611" s="30">
        <f t="shared" si="169"/>
        <v>1</v>
      </c>
      <c r="L3611" s="26">
        <f t="shared" si="170"/>
        <v>1</v>
      </c>
      <c r="M3611" s="26"/>
    </row>
    <row r="3612" spans="1:13" ht="15" customHeight="1">
      <c r="A3612" s="25" t="s">
        <v>12739</v>
      </c>
      <c r="B3612" s="26" t="s">
        <v>5423</v>
      </c>
      <c r="C3612" s="26" t="s">
        <v>12740</v>
      </c>
      <c r="D3612" s="26" t="s">
        <v>12741</v>
      </c>
      <c r="E3612" s="26" t="s">
        <v>5683</v>
      </c>
      <c r="F3612" s="27">
        <v>6421275</v>
      </c>
      <c r="G3612" s="27">
        <v>1</v>
      </c>
      <c r="H3612" s="27">
        <v>1</v>
      </c>
      <c r="I3612" s="27">
        <v>1</v>
      </c>
      <c r="J3612" s="30">
        <f t="shared" si="168"/>
        <v>1</v>
      </c>
      <c r="K3612" s="30">
        <f t="shared" si="169"/>
        <v>1</v>
      </c>
      <c r="L3612" s="26">
        <f t="shared" si="170"/>
        <v>1</v>
      </c>
      <c r="M3612" s="26"/>
    </row>
    <row r="3613" spans="1:13" ht="15" customHeight="1">
      <c r="A3613" s="25" t="s">
        <v>12742</v>
      </c>
      <c r="B3613" s="26" t="s">
        <v>5423</v>
      </c>
      <c r="C3613" s="26" t="s">
        <v>12743</v>
      </c>
      <c r="D3613" s="26" t="s">
        <v>12744</v>
      </c>
      <c r="E3613" s="26" t="s">
        <v>5707</v>
      </c>
      <c r="F3613" s="27">
        <v>5211274</v>
      </c>
      <c r="G3613" s="27">
        <v>0</v>
      </c>
      <c r="H3613" s="27">
        <v>0</v>
      </c>
      <c r="I3613" s="27">
        <v>0</v>
      </c>
      <c r="J3613" s="30">
        <f t="shared" si="168"/>
        <v>0</v>
      </c>
      <c r="K3613" s="30">
        <f t="shared" si="169"/>
        <v>0</v>
      </c>
      <c r="L3613" s="26">
        <f t="shared" si="170"/>
        <v>0</v>
      </c>
      <c r="M3613" s="26" t="s">
        <v>7302</v>
      </c>
    </row>
    <row r="3614" spans="1:13" ht="15" customHeight="1">
      <c r="A3614" s="25" t="s">
        <v>12745</v>
      </c>
      <c r="B3614" s="26" t="s">
        <v>5423</v>
      </c>
      <c r="C3614" s="26" t="s">
        <v>12746</v>
      </c>
      <c r="D3614" s="26" t="s">
        <v>12747</v>
      </c>
      <c r="E3614" s="26" t="s">
        <v>5683</v>
      </c>
      <c r="F3614" s="27">
        <v>6462581</v>
      </c>
      <c r="G3614" s="27">
        <v>0</v>
      </c>
      <c r="H3614" s="27">
        <v>0</v>
      </c>
      <c r="I3614" s="27">
        <v>0</v>
      </c>
      <c r="J3614" s="30">
        <f t="shared" si="168"/>
        <v>0</v>
      </c>
      <c r="K3614" s="30">
        <f t="shared" si="169"/>
        <v>0</v>
      </c>
      <c r="L3614" s="26">
        <f t="shared" si="170"/>
        <v>0</v>
      </c>
      <c r="M3614" s="26">
        <v>0</v>
      </c>
    </row>
    <row r="3615" spans="1:13" ht="15" customHeight="1">
      <c r="A3615" s="25" t="s">
        <v>12748</v>
      </c>
      <c r="B3615" s="26" t="s">
        <v>5423</v>
      </c>
      <c r="C3615" s="26" t="s">
        <v>12749</v>
      </c>
      <c r="D3615" s="26" t="s">
        <v>12750</v>
      </c>
      <c r="E3615" s="26" t="s">
        <v>5430</v>
      </c>
      <c r="F3615" s="27">
        <v>5692011</v>
      </c>
      <c r="G3615" s="27">
        <v>1</v>
      </c>
      <c r="H3615" s="27">
        <v>0</v>
      </c>
      <c r="I3615" s="27">
        <v>1</v>
      </c>
      <c r="J3615" s="30">
        <f t="shared" si="168"/>
        <v>1</v>
      </c>
      <c r="K3615" s="30">
        <f t="shared" si="169"/>
        <v>0</v>
      </c>
      <c r="L3615" s="26">
        <f t="shared" si="170"/>
        <v>0</v>
      </c>
      <c r="M3615" s="26"/>
    </row>
    <row r="3616" spans="1:13" ht="15" customHeight="1">
      <c r="A3616" s="25" t="s">
        <v>12751</v>
      </c>
      <c r="B3616" s="26" t="s">
        <v>5423</v>
      </c>
      <c r="C3616" s="26" t="s">
        <v>12752</v>
      </c>
      <c r="D3616" s="26" t="s">
        <v>12725</v>
      </c>
      <c r="E3616" s="26" t="s">
        <v>5517</v>
      </c>
      <c r="F3616" s="27">
        <v>6460631</v>
      </c>
      <c r="G3616" s="27">
        <v>0</v>
      </c>
      <c r="H3616" s="27">
        <v>0</v>
      </c>
      <c r="I3616" s="27">
        <v>0</v>
      </c>
      <c r="J3616" s="30">
        <f t="shared" si="168"/>
        <v>0</v>
      </c>
      <c r="K3616" s="30">
        <f t="shared" si="169"/>
        <v>0</v>
      </c>
      <c r="L3616" s="26">
        <f t="shared" si="170"/>
        <v>0</v>
      </c>
      <c r="M3616" s="26">
        <v>0</v>
      </c>
    </row>
    <row r="3617" spans="1:13" ht="15" customHeight="1">
      <c r="A3617" s="25" t="s">
        <v>12753</v>
      </c>
      <c r="B3617" s="26" t="s">
        <v>5427</v>
      </c>
      <c r="C3617" s="26" t="s">
        <v>12754</v>
      </c>
      <c r="D3617" s="26" t="s">
        <v>12735</v>
      </c>
      <c r="E3617" s="26" t="s">
        <v>5468</v>
      </c>
      <c r="F3617" s="27">
        <v>5678107</v>
      </c>
      <c r="G3617" s="27">
        <v>0</v>
      </c>
      <c r="H3617" s="27">
        <v>0</v>
      </c>
      <c r="I3617" s="27">
        <v>0</v>
      </c>
      <c r="J3617" s="30">
        <f t="shared" si="168"/>
        <v>0</v>
      </c>
      <c r="K3617" s="30">
        <f t="shared" si="169"/>
        <v>0</v>
      </c>
      <c r="L3617" s="26">
        <f t="shared" si="170"/>
        <v>0</v>
      </c>
      <c r="M3617" s="26" t="s">
        <v>7302</v>
      </c>
    </row>
    <row r="3618" spans="1:13" ht="15" customHeight="1">
      <c r="A3618" s="25" t="s">
        <v>12755</v>
      </c>
      <c r="B3618" s="26" t="s">
        <v>5423</v>
      </c>
      <c r="C3618" s="26" t="s">
        <v>12756</v>
      </c>
      <c r="D3618" s="26" t="s">
        <v>12750</v>
      </c>
      <c r="E3618" s="26" t="s">
        <v>5439</v>
      </c>
      <c r="F3618" s="27">
        <v>6430742</v>
      </c>
      <c r="G3618" s="27">
        <v>1</v>
      </c>
      <c r="H3618" s="27">
        <v>1</v>
      </c>
      <c r="I3618" s="27">
        <v>1</v>
      </c>
      <c r="J3618" s="30">
        <f t="shared" si="168"/>
        <v>1</v>
      </c>
      <c r="K3618" s="30">
        <f t="shared" si="169"/>
        <v>1</v>
      </c>
      <c r="L3618" s="26">
        <f t="shared" si="170"/>
        <v>1</v>
      </c>
      <c r="M3618" s="26"/>
    </row>
    <row r="3619" spans="1:13" ht="15" customHeight="1">
      <c r="A3619" s="25" t="s">
        <v>12757</v>
      </c>
      <c r="B3619" s="26" t="s">
        <v>5427</v>
      </c>
      <c r="C3619" s="26" t="s">
        <v>12758</v>
      </c>
      <c r="D3619" s="26" t="s">
        <v>12741</v>
      </c>
      <c r="E3619" s="26" t="s">
        <v>5458</v>
      </c>
      <c r="F3619" s="27">
        <v>6461001</v>
      </c>
      <c r="G3619" s="27">
        <v>1</v>
      </c>
      <c r="H3619" s="27">
        <v>1</v>
      </c>
      <c r="I3619" s="27">
        <v>1</v>
      </c>
      <c r="J3619" s="30">
        <f t="shared" si="168"/>
        <v>1</v>
      </c>
      <c r="K3619" s="30">
        <f t="shared" si="169"/>
        <v>1</v>
      </c>
      <c r="L3619" s="26">
        <f t="shared" si="170"/>
        <v>1</v>
      </c>
      <c r="M3619" s="26"/>
    </row>
    <row r="3620" spans="1:13" ht="15" customHeight="1">
      <c r="A3620" s="25" t="s">
        <v>12759</v>
      </c>
      <c r="B3620" s="26" t="s">
        <v>5427</v>
      </c>
      <c r="C3620" s="26" t="s">
        <v>12760</v>
      </c>
      <c r="D3620" s="26" t="s">
        <v>12747</v>
      </c>
      <c r="E3620" s="26" t="s">
        <v>5575</v>
      </c>
      <c r="F3620" s="27">
        <v>6366806</v>
      </c>
      <c r="G3620" s="27">
        <v>0</v>
      </c>
      <c r="H3620" s="27">
        <v>0</v>
      </c>
      <c r="I3620" s="27">
        <v>0</v>
      </c>
      <c r="J3620" s="30">
        <f t="shared" si="168"/>
        <v>0</v>
      </c>
      <c r="K3620" s="30">
        <f t="shared" si="169"/>
        <v>0</v>
      </c>
      <c r="L3620" s="26">
        <f t="shared" si="170"/>
        <v>0</v>
      </c>
      <c r="M3620" s="26">
        <v>0</v>
      </c>
    </row>
    <row r="3621" spans="1:13" ht="15" customHeight="1">
      <c r="A3621" s="25" t="s">
        <v>12761</v>
      </c>
      <c r="B3621" s="26" t="s">
        <v>5423</v>
      </c>
      <c r="C3621" s="26" t="s">
        <v>12762</v>
      </c>
      <c r="D3621" s="26" t="s">
        <v>12725</v>
      </c>
      <c r="E3621" s="26" t="s">
        <v>5455</v>
      </c>
      <c r="F3621" s="27">
        <v>5358531</v>
      </c>
      <c r="G3621" s="27">
        <v>0</v>
      </c>
      <c r="H3621" s="27">
        <v>0</v>
      </c>
      <c r="I3621" s="27">
        <v>0</v>
      </c>
      <c r="J3621" s="30">
        <f t="shared" si="168"/>
        <v>0</v>
      </c>
      <c r="K3621" s="30">
        <f t="shared" si="169"/>
        <v>0</v>
      </c>
      <c r="L3621" s="26">
        <f t="shared" si="170"/>
        <v>0</v>
      </c>
      <c r="M3621" s="26">
        <v>0</v>
      </c>
    </row>
    <row r="3622" spans="1:13" ht="15" customHeight="1">
      <c r="A3622" s="25" t="s">
        <v>12763</v>
      </c>
      <c r="B3622" s="26" t="s">
        <v>5423</v>
      </c>
      <c r="C3622" s="26" t="s">
        <v>12764</v>
      </c>
      <c r="D3622" s="26" t="s">
        <v>12750</v>
      </c>
      <c r="E3622" s="26" t="s">
        <v>5575</v>
      </c>
      <c r="F3622" s="27">
        <v>6440549</v>
      </c>
      <c r="G3622" s="27">
        <v>1</v>
      </c>
      <c r="H3622" s="27">
        <v>0</v>
      </c>
      <c r="I3622" s="27">
        <v>1</v>
      </c>
      <c r="J3622" s="30">
        <f t="shared" si="168"/>
        <v>1</v>
      </c>
      <c r="K3622" s="30">
        <f t="shared" si="169"/>
        <v>0</v>
      </c>
      <c r="L3622" s="26">
        <f t="shared" si="170"/>
        <v>0</v>
      </c>
      <c r="M3622" s="26"/>
    </row>
    <row r="3623" spans="1:13" ht="15" customHeight="1">
      <c r="A3623" s="25" t="s">
        <v>12765</v>
      </c>
      <c r="B3623" s="26" t="s">
        <v>5423</v>
      </c>
      <c r="C3623" s="26" t="s">
        <v>12766</v>
      </c>
      <c r="D3623" s="26" t="s">
        <v>12767</v>
      </c>
      <c r="E3623" s="26" t="s">
        <v>5575</v>
      </c>
      <c r="F3623" s="27">
        <v>6472125</v>
      </c>
      <c r="G3623" s="27">
        <v>1</v>
      </c>
      <c r="H3623" s="27">
        <v>1</v>
      </c>
      <c r="I3623" s="27">
        <v>1</v>
      </c>
      <c r="J3623" s="30">
        <f t="shared" si="168"/>
        <v>1</v>
      </c>
      <c r="K3623" s="30">
        <f t="shared" si="169"/>
        <v>1</v>
      </c>
      <c r="L3623" s="26">
        <f t="shared" si="170"/>
        <v>1</v>
      </c>
      <c r="M3623" s="26"/>
    </row>
    <row r="3624" spans="1:13" ht="15" customHeight="1">
      <c r="A3624" s="25" t="s">
        <v>12768</v>
      </c>
      <c r="B3624" s="26" t="s">
        <v>5423</v>
      </c>
      <c r="C3624" s="26" t="s">
        <v>12769</v>
      </c>
      <c r="D3624" s="26" t="s">
        <v>12770</v>
      </c>
      <c r="E3624" s="26" t="s">
        <v>5522</v>
      </c>
      <c r="F3624" s="27">
        <v>5857578</v>
      </c>
      <c r="G3624" s="27">
        <v>2</v>
      </c>
      <c r="H3624" s="27">
        <v>0</v>
      </c>
      <c r="I3624" s="27">
        <v>1</v>
      </c>
      <c r="J3624" s="30">
        <f t="shared" si="168"/>
        <v>1</v>
      </c>
      <c r="K3624" s="30">
        <f t="shared" si="169"/>
        <v>0</v>
      </c>
      <c r="L3624" s="26">
        <f t="shared" si="170"/>
        <v>0</v>
      </c>
      <c r="M3624" s="26" t="s">
        <v>5611</v>
      </c>
    </row>
    <row r="3625" spans="1:13" ht="15" customHeight="1">
      <c r="A3625" s="25" t="s">
        <v>12771</v>
      </c>
      <c r="B3625" s="26" t="s">
        <v>5427</v>
      </c>
      <c r="C3625" s="26" t="s">
        <v>12772</v>
      </c>
      <c r="D3625" s="26" t="s">
        <v>12744</v>
      </c>
      <c r="E3625" s="26" t="s">
        <v>5433</v>
      </c>
      <c r="F3625" s="27">
        <v>6462619</v>
      </c>
      <c r="G3625" s="27">
        <v>1</v>
      </c>
      <c r="H3625" s="27">
        <v>1</v>
      </c>
      <c r="I3625" s="27">
        <v>1</v>
      </c>
      <c r="J3625" s="30">
        <f t="shared" si="168"/>
        <v>1</v>
      </c>
      <c r="K3625" s="30">
        <f t="shared" si="169"/>
        <v>1</v>
      </c>
      <c r="L3625" s="26">
        <f t="shared" si="170"/>
        <v>1</v>
      </c>
      <c r="M3625" s="26"/>
    </row>
    <row r="3626" spans="1:13" ht="15" customHeight="1">
      <c r="A3626" s="25" t="s">
        <v>12773</v>
      </c>
      <c r="B3626" s="26" t="s">
        <v>5423</v>
      </c>
      <c r="C3626" s="26" t="s">
        <v>12774</v>
      </c>
      <c r="D3626" s="26" t="s">
        <v>12775</v>
      </c>
      <c r="E3626" s="26" t="s">
        <v>5439</v>
      </c>
      <c r="F3626" s="27">
        <v>6462709</v>
      </c>
      <c r="G3626" s="27">
        <v>1</v>
      </c>
      <c r="H3626" s="27">
        <v>0</v>
      </c>
      <c r="I3626" s="27">
        <v>1</v>
      </c>
      <c r="J3626" s="30">
        <f t="shared" si="168"/>
        <v>1</v>
      </c>
      <c r="K3626" s="30">
        <f t="shared" si="169"/>
        <v>0</v>
      </c>
      <c r="L3626" s="26">
        <f t="shared" si="170"/>
        <v>0</v>
      </c>
      <c r="M3626" s="26"/>
    </row>
    <row r="3627" spans="1:13" ht="15" customHeight="1">
      <c r="A3627" s="25" t="s">
        <v>12776</v>
      </c>
      <c r="B3627" s="26" t="s">
        <v>5423</v>
      </c>
      <c r="C3627" s="26" t="s">
        <v>12777</v>
      </c>
      <c r="D3627" s="26" t="s">
        <v>12744</v>
      </c>
      <c r="E3627" s="26" t="s">
        <v>5468</v>
      </c>
      <c r="F3627" s="27">
        <v>6463772</v>
      </c>
      <c r="G3627" s="27">
        <v>1</v>
      </c>
      <c r="H3627" s="27">
        <v>1</v>
      </c>
      <c r="I3627" s="27">
        <v>1</v>
      </c>
      <c r="J3627" s="30">
        <f t="shared" si="168"/>
        <v>1</v>
      </c>
      <c r="K3627" s="30">
        <f t="shared" si="169"/>
        <v>1</v>
      </c>
      <c r="L3627" s="26">
        <f t="shared" si="170"/>
        <v>1</v>
      </c>
      <c r="M3627" s="26"/>
    </row>
    <row r="3628" spans="1:13" ht="15" customHeight="1">
      <c r="A3628" s="25" t="s">
        <v>12778</v>
      </c>
      <c r="B3628" s="26" t="s">
        <v>5427</v>
      </c>
      <c r="C3628" s="26" t="s">
        <v>12779</v>
      </c>
      <c r="D3628" s="26" t="s">
        <v>12780</v>
      </c>
      <c r="E3628" s="26" t="s">
        <v>5540</v>
      </c>
      <c r="F3628" s="27">
        <v>5583415</v>
      </c>
      <c r="G3628" s="27">
        <v>0</v>
      </c>
      <c r="H3628" s="27">
        <v>0</v>
      </c>
      <c r="I3628" s="27">
        <v>0</v>
      </c>
      <c r="J3628" s="30">
        <f t="shared" si="168"/>
        <v>0</v>
      </c>
      <c r="K3628" s="30">
        <f t="shared" si="169"/>
        <v>0</v>
      </c>
      <c r="L3628" s="26">
        <f t="shared" si="170"/>
        <v>0</v>
      </c>
      <c r="M3628" s="26" t="s">
        <v>7302</v>
      </c>
    </row>
    <row r="3629" spans="1:13" ht="15" customHeight="1">
      <c r="A3629" s="25" t="s">
        <v>12781</v>
      </c>
      <c r="B3629" s="26" t="s">
        <v>5423</v>
      </c>
      <c r="C3629" s="26" t="s">
        <v>12782</v>
      </c>
      <c r="D3629" s="26" t="s">
        <v>12783</v>
      </c>
      <c r="E3629" s="26" t="s">
        <v>5430</v>
      </c>
      <c r="F3629" s="27">
        <v>6465334</v>
      </c>
      <c r="G3629" s="27">
        <v>0</v>
      </c>
      <c r="H3629" s="27">
        <v>0</v>
      </c>
      <c r="I3629" s="27">
        <v>0</v>
      </c>
      <c r="J3629" s="30">
        <f t="shared" si="168"/>
        <v>0</v>
      </c>
      <c r="K3629" s="30">
        <f t="shared" si="169"/>
        <v>0</v>
      </c>
      <c r="L3629" s="26">
        <f t="shared" si="170"/>
        <v>0</v>
      </c>
      <c r="M3629" s="26">
        <v>0</v>
      </c>
    </row>
    <row r="3630" spans="1:13" ht="15" customHeight="1">
      <c r="A3630" s="25" t="s">
        <v>12784</v>
      </c>
      <c r="B3630" s="26" t="s">
        <v>5423</v>
      </c>
      <c r="C3630" s="26" t="s">
        <v>12785</v>
      </c>
      <c r="D3630" s="26" t="s">
        <v>12786</v>
      </c>
      <c r="E3630" s="26" t="s">
        <v>5433</v>
      </c>
      <c r="F3630" s="27">
        <v>6464496</v>
      </c>
      <c r="G3630" s="27">
        <v>1</v>
      </c>
      <c r="H3630" s="27">
        <v>1</v>
      </c>
      <c r="I3630" s="27">
        <v>1</v>
      </c>
      <c r="J3630" s="30">
        <f t="shared" si="168"/>
        <v>1</v>
      </c>
      <c r="K3630" s="30">
        <f t="shared" si="169"/>
        <v>1</v>
      </c>
      <c r="L3630" s="26">
        <f t="shared" si="170"/>
        <v>1</v>
      </c>
      <c r="M3630" s="26"/>
    </row>
    <row r="3631" spans="1:13" ht="15" customHeight="1">
      <c r="A3631" s="25" t="s">
        <v>12787</v>
      </c>
      <c r="B3631" s="26" t="s">
        <v>5423</v>
      </c>
      <c r="C3631" s="26" t="s">
        <v>12788</v>
      </c>
      <c r="D3631" s="26" t="s">
        <v>12789</v>
      </c>
      <c r="E3631" s="26" t="s">
        <v>6123</v>
      </c>
      <c r="F3631" s="27">
        <v>6465343</v>
      </c>
      <c r="G3631" s="27">
        <v>0</v>
      </c>
      <c r="H3631" s="27">
        <v>0</v>
      </c>
      <c r="I3631" s="27">
        <v>0</v>
      </c>
      <c r="J3631" s="30">
        <f t="shared" si="168"/>
        <v>0</v>
      </c>
      <c r="K3631" s="30">
        <f t="shared" si="169"/>
        <v>0</v>
      </c>
      <c r="L3631" s="26">
        <f t="shared" si="170"/>
        <v>0</v>
      </c>
      <c r="M3631" s="26">
        <v>0</v>
      </c>
    </row>
    <row r="3632" spans="1:13" ht="15" customHeight="1">
      <c r="A3632" s="25" t="s">
        <v>12790</v>
      </c>
      <c r="B3632" s="26" t="s">
        <v>5423</v>
      </c>
      <c r="C3632" s="26" t="s">
        <v>12791</v>
      </c>
      <c r="D3632" s="26" t="s">
        <v>12744</v>
      </c>
      <c r="E3632" s="26" t="s">
        <v>5603</v>
      </c>
      <c r="F3632" s="27">
        <v>6464854</v>
      </c>
      <c r="G3632" s="27">
        <v>1</v>
      </c>
      <c r="H3632" s="27">
        <v>0</v>
      </c>
      <c r="I3632" s="27">
        <v>1</v>
      </c>
      <c r="J3632" s="30">
        <f t="shared" si="168"/>
        <v>1</v>
      </c>
      <c r="K3632" s="30">
        <f t="shared" si="169"/>
        <v>0</v>
      </c>
      <c r="L3632" s="26">
        <f t="shared" si="170"/>
        <v>0</v>
      </c>
      <c r="M3632" s="26"/>
    </row>
    <row r="3633" spans="1:13" ht="15" customHeight="1">
      <c r="A3633" s="25" t="s">
        <v>12792</v>
      </c>
      <c r="B3633" s="26" t="s">
        <v>5423</v>
      </c>
      <c r="C3633" s="26" t="s">
        <v>12793</v>
      </c>
      <c r="D3633" s="26" t="s">
        <v>12675</v>
      </c>
      <c r="E3633" s="26" t="s">
        <v>5488</v>
      </c>
      <c r="F3633" s="27">
        <v>6466015</v>
      </c>
      <c r="G3633" s="27">
        <v>1</v>
      </c>
      <c r="H3633" s="27">
        <v>0</v>
      </c>
      <c r="I3633" s="27">
        <v>1</v>
      </c>
      <c r="J3633" s="30">
        <f t="shared" si="168"/>
        <v>1</v>
      </c>
      <c r="K3633" s="30">
        <f t="shared" si="169"/>
        <v>0</v>
      </c>
      <c r="L3633" s="26">
        <f t="shared" si="170"/>
        <v>0</v>
      </c>
      <c r="M3633" s="26"/>
    </row>
    <row r="3634" spans="1:13" ht="15" customHeight="1">
      <c r="A3634" s="25" t="s">
        <v>12794</v>
      </c>
      <c r="B3634" s="26" t="s">
        <v>5427</v>
      </c>
      <c r="C3634" s="26" t="s">
        <v>12795</v>
      </c>
      <c r="D3634" s="26" t="s">
        <v>12796</v>
      </c>
      <c r="E3634" s="26" t="s">
        <v>5494</v>
      </c>
      <c r="F3634" s="27">
        <v>6465911</v>
      </c>
      <c r="G3634" s="27">
        <v>1</v>
      </c>
      <c r="H3634" s="27">
        <v>1</v>
      </c>
      <c r="I3634" s="27">
        <v>1</v>
      </c>
      <c r="J3634" s="30">
        <f t="shared" si="168"/>
        <v>1</v>
      </c>
      <c r="K3634" s="30">
        <f t="shared" si="169"/>
        <v>1</v>
      </c>
      <c r="L3634" s="26">
        <f t="shared" si="170"/>
        <v>1</v>
      </c>
      <c r="M3634" s="26"/>
    </row>
    <row r="3635" spans="1:13" ht="15" customHeight="1">
      <c r="A3635" s="25" t="s">
        <v>12797</v>
      </c>
      <c r="B3635" s="26" t="s">
        <v>5427</v>
      </c>
      <c r="C3635" s="26" t="s">
        <v>12798</v>
      </c>
      <c r="D3635" s="26" t="s">
        <v>12675</v>
      </c>
      <c r="E3635" s="26" t="s">
        <v>5529</v>
      </c>
      <c r="F3635" s="27">
        <v>6465601</v>
      </c>
      <c r="G3635" s="27">
        <v>1</v>
      </c>
      <c r="H3635" s="27">
        <v>0</v>
      </c>
      <c r="I3635" s="27">
        <v>1</v>
      </c>
      <c r="J3635" s="30">
        <f t="shared" si="168"/>
        <v>1</v>
      </c>
      <c r="K3635" s="30">
        <f t="shared" si="169"/>
        <v>0</v>
      </c>
      <c r="L3635" s="26">
        <f t="shared" si="170"/>
        <v>0</v>
      </c>
      <c r="M3635" s="26"/>
    </row>
    <row r="3636" spans="1:13" ht="15" customHeight="1">
      <c r="A3636" s="25" t="s">
        <v>12799</v>
      </c>
      <c r="B3636" s="26" t="s">
        <v>5427</v>
      </c>
      <c r="C3636" s="26" t="s">
        <v>12800</v>
      </c>
      <c r="D3636" s="26" t="s">
        <v>12801</v>
      </c>
      <c r="E3636" s="26" t="s">
        <v>5550</v>
      </c>
      <c r="F3636" s="27">
        <v>6461828</v>
      </c>
      <c r="G3636" s="27">
        <v>1</v>
      </c>
      <c r="H3636" s="27">
        <v>1</v>
      </c>
      <c r="I3636" s="27">
        <v>1</v>
      </c>
      <c r="J3636" s="30">
        <f t="shared" si="168"/>
        <v>1</v>
      </c>
      <c r="K3636" s="30">
        <f t="shared" si="169"/>
        <v>1</v>
      </c>
      <c r="L3636" s="26">
        <f t="shared" si="170"/>
        <v>1</v>
      </c>
      <c r="M3636" s="26"/>
    </row>
    <row r="3637" spans="1:13" ht="15" customHeight="1">
      <c r="A3637" s="25" t="s">
        <v>12802</v>
      </c>
      <c r="B3637" s="26" t="s">
        <v>5423</v>
      </c>
      <c r="C3637" s="26" t="s">
        <v>12803</v>
      </c>
      <c r="D3637" s="26" t="s">
        <v>12804</v>
      </c>
      <c r="E3637" s="26" t="s">
        <v>5610</v>
      </c>
      <c r="F3637" s="27">
        <v>6466104</v>
      </c>
      <c r="G3637" s="27">
        <v>1</v>
      </c>
      <c r="H3637" s="27">
        <v>1</v>
      </c>
      <c r="I3637" s="27">
        <v>1</v>
      </c>
      <c r="J3637" s="30">
        <f t="shared" si="168"/>
        <v>1</v>
      </c>
      <c r="K3637" s="30">
        <f t="shared" si="169"/>
        <v>1</v>
      </c>
      <c r="L3637" s="26">
        <f t="shared" si="170"/>
        <v>1</v>
      </c>
      <c r="M3637" s="26"/>
    </row>
    <row r="3638" spans="1:13" ht="15" customHeight="1">
      <c r="A3638" s="25" t="s">
        <v>12805</v>
      </c>
      <c r="B3638" s="26" t="s">
        <v>5423</v>
      </c>
      <c r="C3638" s="26" t="s">
        <v>12806</v>
      </c>
      <c r="D3638" s="26" t="s">
        <v>12801</v>
      </c>
      <c r="E3638" s="26" t="s">
        <v>5763</v>
      </c>
      <c r="F3638" s="27">
        <v>6467389</v>
      </c>
      <c r="G3638" s="27">
        <v>0</v>
      </c>
      <c r="H3638" s="27">
        <v>0</v>
      </c>
      <c r="I3638" s="27">
        <v>0</v>
      </c>
      <c r="J3638" s="30">
        <f t="shared" si="168"/>
        <v>0</v>
      </c>
      <c r="K3638" s="30">
        <f t="shared" si="169"/>
        <v>0</v>
      </c>
      <c r="L3638" s="26">
        <f t="shared" si="170"/>
        <v>0</v>
      </c>
      <c r="M3638" s="26">
        <v>0</v>
      </c>
    </row>
    <row r="3639" spans="1:13" ht="15" customHeight="1">
      <c r="A3639" s="25" t="s">
        <v>12807</v>
      </c>
      <c r="B3639" s="26" t="s">
        <v>5423</v>
      </c>
      <c r="C3639" s="26" t="s">
        <v>12808</v>
      </c>
      <c r="D3639" s="26" t="s">
        <v>12809</v>
      </c>
      <c r="E3639" s="26" t="s">
        <v>5485</v>
      </c>
      <c r="F3639" s="27">
        <v>6395545</v>
      </c>
      <c r="G3639" s="27">
        <v>1</v>
      </c>
      <c r="H3639" s="27">
        <v>1</v>
      </c>
      <c r="I3639" s="27">
        <v>1</v>
      </c>
      <c r="J3639" s="30">
        <f t="shared" si="168"/>
        <v>1</v>
      </c>
      <c r="K3639" s="30">
        <f t="shared" si="169"/>
        <v>1</v>
      </c>
      <c r="L3639" s="26">
        <f t="shared" si="170"/>
        <v>1</v>
      </c>
      <c r="M3639" s="26" t="s">
        <v>8937</v>
      </c>
    </row>
    <row r="3640" spans="1:13" ht="15" customHeight="1">
      <c r="A3640" s="25" t="s">
        <v>12810</v>
      </c>
      <c r="B3640" s="26" t="s">
        <v>5427</v>
      </c>
      <c r="C3640" s="26" t="s">
        <v>12811</v>
      </c>
      <c r="D3640" s="26" t="s">
        <v>12801</v>
      </c>
      <c r="E3640" s="26" t="s">
        <v>5586</v>
      </c>
      <c r="F3640" s="27">
        <v>6460939</v>
      </c>
      <c r="G3640" s="27">
        <v>1</v>
      </c>
      <c r="H3640" s="27">
        <v>1</v>
      </c>
      <c r="I3640" s="27">
        <v>1</v>
      </c>
      <c r="J3640" s="30">
        <f t="shared" si="168"/>
        <v>1</v>
      </c>
      <c r="K3640" s="30">
        <f t="shared" si="169"/>
        <v>1</v>
      </c>
      <c r="L3640" s="26">
        <f t="shared" si="170"/>
        <v>1</v>
      </c>
      <c r="M3640" s="26"/>
    </row>
    <row r="3641" spans="1:13" ht="15" customHeight="1">
      <c r="A3641" s="25" t="s">
        <v>12812</v>
      </c>
      <c r="B3641" s="26" t="s">
        <v>5423</v>
      </c>
      <c r="C3641" s="26" t="s">
        <v>12813</v>
      </c>
      <c r="D3641" s="26" t="s">
        <v>12814</v>
      </c>
      <c r="E3641" s="26" t="s">
        <v>5535</v>
      </c>
      <c r="F3641" s="27">
        <v>5283873</v>
      </c>
      <c r="G3641" s="27">
        <v>0</v>
      </c>
      <c r="H3641" s="27">
        <v>0</v>
      </c>
      <c r="I3641" s="27">
        <v>0</v>
      </c>
      <c r="J3641" s="30">
        <f t="shared" si="168"/>
        <v>0</v>
      </c>
      <c r="K3641" s="30">
        <f t="shared" si="169"/>
        <v>0</v>
      </c>
      <c r="L3641" s="26">
        <f t="shared" si="170"/>
        <v>0</v>
      </c>
      <c r="M3641" s="26" t="s">
        <v>7302</v>
      </c>
    </row>
    <row r="3642" spans="1:13" ht="15" customHeight="1">
      <c r="A3642" s="25" t="s">
        <v>12815</v>
      </c>
      <c r="B3642" s="26" t="s">
        <v>5423</v>
      </c>
      <c r="C3642" s="26" t="s">
        <v>12816</v>
      </c>
      <c r="D3642" s="26" t="s">
        <v>12796</v>
      </c>
      <c r="E3642" s="26" t="s">
        <v>5436</v>
      </c>
      <c r="F3642" s="27">
        <v>6423310</v>
      </c>
      <c r="G3642" s="27">
        <v>1</v>
      </c>
      <c r="H3642" s="27">
        <v>0</v>
      </c>
      <c r="I3642" s="27">
        <v>1</v>
      </c>
      <c r="J3642" s="30">
        <f t="shared" si="168"/>
        <v>1</v>
      </c>
      <c r="K3642" s="30">
        <f t="shared" si="169"/>
        <v>0</v>
      </c>
      <c r="L3642" s="26">
        <f t="shared" si="170"/>
        <v>0</v>
      </c>
      <c r="M3642" s="26"/>
    </row>
    <row r="3643" spans="1:13" ht="15" customHeight="1">
      <c r="A3643" s="25" t="s">
        <v>12817</v>
      </c>
      <c r="B3643" s="26" t="s">
        <v>5427</v>
      </c>
      <c r="C3643" s="26" t="s">
        <v>12818</v>
      </c>
      <c r="D3643" s="26" t="s">
        <v>12819</v>
      </c>
      <c r="E3643" s="26" t="s">
        <v>5475</v>
      </c>
      <c r="F3643" s="27">
        <v>6470099</v>
      </c>
      <c r="G3643" s="27">
        <v>0</v>
      </c>
      <c r="H3643" s="27">
        <v>0</v>
      </c>
      <c r="I3643" s="27">
        <v>0</v>
      </c>
      <c r="J3643" s="30">
        <f t="shared" si="168"/>
        <v>0</v>
      </c>
      <c r="K3643" s="30">
        <f t="shared" si="169"/>
        <v>0</v>
      </c>
      <c r="L3643" s="26">
        <f t="shared" si="170"/>
        <v>0</v>
      </c>
      <c r="M3643" s="26">
        <v>0</v>
      </c>
    </row>
    <row r="3644" spans="1:13" ht="15" customHeight="1">
      <c r="A3644" s="25" t="s">
        <v>12820</v>
      </c>
      <c r="B3644" s="26" t="s">
        <v>5427</v>
      </c>
      <c r="C3644" s="26" t="s">
        <v>12821</v>
      </c>
      <c r="D3644" s="26" t="s">
        <v>12822</v>
      </c>
      <c r="E3644" s="26" t="s">
        <v>5426</v>
      </c>
      <c r="F3644" s="27">
        <v>6370852</v>
      </c>
      <c r="G3644" s="27">
        <v>1</v>
      </c>
      <c r="H3644" s="27">
        <v>1</v>
      </c>
      <c r="I3644" s="27">
        <v>1</v>
      </c>
      <c r="J3644" s="30">
        <f t="shared" si="168"/>
        <v>1</v>
      </c>
      <c r="K3644" s="30">
        <f t="shared" si="169"/>
        <v>1</v>
      </c>
      <c r="L3644" s="26">
        <f t="shared" si="170"/>
        <v>1</v>
      </c>
      <c r="M3644" s="26"/>
    </row>
    <row r="3645" spans="1:13" ht="15" customHeight="1">
      <c r="A3645" s="25" t="s">
        <v>12823</v>
      </c>
      <c r="B3645" s="26" t="s">
        <v>5423</v>
      </c>
      <c r="C3645" s="26" t="s">
        <v>12824</v>
      </c>
      <c r="D3645" s="26" t="s">
        <v>12822</v>
      </c>
      <c r="E3645" s="26" t="s">
        <v>5480</v>
      </c>
      <c r="F3645" s="27">
        <v>6426445</v>
      </c>
      <c r="G3645" s="27">
        <v>1</v>
      </c>
      <c r="H3645" s="27">
        <v>1</v>
      </c>
      <c r="I3645" s="27">
        <v>1</v>
      </c>
      <c r="J3645" s="30">
        <f t="shared" si="168"/>
        <v>1</v>
      </c>
      <c r="K3645" s="30">
        <f t="shared" si="169"/>
        <v>1</v>
      </c>
      <c r="L3645" s="26">
        <f t="shared" si="170"/>
        <v>1</v>
      </c>
      <c r="M3645" s="26"/>
    </row>
    <row r="3646" spans="1:13" ht="15" customHeight="1">
      <c r="A3646" s="25" t="s">
        <v>12825</v>
      </c>
      <c r="B3646" s="26" t="s">
        <v>5423</v>
      </c>
      <c r="C3646" s="26" t="s">
        <v>12826</v>
      </c>
      <c r="D3646" s="26" t="s">
        <v>12819</v>
      </c>
      <c r="E3646" s="26" t="s">
        <v>5772</v>
      </c>
      <c r="F3646" s="27">
        <v>5805667</v>
      </c>
      <c r="G3646" s="27">
        <v>0</v>
      </c>
      <c r="H3646" s="27">
        <v>0</v>
      </c>
      <c r="I3646" s="27">
        <v>0</v>
      </c>
      <c r="J3646" s="30">
        <f t="shared" si="168"/>
        <v>0</v>
      </c>
      <c r="K3646" s="30">
        <f t="shared" si="169"/>
        <v>0</v>
      </c>
      <c r="L3646" s="26">
        <f t="shared" si="170"/>
        <v>0</v>
      </c>
      <c r="M3646" s="26">
        <v>0</v>
      </c>
    </row>
    <row r="3647" spans="1:13" ht="15" customHeight="1">
      <c r="A3647" s="25" t="s">
        <v>12827</v>
      </c>
      <c r="B3647" s="26" t="s">
        <v>5427</v>
      </c>
      <c r="C3647" s="26" t="s">
        <v>12828</v>
      </c>
      <c r="D3647" s="26" t="s">
        <v>12822</v>
      </c>
      <c r="E3647" s="26" t="s">
        <v>5654</v>
      </c>
      <c r="F3647" s="27">
        <v>6420280</v>
      </c>
      <c r="G3647" s="27">
        <v>1</v>
      </c>
      <c r="H3647" s="27">
        <v>0</v>
      </c>
      <c r="I3647" s="27">
        <v>1</v>
      </c>
      <c r="J3647" s="30">
        <f t="shared" si="168"/>
        <v>1</v>
      </c>
      <c r="K3647" s="30">
        <f t="shared" si="169"/>
        <v>0</v>
      </c>
      <c r="L3647" s="26">
        <f t="shared" si="170"/>
        <v>0</v>
      </c>
      <c r="M3647" s="26"/>
    </row>
    <row r="3648" spans="1:13" ht="15" customHeight="1">
      <c r="A3648" s="25" t="s">
        <v>12829</v>
      </c>
      <c r="B3648" s="26" t="s">
        <v>5427</v>
      </c>
      <c r="C3648" s="26" t="s">
        <v>12830</v>
      </c>
      <c r="D3648" s="26" t="s">
        <v>12822</v>
      </c>
      <c r="E3648" s="26" t="s">
        <v>5550</v>
      </c>
      <c r="F3648" s="27">
        <v>5826538</v>
      </c>
      <c r="G3648" s="27">
        <v>1</v>
      </c>
      <c r="H3648" s="27">
        <v>0</v>
      </c>
      <c r="I3648" s="27">
        <v>1</v>
      </c>
      <c r="J3648" s="30">
        <f t="shared" si="168"/>
        <v>1</v>
      </c>
      <c r="K3648" s="30">
        <f t="shared" si="169"/>
        <v>0</v>
      </c>
      <c r="L3648" s="26">
        <f t="shared" si="170"/>
        <v>0</v>
      </c>
      <c r="M3648" s="26"/>
    </row>
    <row r="3649" spans="1:13" ht="15" customHeight="1">
      <c r="A3649" s="25" t="s">
        <v>12831</v>
      </c>
      <c r="B3649" s="26" t="s">
        <v>5423</v>
      </c>
      <c r="C3649" s="26" t="s">
        <v>12832</v>
      </c>
      <c r="D3649" s="26" t="s">
        <v>12822</v>
      </c>
      <c r="E3649" s="26" t="s">
        <v>5504</v>
      </c>
      <c r="F3649" s="27">
        <v>6142486</v>
      </c>
      <c r="G3649" s="27">
        <v>1</v>
      </c>
      <c r="H3649" s="27">
        <v>0</v>
      </c>
      <c r="I3649" s="27">
        <v>1</v>
      </c>
      <c r="J3649" s="30">
        <f t="shared" si="168"/>
        <v>1</v>
      </c>
      <c r="K3649" s="30">
        <f t="shared" si="169"/>
        <v>0</v>
      </c>
      <c r="L3649" s="26">
        <f t="shared" si="170"/>
        <v>0</v>
      </c>
      <c r="M3649" s="26"/>
    </row>
    <row r="3650" spans="1:13" ht="15" customHeight="1">
      <c r="A3650" s="25" t="s">
        <v>12833</v>
      </c>
      <c r="B3650" s="26" t="s">
        <v>5427</v>
      </c>
      <c r="C3650" s="26" t="s">
        <v>12834</v>
      </c>
      <c r="D3650" s="26" t="s">
        <v>12835</v>
      </c>
      <c r="E3650" s="26" t="s">
        <v>5968</v>
      </c>
      <c r="F3650" s="27">
        <v>6471745</v>
      </c>
      <c r="G3650" s="27">
        <v>1</v>
      </c>
      <c r="H3650" s="27">
        <v>0</v>
      </c>
      <c r="I3650" s="27">
        <v>1</v>
      </c>
      <c r="J3650" s="30">
        <f t="shared" ref="J3650:J3713" si="171">IF(G3650&gt;0,1,0)</f>
        <v>1</v>
      </c>
      <c r="K3650" s="30">
        <f t="shared" ref="K3650:K3713" si="172">IF(H3650&gt;0,1,0)</f>
        <v>0</v>
      </c>
      <c r="L3650" s="26">
        <f t="shared" ref="L3650:L3713" si="173">IF(G3650&gt;0,IF(H3650&gt;0,1,0),0)</f>
        <v>0</v>
      </c>
      <c r="M3650" s="26"/>
    </row>
    <row r="3651" spans="1:13" ht="15" customHeight="1">
      <c r="A3651" s="25" t="s">
        <v>12836</v>
      </c>
      <c r="B3651" s="26" t="s">
        <v>5423</v>
      </c>
      <c r="C3651" s="26" t="s">
        <v>12837</v>
      </c>
      <c r="D3651" s="26" t="s">
        <v>12838</v>
      </c>
      <c r="E3651" s="26" t="s">
        <v>5426</v>
      </c>
      <c r="F3651" s="27">
        <v>6471789</v>
      </c>
      <c r="G3651" s="27">
        <v>0</v>
      </c>
      <c r="H3651" s="27">
        <v>1</v>
      </c>
      <c r="I3651" s="27">
        <v>1</v>
      </c>
      <c r="J3651" s="30">
        <f t="shared" si="171"/>
        <v>0</v>
      </c>
      <c r="K3651" s="30">
        <f t="shared" si="172"/>
        <v>1</v>
      </c>
      <c r="L3651" s="26">
        <f t="shared" si="173"/>
        <v>0</v>
      </c>
      <c r="M3651" s="26"/>
    </row>
    <row r="3652" spans="1:13" ht="15" customHeight="1">
      <c r="A3652" s="25" t="s">
        <v>12839</v>
      </c>
      <c r="B3652" s="26" t="s">
        <v>5427</v>
      </c>
      <c r="C3652" s="26" t="s">
        <v>12840</v>
      </c>
      <c r="D3652" s="26" t="s">
        <v>12841</v>
      </c>
      <c r="E3652" s="26" t="s">
        <v>5455</v>
      </c>
      <c r="F3652" s="27">
        <v>6398062</v>
      </c>
      <c r="G3652" s="27">
        <v>1</v>
      </c>
      <c r="H3652" s="27">
        <v>0</v>
      </c>
      <c r="I3652" s="27">
        <v>1</v>
      </c>
      <c r="J3652" s="30">
        <f t="shared" si="171"/>
        <v>1</v>
      </c>
      <c r="K3652" s="30">
        <f t="shared" si="172"/>
        <v>0</v>
      </c>
      <c r="L3652" s="26">
        <f t="shared" si="173"/>
        <v>0</v>
      </c>
      <c r="M3652" s="26"/>
    </row>
    <row r="3653" spans="1:13" ht="15" customHeight="1">
      <c r="A3653" s="25" t="s">
        <v>12842</v>
      </c>
      <c r="B3653" s="26" t="s">
        <v>5423</v>
      </c>
      <c r="C3653" s="26" t="s">
        <v>12843</v>
      </c>
      <c r="D3653" s="26" t="s">
        <v>12835</v>
      </c>
      <c r="E3653" s="26" t="s">
        <v>5430</v>
      </c>
      <c r="F3653" s="27">
        <v>6466740</v>
      </c>
      <c r="G3653" s="27">
        <v>1</v>
      </c>
      <c r="H3653" s="27">
        <v>1</v>
      </c>
      <c r="I3653" s="27">
        <v>1</v>
      </c>
      <c r="J3653" s="30">
        <f t="shared" si="171"/>
        <v>1</v>
      </c>
      <c r="K3653" s="30">
        <f t="shared" si="172"/>
        <v>1</v>
      </c>
      <c r="L3653" s="26">
        <f t="shared" si="173"/>
        <v>1</v>
      </c>
      <c r="M3653" s="26"/>
    </row>
    <row r="3654" spans="1:13" ht="15" customHeight="1">
      <c r="A3654" s="25" t="s">
        <v>12844</v>
      </c>
      <c r="B3654" s="26" t="s">
        <v>5427</v>
      </c>
      <c r="C3654" s="26" t="s">
        <v>12845</v>
      </c>
      <c r="D3654" s="26" t="s">
        <v>12846</v>
      </c>
      <c r="E3654" s="26" t="s">
        <v>8392</v>
      </c>
      <c r="F3654" s="27">
        <v>6472351</v>
      </c>
      <c r="G3654" s="27">
        <v>0</v>
      </c>
      <c r="H3654" s="27">
        <v>0</v>
      </c>
      <c r="I3654" s="27">
        <v>0</v>
      </c>
      <c r="J3654" s="30">
        <f t="shared" si="171"/>
        <v>0</v>
      </c>
      <c r="K3654" s="30">
        <f t="shared" si="172"/>
        <v>0</v>
      </c>
      <c r="L3654" s="26">
        <f t="shared" si="173"/>
        <v>0</v>
      </c>
      <c r="M3654" s="26">
        <v>0</v>
      </c>
    </row>
    <row r="3655" spans="1:13" ht="15" customHeight="1">
      <c r="A3655" s="25" t="s">
        <v>12847</v>
      </c>
      <c r="B3655" s="26" t="s">
        <v>5423</v>
      </c>
      <c r="C3655" s="26" t="s">
        <v>12848</v>
      </c>
      <c r="D3655" s="26" t="s">
        <v>12846</v>
      </c>
      <c r="E3655" s="26" t="s">
        <v>5517</v>
      </c>
      <c r="F3655" s="27">
        <v>6472431</v>
      </c>
      <c r="G3655" s="27">
        <v>1</v>
      </c>
      <c r="H3655" s="27">
        <v>1</v>
      </c>
      <c r="I3655" s="27">
        <v>1</v>
      </c>
      <c r="J3655" s="30">
        <f t="shared" si="171"/>
        <v>1</v>
      </c>
      <c r="K3655" s="30">
        <f t="shared" si="172"/>
        <v>1</v>
      </c>
      <c r="L3655" s="26">
        <f t="shared" si="173"/>
        <v>1</v>
      </c>
      <c r="M3655" s="26"/>
    </row>
    <row r="3656" spans="1:13" ht="15" customHeight="1">
      <c r="A3656" s="25" t="s">
        <v>12849</v>
      </c>
      <c r="B3656" s="26" t="s">
        <v>5423</v>
      </c>
      <c r="C3656" s="26" t="s">
        <v>12850</v>
      </c>
      <c r="D3656" s="26" t="s">
        <v>12846</v>
      </c>
      <c r="E3656" s="26" t="s">
        <v>5522</v>
      </c>
      <c r="F3656" s="27">
        <v>6027855</v>
      </c>
      <c r="G3656" s="27">
        <v>0</v>
      </c>
      <c r="H3656" s="27">
        <v>1</v>
      </c>
      <c r="I3656" s="27">
        <v>1</v>
      </c>
      <c r="J3656" s="30">
        <f t="shared" si="171"/>
        <v>0</v>
      </c>
      <c r="K3656" s="30">
        <f t="shared" si="172"/>
        <v>1</v>
      </c>
      <c r="L3656" s="26">
        <f t="shared" si="173"/>
        <v>0</v>
      </c>
      <c r="M3656" s="26"/>
    </row>
    <row r="3657" spans="1:13" ht="15" customHeight="1">
      <c r="A3657" s="25" t="s">
        <v>12851</v>
      </c>
      <c r="B3657" s="26" t="s">
        <v>5423</v>
      </c>
      <c r="C3657" s="26" t="s">
        <v>12852</v>
      </c>
      <c r="D3657" s="26" t="s">
        <v>12846</v>
      </c>
      <c r="E3657" s="26" t="s">
        <v>5430</v>
      </c>
      <c r="F3657" s="27">
        <v>6473954</v>
      </c>
      <c r="G3657" s="27">
        <v>0</v>
      </c>
      <c r="H3657" s="27">
        <v>0</v>
      </c>
      <c r="I3657" s="27">
        <v>0</v>
      </c>
      <c r="J3657" s="30">
        <f t="shared" si="171"/>
        <v>0</v>
      </c>
      <c r="K3657" s="30">
        <f t="shared" si="172"/>
        <v>0</v>
      </c>
      <c r="L3657" s="26">
        <f t="shared" si="173"/>
        <v>0</v>
      </c>
      <c r="M3657" s="26">
        <v>0</v>
      </c>
    </row>
    <row r="3658" spans="1:13" ht="15" customHeight="1">
      <c r="A3658" s="25" t="s">
        <v>12853</v>
      </c>
      <c r="B3658" s="26" t="s">
        <v>5423</v>
      </c>
      <c r="C3658" s="26" t="s">
        <v>12854</v>
      </c>
      <c r="D3658" s="26" t="s">
        <v>12809</v>
      </c>
      <c r="E3658" s="26" t="s">
        <v>5485</v>
      </c>
      <c r="F3658" s="27">
        <v>6473571</v>
      </c>
      <c r="G3658" s="27">
        <v>1</v>
      </c>
      <c r="H3658" s="27">
        <v>0</v>
      </c>
      <c r="I3658" s="27">
        <v>1</v>
      </c>
      <c r="J3658" s="30">
        <f t="shared" si="171"/>
        <v>1</v>
      </c>
      <c r="K3658" s="30">
        <f t="shared" si="172"/>
        <v>0</v>
      </c>
      <c r="L3658" s="26">
        <f t="shared" si="173"/>
        <v>0</v>
      </c>
      <c r="M3658" s="26"/>
    </row>
    <row r="3659" spans="1:13" ht="15" customHeight="1">
      <c r="A3659" s="25" t="s">
        <v>12855</v>
      </c>
      <c r="B3659" s="26" t="s">
        <v>5423</v>
      </c>
      <c r="C3659" s="26" t="s">
        <v>12856</v>
      </c>
      <c r="D3659" s="26" t="s">
        <v>12846</v>
      </c>
      <c r="E3659" s="26" t="s">
        <v>5439</v>
      </c>
      <c r="F3659" s="27">
        <v>6473955</v>
      </c>
      <c r="G3659" s="27">
        <v>0</v>
      </c>
      <c r="H3659" s="27">
        <v>0</v>
      </c>
      <c r="I3659" s="27">
        <v>0</v>
      </c>
      <c r="J3659" s="30">
        <f t="shared" si="171"/>
        <v>0</v>
      </c>
      <c r="K3659" s="30">
        <f t="shared" si="172"/>
        <v>0</v>
      </c>
      <c r="L3659" s="26">
        <f t="shared" si="173"/>
        <v>0</v>
      </c>
      <c r="M3659" s="26">
        <v>0</v>
      </c>
    </row>
    <row r="3660" spans="1:13" ht="15" customHeight="1">
      <c r="A3660" s="25" t="s">
        <v>12857</v>
      </c>
      <c r="B3660" s="26" t="s">
        <v>5427</v>
      </c>
      <c r="C3660" s="26" t="s">
        <v>12858</v>
      </c>
      <c r="D3660" s="26" t="s">
        <v>12859</v>
      </c>
      <c r="E3660" s="26" t="s">
        <v>5475</v>
      </c>
      <c r="F3660" s="27">
        <v>5007894</v>
      </c>
      <c r="G3660" s="27">
        <v>1</v>
      </c>
      <c r="H3660" s="27">
        <v>1</v>
      </c>
      <c r="I3660" s="27">
        <v>1</v>
      </c>
      <c r="J3660" s="30">
        <f t="shared" si="171"/>
        <v>1</v>
      </c>
      <c r="K3660" s="30">
        <f t="shared" si="172"/>
        <v>1</v>
      </c>
      <c r="L3660" s="26">
        <f t="shared" si="173"/>
        <v>1</v>
      </c>
      <c r="M3660" s="26"/>
    </row>
    <row r="3661" spans="1:13" ht="15" customHeight="1">
      <c r="A3661" s="25" t="s">
        <v>12860</v>
      </c>
      <c r="B3661" s="26" t="s">
        <v>5427</v>
      </c>
      <c r="C3661" s="26" t="s">
        <v>12861</v>
      </c>
      <c r="D3661" s="26" t="s">
        <v>12862</v>
      </c>
      <c r="E3661" s="26" t="s">
        <v>5442</v>
      </c>
      <c r="F3661" s="27">
        <v>6473662</v>
      </c>
      <c r="G3661" s="27">
        <v>1</v>
      </c>
      <c r="H3661" s="27">
        <v>0</v>
      </c>
      <c r="I3661" s="27">
        <v>1</v>
      </c>
      <c r="J3661" s="30">
        <f t="shared" si="171"/>
        <v>1</v>
      </c>
      <c r="K3661" s="30">
        <f t="shared" si="172"/>
        <v>0</v>
      </c>
      <c r="L3661" s="26">
        <f t="shared" si="173"/>
        <v>0</v>
      </c>
      <c r="M3661" s="26"/>
    </row>
    <row r="3662" spans="1:13" ht="15" customHeight="1">
      <c r="A3662" s="25" t="s">
        <v>12863</v>
      </c>
      <c r="B3662" s="26" t="s">
        <v>5423</v>
      </c>
      <c r="C3662" s="26" t="s">
        <v>12864</v>
      </c>
      <c r="D3662" s="26" t="s">
        <v>12835</v>
      </c>
      <c r="E3662" s="26" t="s">
        <v>5455</v>
      </c>
      <c r="F3662" s="27">
        <v>5501613</v>
      </c>
      <c r="G3662" s="27">
        <v>1</v>
      </c>
      <c r="H3662" s="27">
        <v>0</v>
      </c>
      <c r="I3662" s="27">
        <v>1</v>
      </c>
      <c r="J3662" s="30">
        <f t="shared" si="171"/>
        <v>1</v>
      </c>
      <c r="K3662" s="30">
        <f t="shared" si="172"/>
        <v>0</v>
      </c>
      <c r="L3662" s="26">
        <f t="shared" si="173"/>
        <v>0</v>
      </c>
      <c r="M3662" s="26"/>
    </row>
    <row r="3663" spans="1:13" ht="15" customHeight="1">
      <c r="A3663" s="25" t="s">
        <v>12865</v>
      </c>
      <c r="B3663" s="26" t="s">
        <v>5427</v>
      </c>
      <c r="C3663" s="26" t="s">
        <v>12866</v>
      </c>
      <c r="D3663" s="26" t="s">
        <v>12867</v>
      </c>
      <c r="E3663" s="26" t="s">
        <v>5535</v>
      </c>
      <c r="F3663" s="27">
        <v>6339156</v>
      </c>
      <c r="G3663" s="27">
        <v>1</v>
      </c>
      <c r="H3663" s="27">
        <v>1</v>
      </c>
      <c r="I3663" s="27">
        <v>1</v>
      </c>
      <c r="J3663" s="30">
        <f t="shared" si="171"/>
        <v>1</v>
      </c>
      <c r="K3663" s="30">
        <f t="shared" si="172"/>
        <v>1</v>
      </c>
      <c r="L3663" s="26">
        <f t="shared" si="173"/>
        <v>1</v>
      </c>
      <c r="M3663" s="26"/>
    </row>
    <row r="3664" spans="1:13" ht="15" customHeight="1">
      <c r="A3664" s="25" t="s">
        <v>12868</v>
      </c>
      <c r="B3664" s="26" t="s">
        <v>5423</v>
      </c>
      <c r="C3664" s="26" t="s">
        <v>12869</v>
      </c>
      <c r="D3664" s="26" t="s">
        <v>12870</v>
      </c>
      <c r="E3664" s="26" t="s">
        <v>5550</v>
      </c>
      <c r="F3664" s="27">
        <v>6217190</v>
      </c>
      <c r="G3664" s="27">
        <v>1</v>
      </c>
      <c r="H3664" s="27">
        <v>1</v>
      </c>
      <c r="I3664" s="27">
        <v>1</v>
      </c>
      <c r="J3664" s="30">
        <f t="shared" si="171"/>
        <v>1</v>
      </c>
      <c r="K3664" s="30">
        <f t="shared" si="172"/>
        <v>1</v>
      </c>
      <c r="L3664" s="26">
        <f t="shared" si="173"/>
        <v>1</v>
      </c>
      <c r="M3664" s="26"/>
    </row>
    <row r="3665" spans="1:13" ht="15" customHeight="1">
      <c r="A3665" s="25" t="s">
        <v>12871</v>
      </c>
      <c r="B3665" s="26" t="s">
        <v>5423</v>
      </c>
      <c r="C3665" s="26" t="s">
        <v>12872</v>
      </c>
      <c r="D3665" s="26" t="s">
        <v>12873</v>
      </c>
      <c r="E3665" s="26" t="s">
        <v>5763</v>
      </c>
      <c r="F3665" s="27">
        <v>6475686</v>
      </c>
      <c r="G3665" s="27">
        <v>1</v>
      </c>
      <c r="H3665" s="27">
        <v>0</v>
      </c>
      <c r="I3665" s="27">
        <v>1</v>
      </c>
      <c r="J3665" s="30">
        <f t="shared" si="171"/>
        <v>1</v>
      </c>
      <c r="K3665" s="30">
        <f t="shared" si="172"/>
        <v>0</v>
      </c>
      <c r="L3665" s="26">
        <f t="shared" si="173"/>
        <v>0</v>
      </c>
      <c r="M3665" s="26"/>
    </row>
    <row r="3666" spans="1:13" ht="15" customHeight="1">
      <c r="A3666" s="25" t="s">
        <v>12874</v>
      </c>
      <c r="B3666" s="26" t="s">
        <v>5423</v>
      </c>
      <c r="C3666" s="26" t="s">
        <v>12875</v>
      </c>
      <c r="D3666" s="26" t="s">
        <v>12873</v>
      </c>
      <c r="E3666" s="26" t="s">
        <v>5436</v>
      </c>
      <c r="F3666" s="27">
        <v>6475623</v>
      </c>
      <c r="G3666" s="27">
        <v>0</v>
      </c>
      <c r="H3666" s="27">
        <v>1</v>
      </c>
      <c r="I3666" s="27">
        <v>1</v>
      </c>
      <c r="J3666" s="30">
        <f t="shared" si="171"/>
        <v>0</v>
      </c>
      <c r="K3666" s="30">
        <f t="shared" si="172"/>
        <v>1</v>
      </c>
      <c r="L3666" s="26">
        <f t="shared" si="173"/>
        <v>0</v>
      </c>
      <c r="M3666" s="26"/>
    </row>
    <row r="3667" spans="1:13" ht="15" customHeight="1">
      <c r="A3667" s="25" t="s">
        <v>12876</v>
      </c>
      <c r="B3667" s="26" t="s">
        <v>5427</v>
      </c>
      <c r="C3667" s="26" t="s">
        <v>12877</v>
      </c>
      <c r="D3667" s="26" t="s">
        <v>12878</v>
      </c>
      <c r="E3667" s="26" t="s">
        <v>5442</v>
      </c>
      <c r="F3667" s="27">
        <v>6478777</v>
      </c>
      <c r="G3667" s="27">
        <v>1</v>
      </c>
      <c r="H3667" s="27">
        <v>1</v>
      </c>
      <c r="I3667" s="27">
        <v>1</v>
      </c>
      <c r="J3667" s="30">
        <f t="shared" si="171"/>
        <v>1</v>
      </c>
      <c r="K3667" s="30">
        <f t="shared" si="172"/>
        <v>1</v>
      </c>
      <c r="L3667" s="26">
        <f t="shared" si="173"/>
        <v>1</v>
      </c>
      <c r="M3667" s="26"/>
    </row>
    <row r="3668" spans="1:13" ht="15" customHeight="1">
      <c r="A3668" s="25" t="s">
        <v>12879</v>
      </c>
      <c r="B3668" s="26" t="s">
        <v>5423</v>
      </c>
      <c r="C3668" s="26" t="s">
        <v>12880</v>
      </c>
      <c r="D3668" s="26" t="s">
        <v>12587</v>
      </c>
      <c r="E3668" s="26" t="s">
        <v>5439</v>
      </c>
      <c r="F3668" s="27">
        <v>5116179</v>
      </c>
      <c r="G3668" s="27">
        <v>2</v>
      </c>
      <c r="H3668" s="27">
        <v>1</v>
      </c>
      <c r="I3668" s="27">
        <v>1</v>
      </c>
      <c r="J3668" s="30">
        <f t="shared" si="171"/>
        <v>1</v>
      </c>
      <c r="K3668" s="30">
        <f t="shared" si="172"/>
        <v>1</v>
      </c>
      <c r="L3668" s="26">
        <f t="shared" si="173"/>
        <v>1</v>
      </c>
      <c r="M3668" s="26" t="s">
        <v>5611</v>
      </c>
    </row>
    <row r="3669" spans="1:13" ht="15" customHeight="1">
      <c r="A3669" s="25" t="s">
        <v>12881</v>
      </c>
      <c r="B3669" s="26" t="s">
        <v>5423</v>
      </c>
      <c r="C3669" s="26" t="s">
        <v>12882</v>
      </c>
      <c r="D3669" s="26" t="s">
        <v>12883</v>
      </c>
      <c r="E3669" s="26" t="s">
        <v>5522</v>
      </c>
      <c r="F3669" s="27">
        <v>6478956</v>
      </c>
      <c r="G3669" s="27">
        <v>0</v>
      </c>
      <c r="H3669" s="27">
        <v>0</v>
      </c>
      <c r="I3669" s="27">
        <v>0</v>
      </c>
      <c r="J3669" s="30">
        <f t="shared" si="171"/>
        <v>0</v>
      </c>
      <c r="K3669" s="30">
        <f t="shared" si="172"/>
        <v>0</v>
      </c>
      <c r="L3669" s="26">
        <f t="shared" si="173"/>
        <v>0</v>
      </c>
      <c r="M3669" s="26">
        <v>0</v>
      </c>
    </row>
    <row r="3670" spans="1:13" ht="15" customHeight="1">
      <c r="A3670" s="25" t="s">
        <v>12884</v>
      </c>
      <c r="B3670" s="26" t="s">
        <v>5427</v>
      </c>
      <c r="C3670" s="26" t="s">
        <v>12885</v>
      </c>
      <c r="D3670" s="26" t="s">
        <v>12883</v>
      </c>
      <c r="E3670" s="26" t="s">
        <v>5891</v>
      </c>
      <c r="F3670" s="27">
        <v>6478934</v>
      </c>
      <c r="G3670" s="27">
        <v>1</v>
      </c>
      <c r="H3670" s="27">
        <v>0</v>
      </c>
      <c r="I3670" s="27">
        <v>1</v>
      </c>
      <c r="J3670" s="30">
        <f t="shared" si="171"/>
        <v>1</v>
      </c>
      <c r="K3670" s="30">
        <f t="shared" si="172"/>
        <v>0</v>
      </c>
      <c r="L3670" s="26">
        <f t="shared" si="173"/>
        <v>0</v>
      </c>
      <c r="M3670" s="26"/>
    </row>
    <row r="3671" spans="1:13" ht="15" customHeight="1">
      <c r="A3671" s="25" t="s">
        <v>12886</v>
      </c>
      <c r="B3671" s="26" t="s">
        <v>5423</v>
      </c>
      <c r="C3671" s="26" t="s">
        <v>12887</v>
      </c>
      <c r="D3671" s="26" t="s">
        <v>12888</v>
      </c>
      <c r="E3671" s="26" t="s">
        <v>5433</v>
      </c>
      <c r="F3671" s="27">
        <v>6478774</v>
      </c>
      <c r="G3671" s="27">
        <v>1</v>
      </c>
      <c r="H3671" s="27">
        <v>1</v>
      </c>
      <c r="I3671" s="27">
        <v>1</v>
      </c>
      <c r="J3671" s="30">
        <f t="shared" si="171"/>
        <v>1</v>
      </c>
      <c r="K3671" s="30">
        <f t="shared" si="172"/>
        <v>1</v>
      </c>
      <c r="L3671" s="26">
        <f t="shared" si="173"/>
        <v>1</v>
      </c>
      <c r="M3671" s="26"/>
    </row>
    <row r="3672" spans="1:13" ht="15" customHeight="1">
      <c r="A3672" s="25" t="s">
        <v>12889</v>
      </c>
      <c r="B3672" s="26" t="s">
        <v>5423</v>
      </c>
      <c r="C3672" s="26" t="s">
        <v>12890</v>
      </c>
      <c r="D3672" s="26" t="s">
        <v>12888</v>
      </c>
      <c r="E3672" s="26" t="s">
        <v>5433</v>
      </c>
      <c r="F3672" s="27">
        <v>6478771</v>
      </c>
      <c r="G3672" s="27">
        <v>1</v>
      </c>
      <c r="H3672" s="27">
        <v>1</v>
      </c>
      <c r="I3672" s="27">
        <v>1</v>
      </c>
      <c r="J3672" s="30">
        <f t="shared" si="171"/>
        <v>1</v>
      </c>
      <c r="K3672" s="30">
        <f t="shared" si="172"/>
        <v>1</v>
      </c>
      <c r="L3672" s="26">
        <f t="shared" si="173"/>
        <v>1</v>
      </c>
      <c r="M3672" s="26"/>
    </row>
    <row r="3673" spans="1:13" ht="15" customHeight="1">
      <c r="A3673" s="25" t="s">
        <v>12891</v>
      </c>
      <c r="B3673" s="26" t="s">
        <v>5423</v>
      </c>
      <c r="C3673" s="26" t="s">
        <v>12892</v>
      </c>
      <c r="D3673" s="26" t="s">
        <v>12883</v>
      </c>
      <c r="E3673" s="26" t="s">
        <v>5475</v>
      </c>
      <c r="F3673" s="27">
        <v>6220610</v>
      </c>
      <c r="G3673" s="27">
        <v>1</v>
      </c>
      <c r="H3673" s="27">
        <v>1</v>
      </c>
      <c r="I3673" s="27">
        <v>1</v>
      </c>
      <c r="J3673" s="30">
        <f t="shared" si="171"/>
        <v>1</v>
      </c>
      <c r="K3673" s="30">
        <f t="shared" si="172"/>
        <v>1</v>
      </c>
      <c r="L3673" s="26">
        <f t="shared" si="173"/>
        <v>1</v>
      </c>
      <c r="M3673" s="26"/>
    </row>
    <row r="3674" spans="1:13" ht="15" customHeight="1">
      <c r="A3674" s="25" t="s">
        <v>12893</v>
      </c>
      <c r="B3674" s="26" t="s">
        <v>5423</v>
      </c>
      <c r="C3674" s="26" t="s">
        <v>12894</v>
      </c>
      <c r="D3674" s="26" t="s">
        <v>12888</v>
      </c>
      <c r="E3674" s="26" t="s">
        <v>5439</v>
      </c>
      <c r="F3674" s="27">
        <v>6235562</v>
      </c>
      <c r="G3674" s="27">
        <v>1</v>
      </c>
      <c r="H3674" s="27">
        <v>1</v>
      </c>
      <c r="I3674" s="27">
        <v>1</v>
      </c>
      <c r="J3674" s="30">
        <f t="shared" si="171"/>
        <v>1</v>
      </c>
      <c r="K3674" s="30">
        <f t="shared" si="172"/>
        <v>1</v>
      </c>
      <c r="L3674" s="26">
        <f t="shared" si="173"/>
        <v>1</v>
      </c>
      <c r="M3674" s="26"/>
    </row>
    <row r="3675" spans="1:13" ht="15" customHeight="1">
      <c r="A3675" s="25" t="s">
        <v>12895</v>
      </c>
      <c r="B3675" s="26" t="s">
        <v>5427</v>
      </c>
      <c r="C3675" s="26" t="s">
        <v>12896</v>
      </c>
      <c r="D3675" s="26" t="s">
        <v>12883</v>
      </c>
      <c r="E3675" s="26" t="s">
        <v>5485</v>
      </c>
      <c r="F3675" s="27">
        <v>6481325</v>
      </c>
      <c r="G3675" s="27">
        <v>0</v>
      </c>
      <c r="H3675" s="27">
        <v>0</v>
      </c>
      <c r="I3675" s="27">
        <v>0</v>
      </c>
      <c r="J3675" s="30">
        <f t="shared" si="171"/>
        <v>0</v>
      </c>
      <c r="K3675" s="30">
        <f t="shared" si="172"/>
        <v>0</v>
      </c>
      <c r="L3675" s="26">
        <f t="shared" si="173"/>
        <v>0</v>
      </c>
      <c r="M3675" s="26">
        <v>0</v>
      </c>
    </row>
    <row r="3676" spans="1:13" ht="15" customHeight="1">
      <c r="A3676" s="25" t="s">
        <v>12897</v>
      </c>
      <c r="B3676" s="26" t="s">
        <v>5423</v>
      </c>
      <c r="C3676" s="26" t="s">
        <v>12898</v>
      </c>
      <c r="D3676" s="26" t="s">
        <v>12883</v>
      </c>
      <c r="E3676" s="26" t="s">
        <v>5494</v>
      </c>
      <c r="F3676" s="27">
        <v>6481310</v>
      </c>
      <c r="G3676" s="27">
        <v>0</v>
      </c>
      <c r="H3676" s="27">
        <v>0</v>
      </c>
      <c r="I3676" s="27">
        <v>0</v>
      </c>
      <c r="J3676" s="30">
        <f t="shared" si="171"/>
        <v>0</v>
      </c>
      <c r="K3676" s="30">
        <f t="shared" si="172"/>
        <v>0</v>
      </c>
      <c r="L3676" s="26">
        <f t="shared" si="173"/>
        <v>0</v>
      </c>
      <c r="M3676" s="26">
        <v>0</v>
      </c>
    </row>
    <row r="3677" spans="1:13" ht="15" customHeight="1">
      <c r="A3677" s="25" t="s">
        <v>12899</v>
      </c>
      <c r="B3677" s="26" t="s">
        <v>5427</v>
      </c>
      <c r="C3677" s="26" t="s">
        <v>12900</v>
      </c>
      <c r="D3677" s="26" t="s">
        <v>12883</v>
      </c>
      <c r="E3677" s="26" t="s">
        <v>5610</v>
      </c>
      <c r="F3677" s="27">
        <v>6452087</v>
      </c>
      <c r="G3677" s="27">
        <v>1</v>
      </c>
      <c r="H3677" s="27">
        <v>0</v>
      </c>
      <c r="I3677" s="27">
        <v>1</v>
      </c>
      <c r="J3677" s="30">
        <f t="shared" si="171"/>
        <v>1</v>
      </c>
      <c r="K3677" s="30">
        <f t="shared" si="172"/>
        <v>0</v>
      </c>
      <c r="L3677" s="26">
        <f t="shared" si="173"/>
        <v>0</v>
      </c>
      <c r="M3677" s="26" t="s">
        <v>12901</v>
      </c>
    </row>
    <row r="3678" spans="1:13" ht="15" customHeight="1">
      <c r="A3678" s="25" t="s">
        <v>12902</v>
      </c>
      <c r="B3678" s="26" t="s">
        <v>5427</v>
      </c>
      <c r="C3678" s="26" t="s">
        <v>12903</v>
      </c>
      <c r="D3678" s="26" t="s">
        <v>12904</v>
      </c>
      <c r="E3678" s="26" t="s">
        <v>5442</v>
      </c>
      <c r="F3678" s="27">
        <v>6480250</v>
      </c>
      <c r="G3678" s="27">
        <v>0</v>
      </c>
      <c r="H3678" s="27">
        <v>0</v>
      </c>
      <c r="I3678" s="27">
        <v>0</v>
      </c>
      <c r="J3678" s="30">
        <f t="shared" si="171"/>
        <v>0</v>
      </c>
      <c r="K3678" s="30">
        <f t="shared" si="172"/>
        <v>0</v>
      </c>
      <c r="L3678" s="26">
        <f t="shared" si="173"/>
        <v>0</v>
      </c>
      <c r="M3678" s="26">
        <v>0</v>
      </c>
    </row>
    <row r="3679" spans="1:13" ht="15" customHeight="1">
      <c r="A3679" s="25" t="s">
        <v>12905</v>
      </c>
      <c r="B3679" s="26" t="s">
        <v>5423</v>
      </c>
      <c r="C3679" s="26" t="s">
        <v>12906</v>
      </c>
      <c r="D3679" s="26" t="s">
        <v>12907</v>
      </c>
      <c r="E3679" s="26" t="s">
        <v>5447</v>
      </c>
      <c r="F3679" s="27">
        <v>6480967</v>
      </c>
      <c r="G3679" s="27">
        <v>1</v>
      </c>
      <c r="H3679" s="27">
        <v>0</v>
      </c>
      <c r="I3679" s="27">
        <v>1</v>
      </c>
      <c r="J3679" s="30">
        <f t="shared" si="171"/>
        <v>1</v>
      </c>
      <c r="K3679" s="30">
        <f t="shared" si="172"/>
        <v>0</v>
      </c>
      <c r="L3679" s="26">
        <f t="shared" si="173"/>
        <v>0</v>
      </c>
      <c r="M3679" s="26"/>
    </row>
    <row r="3680" spans="1:13" ht="15" customHeight="1">
      <c r="A3680" s="25" t="s">
        <v>12908</v>
      </c>
      <c r="B3680" s="26" t="s">
        <v>5427</v>
      </c>
      <c r="C3680" s="26" t="s">
        <v>12909</v>
      </c>
      <c r="D3680" s="26" t="s">
        <v>12910</v>
      </c>
      <c r="E3680" s="26" t="s">
        <v>5504</v>
      </c>
      <c r="F3680" s="27">
        <v>6481500</v>
      </c>
      <c r="G3680" s="27">
        <v>0</v>
      </c>
      <c r="H3680" s="27">
        <v>1</v>
      </c>
      <c r="I3680" s="27">
        <v>1</v>
      </c>
      <c r="J3680" s="30">
        <f t="shared" si="171"/>
        <v>0</v>
      </c>
      <c r="K3680" s="30">
        <f t="shared" si="172"/>
        <v>1</v>
      </c>
      <c r="L3680" s="26">
        <f t="shared" si="173"/>
        <v>0</v>
      </c>
      <c r="M3680" s="26"/>
    </row>
    <row r="3681" spans="1:13" ht="15" customHeight="1">
      <c r="A3681" s="25" t="s">
        <v>12911</v>
      </c>
      <c r="B3681" s="26" t="s">
        <v>5427</v>
      </c>
      <c r="C3681" s="26" t="s">
        <v>12912</v>
      </c>
      <c r="D3681" s="26" t="s">
        <v>12913</v>
      </c>
      <c r="E3681" s="26" t="s">
        <v>5452</v>
      </c>
      <c r="F3681" s="27">
        <v>6481499</v>
      </c>
      <c r="G3681" s="27">
        <v>0</v>
      </c>
      <c r="H3681" s="27">
        <v>0</v>
      </c>
      <c r="I3681" s="27">
        <v>0</v>
      </c>
      <c r="J3681" s="30">
        <f t="shared" si="171"/>
        <v>0</v>
      </c>
      <c r="K3681" s="30">
        <f t="shared" si="172"/>
        <v>0</v>
      </c>
      <c r="L3681" s="26">
        <f t="shared" si="173"/>
        <v>0</v>
      </c>
      <c r="M3681" s="26" t="s">
        <v>5567</v>
      </c>
    </row>
    <row r="3682" spans="1:13" ht="15" customHeight="1">
      <c r="A3682" s="25" t="s">
        <v>12914</v>
      </c>
      <c r="B3682" s="26" t="s">
        <v>5427</v>
      </c>
      <c r="C3682" s="26" t="s">
        <v>12915</v>
      </c>
      <c r="D3682" s="26" t="s">
        <v>12916</v>
      </c>
      <c r="E3682" s="26" t="s">
        <v>5763</v>
      </c>
      <c r="F3682" s="27">
        <v>6464175</v>
      </c>
      <c r="G3682" s="27">
        <v>0</v>
      </c>
      <c r="H3682" s="27">
        <v>0</v>
      </c>
      <c r="I3682" s="27">
        <v>0</v>
      </c>
      <c r="J3682" s="30">
        <f t="shared" si="171"/>
        <v>0</v>
      </c>
      <c r="K3682" s="30">
        <f t="shared" si="172"/>
        <v>0</v>
      </c>
      <c r="L3682" s="26">
        <f t="shared" si="173"/>
        <v>0</v>
      </c>
      <c r="M3682" s="26">
        <v>0</v>
      </c>
    </row>
    <row r="3683" spans="1:13" ht="15" customHeight="1">
      <c r="A3683" s="25" t="s">
        <v>12917</v>
      </c>
      <c r="B3683" s="26" t="s">
        <v>5427</v>
      </c>
      <c r="C3683" s="26" t="s">
        <v>12918</v>
      </c>
      <c r="D3683" s="26" t="s">
        <v>12888</v>
      </c>
      <c r="E3683" s="26" t="s">
        <v>5529</v>
      </c>
      <c r="F3683" s="27">
        <v>6037514</v>
      </c>
      <c r="G3683" s="27">
        <v>0</v>
      </c>
      <c r="H3683" s="27">
        <v>0</v>
      </c>
      <c r="I3683" s="27">
        <v>0</v>
      </c>
      <c r="J3683" s="30">
        <f t="shared" si="171"/>
        <v>0</v>
      </c>
      <c r="K3683" s="30">
        <f t="shared" si="172"/>
        <v>0</v>
      </c>
      <c r="L3683" s="26">
        <f t="shared" si="173"/>
        <v>0</v>
      </c>
      <c r="M3683" s="26">
        <v>0</v>
      </c>
    </row>
    <row r="3684" spans="1:13" ht="15" customHeight="1">
      <c r="A3684" s="25">
        <v>1881443</v>
      </c>
      <c r="B3684" s="26" t="s">
        <v>5427</v>
      </c>
      <c r="C3684" s="26" t="s">
        <v>12919</v>
      </c>
      <c r="D3684" s="26" t="s">
        <v>12907</v>
      </c>
      <c r="E3684" s="26" t="s">
        <v>5504</v>
      </c>
      <c r="F3684" s="27">
        <v>6388622</v>
      </c>
      <c r="G3684" s="27">
        <v>1</v>
      </c>
      <c r="H3684" s="27">
        <v>0</v>
      </c>
      <c r="I3684" s="27">
        <v>1</v>
      </c>
      <c r="J3684" s="30">
        <f t="shared" si="171"/>
        <v>1</v>
      </c>
      <c r="K3684" s="30">
        <f t="shared" si="172"/>
        <v>0</v>
      </c>
      <c r="L3684" s="26">
        <f t="shared" si="173"/>
        <v>0</v>
      </c>
      <c r="M3684" s="26"/>
    </row>
    <row r="3685" spans="1:13" ht="15" customHeight="1">
      <c r="A3685" s="25" t="s">
        <v>12920</v>
      </c>
      <c r="B3685" s="26" t="s">
        <v>5423</v>
      </c>
      <c r="C3685" s="26" t="s">
        <v>12921</v>
      </c>
      <c r="D3685" s="26" t="s">
        <v>12910</v>
      </c>
      <c r="E3685" s="26" t="s">
        <v>5485</v>
      </c>
      <c r="F3685" s="27">
        <v>6483411</v>
      </c>
      <c r="G3685" s="27">
        <v>1</v>
      </c>
      <c r="H3685" s="27">
        <v>0</v>
      </c>
      <c r="I3685" s="27">
        <v>1</v>
      </c>
      <c r="J3685" s="30">
        <f t="shared" si="171"/>
        <v>1</v>
      </c>
      <c r="K3685" s="30">
        <f t="shared" si="172"/>
        <v>0</v>
      </c>
      <c r="L3685" s="26">
        <f t="shared" si="173"/>
        <v>0</v>
      </c>
      <c r="M3685" s="26"/>
    </row>
    <row r="3686" spans="1:13" ht="15" customHeight="1">
      <c r="A3686" s="25" t="s">
        <v>12922</v>
      </c>
      <c r="B3686" s="26" t="s">
        <v>5423</v>
      </c>
      <c r="C3686" s="26" t="s">
        <v>12923</v>
      </c>
      <c r="D3686" s="26" t="s">
        <v>12924</v>
      </c>
      <c r="E3686" s="26" t="s">
        <v>5458</v>
      </c>
      <c r="F3686" s="27">
        <v>6484357</v>
      </c>
      <c r="G3686" s="27">
        <v>0</v>
      </c>
      <c r="H3686" s="27">
        <v>0</v>
      </c>
      <c r="I3686" s="27">
        <v>0</v>
      </c>
      <c r="J3686" s="30">
        <f t="shared" si="171"/>
        <v>0</v>
      </c>
      <c r="K3686" s="30">
        <f t="shared" si="172"/>
        <v>0</v>
      </c>
      <c r="L3686" s="26">
        <f t="shared" si="173"/>
        <v>0</v>
      </c>
      <c r="M3686" s="26">
        <v>0</v>
      </c>
    </row>
    <row r="3687" spans="1:13" ht="15" customHeight="1">
      <c r="A3687" s="25" t="s">
        <v>12925</v>
      </c>
      <c r="B3687" s="26" t="s">
        <v>5423</v>
      </c>
      <c r="C3687" s="26" t="s">
        <v>12926</v>
      </c>
      <c r="D3687" s="26" t="s">
        <v>12809</v>
      </c>
      <c r="E3687" s="26" t="s">
        <v>5763</v>
      </c>
      <c r="F3687" s="27">
        <v>6441326</v>
      </c>
      <c r="G3687" s="27">
        <v>1</v>
      </c>
      <c r="H3687" s="27">
        <v>0</v>
      </c>
      <c r="I3687" s="27">
        <v>1</v>
      </c>
      <c r="J3687" s="30">
        <f t="shared" si="171"/>
        <v>1</v>
      </c>
      <c r="K3687" s="30">
        <f t="shared" si="172"/>
        <v>0</v>
      </c>
      <c r="L3687" s="26">
        <f t="shared" si="173"/>
        <v>0</v>
      </c>
      <c r="M3687" s="26"/>
    </row>
    <row r="3688" spans="1:13" ht="15" customHeight="1">
      <c r="A3688" s="25" t="s">
        <v>12927</v>
      </c>
      <c r="B3688" s="26" t="s">
        <v>5427</v>
      </c>
      <c r="C3688" s="26" t="s">
        <v>12928</v>
      </c>
      <c r="D3688" s="26" t="s">
        <v>12910</v>
      </c>
      <c r="E3688" s="26" t="s">
        <v>5654</v>
      </c>
      <c r="F3688" s="27">
        <v>6483413</v>
      </c>
      <c r="G3688" s="27">
        <v>0</v>
      </c>
      <c r="H3688" s="27">
        <v>0</v>
      </c>
      <c r="I3688" s="27">
        <v>0</v>
      </c>
      <c r="J3688" s="30">
        <f t="shared" si="171"/>
        <v>0</v>
      </c>
      <c r="K3688" s="30">
        <f t="shared" si="172"/>
        <v>0</v>
      </c>
      <c r="L3688" s="26">
        <f t="shared" si="173"/>
        <v>0</v>
      </c>
      <c r="M3688" s="26">
        <v>0</v>
      </c>
    </row>
    <row r="3689" spans="1:13" ht="15" customHeight="1">
      <c r="A3689" s="25" t="s">
        <v>12929</v>
      </c>
      <c r="B3689" s="26" t="s">
        <v>5423</v>
      </c>
      <c r="C3689" s="26" t="s">
        <v>12930</v>
      </c>
      <c r="D3689" s="26" t="s">
        <v>12931</v>
      </c>
      <c r="E3689" s="26" t="s">
        <v>5463</v>
      </c>
      <c r="F3689" s="27">
        <v>6481879</v>
      </c>
      <c r="G3689" s="27">
        <v>1</v>
      </c>
      <c r="H3689" s="27">
        <v>1</v>
      </c>
      <c r="I3689" s="27">
        <v>1</v>
      </c>
      <c r="J3689" s="30">
        <f t="shared" si="171"/>
        <v>1</v>
      </c>
      <c r="K3689" s="30">
        <f t="shared" si="172"/>
        <v>1</v>
      </c>
      <c r="L3689" s="26">
        <f t="shared" si="173"/>
        <v>1</v>
      </c>
      <c r="M3689" s="26"/>
    </row>
    <row r="3690" spans="1:13" ht="15" customHeight="1">
      <c r="A3690" s="25" t="s">
        <v>12932</v>
      </c>
      <c r="B3690" s="26" t="s">
        <v>5423</v>
      </c>
      <c r="C3690" s="26" t="s">
        <v>12933</v>
      </c>
      <c r="D3690" s="26" t="s">
        <v>12934</v>
      </c>
      <c r="E3690" s="26" t="s">
        <v>5532</v>
      </c>
      <c r="F3690" s="27">
        <v>6357154</v>
      </c>
      <c r="G3690" s="27">
        <v>1</v>
      </c>
      <c r="H3690" s="27">
        <v>0</v>
      </c>
      <c r="I3690" s="27">
        <v>1</v>
      </c>
      <c r="J3690" s="30">
        <f t="shared" si="171"/>
        <v>1</v>
      </c>
      <c r="K3690" s="30">
        <f t="shared" si="172"/>
        <v>0</v>
      </c>
      <c r="L3690" s="26">
        <f t="shared" si="173"/>
        <v>0</v>
      </c>
      <c r="M3690" s="26"/>
    </row>
    <row r="3691" spans="1:13" ht="15" customHeight="1">
      <c r="A3691" s="25" t="s">
        <v>12935</v>
      </c>
      <c r="B3691" s="26" t="s">
        <v>5423</v>
      </c>
      <c r="C3691" s="26" t="s">
        <v>12936</v>
      </c>
      <c r="D3691" s="26" t="s">
        <v>12934</v>
      </c>
      <c r="E3691" s="26" t="s">
        <v>5683</v>
      </c>
      <c r="F3691" s="27">
        <v>5078504</v>
      </c>
      <c r="G3691" s="27">
        <v>2</v>
      </c>
      <c r="H3691" s="27">
        <v>0</v>
      </c>
      <c r="I3691" s="27">
        <v>1</v>
      </c>
      <c r="J3691" s="30">
        <f t="shared" si="171"/>
        <v>1</v>
      </c>
      <c r="K3691" s="30">
        <f t="shared" si="172"/>
        <v>0</v>
      </c>
      <c r="L3691" s="26">
        <f t="shared" si="173"/>
        <v>0</v>
      </c>
      <c r="M3691" s="26" t="s">
        <v>5611</v>
      </c>
    </row>
    <row r="3692" spans="1:13" ht="15" customHeight="1">
      <c r="A3692" s="25" t="s">
        <v>12937</v>
      </c>
      <c r="B3692" s="26" t="s">
        <v>5427</v>
      </c>
      <c r="C3692" s="26" t="s">
        <v>12938</v>
      </c>
      <c r="D3692" s="26" t="s">
        <v>12904</v>
      </c>
      <c r="E3692" s="26" t="s">
        <v>5968</v>
      </c>
      <c r="F3692" s="27">
        <v>6486245</v>
      </c>
      <c r="G3692" s="27">
        <v>1</v>
      </c>
      <c r="H3692" s="27">
        <v>1</v>
      </c>
      <c r="I3692" s="27">
        <v>1</v>
      </c>
      <c r="J3692" s="30">
        <f t="shared" si="171"/>
        <v>1</v>
      </c>
      <c r="K3692" s="30">
        <f t="shared" si="172"/>
        <v>1</v>
      </c>
      <c r="L3692" s="26">
        <f t="shared" si="173"/>
        <v>1</v>
      </c>
      <c r="M3692" s="26"/>
    </row>
    <row r="3693" spans="1:13" ht="15" customHeight="1">
      <c r="A3693" s="25" t="s">
        <v>12939</v>
      </c>
      <c r="B3693" s="26" t="s">
        <v>5423</v>
      </c>
      <c r="C3693" s="26" t="s">
        <v>12940</v>
      </c>
      <c r="D3693" s="26" t="s">
        <v>12809</v>
      </c>
      <c r="E3693" s="26" t="s">
        <v>5452</v>
      </c>
      <c r="F3693" s="27">
        <v>6486572</v>
      </c>
      <c r="G3693" s="27">
        <v>1</v>
      </c>
      <c r="H3693" s="27">
        <v>0</v>
      </c>
      <c r="I3693" s="27">
        <v>1</v>
      </c>
      <c r="J3693" s="30">
        <f t="shared" si="171"/>
        <v>1</v>
      </c>
      <c r="K3693" s="30">
        <f t="shared" si="172"/>
        <v>0</v>
      </c>
      <c r="L3693" s="26">
        <f t="shared" si="173"/>
        <v>0</v>
      </c>
      <c r="M3693" s="26"/>
    </row>
    <row r="3694" spans="1:13" ht="15" customHeight="1">
      <c r="A3694" s="25" t="s">
        <v>12941</v>
      </c>
      <c r="B3694" s="26" t="s">
        <v>5423</v>
      </c>
      <c r="C3694" s="26" t="s">
        <v>12942</v>
      </c>
      <c r="D3694" s="26" t="s">
        <v>12809</v>
      </c>
      <c r="E3694" s="26" t="s">
        <v>5522</v>
      </c>
      <c r="F3694" s="27">
        <v>6449699</v>
      </c>
      <c r="G3694" s="27">
        <v>1</v>
      </c>
      <c r="H3694" s="27">
        <v>1</v>
      </c>
      <c r="I3694" s="27">
        <v>1</v>
      </c>
      <c r="J3694" s="30">
        <f t="shared" si="171"/>
        <v>1</v>
      </c>
      <c r="K3694" s="30">
        <f t="shared" si="172"/>
        <v>1</v>
      </c>
      <c r="L3694" s="26">
        <f t="shared" si="173"/>
        <v>1</v>
      </c>
      <c r="M3694" s="26"/>
    </row>
    <row r="3695" spans="1:13" ht="15" customHeight="1">
      <c r="A3695" s="25" t="s">
        <v>12943</v>
      </c>
      <c r="B3695" s="26" t="s">
        <v>5423</v>
      </c>
      <c r="C3695" s="26" t="s">
        <v>12944</v>
      </c>
      <c r="D3695" s="26" t="s">
        <v>12907</v>
      </c>
      <c r="E3695" s="26" t="s">
        <v>5452</v>
      </c>
      <c r="F3695" s="27">
        <v>6486970</v>
      </c>
      <c r="G3695" s="27">
        <v>0</v>
      </c>
      <c r="H3695" s="27">
        <v>1</v>
      </c>
      <c r="I3695" s="27">
        <v>1</v>
      </c>
      <c r="J3695" s="30">
        <f t="shared" si="171"/>
        <v>0</v>
      </c>
      <c r="K3695" s="30">
        <f t="shared" si="172"/>
        <v>1</v>
      </c>
      <c r="L3695" s="26">
        <f t="shared" si="173"/>
        <v>0</v>
      </c>
      <c r="M3695" s="26"/>
    </row>
    <row r="3696" spans="1:13" ht="15" customHeight="1">
      <c r="A3696" s="25" t="s">
        <v>12945</v>
      </c>
      <c r="B3696" s="26" t="s">
        <v>5427</v>
      </c>
      <c r="C3696" s="26" t="s">
        <v>12946</v>
      </c>
      <c r="D3696" s="26" t="s">
        <v>12947</v>
      </c>
      <c r="E3696" s="26" t="s">
        <v>5707</v>
      </c>
      <c r="F3696" s="27">
        <v>6411540</v>
      </c>
      <c r="G3696" s="27">
        <v>1</v>
      </c>
      <c r="H3696" s="27">
        <v>1</v>
      </c>
      <c r="I3696" s="27">
        <v>1</v>
      </c>
      <c r="J3696" s="30">
        <f t="shared" si="171"/>
        <v>1</v>
      </c>
      <c r="K3696" s="30">
        <f t="shared" si="172"/>
        <v>1</v>
      </c>
      <c r="L3696" s="26">
        <f t="shared" si="173"/>
        <v>1</v>
      </c>
      <c r="M3696" s="26"/>
    </row>
    <row r="3697" spans="1:13" ht="15" customHeight="1">
      <c r="A3697" s="25">
        <v>1883252</v>
      </c>
      <c r="B3697" s="26" t="s">
        <v>5423</v>
      </c>
      <c r="C3697" s="26" t="s">
        <v>12948</v>
      </c>
      <c r="D3697" s="26" t="s">
        <v>12949</v>
      </c>
      <c r="E3697" s="26" t="s">
        <v>5430</v>
      </c>
      <c r="F3697" s="27">
        <v>6488098</v>
      </c>
      <c r="G3697" s="27">
        <v>1</v>
      </c>
      <c r="H3697" s="27">
        <v>1</v>
      </c>
      <c r="I3697" s="27">
        <v>1</v>
      </c>
      <c r="J3697" s="30">
        <f t="shared" si="171"/>
        <v>1</v>
      </c>
      <c r="K3697" s="30">
        <f t="shared" si="172"/>
        <v>1</v>
      </c>
      <c r="L3697" s="26">
        <f t="shared" si="173"/>
        <v>1</v>
      </c>
      <c r="M3697" s="26" t="s">
        <v>10175</v>
      </c>
    </row>
    <row r="3698" spans="1:13" ht="15" customHeight="1">
      <c r="A3698" s="25">
        <v>1883258</v>
      </c>
      <c r="B3698" s="26" t="s">
        <v>5427</v>
      </c>
      <c r="C3698" s="26" t="s">
        <v>12950</v>
      </c>
      <c r="D3698" s="26" t="s">
        <v>12904</v>
      </c>
      <c r="E3698" s="26" t="s">
        <v>8392</v>
      </c>
      <c r="F3698" s="27">
        <v>6478919</v>
      </c>
      <c r="G3698" s="27">
        <v>1</v>
      </c>
      <c r="H3698" s="27">
        <v>1</v>
      </c>
      <c r="I3698" s="27">
        <v>1</v>
      </c>
      <c r="J3698" s="30">
        <f t="shared" si="171"/>
        <v>1</v>
      </c>
      <c r="K3698" s="30">
        <f t="shared" si="172"/>
        <v>1</v>
      </c>
      <c r="L3698" s="26">
        <f t="shared" si="173"/>
        <v>1</v>
      </c>
      <c r="M3698" s="26"/>
    </row>
    <row r="3699" spans="1:13" ht="15" customHeight="1">
      <c r="A3699" s="25">
        <v>1883533</v>
      </c>
      <c r="B3699" s="26" t="s">
        <v>5427</v>
      </c>
      <c r="C3699" s="26" t="s">
        <v>12951</v>
      </c>
      <c r="D3699" s="26" t="s">
        <v>12931</v>
      </c>
      <c r="E3699" s="26" t="s">
        <v>5603</v>
      </c>
      <c r="F3699" s="27">
        <v>6488597</v>
      </c>
      <c r="G3699" s="27">
        <v>1</v>
      </c>
      <c r="H3699" s="27">
        <v>0</v>
      </c>
      <c r="I3699" s="27">
        <v>1</v>
      </c>
      <c r="J3699" s="30">
        <f t="shared" si="171"/>
        <v>1</v>
      </c>
      <c r="K3699" s="30">
        <f t="shared" si="172"/>
        <v>0</v>
      </c>
      <c r="L3699" s="26">
        <f t="shared" si="173"/>
        <v>0</v>
      </c>
      <c r="M3699" s="26"/>
    </row>
    <row r="3700" spans="1:13" ht="15" customHeight="1">
      <c r="A3700" s="25">
        <v>1883655</v>
      </c>
      <c r="B3700" s="26" t="s">
        <v>5427</v>
      </c>
      <c r="C3700" s="26" t="s">
        <v>12952</v>
      </c>
      <c r="D3700" s="26" t="s">
        <v>12953</v>
      </c>
      <c r="E3700" s="26" t="s">
        <v>5763</v>
      </c>
      <c r="F3700" s="27">
        <v>6451991</v>
      </c>
      <c r="G3700" s="27">
        <v>1</v>
      </c>
      <c r="H3700" s="27">
        <v>0</v>
      </c>
      <c r="I3700" s="27">
        <v>1</v>
      </c>
      <c r="J3700" s="30">
        <f t="shared" si="171"/>
        <v>1</v>
      </c>
      <c r="K3700" s="30">
        <f t="shared" si="172"/>
        <v>0</v>
      </c>
      <c r="L3700" s="26">
        <f t="shared" si="173"/>
        <v>0</v>
      </c>
      <c r="M3700" s="26"/>
    </row>
    <row r="3701" spans="1:13" ht="15" customHeight="1">
      <c r="A3701" s="25">
        <v>1883716</v>
      </c>
      <c r="B3701" s="26" t="s">
        <v>5427</v>
      </c>
      <c r="C3701" s="26" t="s">
        <v>12954</v>
      </c>
      <c r="D3701" s="26" t="s">
        <v>12953</v>
      </c>
      <c r="E3701" s="26" t="s">
        <v>5532</v>
      </c>
      <c r="F3701" s="27">
        <v>5552665</v>
      </c>
      <c r="G3701" s="27">
        <v>1</v>
      </c>
      <c r="H3701" s="27">
        <v>0</v>
      </c>
      <c r="I3701" s="27">
        <v>1</v>
      </c>
      <c r="J3701" s="30">
        <f t="shared" si="171"/>
        <v>1</v>
      </c>
      <c r="K3701" s="30">
        <f t="shared" si="172"/>
        <v>0</v>
      </c>
      <c r="L3701" s="26">
        <f t="shared" si="173"/>
        <v>0</v>
      </c>
      <c r="M3701" s="26"/>
    </row>
    <row r="3702" spans="1:13" ht="15" customHeight="1">
      <c r="A3702" s="25">
        <v>1883858</v>
      </c>
      <c r="B3702" s="26" t="s">
        <v>5423</v>
      </c>
      <c r="C3702" s="26" t="s">
        <v>12955</v>
      </c>
      <c r="D3702" s="26" t="s">
        <v>12956</v>
      </c>
      <c r="E3702" s="26" t="s">
        <v>5488</v>
      </c>
      <c r="F3702" s="27">
        <v>6420228</v>
      </c>
      <c r="G3702" s="27">
        <v>1</v>
      </c>
      <c r="H3702" s="27">
        <v>0</v>
      </c>
      <c r="I3702" s="27">
        <v>1</v>
      </c>
      <c r="J3702" s="30">
        <f t="shared" si="171"/>
        <v>1</v>
      </c>
      <c r="K3702" s="30">
        <f t="shared" si="172"/>
        <v>0</v>
      </c>
      <c r="L3702" s="26">
        <f t="shared" si="173"/>
        <v>0</v>
      </c>
      <c r="M3702" s="26"/>
    </row>
    <row r="3703" spans="1:13" ht="15" customHeight="1">
      <c r="A3703" s="25">
        <v>1884163</v>
      </c>
      <c r="B3703" s="26" t="s">
        <v>5427</v>
      </c>
      <c r="C3703" s="26" t="s">
        <v>12957</v>
      </c>
      <c r="D3703" s="26" t="s">
        <v>12958</v>
      </c>
      <c r="E3703" s="26" t="s">
        <v>5442</v>
      </c>
      <c r="F3703" s="27">
        <v>6383002</v>
      </c>
      <c r="G3703" s="27">
        <v>1</v>
      </c>
      <c r="H3703" s="27">
        <v>1</v>
      </c>
      <c r="I3703" s="27">
        <v>1</v>
      </c>
      <c r="J3703" s="30">
        <f t="shared" si="171"/>
        <v>1</v>
      </c>
      <c r="K3703" s="30">
        <f t="shared" si="172"/>
        <v>1</v>
      </c>
      <c r="L3703" s="26">
        <f t="shared" si="173"/>
        <v>1</v>
      </c>
      <c r="M3703" s="26"/>
    </row>
    <row r="3704" spans="1:13" ht="15" customHeight="1">
      <c r="A3704" s="25">
        <v>1884190</v>
      </c>
      <c r="B3704" s="26" t="s">
        <v>5423</v>
      </c>
      <c r="C3704" s="26" t="s">
        <v>12959</v>
      </c>
      <c r="D3704" s="26" t="s">
        <v>12931</v>
      </c>
      <c r="E3704" s="26" t="s">
        <v>5529</v>
      </c>
      <c r="F3704" s="27">
        <v>6490936</v>
      </c>
      <c r="G3704" s="27">
        <v>1</v>
      </c>
      <c r="H3704" s="27">
        <v>0</v>
      </c>
      <c r="I3704" s="27">
        <v>1</v>
      </c>
      <c r="J3704" s="30">
        <f t="shared" si="171"/>
        <v>1</v>
      </c>
      <c r="K3704" s="30">
        <f t="shared" si="172"/>
        <v>0</v>
      </c>
      <c r="L3704" s="26">
        <f t="shared" si="173"/>
        <v>0</v>
      </c>
      <c r="M3704" s="26"/>
    </row>
    <row r="3705" spans="1:13" ht="15" customHeight="1">
      <c r="A3705" s="25">
        <v>1884497</v>
      </c>
      <c r="B3705" s="26" t="s">
        <v>5423</v>
      </c>
      <c r="C3705" s="26" t="s">
        <v>12960</v>
      </c>
      <c r="D3705" s="26" t="s">
        <v>12958</v>
      </c>
      <c r="E3705" s="26" t="s">
        <v>5718</v>
      </c>
      <c r="F3705" s="27">
        <v>6469992</v>
      </c>
      <c r="G3705" s="27">
        <v>1</v>
      </c>
      <c r="H3705" s="27">
        <v>1</v>
      </c>
      <c r="I3705" s="27">
        <v>1</v>
      </c>
      <c r="J3705" s="30">
        <f t="shared" si="171"/>
        <v>1</v>
      </c>
      <c r="K3705" s="30">
        <f t="shared" si="172"/>
        <v>1</v>
      </c>
      <c r="L3705" s="26">
        <f t="shared" si="173"/>
        <v>1</v>
      </c>
      <c r="M3705" s="26"/>
    </row>
    <row r="3706" spans="1:13" ht="15" customHeight="1">
      <c r="A3706" s="25">
        <v>1884633</v>
      </c>
      <c r="B3706" s="26" t="s">
        <v>5427</v>
      </c>
      <c r="C3706" s="26" t="s">
        <v>12961</v>
      </c>
      <c r="D3706" s="26" t="s">
        <v>12962</v>
      </c>
      <c r="E3706" s="26" t="s">
        <v>5458</v>
      </c>
      <c r="F3706" s="27">
        <v>6491765</v>
      </c>
      <c r="G3706" s="27">
        <v>0</v>
      </c>
      <c r="H3706" s="27">
        <v>1</v>
      </c>
      <c r="I3706" s="27">
        <v>1</v>
      </c>
      <c r="J3706" s="30">
        <f t="shared" si="171"/>
        <v>0</v>
      </c>
      <c r="K3706" s="30">
        <f t="shared" si="172"/>
        <v>1</v>
      </c>
      <c r="L3706" s="26">
        <f t="shared" si="173"/>
        <v>0</v>
      </c>
      <c r="M3706" s="26"/>
    </row>
    <row r="3707" spans="1:13" ht="15" customHeight="1">
      <c r="A3707" s="25">
        <v>1884660</v>
      </c>
      <c r="B3707" s="26" t="s">
        <v>5427</v>
      </c>
      <c r="C3707" s="26" t="s">
        <v>12963</v>
      </c>
      <c r="D3707" s="26" t="s">
        <v>12958</v>
      </c>
      <c r="E3707" s="26" t="s">
        <v>5488</v>
      </c>
      <c r="F3707" s="27">
        <v>6491817</v>
      </c>
      <c r="G3707" s="27">
        <v>0</v>
      </c>
      <c r="H3707" s="27">
        <v>1</v>
      </c>
      <c r="I3707" s="27">
        <v>1</v>
      </c>
      <c r="J3707" s="30">
        <f t="shared" si="171"/>
        <v>0</v>
      </c>
      <c r="K3707" s="30">
        <f t="shared" si="172"/>
        <v>1</v>
      </c>
      <c r="L3707" s="26">
        <f t="shared" si="173"/>
        <v>0</v>
      </c>
      <c r="M3707" s="26"/>
    </row>
    <row r="3708" spans="1:13" ht="15" customHeight="1">
      <c r="A3708" s="25">
        <v>1884669</v>
      </c>
      <c r="B3708" s="26" t="s">
        <v>5427</v>
      </c>
      <c r="C3708" s="26" t="s">
        <v>12964</v>
      </c>
      <c r="D3708" s="26" t="s">
        <v>12958</v>
      </c>
      <c r="E3708" s="26" t="s">
        <v>5968</v>
      </c>
      <c r="F3708" s="27">
        <v>6491904</v>
      </c>
      <c r="G3708" s="27">
        <v>1</v>
      </c>
      <c r="H3708" s="27">
        <v>1</v>
      </c>
      <c r="I3708" s="27">
        <v>1</v>
      </c>
      <c r="J3708" s="30">
        <f t="shared" si="171"/>
        <v>1</v>
      </c>
      <c r="K3708" s="30">
        <f t="shared" si="172"/>
        <v>1</v>
      </c>
      <c r="L3708" s="26">
        <f t="shared" si="173"/>
        <v>1</v>
      </c>
      <c r="M3708" s="26"/>
    </row>
    <row r="3709" spans="1:13" ht="15" customHeight="1">
      <c r="A3709" s="25" t="s">
        <v>12965</v>
      </c>
      <c r="B3709" s="26" t="s">
        <v>5423</v>
      </c>
      <c r="C3709" s="26" t="s">
        <v>12966</v>
      </c>
      <c r="D3709" s="26" t="s">
        <v>12931</v>
      </c>
      <c r="E3709" s="26" t="s">
        <v>5891</v>
      </c>
      <c r="F3709" s="27">
        <v>6328740</v>
      </c>
      <c r="G3709" s="27">
        <v>0</v>
      </c>
      <c r="H3709" s="27">
        <v>0</v>
      </c>
      <c r="I3709" s="27">
        <v>0</v>
      </c>
      <c r="J3709" s="30">
        <f t="shared" si="171"/>
        <v>0</v>
      </c>
      <c r="K3709" s="30">
        <f t="shared" si="172"/>
        <v>0</v>
      </c>
      <c r="L3709" s="26">
        <f t="shared" si="173"/>
        <v>0</v>
      </c>
      <c r="M3709" s="26" t="s">
        <v>12967</v>
      </c>
    </row>
    <row r="3710" spans="1:13" ht="15" customHeight="1">
      <c r="A3710" s="25" t="s">
        <v>12968</v>
      </c>
      <c r="B3710" s="26" t="s">
        <v>5427</v>
      </c>
      <c r="C3710" s="26" t="s">
        <v>12969</v>
      </c>
      <c r="D3710" s="26" t="s">
        <v>12958</v>
      </c>
      <c r="E3710" s="26" t="s">
        <v>5522</v>
      </c>
      <c r="F3710" s="27">
        <v>6492907</v>
      </c>
      <c r="G3710" s="27">
        <v>0</v>
      </c>
      <c r="H3710" s="27">
        <v>0</v>
      </c>
      <c r="I3710" s="27">
        <v>0</v>
      </c>
      <c r="J3710" s="30">
        <f t="shared" si="171"/>
        <v>0</v>
      </c>
      <c r="K3710" s="30">
        <f t="shared" si="172"/>
        <v>0</v>
      </c>
      <c r="L3710" s="26">
        <f t="shared" si="173"/>
        <v>0</v>
      </c>
      <c r="M3710" s="26">
        <v>0</v>
      </c>
    </row>
    <row r="3711" spans="1:13" ht="15" customHeight="1">
      <c r="A3711" s="25">
        <v>1884950</v>
      </c>
      <c r="B3711" s="26" t="s">
        <v>5423</v>
      </c>
      <c r="C3711" s="26" t="s">
        <v>12970</v>
      </c>
      <c r="D3711" s="26" t="s">
        <v>12971</v>
      </c>
      <c r="E3711" s="26" t="s">
        <v>8392</v>
      </c>
      <c r="F3711" s="27">
        <v>6480609</v>
      </c>
      <c r="G3711" s="27">
        <v>1</v>
      </c>
      <c r="H3711" s="27">
        <v>0</v>
      </c>
      <c r="I3711" s="27">
        <v>1</v>
      </c>
      <c r="J3711" s="30">
        <f t="shared" si="171"/>
        <v>1</v>
      </c>
      <c r="K3711" s="30">
        <f t="shared" si="172"/>
        <v>0</v>
      </c>
      <c r="L3711" s="26">
        <f t="shared" si="173"/>
        <v>0</v>
      </c>
      <c r="M3711" s="26"/>
    </row>
    <row r="3712" spans="1:13" ht="15" customHeight="1">
      <c r="A3712" s="25" t="s">
        <v>12972</v>
      </c>
      <c r="B3712" s="26" t="s">
        <v>5423</v>
      </c>
      <c r="C3712" s="26" t="s">
        <v>12973</v>
      </c>
      <c r="D3712" s="26" t="s">
        <v>12913</v>
      </c>
      <c r="E3712" s="26" t="s">
        <v>5683</v>
      </c>
      <c r="F3712" s="27">
        <v>5902240</v>
      </c>
      <c r="G3712" s="27">
        <v>1</v>
      </c>
      <c r="H3712" s="27">
        <v>0</v>
      </c>
      <c r="I3712" s="27">
        <v>1</v>
      </c>
      <c r="J3712" s="30">
        <f t="shared" si="171"/>
        <v>1</v>
      </c>
      <c r="K3712" s="30">
        <f t="shared" si="172"/>
        <v>0</v>
      </c>
      <c r="L3712" s="26">
        <f t="shared" si="173"/>
        <v>0</v>
      </c>
      <c r="M3712" s="26"/>
    </row>
    <row r="3713" spans="1:13" ht="15" customHeight="1">
      <c r="A3713" s="25" t="s">
        <v>12974</v>
      </c>
      <c r="B3713" s="26" t="s">
        <v>5427</v>
      </c>
      <c r="C3713" s="26" t="s">
        <v>12975</v>
      </c>
      <c r="D3713" s="26" t="s">
        <v>12931</v>
      </c>
      <c r="E3713" s="26" t="s">
        <v>5480</v>
      </c>
      <c r="F3713" s="27">
        <v>6495181</v>
      </c>
      <c r="G3713" s="27">
        <v>0</v>
      </c>
      <c r="H3713" s="27">
        <v>0</v>
      </c>
      <c r="I3713" s="27">
        <v>0</v>
      </c>
      <c r="J3713" s="30">
        <f t="shared" si="171"/>
        <v>0</v>
      </c>
      <c r="K3713" s="30">
        <f t="shared" si="172"/>
        <v>0</v>
      </c>
      <c r="L3713" s="26">
        <f t="shared" si="173"/>
        <v>0</v>
      </c>
      <c r="M3713" s="26">
        <v>0</v>
      </c>
    </row>
    <row r="3714" spans="1:13" ht="15" customHeight="1">
      <c r="A3714" s="25" t="s">
        <v>12976</v>
      </c>
      <c r="B3714" s="26" t="s">
        <v>5427</v>
      </c>
      <c r="C3714" s="26" t="s">
        <v>12977</v>
      </c>
      <c r="D3714" s="26" t="s">
        <v>12931</v>
      </c>
      <c r="E3714" s="26" t="s">
        <v>5763</v>
      </c>
      <c r="F3714" s="27">
        <v>6494865</v>
      </c>
      <c r="G3714" s="27">
        <v>1</v>
      </c>
      <c r="H3714" s="27">
        <v>0</v>
      </c>
      <c r="I3714" s="27">
        <v>1</v>
      </c>
      <c r="J3714" s="30">
        <f t="shared" ref="J3714:J3777" si="174">IF(G3714&gt;0,1,0)</f>
        <v>1</v>
      </c>
      <c r="K3714" s="30">
        <f t="shared" ref="K3714:K3777" si="175">IF(H3714&gt;0,1,0)</f>
        <v>0</v>
      </c>
      <c r="L3714" s="26">
        <f t="shared" ref="L3714:L3777" si="176">IF(G3714&gt;0,IF(H3714&gt;0,1,0),0)</f>
        <v>0</v>
      </c>
      <c r="M3714" s="26"/>
    </row>
    <row r="3715" spans="1:13" ht="15" customHeight="1">
      <c r="A3715" s="25" t="s">
        <v>12978</v>
      </c>
      <c r="B3715" s="26" t="s">
        <v>5427</v>
      </c>
      <c r="C3715" s="26" t="s">
        <v>12979</v>
      </c>
      <c r="D3715" s="26" t="s">
        <v>12980</v>
      </c>
      <c r="E3715" s="26" t="s">
        <v>5683</v>
      </c>
      <c r="F3715" s="27">
        <v>6470394</v>
      </c>
      <c r="G3715" s="27">
        <v>1</v>
      </c>
      <c r="H3715" s="27">
        <v>1</v>
      </c>
      <c r="I3715" s="27">
        <v>1</v>
      </c>
      <c r="J3715" s="30">
        <f t="shared" si="174"/>
        <v>1</v>
      </c>
      <c r="K3715" s="30">
        <f t="shared" si="175"/>
        <v>1</v>
      </c>
      <c r="L3715" s="26">
        <f t="shared" si="176"/>
        <v>1</v>
      </c>
      <c r="M3715" s="26"/>
    </row>
    <row r="3716" spans="1:13" ht="15" customHeight="1">
      <c r="A3716" s="25" t="s">
        <v>12981</v>
      </c>
      <c r="B3716" s="26" t="s">
        <v>5423</v>
      </c>
      <c r="C3716" s="26" t="s">
        <v>12982</v>
      </c>
      <c r="D3716" s="26" t="s">
        <v>12983</v>
      </c>
      <c r="E3716" s="26" t="s">
        <v>6541</v>
      </c>
      <c r="F3716" s="27">
        <v>6495064</v>
      </c>
      <c r="G3716" s="27">
        <v>1</v>
      </c>
      <c r="H3716" s="27">
        <v>0</v>
      </c>
      <c r="I3716" s="27">
        <v>1</v>
      </c>
      <c r="J3716" s="30">
        <f t="shared" si="174"/>
        <v>1</v>
      </c>
      <c r="K3716" s="30">
        <f t="shared" si="175"/>
        <v>0</v>
      </c>
      <c r="L3716" s="26">
        <f t="shared" si="176"/>
        <v>0</v>
      </c>
      <c r="M3716" s="26"/>
    </row>
    <row r="3717" spans="1:13" ht="15" customHeight="1">
      <c r="A3717" s="25" t="s">
        <v>12984</v>
      </c>
      <c r="B3717" s="26" t="s">
        <v>5427</v>
      </c>
      <c r="C3717" s="26" t="s">
        <v>12985</v>
      </c>
      <c r="D3717" s="26" t="s">
        <v>12913</v>
      </c>
      <c r="E3717" s="26" t="s">
        <v>5654</v>
      </c>
      <c r="F3717" s="27">
        <v>6496532</v>
      </c>
      <c r="G3717" s="27">
        <v>0</v>
      </c>
      <c r="H3717" s="27">
        <v>0</v>
      </c>
      <c r="I3717" s="27">
        <v>0</v>
      </c>
      <c r="J3717" s="30">
        <f t="shared" si="174"/>
        <v>0</v>
      </c>
      <c r="K3717" s="30">
        <f t="shared" si="175"/>
        <v>0</v>
      </c>
      <c r="L3717" s="26">
        <f t="shared" si="176"/>
        <v>0</v>
      </c>
      <c r="M3717" s="26">
        <v>0</v>
      </c>
    </row>
    <row r="3718" spans="1:13" ht="15" customHeight="1">
      <c r="A3718" s="25" t="s">
        <v>12986</v>
      </c>
      <c r="B3718" s="26" t="s">
        <v>5427</v>
      </c>
      <c r="C3718" s="26" t="s">
        <v>12987</v>
      </c>
      <c r="D3718" s="26" t="s">
        <v>12988</v>
      </c>
      <c r="E3718" s="26" t="s">
        <v>5707</v>
      </c>
      <c r="F3718" s="27">
        <v>6496270</v>
      </c>
      <c r="G3718" s="27">
        <v>0</v>
      </c>
      <c r="H3718" s="27">
        <v>1</v>
      </c>
      <c r="I3718" s="27">
        <v>1</v>
      </c>
      <c r="J3718" s="30">
        <f t="shared" si="174"/>
        <v>0</v>
      </c>
      <c r="K3718" s="30">
        <f t="shared" si="175"/>
        <v>1</v>
      </c>
      <c r="L3718" s="26">
        <f t="shared" si="176"/>
        <v>0</v>
      </c>
      <c r="M3718" s="26"/>
    </row>
    <row r="3719" spans="1:13" ht="15" customHeight="1">
      <c r="A3719" s="25" t="s">
        <v>12989</v>
      </c>
      <c r="B3719" s="26" t="s">
        <v>5427</v>
      </c>
      <c r="C3719" s="26" t="s">
        <v>12990</v>
      </c>
      <c r="D3719" s="26" t="s">
        <v>12913</v>
      </c>
      <c r="E3719" s="26" t="s">
        <v>5550</v>
      </c>
      <c r="F3719" s="27">
        <v>5885532</v>
      </c>
      <c r="G3719" s="27">
        <v>0</v>
      </c>
      <c r="H3719" s="27">
        <v>0</v>
      </c>
      <c r="I3719" s="27">
        <v>0</v>
      </c>
      <c r="J3719" s="30">
        <f t="shared" si="174"/>
        <v>0</v>
      </c>
      <c r="K3719" s="30">
        <f t="shared" si="175"/>
        <v>0</v>
      </c>
      <c r="L3719" s="26">
        <f t="shared" si="176"/>
        <v>0</v>
      </c>
      <c r="M3719" s="26" t="s">
        <v>7302</v>
      </c>
    </row>
    <row r="3720" spans="1:13" ht="15" customHeight="1">
      <c r="A3720" s="25" t="s">
        <v>12991</v>
      </c>
      <c r="B3720" s="26" t="s">
        <v>5423</v>
      </c>
      <c r="C3720" s="26" t="s">
        <v>12992</v>
      </c>
      <c r="D3720" s="26" t="s">
        <v>12993</v>
      </c>
      <c r="E3720" s="26" t="s">
        <v>5439</v>
      </c>
      <c r="F3720" s="27">
        <v>6499197</v>
      </c>
      <c r="G3720" s="27">
        <v>1</v>
      </c>
      <c r="H3720" s="27">
        <v>0</v>
      </c>
      <c r="I3720" s="27">
        <v>1</v>
      </c>
      <c r="J3720" s="30">
        <f t="shared" si="174"/>
        <v>1</v>
      </c>
      <c r="K3720" s="30">
        <f t="shared" si="175"/>
        <v>0</v>
      </c>
      <c r="L3720" s="26">
        <f t="shared" si="176"/>
        <v>0</v>
      </c>
      <c r="M3720" s="26"/>
    </row>
    <row r="3721" spans="1:13" ht="15" customHeight="1">
      <c r="A3721" s="25" t="s">
        <v>12994</v>
      </c>
      <c r="B3721" s="26" t="s">
        <v>5423</v>
      </c>
      <c r="C3721" s="26" t="s">
        <v>12995</v>
      </c>
      <c r="D3721" s="26" t="s">
        <v>12993</v>
      </c>
      <c r="E3721" s="26" t="s">
        <v>5535</v>
      </c>
      <c r="F3721" s="27">
        <v>6499241</v>
      </c>
      <c r="G3721" s="27">
        <v>1</v>
      </c>
      <c r="H3721" s="27">
        <v>1</v>
      </c>
      <c r="I3721" s="27">
        <v>1</v>
      </c>
      <c r="J3721" s="30">
        <f t="shared" si="174"/>
        <v>1</v>
      </c>
      <c r="K3721" s="30">
        <f t="shared" si="175"/>
        <v>1</v>
      </c>
      <c r="L3721" s="26">
        <f t="shared" si="176"/>
        <v>1</v>
      </c>
      <c r="M3721" s="26"/>
    </row>
    <row r="3722" spans="1:13" ht="15" customHeight="1">
      <c r="A3722" s="25" t="s">
        <v>12996</v>
      </c>
      <c r="B3722" s="26" t="s">
        <v>5423</v>
      </c>
      <c r="C3722" s="26" t="s">
        <v>12997</v>
      </c>
      <c r="D3722" s="26" t="s">
        <v>12998</v>
      </c>
      <c r="E3722" s="26" t="s">
        <v>5491</v>
      </c>
      <c r="F3722" s="27">
        <v>6499321</v>
      </c>
      <c r="G3722" s="27">
        <v>1</v>
      </c>
      <c r="H3722" s="27">
        <v>1</v>
      </c>
      <c r="I3722" s="27">
        <v>1</v>
      </c>
      <c r="J3722" s="30">
        <f t="shared" si="174"/>
        <v>1</v>
      </c>
      <c r="K3722" s="30">
        <f t="shared" si="175"/>
        <v>1</v>
      </c>
      <c r="L3722" s="26">
        <f t="shared" si="176"/>
        <v>1</v>
      </c>
      <c r="M3722" s="26"/>
    </row>
    <row r="3723" spans="1:13" ht="15" customHeight="1">
      <c r="A3723" s="25" t="s">
        <v>12999</v>
      </c>
      <c r="B3723" s="26" t="s">
        <v>5423</v>
      </c>
      <c r="C3723" s="26" t="s">
        <v>13000</v>
      </c>
      <c r="D3723" s="26" t="s">
        <v>13001</v>
      </c>
      <c r="E3723" s="26" t="s">
        <v>6102</v>
      </c>
      <c r="F3723" s="27">
        <v>6500463</v>
      </c>
      <c r="G3723" s="27">
        <v>1</v>
      </c>
      <c r="H3723" s="27">
        <v>0</v>
      </c>
      <c r="I3723" s="27">
        <v>1</v>
      </c>
      <c r="J3723" s="30">
        <f t="shared" si="174"/>
        <v>1</v>
      </c>
      <c r="K3723" s="30">
        <f t="shared" si="175"/>
        <v>0</v>
      </c>
      <c r="L3723" s="26">
        <f t="shared" si="176"/>
        <v>0</v>
      </c>
      <c r="M3723" s="26"/>
    </row>
    <row r="3724" spans="1:13" ht="15" customHeight="1">
      <c r="A3724" s="25" t="s">
        <v>13002</v>
      </c>
      <c r="B3724" s="26" t="s">
        <v>5423</v>
      </c>
      <c r="C3724" s="26" t="s">
        <v>13003</v>
      </c>
      <c r="D3724" s="26" t="s">
        <v>13004</v>
      </c>
      <c r="E3724" s="26" t="s">
        <v>5535</v>
      </c>
      <c r="F3724" s="27">
        <v>6501176</v>
      </c>
      <c r="G3724" s="27">
        <v>1</v>
      </c>
      <c r="H3724" s="27">
        <v>1</v>
      </c>
      <c r="I3724" s="27">
        <v>1</v>
      </c>
      <c r="J3724" s="30">
        <f t="shared" si="174"/>
        <v>1</v>
      </c>
      <c r="K3724" s="30">
        <f t="shared" si="175"/>
        <v>1</v>
      </c>
      <c r="L3724" s="26">
        <f t="shared" si="176"/>
        <v>1</v>
      </c>
      <c r="M3724" s="26"/>
    </row>
    <row r="3725" spans="1:13" ht="15" customHeight="1">
      <c r="A3725" s="25" t="s">
        <v>13005</v>
      </c>
      <c r="B3725" s="26" t="s">
        <v>5423</v>
      </c>
      <c r="C3725" s="26" t="s">
        <v>13006</v>
      </c>
      <c r="D3725" s="26" t="s">
        <v>13007</v>
      </c>
      <c r="E3725" s="26" t="s">
        <v>5442</v>
      </c>
      <c r="F3725" s="27">
        <v>5859189</v>
      </c>
      <c r="G3725" s="27">
        <v>1</v>
      </c>
      <c r="H3725" s="27">
        <v>1</v>
      </c>
      <c r="I3725" s="27">
        <v>1</v>
      </c>
      <c r="J3725" s="30">
        <f t="shared" si="174"/>
        <v>1</v>
      </c>
      <c r="K3725" s="30">
        <f t="shared" si="175"/>
        <v>1</v>
      </c>
      <c r="L3725" s="26">
        <f t="shared" si="176"/>
        <v>1</v>
      </c>
      <c r="M3725" s="26"/>
    </row>
    <row r="3726" spans="1:13" ht="15" customHeight="1">
      <c r="A3726" s="25" t="s">
        <v>13008</v>
      </c>
      <c r="B3726" s="26" t="s">
        <v>5423</v>
      </c>
      <c r="C3726" s="26" t="s">
        <v>13009</v>
      </c>
      <c r="D3726" s="26" t="s">
        <v>12993</v>
      </c>
      <c r="E3726" s="26" t="s">
        <v>5452</v>
      </c>
      <c r="F3726" s="27">
        <v>6486970</v>
      </c>
      <c r="G3726" s="27">
        <v>0</v>
      </c>
      <c r="H3726" s="27">
        <v>1</v>
      </c>
      <c r="I3726" s="27">
        <v>1</v>
      </c>
      <c r="J3726" s="30">
        <f t="shared" si="174"/>
        <v>0</v>
      </c>
      <c r="K3726" s="30">
        <f t="shared" si="175"/>
        <v>1</v>
      </c>
      <c r="L3726" s="26">
        <f t="shared" si="176"/>
        <v>0</v>
      </c>
      <c r="M3726" s="26"/>
    </row>
    <row r="3727" spans="1:13" ht="15" customHeight="1">
      <c r="A3727" s="25" t="s">
        <v>13010</v>
      </c>
      <c r="B3727" s="26" t="s">
        <v>5427</v>
      </c>
      <c r="C3727" s="26" t="s">
        <v>13011</v>
      </c>
      <c r="D3727" s="26" t="s">
        <v>13012</v>
      </c>
      <c r="E3727" s="26" t="s">
        <v>5475</v>
      </c>
      <c r="F3727" s="27">
        <v>5821287</v>
      </c>
      <c r="G3727" s="27">
        <v>1</v>
      </c>
      <c r="H3727" s="27">
        <v>1</v>
      </c>
      <c r="I3727" s="27">
        <v>1</v>
      </c>
      <c r="J3727" s="30">
        <f t="shared" si="174"/>
        <v>1</v>
      </c>
      <c r="K3727" s="30">
        <f t="shared" si="175"/>
        <v>1</v>
      </c>
      <c r="L3727" s="26">
        <f t="shared" si="176"/>
        <v>1</v>
      </c>
      <c r="M3727" s="26"/>
    </row>
    <row r="3728" spans="1:13" ht="15" customHeight="1">
      <c r="A3728" s="25" t="s">
        <v>13013</v>
      </c>
      <c r="B3728" s="26" t="s">
        <v>5427</v>
      </c>
      <c r="C3728" s="26" t="s">
        <v>13014</v>
      </c>
      <c r="D3728" s="26" t="s">
        <v>12993</v>
      </c>
      <c r="E3728" s="26" t="s">
        <v>5488</v>
      </c>
      <c r="F3728" s="27">
        <v>6502380</v>
      </c>
      <c r="G3728" s="27">
        <v>1</v>
      </c>
      <c r="H3728" s="27">
        <v>1</v>
      </c>
      <c r="I3728" s="27">
        <v>1</v>
      </c>
      <c r="J3728" s="30">
        <f t="shared" si="174"/>
        <v>1</v>
      </c>
      <c r="K3728" s="30">
        <f t="shared" si="175"/>
        <v>1</v>
      </c>
      <c r="L3728" s="26">
        <f t="shared" si="176"/>
        <v>1</v>
      </c>
      <c r="M3728" s="26"/>
    </row>
    <row r="3729" spans="1:13" ht="15" customHeight="1">
      <c r="A3729" s="25" t="s">
        <v>13015</v>
      </c>
      <c r="B3729" s="26" t="s">
        <v>5423</v>
      </c>
      <c r="C3729" s="26" t="s">
        <v>13016</v>
      </c>
      <c r="D3729" s="26" t="s">
        <v>13004</v>
      </c>
      <c r="E3729" s="26" t="s">
        <v>5522</v>
      </c>
      <c r="F3729" s="27">
        <v>6502374</v>
      </c>
      <c r="G3729" s="27">
        <v>1</v>
      </c>
      <c r="H3729" s="27">
        <v>1</v>
      </c>
      <c r="I3729" s="27">
        <v>1</v>
      </c>
      <c r="J3729" s="30">
        <f t="shared" si="174"/>
        <v>1</v>
      </c>
      <c r="K3729" s="30">
        <f t="shared" si="175"/>
        <v>1</v>
      </c>
      <c r="L3729" s="26">
        <f t="shared" si="176"/>
        <v>1</v>
      </c>
      <c r="M3729" s="26"/>
    </row>
    <row r="3730" spans="1:13" ht="15" customHeight="1">
      <c r="A3730" s="25" t="s">
        <v>13017</v>
      </c>
      <c r="B3730" s="26" t="s">
        <v>5427</v>
      </c>
      <c r="C3730" s="26" t="s">
        <v>13018</v>
      </c>
      <c r="D3730" s="26" t="s">
        <v>13019</v>
      </c>
      <c r="E3730" s="26" t="s">
        <v>5610</v>
      </c>
      <c r="F3730" s="27">
        <v>1241610</v>
      </c>
      <c r="G3730" s="27">
        <v>2</v>
      </c>
      <c r="H3730" s="27">
        <v>0</v>
      </c>
      <c r="I3730" s="27">
        <v>1</v>
      </c>
      <c r="J3730" s="30">
        <f t="shared" si="174"/>
        <v>1</v>
      </c>
      <c r="K3730" s="30">
        <f t="shared" si="175"/>
        <v>0</v>
      </c>
      <c r="L3730" s="26">
        <f t="shared" si="176"/>
        <v>0</v>
      </c>
      <c r="M3730" s="26" t="s">
        <v>5611</v>
      </c>
    </row>
    <row r="3731" spans="1:13" ht="15" customHeight="1">
      <c r="A3731" s="25" t="s">
        <v>13020</v>
      </c>
      <c r="B3731" s="26" t="s">
        <v>5423</v>
      </c>
      <c r="C3731" s="26" t="s">
        <v>13021</v>
      </c>
      <c r="D3731" s="26" t="s">
        <v>13019</v>
      </c>
      <c r="E3731" s="26" t="s">
        <v>5504</v>
      </c>
      <c r="F3731" s="27">
        <v>5936782</v>
      </c>
      <c r="G3731" s="27">
        <v>1</v>
      </c>
      <c r="H3731" s="27">
        <v>0</v>
      </c>
      <c r="I3731" s="27">
        <v>1</v>
      </c>
      <c r="J3731" s="30">
        <f t="shared" si="174"/>
        <v>1</v>
      </c>
      <c r="K3731" s="30">
        <f t="shared" si="175"/>
        <v>0</v>
      </c>
      <c r="L3731" s="26">
        <f t="shared" si="176"/>
        <v>0</v>
      </c>
      <c r="M3731" s="26"/>
    </row>
    <row r="3732" spans="1:13" ht="15" customHeight="1">
      <c r="A3732" s="25" t="s">
        <v>13022</v>
      </c>
      <c r="B3732" s="26" t="s">
        <v>5427</v>
      </c>
      <c r="C3732" s="26" t="s">
        <v>13023</v>
      </c>
      <c r="D3732" s="26" t="s">
        <v>12993</v>
      </c>
      <c r="E3732" s="26" t="s">
        <v>5540</v>
      </c>
      <c r="F3732" s="27">
        <v>6502187</v>
      </c>
      <c r="G3732" s="27">
        <v>1</v>
      </c>
      <c r="H3732" s="27">
        <v>1</v>
      </c>
      <c r="I3732" s="27">
        <v>1</v>
      </c>
      <c r="J3732" s="30">
        <f t="shared" si="174"/>
        <v>1</v>
      </c>
      <c r="K3732" s="30">
        <f t="shared" si="175"/>
        <v>1</v>
      </c>
      <c r="L3732" s="26">
        <f t="shared" si="176"/>
        <v>1</v>
      </c>
      <c r="M3732" s="26"/>
    </row>
    <row r="3733" spans="1:13" ht="15" customHeight="1">
      <c r="A3733" s="25" t="s">
        <v>13024</v>
      </c>
      <c r="B3733" s="26" t="s">
        <v>5423</v>
      </c>
      <c r="C3733" s="26" t="s">
        <v>13025</v>
      </c>
      <c r="D3733" s="26" t="s">
        <v>13004</v>
      </c>
      <c r="E3733" s="26" t="s">
        <v>5455</v>
      </c>
      <c r="F3733" s="27">
        <v>4730278</v>
      </c>
      <c r="G3733" s="27">
        <v>1</v>
      </c>
      <c r="H3733" s="27">
        <v>1</v>
      </c>
      <c r="I3733" s="27">
        <v>1</v>
      </c>
      <c r="J3733" s="30">
        <f t="shared" si="174"/>
        <v>1</v>
      </c>
      <c r="K3733" s="30">
        <f t="shared" si="175"/>
        <v>1</v>
      </c>
      <c r="L3733" s="26">
        <f t="shared" si="176"/>
        <v>1</v>
      </c>
      <c r="M3733" s="26"/>
    </row>
    <row r="3734" spans="1:13" ht="15" customHeight="1">
      <c r="A3734" s="25" t="s">
        <v>13026</v>
      </c>
      <c r="B3734" s="26" t="s">
        <v>5423</v>
      </c>
      <c r="C3734" s="26" t="s">
        <v>13027</v>
      </c>
      <c r="D3734" s="26" t="s">
        <v>13028</v>
      </c>
      <c r="E3734" s="26" t="s">
        <v>5447</v>
      </c>
      <c r="F3734" s="27">
        <v>6503666</v>
      </c>
      <c r="G3734" s="27">
        <v>0</v>
      </c>
      <c r="H3734" s="27">
        <v>0</v>
      </c>
      <c r="I3734" s="27">
        <v>0</v>
      </c>
      <c r="J3734" s="30">
        <f t="shared" si="174"/>
        <v>0</v>
      </c>
      <c r="K3734" s="30">
        <f t="shared" si="175"/>
        <v>0</v>
      </c>
      <c r="L3734" s="26">
        <f t="shared" si="176"/>
        <v>0</v>
      </c>
      <c r="M3734" s="26" t="s">
        <v>5567</v>
      </c>
    </row>
    <row r="3735" spans="1:13" ht="15" customHeight="1">
      <c r="A3735" s="25" t="s">
        <v>13029</v>
      </c>
      <c r="B3735" s="26" t="s">
        <v>5423</v>
      </c>
      <c r="C3735" s="26" t="s">
        <v>13030</v>
      </c>
      <c r="D3735" s="26" t="s">
        <v>13031</v>
      </c>
      <c r="E3735" s="26" t="s">
        <v>5968</v>
      </c>
      <c r="F3735" s="27">
        <v>6503663</v>
      </c>
      <c r="G3735" s="27">
        <v>1</v>
      </c>
      <c r="H3735" s="27">
        <v>1</v>
      </c>
      <c r="I3735" s="27">
        <v>1</v>
      </c>
      <c r="J3735" s="30">
        <f t="shared" si="174"/>
        <v>1</v>
      </c>
      <c r="K3735" s="30">
        <f t="shared" si="175"/>
        <v>1</v>
      </c>
      <c r="L3735" s="26">
        <f t="shared" si="176"/>
        <v>1</v>
      </c>
      <c r="M3735" s="26"/>
    </row>
    <row r="3736" spans="1:13" ht="15" customHeight="1">
      <c r="A3736" s="25" t="s">
        <v>13032</v>
      </c>
      <c r="B3736" s="26" t="s">
        <v>5427</v>
      </c>
      <c r="C3736" s="26" t="s">
        <v>13033</v>
      </c>
      <c r="D3736" s="26" t="s">
        <v>13034</v>
      </c>
      <c r="E3736" s="26" t="s">
        <v>5436</v>
      </c>
      <c r="F3736" s="27">
        <v>6498147</v>
      </c>
      <c r="G3736" s="27">
        <v>0</v>
      </c>
      <c r="H3736" s="27">
        <v>0</v>
      </c>
      <c r="I3736" s="27">
        <v>0</v>
      </c>
      <c r="J3736" s="30">
        <f t="shared" si="174"/>
        <v>0</v>
      </c>
      <c r="K3736" s="30">
        <f t="shared" si="175"/>
        <v>0</v>
      </c>
      <c r="L3736" s="26">
        <f t="shared" si="176"/>
        <v>0</v>
      </c>
      <c r="M3736" s="26" t="s">
        <v>5567</v>
      </c>
    </row>
    <row r="3737" spans="1:13" ht="15" customHeight="1">
      <c r="A3737" s="25" t="s">
        <v>13035</v>
      </c>
      <c r="B3737" s="26" t="s">
        <v>5423</v>
      </c>
      <c r="C3737" s="26" t="s">
        <v>13036</v>
      </c>
      <c r="D3737" s="26" t="s">
        <v>13034</v>
      </c>
      <c r="E3737" s="26" t="s">
        <v>5480</v>
      </c>
      <c r="F3737" s="27">
        <v>6472186</v>
      </c>
      <c r="G3737" s="27">
        <v>1</v>
      </c>
      <c r="H3737" s="27">
        <v>0</v>
      </c>
      <c r="I3737" s="27">
        <v>1</v>
      </c>
      <c r="J3737" s="30">
        <f t="shared" si="174"/>
        <v>1</v>
      </c>
      <c r="K3737" s="30">
        <f t="shared" si="175"/>
        <v>0</v>
      </c>
      <c r="L3737" s="26">
        <f t="shared" si="176"/>
        <v>0</v>
      </c>
      <c r="M3737" s="26"/>
    </row>
    <row r="3738" spans="1:13" ht="15" customHeight="1">
      <c r="A3738" s="25" t="s">
        <v>13037</v>
      </c>
      <c r="B3738" s="26" t="s">
        <v>5423</v>
      </c>
      <c r="C3738" s="26" t="s">
        <v>13038</v>
      </c>
      <c r="D3738" s="26" t="s">
        <v>13031</v>
      </c>
      <c r="E3738" s="26" t="s">
        <v>5463</v>
      </c>
      <c r="F3738" s="27">
        <v>6505086</v>
      </c>
      <c r="G3738" s="27">
        <v>1</v>
      </c>
      <c r="H3738" s="27">
        <v>1</v>
      </c>
      <c r="I3738" s="27">
        <v>1</v>
      </c>
      <c r="J3738" s="30">
        <f t="shared" si="174"/>
        <v>1</v>
      </c>
      <c r="K3738" s="30">
        <f t="shared" si="175"/>
        <v>1</v>
      </c>
      <c r="L3738" s="26">
        <f t="shared" si="176"/>
        <v>1</v>
      </c>
      <c r="M3738" s="26"/>
    </row>
    <row r="3739" spans="1:13" ht="15" customHeight="1">
      <c r="A3739" s="25" t="s">
        <v>13039</v>
      </c>
      <c r="B3739" s="26" t="s">
        <v>5427</v>
      </c>
      <c r="C3739" s="26" t="s">
        <v>13040</v>
      </c>
      <c r="D3739" s="26" t="s">
        <v>13034</v>
      </c>
      <c r="E3739" s="26" t="s">
        <v>5522</v>
      </c>
      <c r="F3739" s="27">
        <v>6505891</v>
      </c>
      <c r="G3739" s="27">
        <v>0</v>
      </c>
      <c r="H3739" s="27">
        <v>0</v>
      </c>
      <c r="I3739" s="27">
        <v>0</v>
      </c>
      <c r="J3739" s="30">
        <f t="shared" si="174"/>
        <v>0</v>
      </c>
      <c r="K3739" s="30">
        <f t="shared" si="175"/>
        <v>0</v>
      </c>
      <c r="L3739" s="26">
        <f t="shared" si="176"/>
        <v>0</v>
      </c>
      <c r="M3739" s="26">
        <v>0</v>
      </c>
    </row>
    <row r="3740" spans="1:13" ht="15" customHeight="1">
      <c r="A3740" s="25" t="s">
        <v>13041</v>
      </c>
      <c r="B3740" s="26" t="s">
        <v>5423</v>
      </c>
      <c r="C3740" s="26" t="s">
        <v>13042</v>
      </c>
      <c r="D3740" s="26" t="s">
        <v>13034</v>
      </c>
      <c r="E3740" s="26" t="s">
        <v>5447</v>
      </c>
      <c r="F3740" s="27">
        <v>6505908</v>
      </c>
      <c r="G3740" s="27">
        <v>0</v>
      </c>
      <c r="H3740" s="27">
        <v>0</v>
      </c>
      <c r="I3740" s="27">
        <v>0</v>
      </c>
      <c r="J3740" s="30">
        <f t="shared" si="174"/>
        <v>0</v>
      </c>
      <c r="K3740" s="30">
        <f t="shared" si="175"/>
        <v>0</v>
      </c>
      <c r="L3740" s="26">
        <f t="shared" si="176"/>
        <v>0</v>
      </c>
      <c r="M3740" s="26">
        <v>0</v>
      </c>
    </row>
    <row r="3741" spans="1:13" ht="15" customHeight="1">
      <c r="A3741" s="25" t="s">
        <v>13043</v>
      </c>
      <c r="B3741" s="26" t="s">
        <v>5423</v>
      </c>
      <c r="C3741" s="26" t="s">
        <v>13044</v>
      </c>
      <c r="D3741" s="26" t="s">
        <v>12993</v>
      </c>
      <c r="E3741" s="26" t="s">
        <v>11638</v>
      </c>
      <c r="F3741" s="27">
        <v>5731652</v>
      </c>
      <c r="G3741" s="27">
        <v>1</v>
      </c>
      <c r="H3741" s="27">
        <v>1</v>
      </c>
      <c r="I3741" s="27">
        <v>1</v>
      </c>
      <c r="J3741" s="30">
        <f t="shared" si="174"/>
        <v>1</v>
      </c>
      <c r="K3741" s="30">
        <f t="shared" si="175"/>
        <v>1</v>
      </c>
      <c r="L3741" s="26">
        <f t="shared" si="176"/>
        <v>1</v>
      </c>
      <c r="M3741" s="26"/>
    </row>
    <row r="3742" spans="1:13" ht="15" customHeight="1">
      <c r="A3742" s="25" t="s">
        <v>13045</v>
      </c>
      <c r="B3742" s="26" t="s">
        <v>5423</v>
      </c>
      <c r="C3742" s="26" t="s">
        <v>13046</v>
      </c>
      <c r="D3742" s="26" t="s">
        <v>13034</v>
      </c>
      <c r="E3742" s="26" t="s">
        <v>5968</v>
      </c>
      <c r="F3742" s="27">
        <v>6479033</v>
      </c>
      <c r="G3742" s="27">
        <v>1</v>
      </c>
      <c r="H3742" s="27">
        <v>0</v>
      </c>
      <c r="I3742" s="27">
        <v>1</v>
      </c>
      <c r="J3742" s="30">
        <f t="shared" si="174"/>
        <v>1</v>
      </c>
      <c r="K3742" s="30">
        <f t="shared" si="175"/>
        <v>0</v>
      </c>
      <c r="L3742" s="26">
        <f t="shared" si="176"/>
        <v>0</v>
      </c>
      <c r="M3742" s="26"/>
    </row>
    <row r="3743" spans="1:13" ht="15" customHeight="1">
      <c r="A3743" s="25" t="s">
        <v>13047</v>
      </c>
      <c r="B3743" s="26" t="s">
        <v>5423</v>
      </c>
      <c r="C3743" s="26" t="s">
        <v>13048</v>
      </c>
      <c r="D3743" s="26" t="s">
        <v>13049</v>
      </c>
      <c r="E3743" s="26" t="s">
        <v>5683</v>
      </c>
      <c r="F3743" s="27">
        <v>6498500</v>
      </c>
      <c r="G3743" s="27">
        <v>1</v>
      </c>
      <c r="H3743" s="27">
        <v>0</v>
      </c>
      <c r="I3743" s="27">
        <v>1</v>
      </c>
      <c r="J3743" s="30">
        <f t="shared" si="174"/>
        <v>1</v>
      </c>
      <c r="K3743" s="30">
        <f t="shared" si="175"/>
        <v>0</v>
      </c>
      <c r="L3743" s="26">
        <f t="shared" si="176"/>
        <v>0</v>
      </c>
      <c r="M3743" s="26"/>
    </row>
    <row r="3744" spans="1:13" ht="15" customHeight="1">
      <c r="A3744" s="25" t="s">
        <v>13050</v>
      </c>
      <c r="B3744" s="26" t="s">
        <v>5423</v>
      </c>
      <c r="C3744" s="26" t="s">
        <v>13051</v>
      </c>
      <c r="D3744" s="26" t="s">
        <v>13034</v>
      </c>
      <c r="E3744" s="26" t="s">
        <v>5430</v>
      </c>
      <c r="F3744" s="27">
        <v>6487811</v>
      </c>
      <c r="G3744" s="27">
        <v>1</v>
      </c>
      <c r="H3744" s="27">
        <v>1</v>
      </c>
      <c r="I3744" s="27">
        <v>1</v>
      </c>
      <c r="J3744" s="30">
        <f t="shared" si="174"/>
        <v>1</v>
      </c>
      <c r="K3744" s="30">
        <f t="shared" si="175"/>
        <v>1</v>
      </c>
      <c r="L3744" s="26">
        <f t="shared" si="176"/>
        <v>1</v>
      </c>
      <c r="M3744" s="26"/>
    </row>
    <row r="3745" spans="1:13" ht="15" customHeight="1">
      <c r="A3745" s="25" t="s">
        <v>13052</v>
      </c>
      <c r="B3745" s="26" t="s">
        <v>5423</v>
      </c>
      <c r="C3745" s="26" t="s">
        <v>13053</v>
      </c>
      <c r="D3745" s="26" t="s">
        <v>13054</v>
      </c>
      <c r="E3745" s="26" t="s">
        <v>5475</v>
      </c>
      <c r="F3745" s="27">
        <v>6440281</v>
      </c>
      <c r="G3745" s="27">
        <v>1</v>
      </c>
      <c r="H3745" s="27">
        <v>0</v>
      </c>
      <c r="I3745" s="27">
        <v>1</v>
      </c>
      <c r="J3745" s="30">
        <f t="shared" si="174"/>
        <v>1</v>
      </c>
      <c r="K3745" s="30">
        <f t="shared" si="175"/>
        <v>0</v>
      </c>
      <c r="L3745" s="26">
        <f t="shared" si="176"/>
        <v>0</v>
      </c>
      <c r="M3745" s="26"/>
    </row>
    <row r="3746" spans="1:13" ht="15" customHeight="1">
      <c r="A3746" s="25" t="s">
        <v>13055</v>
      </c>
      <c r="B3746" s="26" t="s">
        <v>5423</v>
      </c>
      <c r="C3746" s="26" t="s">
        <v>13056</v>
      </c>
      <c r="D3746" s="26" t="s">
        <v>13031</v>
      </c>
      <c r="E3746" s="26" t="s">
        <v>5781</v>
      </c>
      <c r="F3746" s="27">
        <v>5029887</v>
      </c>
      <c r="G3746" s="27">
        <v>0</v>
      </c>
      <c r="H3746" s="27">
        <v>0</v>
      </c>
      <c r="I3746" s="27">
        <v>0</v>
      </c>
      <c r="J3746" s="30">
        <f t="shared" si="174"/>
        <v>0</v>
      </c>
      <c r="K3746" s="30">
        <f t="shared" si="175"/>
        <v>0</v>
      </c>
      <c r="L3746" s="26">
        <f t="shared" si="176"/>
        <v>0</v>
      </c>
      <c r="M3746" s="26" t="s">
        <v>7302</v>
      </c>
    </row>
    <row r="3747" spans="1:13" ht="15" customHeight="1">
      <c r="A3747" s="25">
        <v>1890862</v>
      </c>
      <c r="B3747" s="26" t="s">
        <v>5423</v>
      </c>
      <c r="C3747" s="26" t="s">
        <v>13057</v>
      </c>
      <c r="D3747" s="26" t="s">
        <v>13058</v>
      </c>
      <c r="E3747" s="26" t="s">
        <v>5540</v>
      </c>
      <c r="F3747" s="27">
        <v>6307279</v>
      </c>
      <c r="G3747" s="27">
        <v>1</v>
      </c>
      <c r="H3747" s="27">
        <v>1</v>
      </c>
      <c r="I3747" s="27">
        <v>1</v>
      </c>
      <c r="J3747" s="30">
        <f t="shared" si="174"/>
        <v>1</v>
      </c>
      <c r="K3747" s="30">
        <f t="shared" si="175"/>
        <v>1</v>
      </c>
      <c r="L3747" s="26">
        <f t="shared" si="176"/>
        <v>1</v>
      </c>
      <c r="M3747" s="26"/>
    </row>
    <row r="3748" spans="1:13" ht="15" customHeight="1">
      <c r="A3748" s="25" t="s">
        <v>13059</v>
      </c>
      <c r="B3748" s="26" t="s">
        <v>5423</v>
      </c>
      <c r="C3748" s="26" t="s">
        <v>13060</v>
      </c>
      <c r="D3748" s="26" t="s">
        <v>13054</v>
      </c>
      <c r="E3748" s="26" t="s">
        <v>5480</v>
      </c>
      <c r="F3748" s="27">
        <v>6507909</v>
      </c>
      <c r="G3748" s="27">
        <v>0</v>
      </c>
      <c r="H3748" s="27">
        <v>0</v>
      </c>
      <c r="I3748" s="27">
        <v>0</v>
      </c>
      <c r="J3748" s="30">
        <f t="shared" si="174"/>
        <v>0</v>
      </c>
      <c r="K3748" s="30">
        <f t="shared" si="175"/>
        <v>0</v>
      </c>
      <c r="L3748" s="26">
        <f t="shared" si="176"/>
        <v>0</v>
      </c>
      <c r="M3748" s="26">
        <v>0</v>
      </c>
    </row>
    <row r="3749" spans="1:13" ht="15" customHeight="1">
      <c r="A3749" s="25" t="s">
        <v>13061</v>
      </c>
      <c r="B3749" s="26" t="s">
        <v>5423</v>
      </c>
      <c r="C3749" s="26" t="s">
        <v>13062</v>
      </c>
      <c r="D3749" s="26" t="s">
        <v>13063</v>
      </c>
      <c r="E3749" s="26" t="s">
        <v>5433</v>
      </c>
      <c r="F3749" s="27">
        <v>6510542</v>
      </c>
      <c r="G3749" s="27">
        <v>0</v>
      </c>
      <c r="H3749" s="27">
        <v>0</v>
      </c>
      <c r="I3749" s="27">
        <v>0</v>
      </c>
      <c r="J3749" s="30">
        <f t="shared" si="174"/>
        <v>0</v>
      </c>
      <c r="K3749" s="30">
        <f t="shared" si="175"/>
        <v>0</v>
      </c>
      <c r="L3749" s="26">
        <f t="shared" si="176"/>
        <v>0</v>
      </c>
      <c r="M3749" s="26">
        <v>0</v>
      </c>
    </row>
    <row r="3750" spans="1:13" ht="15" customHeight="1">
      <c r="A3750" s="25" t="s">
        <v>13064</v>
      </c>
      <c r="B3750" s="26" t="s">
        <v>5427</v>
      </c>
      <c r="C3750" s="26" t="s">
        <v>13065</v>
      </c>
      <c r="D3750" s="26" t="s">
        <v>13066</v>
      </c>
      <c r="E3750" s="26" t="s">
        <v>5575</v>
      </c>
      <c r="F3750" s="27">
        <v>6509386</v>
      </c>
      <c r="G3750" s="27">
        <v>1</v>
      </c>
      <c r="H3750" s="27">
        <v>1</v>
      </c>
      <c r="I3750" s="27">
        <v>1</v>
      </c>
      <c r="J3750" s="30">
        <f t="shared" si="174"/>
        <v>1</v>
      </c>
      <c r="K3750" s="30">
        <f t="shared" si="175"/>
        <v>1</v>
      </c>
      <c r="L3750" s="26">
        <f t="shared" si="176"/>
        <v>1</v>
      </c>
      <c r="M3750" s="26"/>
    </row>
    <row r="3751" spans="1:13" ht="15" customHeight="1">
      <c r="A3751" s="25" t="s">
        <v>13067</v>
      </c>
      <c r="B3751" s="26" t="s">
        <v>5423</v>
      </c>
      <c r="C3751" s="26" t="s">
        <v>13068</v>
      </c>
      <c r="D3751" s="26" t="s">
        <v>13049</v>
      </c>
      <c r="E3751" s="26" t="s">
        <v>5436</v>
      </c>
      <c r="F3751" s="27">
        <v>6509388</v>
      </c>
      <c r="G3751" s="27">
        <v>1</v>
      </c>
      <c r="H3751" s="27">
        <v>0</v>
      </c>
      <c r="I3751" s="27">
        <v>1</v>
      </c>
      <c r="J3751" s="30">
        <f t="shared" si="174"/>
        <v>1</v>
      </c>
      <c r="K3751" s="30">
        <f t="shared" si="175"/>
        <v>0</v>
      </c>
      <c r="L3751" s="26">
        <f t="shared" si="176"/>
        <v>0</v>
      </c>
      <c r="M3751" s="26"/>
    </row>
    <row r="3752" spans="1:13" ht="15" customHeight="1">
      <c r="A3752" s="25" t="s">
        <v>13069</v>
      </c>
      <c r="B3752" s="26" t="s">
        <v>5427</v>
      </c>
      <c r="C3752" s="26" t="s">
        <v>13070</v>
      </c>
      <c r="D3752" s="26" t="s">
        <v>13071</v>
      </c>
      <c r="E3752" s="26" t="s">
        <v>5468</v>
      </c>
      <c r="F3752" s="27">
        <v>1488225</v>
      </c>
      <c r="G3752" s="27">
        <v>1</v>
      </c>
      <c r="H3752" s="27">
        <v>1</v>
      </c>
      <c r="I3752" s="27">
        <v>1</v>
      </c>
      <c r="J3752" s="30">
        <f t="shared" si="174"/>
        <v>1</v>
      </c>
      <c r="K3752" s="30">
        <f t="shared" si="175"/>
        <v>1</v>
      </c>
      <c r="L3752" s="26">
        <f t="shared" si="176"/>
        <v>1</v>
      </c>
      <c r="M3752" s="26"/>
    </row>
    <row r="3753" spans="1:13" ht="15" customHeight="1">
      <c r="A3753" s="25" t="s">
        <v>13072</v>
      </c>
      <c r="B3753" s="26" t="s">
        <v>5423</v>
      </c>
      <c r="C3753" s="26" t="s">
        <v>13073</v>
      </c>
      <c r="D3753" s="26" t="s">
        <v>13063</v>
      </c>
      <c r="E3753" s="26" t="s">
        <v>5488</v>
      </c>
      <c r="F3753" s="27">
        <v>6484079</v>
      </c>
      <c r="G3753" s="27">
        <v>1</v>
      </c>
      <c r="H3753" s="27">
        <v>0</v>
      </c>
      <c r="I3753" s="27">
        <v>1</v>
      </c>
      <c r="J3753" s="30">
        <f t="shared" si="174"/>
        <v>1</v>
      </c>
      <c r="K3753" s="30">
        <f t="shared" si="175"/>
        <v>0</v>
      </c>
      <c r="L3753" s="26">
        <f t="shared" si="176"/>
        <v>0</v>
      </c>
      <c r="M3753" s="26"/>
    </row>
    <row r="3754" spans="1:13" ht="15" customHeight="1">
      <c r="A3754" s="25" t="s">
        <v>13074</v>
      </c>
      <c r="B3754" s="26" t="s">
        <v>5423</v>
      </c>
      <c r="C3754" s="26" t="s">
        <v>13075</v>
      </c>
      <c r="D3754" s="26" t="s">
        <v>13063</v>
      </c>
      <c r="E3754" s="26" t="s">
        <v>5455</v>
      </c>
      <c r="F3754" s="27">
        <v>6509464</v>
      </c>
      <c r="G3754" s="27">
        <v>1</v>
      </c>
      <c r="H3754" s="27">
        <v>0</v>
      </c>
      <c r="I3754" s="27">
        <v>1</v>
      </c>
      <c r="J3754" s="30">
        <f t="shared" si="174"/>
        <v>1</v>
      </c>
      <c r="K3754" s="30">
        <f t="shared" si="175"/>
        <v>0</v>
      </c>
      <c r="L3754" s="26">
        <f t="shared" si="176"/>
        <v>0</v>
      </c>
      <c r="M3754" s="26"/>
    </row>
    <row r="3755" spans="1:13" ht="15" customHeight="1">
      <c r="A3755" s="25" t="s">
        <v>13076</v>
      </c>
      <c r="B3755" s="26" t="s">
        <v>5427</v>
      </c>
      <c r="C3755" s="26" t="s">
        <v>13077</v>
      </c>
      <c r="D3755" s="26" t="s">
        <v>13066</v>
      </c>
      <c r="E3755" s="26" t="s">
        <v>5430</v>
      </c>
      <c r="F3755" s="27">
        <v>6022485</v>
      </c>
      <c r="G3755" s="27">
        <v>0</v>
      </c>
      <c r="H3755" s="27">
        <v>1</v>
      </c>
      <c r="I3755" s="27">
        <v>1</v>
      </c>
      <c r="J3755" s="30">
        <f t="shared" si="174"/>
        <v>0</v>
      </c>
      <c r="K3755" s="30">
        <f t="shared" si="175"/>
        <v>1</v>
      </c>
      <c r="L3755" s="26">
        <f t="shared" si="176"/>
        <v>0</v>
      </c>
      <c r="M3755" s="26"/>
    </row>
    <row r="3756" spans="1:13" ht="15" customHeight="1">
      <c r="A3756" s="25" t="s">
        <v>13078</v>
      </c>
      <c r="B3756" s="26" t="s">
        <v>5423</v>
      </c>
      <c r="C3756" s="26" t="s">
        <v>13079</v>
      </c>
      <c r="D3756" s="26" t="s">
        <v>13066</v>
      </c>
      <c r="E3756" s="26" t="s">
        <v>5475</v>
      </c>
      <c r="F3756" s="27">
        <v>6511588</v>
      </c>
      <c r="G3756" s="27">
        <v>0</v>
      </c>
      <c r="H3756" s="27">
        <v>0</v>
      </c>
      <c r="I3756" s="27">
        <v>0</v>
      </c>
      <c r="J3756" s="30">
        <f t="shared" si="174"/>
        <v>0</v>
      </c>
      <c r="K3756" s="30">
        <f t="shared" si="175"/>
        <v>0</v>
      </c>
      <c r="L3756" s="26">
        <f t="shared" si="176"/>
        <v>0</v>
      </c>
      <c r="M3756" s="26">
        <v>0</v>
      </c>
    </row>
    <row r="3757" spans="1:13" ht="15" customHeight="1">
      <c r="A3757" s="25" t="s">
        <v>13080</v>
      </c>
      <c r="B3757" s="26" t="s">
        <v>5427</v>
      </c>
      <c r="C3757" s="26" t="s">
        <v>13081</v>
      </c>
      <c r="D3757" s="26" t="s">
        <v>13066</v>
      </c>
      <c r="E3757" s="26" t="s">
        <v>5433</v>
      </c>
      <c r="F3757" s="27">
        <v>6483879</v>
      </c>
      <c r="G3757" s="27">
        <v>1</v>
      </c>
      <c r="H3757" s="27">
        <v>0</v>
      </c>
      <c r="I3757" s="27">
        <v>1</v>
      </c>
      <c r="J3757" s="30">
        <f t="shared" si="174"/>
        <v>1</v>
      </c>
      <c r="K3757" s="30">
        <f t="shared" si="175"/>
        <v>0</v>
      </c>
      <c r="L3757" s="26">
        <f t="shared" si="176"/>
        <v>0</v>
      </c>
      <c r="M3757" s="26"/>
    </row>
    <row r="3758" spans="1:13" ht="15" customHeight="1">
      <c r="A3758" s="25" t="s">
        <v>13082</v>
      </c>
      <c r="B3758" s="26" t="s">
        <v>5427</v>
      </c>
      <c r="C3758" s="26" t="s">
        <v>13083</v>
      </c>
      <c r="D3758" s="26" t="s">
        <v>13066</v>
      </c>
      <c r="E3758" s="26" t="s">
        <v>5763</v>
      </c>
      <c r="F3758" s="27">
        <v>6491021</v>
      </c>
      <c r="G3758" s="27">
        <v>1</v>
      </c>
      <c r="H3758" s="27">
        <v>0</v>
      </c>
      <c r="I3758" s="27">
        <v>1</v>
      </c>
      <c r="J3758" s="30">
        <f t="shared" si="174"/>
        <v>1</v>
      </c>
      <c r="K3758" s="30">
        <f t="shared" si="175"/>
        <v>0</v>
      </c>
      <c r="L3758" s="26">
        <f t="shared" si="176"/>
        <v>0</v>
      </c>
      <c r="M3758" s="26"/>
    </row>
    <row r="3759" spans="1:13" ht="15" customHeight="1">
      <c r="A3759" s="25" t="s">
        <v>13084</v>
      </c>
      <c r="B3759" s="26" t="s">
        <v>5423</v>
      </c>
      <c r="C3759" s="26" t="s">
        <v>13085</v>
      </c>
      <c r="D3759" s="26" t="s">
        <v>12775</v>
      </c>
      <c r="E3759" s="26" t="s">
        <v>5452</v>
      </c>
      <c r="F3759" s="27">
        <v>6512310</v>
      </c>
      <c r="G3759" s="27">
        <v>0</v>
      </c>
      <c r="H3759" s="27">
        <v>0</v>
      </c>
      <c r="I3759" s="27">
        <v>0</v>
      </c>
      <c r="J3759" s="30">
        <f t="shared" si="174"/>
        <v>0</v>
      </c>
      <c r="K3759" s="30">
        <f t="shared" si="175"/>
        <v>0</v>
      </c>
      <c r="L3759" s="26">
        <f t="shared" si="176"/>
        <v>0</v>
      </c>
      <c r="M3759" s="26">
        <v>0</v>
      </c>
    </row>
    <row r="3760" spans="1:13" ht="15" customHeight="1">
      <c r="A3760" s="25" t="s">
        <v>13086</v>
      </c>
      <c r="B3760" s="26" t="s">
        <v>5427</v>
      </c>
      <c r="C3760" s="26" t="s">
        <v>13087</v>
      </c>
      <c r="D3760" s="26" t="s">
        <v>12775</v>
      </c>
      <c r="E3760" s="26" t="s">
        <v>5586</v>
      </c>
      <c r="F3760" s="27">
        <v>6359172</v>
      </c>
      <c r="G3760" s="27">
        <v>0</v>
      </c>
      <c r="H3760" s="27">
        <v>0</v>
      </c>
      <c r="I3760" s="27">
        <v>0</v>
      </c>
      <c r="J3760" s="30">
        <f t="shared" si="174"/>
        <v>0</v>
      </c>
      <c r="K3760" s="30">
        <f t="shared" si="175"/>
        <v>0</v>
      </c>
      <c r="L3760" s="26">
        <f t="shared" si="176"/>
        <v>0</v>
      </c>
      <c r="M3760" s="26" t="s">
        <v>13088</v>
      </c>
    </row>
    <row r="3761" spans="1:13" ht="15" customHeight="1">
      <c r="A3761" s="25" t="s">
        <v>13089</v>
      </c>
      <c r="B3761" s="26" t="s">
        <v>5423</v>
      </c>
      <c r="C3761" s="26" t="s">
        <v>13090</v>
      </c>
      <c r="D3761" s="26" t="s">
        <v>12775</v>
      </c>
      <c r="E3761" s="26" t="s">
        <v>5522</v>
      </c>
      <c r="F3761" s="27">
        <v>6512282</v>
      </c>
      <c r="G3761" s="27">
        <v>0</v>
      </c>
      <c r="H3761" s="27">
        <v>0</v>
      </c>
      <c r="I3761" s="27">
        <v>0</v>
      </c>
      <c r="J3761" s="30">
        <f t="shared" si="174"/>
        <v>0</v>
      </c>
      <c r="K3761" s="30">
        <f t="shared" si="175"/>
        <v>0</v>
      </c>
      <c r="L3761" s="26">
        <f t="shared" si="176"/>
        <v>0</v>
      </c>
      <c r="M3761" s="26">
        <v>0</v>
      </c>
    </row>
    <row r="3762" spans="1:13" ht="15" customHeight="1">
      <c r="A3762" s="25" t="s">
        <v>13091</v>
      </c>
      <c r="B3762" s="26" t="s">
        <v>5423</v>
      </c>
      <c r="C3762" s="26" t="s">
        <v>13092</v>
      </c>
      <c r="D3762" s="26" t="s">
        <v>13093</v>
      </c>
      <c r="E3762" s="26" t="s">
        <v>5463</v>
      </c>
      <c r="F3762" s="27">
        <v>6484331</v>
      </c>
      <c r="G3762" s="27">
        <v>1</v>
      </c>
      <c r="H3762" s="27">
        <v>0</v>
      </c>
      <c r="I3762" s="27">
        <v>1</v>
      </c>
      <c r="J3762" s="30">
        <f t="shared" si="174"/>
        <v>1</v>
      </c>
      <c r="K3762" s="30">
        <f t="shared" si="175"/>
        <v>0</v>
      </c>
      <c r="L3762" s="26">
        <f t="shared" si="176"/>
        <v>0</v>
      </c>
      <c r="M3762" s="26"/>
    </row>
    <row r="3763" spans="1:13" ht="15" customHeight="1">
      <c r="A3763" s="25" t="s">
        <v>13094</v>
      </c>
      <c r="B3763" s="26" t="s">
        <v>5423</v>
      </c>
      <c r="C3763" s="26" t="s">
        <v>13095</v>
      </c>
      <c r="D3763" s="26" t="s">
        <v>13096</v>
      </c>
      <c r="E3763" s="26" t="s">
        <v>5522</v>
      </c>
      <c r="F3763" s="27">
        <v>6478580</v>
      </c>
      <c r="G3763" s="27">
        <v>2</v>
      </c>
      <c r="H3763" s="27">
        <v>1</v>
      </c>
      <c r="I3763" s="27">
        <v>1</v>
      </c>
      <c r="J3763" s="30">
        <f t="shared" si="174"/>
        <v>1</v>
      </c>
      <c r="K3763" s="30">
        <f t="shared" si="175"/>
        <v>1</v>
      </c>
      <c r="L3763" s="26">
        <f t="shared" si="176"/>
        <v>1</v>
      </c>
      <c r="M3763" s="26" t="s">
        <v>5611</v>
      </c>
    </row>
    <row r="3764" spans="1:13" ht="15" customHeight="1">
      <c r="A3764" s="25" t="s">
        <v>13097</v>
      </c>
      <c r="B3764" s="26" t="s">
        <v>5423</v>
      </c>
      <c r="C3764" s="26" t="s">
        <v>13098</v>
      </c>
      <c r="D3764" s="26" t="s">
        <v>13099</v>
      </c>
      <c r="E3764" s="26" t="s">
        <v>5442</v>
      </c>
      <c r="F3764" s="27">
        <v>6513804</v>
      </c>
      <c r="G3764" s="27">
        <v>0</v>
      </c>
      <c r="H3764" s="27">
        <v>0</v>
      </c>
      <c r="I3764" s="27">
        <v>0</v>
      </c>
      <c r="J3764" s="30">
        <f t="shared" si="174"/>
        <v>0</v>
      </c>
      <c r="K3764" s="30">
        <f t="shared" si="175"/>
        <v>0</v>
      </c>
      <c r="L3764" s="26">
        <f t="shared" si="176"/>
        <v>0</v>
      </c>
      <c r="M3764" s="26" t="s">
        <v>13100</v>
      </c>
    </row>
    <row r="3765" spans="1:13" ht="15" customHeight="1">
      <c r="A3765" s="25" t="s">
        <v>13101</v>
      </c>
      <c r="B3765" s="26" t="s">
        <v>5423</v>
      </c>
      <c r="C3765" s="26" t="s">
        <v>13102</v>
      </c>
      <c r="D3765" s="26" t="s">
        <v>12775</v>
      </c>
      <c r="E3765" s="26" t="s">
        <v>5458</v>
      </c>
      <c r="F3765" s="27">
        <v>5138966</v>
      </c>
      <c r="G3765" s="27">
        <v>2</v>
      </c>
      <c r="H3765" s="27">
        <v>1</v>
      </c>
      <c r="I3765" s="27">
        <v>1</v>
      </c>
      <c r="J3765" s="30">
        <f t="shared" si="174"/>
        <v>1</v>
      </c>
      <c r="K3765" s="30">
        <f t="shared" si="175"/>
        <v>1</v>
      </c>
      <c r="L3765" s="26">
        <f t="shared" si="176"/>
        <v>1</v>
      </c>
      <c r="M3765" s="26" t="s">
        <v>5611</v>
      </c>
    </row>
    <row r="3766" spans="1:13" ht="15" customHeight="1">
      <c r="A3766" s="25" t="s">
        <v>13103</v>
      </c>
      <c r="B3766" s="26" t="s">
        <v>5427</v>
      </c>
      <c r="C3766" s="26" t="s">
        <v>13104</v>
      </c>
      <c r="D3766" s="26" t="s">
        <v>13105</v>
      </c>
      <c r="E3766" s="26" t="s">
        <v>5529</v>
      </c>
      <c r="F3766" s="27">
        <v>6043947</v>
      </c>
      <c r="G3766" s="27">
        <v>2</v>
      </c>
      <c r="H3766" s="27">
        <v>1</v>
      </c>
      <c r="I3766" s="27">
        <v>1</v>
      </c>
      <c r="J3766" s="30">
        <f t="shared" si="174"/>
        <v>1</v>
      </c>
      <c r="K3766" s="30">
        <f t="shared" si="175"/>
        <v>1</v>
      </c>
      <c r="L3766" s="26">
        <f t="shared" si="176"/>
        <v>1</v>
      </c>
      <c r="M3766" s="26" t="s">
        <v>5611</v>
      </c>
    </row>
    <row r="3767" spans="1:13" ht="15" customHeight="1">
      <c r="A3767" s="25" t="s">
        <v>13106</v>
      </c>
      <c r="B3767" s="26" t="s">
        <v>5423</v>
      </c>
      <c r="C3767" s="26" t="s">
        <v>13107</v>
      </c>
      <c r="D3767" s="26" t="s">
        <v>13108</v>
      </c>
      <c r="E3767" s="26" t="s">
        <v>5458</v>
      </c>
      <c r="F3767" s="27">
        <v>6513777</v>
      </c>
      <c r="G3767" s="27">
        <v>0</v>
      </c>
      <c r="H3767" s="27">
        <v>0</v>
      </c>
      <c r="I3767" s="27">
        <v>0</v>
      </c>
      <c r="J3767" s="30">
        <f t="shared" si="174"/>
        <v>0</v>
      </c>
      <c r="K3767" s="30">
        <f t="shared" si="175"/>
        <v>0</v>
      </c>
      <c r="L3767" s="26">
        <f t="shared" si="176"/>
        <v>0</v>
      </c>
      <c r="M3767" s="26">
        <v>0</v>
      </c>
    </row>
    <row r="3768" spans="1:13" ht="15" customHeight="1">
      <c r="A3768" s="25" t="s">
        <v>13109</v>
      </c>
      <c r="B3768" s="26" t="s">
        <v>5423</v>
      </c>
      <c r="C3768" s="26" t="s">
        <v>13110</v>
      </c>
      <c r="D3768" s="26" t="s">
        <v>13108</v>
      </c>
      <c r="E3768" s="26" t="s">
        <v>5683</v>
      </c>
      <c r="F3768" s="27">
        <v>6499510</v>
      </c>
      <c r="G3768" s="27">
        <v>1</v>
      </c>
      <c r="H3768" s="27">
        <v>0</v>
      </c>
      <c r="I3768" s="27">
        <v>1</v>
      </c>
      <c r="J3768" s="30">
        <f t="shared" si="174"/>
        <v>1</v>
      </c>
      <c r="K3768" s="30">
        <f t="shared" si="175"/>
        <v>0</v>
      </c>
      <c r="L3768" s="26">
        <f t="shared" si="176"/>
        <v>0</v>
      </c>
      <c r="M3768" s="26"/>
    </row>
    <row r="3769" spans="1:13" ht="15" customHeight="1">
      <c r="A3769" s="25" t="s">
        <v>13111</v>
      </c>
      <c r="B3769" s="26" t="s">
        <v>5427</v>
      </c>
      <c r="C3769" s="26" t="s">
        <v>13112</v>
      </c>
      <c r="D3769" s="26" t="s">
        <v>13096</v>
      </c>
      <c r="E3769" s="26" t="s">
        <v>5426</v>
      </c>
      <c r="F3769" s="27">
        <v>6515477</v>
      </c>
      <c r="G3769" s="27">
        <v>1</v>
      </c>
      <c r="H3769" s="27">
        <v>1</v>
      </c>
      <c r="I3769" s="27">
        <v>1</v>
      </c>
      <c r="J3769" s="30">
        <f t="shared" si="174"/>
        <v>1</v>
      </c>
      <c r="K3769" s="30">
        <f t="shared" si="175"/>
        <v>1</v>
      </c>
      <c r="L3769" s="26">
        <f t="shared" si="176"/>
        <v>1</v>
      </c>
      <c r="M3769" s="26"/>
    </row>
    <row r="3770" spans="1:13" ht="15" customHeight="1">
      <c r="A3770" s="25" t="s">
        <v>13113</v>
      </c>
      <c r="B3770" s="26" t="s">
        <v>5423</v>
      </c>
      <c r="C3770" s="26" t="s">
        <v>13114</v>
      </c>
      <c r="D3770" s="26" t="s">
        <v>13108</v>
      </c>
      <c r="E3770" s="26" t="s">
        <v>5436</v>
      </c>
      <c r="F3770" s="27">
        <v>6516292</v>
      </c>
      <c r="G3770" s="27">
        <v>0</v>
      </c>
      <c r="H3770" s="27">
        <v>0</v>
      </c>
      <c r="I3770" s="27">
        <v>0</v>
      </c>
      <c r="J3770" s="30">
        <f t="shared" si="174"/>
        <v>0</v>
      </c>
      <c r="K3770" s="30">
        <f t="shared" si="175"/>
        <v>0</v>
      </c>
      <c r="L3770" s="26">
        <f t="shared" si="176"/>
        <v>0</v>
      </c>
      <c r="M3770" s="26">
        <v>0</v>
      </c>
    </row>
    <row r="3771" spans="1:13" ht="15" customHeight="1">
      <c r="A3771" s="25" t="s">
        <v>13115</v>
      </c>
      <c r="B3771" s="26" t="s">
        <v>5427</v>
      </c>
      <c r="C3771" s="26" t="s">
        <v>13116</v>
      </c>
      <c r="D3771" s="26" t="s">
        <v>13117</v>
      </c>
      <c r="E3771" s="26" t="s">
        <v>5540</v>
      </c>
      <c r="F3771" s="27">
        <v>6463223</v>
      </c>
      <c r="G3771" s="27">
        <v>2</v>
      </c>
      <c r="H3771" s="27">
        <v>1</v>
      </c>
      <c r="I3771" s="27">
        <v>1</v>
      </c>
      <c r="J3771" s="30">
        <f t="shared" si="174"/>
        <v>1</v>
      </c>
      <c r="K3771" s="30">
        <f t="shared" si="175"/>
        <v>1</v>
      </c>
      <c r="L3771" s="26">
        <f t="shared" si="176"/>
        <v>1</v>
      </c>
      <c r="M3771" s="26" t="s">
        <v>5611</v>
      </c>
    </row>
    <row r="3772" spans="1:13" ht="15" customHeight="1">
      <c r="A3772" s="25">
        <v>1894089</v>
      </c>
      <c r="B3772" s="26" t="s">
        <v>5427</v>
      </c>
      <c r="C3772" s="26" t="s">
        <v>13118</v>
      </c>
      <c r="D3772" s="26" t="s">
        <v>13119</v>
      </c>
      <c r="E3772" s="26" t="s">
        <v>5540</v>
      </c>
      <c r="F3772" s="27">
        <v>6516198</v>
      </c>
      <c r="G3772" s="27">
        <v>0</v>
      </c>
      <c r="H3772" s="27">
        <v>0</v>
      </c>
      <c r="I3772" s="27">
        <v>0</v>
      </c>
      <c r="J3772" s="30">
        <f t="shared" si="174"/>
        <v>0</v>
      </c>
      <c r="K3772" s="30">
        <f t="shared" si="175"/>
        <v>0</v>
      </c>
      <c r="L3772" s="26">
        <f t="shared" si="176"/>
        <v>0</v>
      </c>
      <c r="M3772" s="26">
        <v>0</v>
      </c>
    </row>
    <row r="3773" spans="1:13" ht="15" customHeight="1">
      <c r="A3773" s="25" t="s">
        <v>13120</v>
      </c>
      <c r="B3773" s="26" t="s">
        <v>5427</v>
      </c>
      <c r="C3773" s="26" t="s">
        <v>13121</v>
      </c>
      <c r="D3773" s="26" t="s">
        <v>13122</v>
      </c>
      <c r="E3773" s="26" t="s">
        <v>5545</v>
      </c>
      <c r="F3773" s="27">
        <v>3922807</v>
      </c>
      <c r="G3773" s="27">
        <v>1</v>
      </c>
      <c r="H3773" s="27">
        <v>0</v>
      </c>
      <c r="I3773" s="27">
        <v>1</v>
      </c>
      <c r="J3773" s="30">
        <f t="shared" si="174"/>
        <v>1</v>
      </c>
      <c r="K3773" s="30">
        <f t="shared" si="175"/>
        <v>0</v>
      </c>
      <c r="L3773" s="26">
        <f t="shared" si="176"/>
        <v>0</v>
      </c>
      <c r="M3773" s="26"/>
    </row>
    <row r="3774" spans="1:13" ht="15" customHeight="1">
      <c r="A3774" s="25" t="s">
        <v>13123</v>
      </c>
      <c r="B3774" s="26" t="s">
        <v>5427</v>
      </c>
      <c r="C3774" s="26" t="s">
        <v>13124</v>
      </c>
      <c r="D3774" s="26" t="s">
        <v>13096</v>
      </c>
      <c r="E3774" s="26" t="s">
        <v>5426</v>
      </c>
      <c r="F3774" s="27">
        <v>5613021</v>
      </c>
      <c r="G3774" s="27">
        <v>0</v>
      </c>
      <c r="H3774" s="27">
        <v>0</v>
      </c>
      <c r="I3774" s="27">
        <v>0</v>
      </c>
      <c r="J3774" s="30">
        <f t="shared" si="174"/>
        <v>0</v>
      </c>
      <c r="K3774" s="30">
        <f t="shared" si="175"/>
        <v>0</v>
      </c>
      <c r="L3774" s="26">
        <f t="shared" si="176"/>
        <v>0</v>
      </c>
      <c r="M3774" s="26" t="s">
        <v>7302</v>
      </c>
    </row>
    <row r="3775" spans="1:13" ht="15" customHeight="1">
      <c r="A3775" s="25" t="s">
        <v>13125</v>
      </c>
      <c r="B3775" s="26" t="s">
        <v>5427</v>
      </c>
      <c r="C3775" s="26" t="s">
        <v>13126</v>
      </c>
      <c r="D3775" s="26" t="s">
        <v>13117</v>
      </c>
      <c r="E3775" s="26" t="s">
        <v>5610</v>
      </c>
      <c r="F3775" s="27">
        <v>6508212</v>
      </c>
      <c r="G3775" s="27">
        <v>1</v>
      </c>
      <c r="H3775" s="27">
        <v>1</v>
      </c>
      <c r="I3775" s="27">
        <v>1</v>
      </c>
      <c r="J3775" s="30">
        <f t="shared" si="174"/>
        <v>1</v>
      </c>
      <c r="K3775" s="30">
        <f t="shared" si="175"/>
        <v>1</v>
      </c>
      <c r="L3775" s="26">
        <f t="shared" si="176"/>
        <v>1</v>
      </c>
      <c r="M3775" s="26"/>
    </row>
    <row r="3776" spans="1:13" ht="15" customHeight="1">
      <c r="A3776" s="25" t="s">
        <v>13127</v>
      </c>
      <c r="B3776" s="26" t="s">
        <v>5423</v>
      </c>
      <c r="C3776" s="26" t="s">
        <v>13128</v>
      </c>
      <c r="D3776" s="26" t="s">
        <v>12983</v>
      </c>
      <c r="E3776" s="26" t="s">
        <v>5436</v>
      </c>
      <c r="F3776" s="27">
        <v>6516716</v>
      </c>
      <c r="G3776" s="27">
        <v>1</v>
      </c>
      <c r="H3776" s="27">
        <v>0</v>
      </c>
      <c r="I3776" s="27">
        <v>1</v>
      </c>
      <c r="J3776" s="30">
        <f t="shared" si="174"/>
        <v>1</v>
      </c>
      <c r="K3776" s="30">
        <f t="shared" si="175"/>
        <v>0</v>
      </c>
      <c r="L3776" s="26">
        <f t="shared" si="176"/>
        <v>0</v>
      </c>
      <c r="M3776" s="26"/>
    </row>
    <row r="3777" spans="1:13" ht="15" customHeight="1">
      <c r="A3777" s="25">
        <v>1894318</v>
      </c>
      <c r="B3777" s="26" t="s">
        <v>5423</v>
      </c>
      <c r="C3777" s="26" t="s">
        <v>13129</v>
      </c>
      <c r="D3777" s="26" t="s">
        <v>13130</v>
      </c>
      <c r="E3777" s="26" t="s">
        <v>6541</v>
      </c>
      <c r="F3777" s="27">
        <v>6561277</v>
      </c>
      <c r="G3777" s="27">
        <v>1</v>
      </c>
      <c r="H3777" s="27">
        <v>1</v>
      </c>
      <c r="I3777" s="27">
        <v>1</v>
      </c>
      <c r="J3777" s="30">
        <f t="shared" si="174"/>
        <v>1</v>
      </c>
      <c r="K3777" s="30">
        <f t="shared" si="175"/>
        <v>1</v>
      </c>
      <c r="L3777" s="26">
        <f t="shared" si="176"/>
        <v>1</v>
      </c>
      <c r="M3777" s="26"/>
    </row>
    <row r="3778" spans="1:13" ht="15" customHeight="1">
      <c r="A3778" s="25">
        <v>1894390</v>
      </c>
      <c r="B3778" s="26" t="s">
        <v>5427</v>
      </c>
      <c r="C3778" s="26" t="s">
        <v>13131</v>
      </c>
      <c r="D3778" s="26" t="s">
        <v>13119</v>
      </c>
      <c r="E3778" s="26" t="s">
        <v>5426</v>
      </c>
      <c r="F3778" s="27">
        <v>6516721</v>
      </c>
      <c r="G3778" s="27">
        <v>0</v>
      </c>
      <c r="H3778" s="27">
        <v>0</v>
      </c>
      <c r="I3778" s="27">
        <v>0</v>
      </c>
      <c r="J3778" s="30">
        <f t="shared" ref="J3778:J3841" si="177">IF(G3778&gt;0,1,0)</f>
        <v>0</v>
      </c>
      <c r="K3778" s="30">
        <f t="shared" ref="K3778:K3841" si="178">IF(H3778&gt;0,1,0)</f>
        <v>0</v>
      </c>
      <c r="L3778" s="26">
        <f t="shared" ref="L3778:L3841" si="179">IF(G3778&gt;0,IF(H3778&gt;0,1,0),0)</f>
        <v>0</v>
      </c>
      <c r="M3778" s="26" t="s">
        <v>5567</v>
      </c>
    </row>
    <row r="3779" spans="1:13" ht="15" customHeight="1">
      <c r="A3779" s="25" t="s">
        <v>13132</v>
      </c>
      <c r="B3779" s="26" t="s">
        <v>5427</v>
      </c>
      <c r="C3779" s="26" t="s">
        <v>13133</v>
      </c>
      <c r="D3779" s="26" t="s">
        <v>13122</v>
      </c>
      <c r="E3779" s="26" t="s">
        <v>5968</v>
      </c>
      <c r="F3779" s="27">
        <v>6516741</v>
      </c>
      <c r="G3779" s="27">
        <v>1</v>
      </c>
      <c r="H3779" s="27">
        <v>0</v>
      </c>
      <c r="I3779" s="27">
        <v>1</v>
      </c>
      <c r="J3779" s="30">
        <f t="shared" si="177"/>
        <v>1</v>
      </c>
      <c r="K3779" s="30">
        <f t="shared" si="178"/>
        <v>0</v>
      </c>
      <c r="L3779" s="26">
        <f t="shared" si="179"/>
        <v>0</v>
      </c>
      <c r="M3779" s="26"/>
    </row>
    <row r="3780" spans="1:13" ht="15" customHeight="1">
      <c r="A3780" s="25">
        <v>1894708</v>
      </c>
      <c r="B3780" s="26" t="s">
        <v>5423</v>
      </c>
      <c r="C3780" s="26" t="s">
        <v>13134</v>
      </c>
      <c r="D3780" s="26" t="s">
        <v>13135</v>
      </c>
      <c r="E3780" s="26" t="s">
        <v>5436</v>
      </c>
      <c r="F3780" s="27">
        <v>6517703</v>
      </c>
      <c r="G3780" s="27">
        <v>1</v>
      </c>
      <c r="H3780" s="27">
        <v>0</v>
      </c>
      <c r="I3780" s="27">
        <v>1</v>
      </c>
      <c r="J3780" s="30">
        <f t="shared" si="177"/>
        <v>1</v>
      </c>
      <c r="K3780" s="30">
        <f t="shared" si="178"/>
        <v>0</v>
      </c>
      <c r="L3780" s="26">
        <f t="shared" si="179"/>
        <v>0</v>
      </c>
      <c r="M3780" s="26"/>
    </row>
    <row r="3781" spans="1:13" ht="15" customHeight="1">
      <c r="A3781" s="25" t="s">
        <v>13136</v>
      </c>
      <c r="B3781" s="26" t="s">
        <v>5427</v>
      </c>
      <c r="C3781" s="26" t="s">
        <v>13137</v>
      </c>
      <c r="D3781" s="26" t="s">
        <v>13122</v>
      </c>
      <c r="E3781" s="26" t="s">
        <v>5430</v>
      </c>
      <c r="F3781" s="27">
        <v>6500102</v>
      </c>
      <c r="G3781" s="27">
        <v>1</v>
      </c>
      <c r="H3781" s="27">
        <v>0</v>
      </c>
      <c r="I3781" s="27">
        <v>1</v>
      </c>
      <c r="J3781" s="30">
        <f t="shared" si="177"/>
        <v>1</v>
      </c>
      <c r="K3781" s="30">
        <f t="shared" si="178"/>
        <v>0</v>
      </c>
      <c r="L3781" s="26">
        <f t="shared" si="179"/>
        <v>0</v>
      </c>
      <c r="M3781" s="26"/>
    </row>
    <row r="3782" spans="1:13" ht="15" customHeight="1">
      <c r="A3782" s="25" t="s">
        <v>13138</v>
      </c>
      <c r="B3782" s="26" t="s">
        <v>5427</v>
      </c>
      <c r="C3782" s="26" t="s">
        <v>13139</v>
      </c>
      <c r="D3782" s="26" t="s">
        <v>13122</v>
      </c>
      <c r="E3782" s="26" t="s">
        <v>5488</v>
      </c>
      <c r="F3782" s="27">
        <v>6517997</v>
      </c>
      <c r="G3782" s="27">
        <v>1</v>
      </c>
      <c r="H3782" s="27">
        <v>1</v>
      </c>
      <c r="I3782" s="27">
        <v>1</v>
      </c>
      <c r="J3782" s="30">
        <f t="shared" si="177"/>
        <v>1</v>
      </c>
      <c r="K3782" s="30">
        <f t="shared" si="178"/>
        <v>1</v>
      </c>
      <c r="L3782" s="26">
        <f t="shared" si="179"/>
        <v>1</v>
      </c>
      <c r="M3782" s="26"/>
    </row>
    <row r="3783" spans="1:13" ht="15" customHeight="1">
      <c r="A3783" s="25" t="s">
        <v>13140</v>
      </c>
      <c r="B3783" s="26" t="s">
        <v>5423</v>
      </c>
      <c r="C3783" s="26" t="s">
        <v>13141</v>
      </c>
      <c r="D3783" s="26" t="s">
        <v>13117</v>
      </c>
      <c r="E3783" s="26" t="s">
        <v>5718</v>
      </c>
      <c r="F3783" s="27">
        <v>6274235</v>
      </c>
      <c r="G3783" s="27">
        <v>1</v>
      </c>
      <c r="H3783" s="27">
        <v>1</v>
      </c>
      <c r="I3783" s="27">
        <v>1</v>
      </c>
      <c r="J3783" s="30">
        <f t="shared" si="177"/>
        <v>1</v>
      </c>
      <c r="K3783" s="30">
        <f t="shared" si="178"/>
        <v>1</v>
      </c>
      <c r="L3783" s="26">
        <f t="shared" si="179"/>
        <v>1</v>
      </c>
      <c r="M3783" s="26"/>
    </row>
    <row r="3784" spans="1:13" ht="15" customHeight="1">
      <c r="A3784" s="25" t="s">
        <v>13142</v>
      </c>
      <c r="B3784" s="26" t="s">
        <v>5423</v>
      </c>
      <c r="C3784" s="26" t="s">
        <v>13143</v>
      </c>
      <c r="D3784" s="26" t="s">
        <v>13117</v>
      </c>
      <c r="E3784" s="26" t="s">
        <v>5532</v>
      </c>
      <c r="F3784" s="27">
        <v>6518382</v>
      </c>
      <c r="G3784" s="27">
        <v>0</v>
      </c>
      <c r="H3784" s="27">
        <v>0</v>
      </c>
      <c r="I3784" s="27">
        <v>0</v>
      </c>
      <c r="J3784" s="30">
        <f t="shared" si="177"/>
        <v>0</v>
      </c>
      <c r="K3784" s="30">
        <f t="shared" si="178"/>
        <v>0</v>
      </c>
      <c r="L3784" s="26">
        <f t="shared" si="179"/>
        <v>0</v>
      </c>
      <c r="M3784" s="26">
        <v>0</v>
      </c>
    </row>
    <row r="3785" spans="1:13" ht="15" customHeight="1">
      <c r="A3785" s="25" t="s">
        <v>13144</v>
      </c>
      <c r="B3785" s="26" t="s">
        <v>5427</v>
      </c>
      <c r="C3785" s="26" t="s">
        <v>13145</v>
      </c>
      <c r="D3785" s="26" t="s">
        <v>13146</v>
      </c>
      <c r="E3785" s="26" t="s">
        <v>5480</v>
      </c>
      <c r="F3785" s="27">
        <v>6519920</v>
      </c>
      <c r="G3785" s="27">
        <v>1</v>
      </c>
      <c r="H3785" s="27">
        <v>0</v>
      </c>
      <c r="I3785" s="27">
        <v>1</v>
      </c>
      <c r="J3785" s="30">
        <f t="shared" si="177"/>
        <v>1</v>
      </c>
      <c r="K3785" s="30">
        <f t="shared" si="178"/>
        <v>0</v>
      </c>
      <c r="L3785" s="26">
        <f t="shared" si="179"/>
        <v>0</v>
      </c>
      <c r="M3785" s="26"/>
    </row>
    <row r="3786" spans="1:13" ht="15" customHeight="1">
      <c r="A3786" s="25" t="s">
        <v>13147</v>
      </c>
      <c r="B3786" s="26" t="s">
        <v>5423</v>
      </c>
      <c r="C3786" s="26" t="s">
        <v>13148</v>
      </c>
      <c r="D3786" s="26" t="s">
        <v>12983</v>
      </c>
      <c r="E3786" s="26" t="s">
        <v>5781</v>
      </c>
      <c r="F3786" s="27">
        <v>6520506</v>
      </c>
      <c r="G3786" s="27">
        <v>0</v>
      </c>
      <c r="H3786" s="27">
        <v>0</v>
      </c>
      <c r="I3786" s="27">
        <v>0</v>
      </c>
      <c r="J3786" s="30">
        <f t="shared" si="177"/>
        <v>0</v>
      </c>
      <c r="K3786" s="30">
        <f t="shared" si="178"/>
        <v>0</v>
      </c>
      <c r="L3786" s="26">
        <f t="shared" si="179"/>
        <v>0</v>
      </c>
      <c r="M3786" s="26">
        <v>0</v>
      </c>
    </row>
    <row r="3787" spans="1:13" ht="15" customHeight="1">
      <c r="A3787" s="25" t="s">
        <v>13149</v>
      </c>
      <c r="B3787" s="26" t="s">
        <v>5423</v>
      </c>
      <c r="C3787" s="26" t="s">
        <v>13150</v>
      </c>
      <c r="D3787" s="26" t="s">
        <v>13151</v>
      </c>
      <c r="E3787" s="26" t="s">
        <v>5603</v>
      </c>
      <c r="F3787" s="27">
        <v>5212441</v>
      </c>
      <c r="G3787" s="27">
        <v>0</v>
      </c>
      <c r="H3787" s="27">
        <v>0</v>
      </c>
      <c r="I3787" s="27">
        <v>0</v>
      </c>
      <c r="J3787" s="30">
        <f t="shared" si="177"/>
        <v>0</v>
      </c>
      <c r="K3787" s="30">
        <f t="shared" si="178"/>
        <v>0</v>
      </c>
      <c r="L3787" s="26">
        <f t="shared" si="179"/>
        <v>0</v>
      </c>
      <c r="M3787" s="26" t="s">
        <v>7302</v>
      </c>
    </row>
    <row r="3788" spans="1:13" ht="15" customHeight="1">
      <c r="A3788" s="25" t="s">
        <v>13152</v>
      </c>
      <c r="B3788" s="26" t="s">
        <v>5427</v>
      </c>
      <c r="C3788" s="26" t="s">
        <v>13153</v>
      </c>
      <c r="D3788" s="26" t="s">
        <v>12983</v>
      </c>
      <c r="E3788" s="26" t="s">
        <v>5491</v>
      </c>
      <c r="F3788" s="27">
        <v>6500740</v>
      </c>
      <c r="G3788" s="27">
        <v>1</v>
      </c>
      <c r="H3788" s="27">
        <v>0</v>
      </c>
      <c r="I3788" s="27">
        <v>1</v>
      </c>
      <c r="J3788" s="30">
        <f t="shared" si="177"/>
        <v>1</v>
      </c>
      <c r="K3788" s="30">
        <f t="shared" si="178"/>
        <v>0</v>
      </c>
      <c r="L3788" s="26">
        <f t="shared" si="179"/>
        <v>0</v>
      </c>
      <c r="M3788" s="26"/>
    </row>
    <row r="3789" spans="1:13" ht="15" customHeight="1">
      <c r="A3789" s="25" t="s">
        <v>13154</v>
      </c>
      <c r="B3789" s="26" t="s">
        <v>5423</v>
      </c>
      <c r="C3789" s="26" t="s">
        <v>13155</v>
      </c>
      <c r="D3789" s="26" t="s">
        <v>13099</v>
      </c>
      <c r="E3789" s="26" t="s">
        <v>5436</v>
      </c>
      <c r="F3789" s="27">
        <v>6520061</v>
      </c>
      <c r="G3789" s="27">
        <v>0</v>
      </c>
      <c r="H3789" s="27">
        <v>1</v>
      </c>
      <c r="I3789" s="27">
        <v>1</v>
      </c>
      <c r="J3789" s="30">
        <f t="shared" si="177"/>
        <v>0</v>
      </c>
      <c r="K3789" s="30">
        <f t="shared" si="178"/>
        <v>1</v>
      </c>
      <c r="L3789" s="26">
        <f t="shared" si="179"/>
        <v>0</v>
      </c>
      <c r="M3789" s="26"/>
    </row>
    <row r="3790" spans="1:13" ht="15" customHeight="1">
      <c r="A3790" s="25" t="s">
        <v>13156</v>
      </c>
      <c r="B3790" s="26" t="s">
        <v>5427</v>
      </c>
      <c r="C3790" s="26" t="s">
        <v>13157</v>
      </c>
      <c r="D3790" s="26" t="s">
        <v>13158</v>
      </c>
      <c r="E3790" s="26" t="s">
        <v>5763</v>
      </c>
      <c r="F3790" s="27">
        <v>5724405</v>
      </c>
      <c r="G3790" s="27">
        <v>1</v>
      </c>
      <c r="H3790" s="27">
        <v>0</v>
      </c>
      <c r="I3790" s="27">
        <v>1</v>
      </c>
      <c r="J3790" s="30">
        <f t="shared" si="177"/>
        <v>1</v>
      </c>
      <c r="K3790" s="30">
        <f t="shared" si="178"/>
        <v>0</v>
      </c>
      <c r="L3790" s="26">
        <f t="shared" si="179"/>
        <v>0</v>
      </c>
      <c r="M3790" s="26"/>
    </row>
    <row r="3791" spans="1:13" ht="15" customHeight="1">
      <c r="A3791" s="25" t="s">
        <v>13159</v>
      </c>
      <c r="B3791" s="26" t="s">
        <v>5423</v>
      </c>
      <c r="C3791" s="26" t="s">
        <v>13160</v>
      </c>
      <c r="D3791" s="26" t="s">
        <v>13158</v>
      </c>
      <c r="E3791" s="26" t="s">
        <v>5535</v>
      </c>
      <c r="F3791" s="27">
        <v>6521149</v>
      </c>
      <c r="G3791" s="27">
        <v>1</v>
      </c>
      <c r="H3791" s="27">
        <v>1</v>
      </c>
      <c r="I3791" s="27">
        <v>1</v>
      </c>
      <c r="J3791" s="30">
        <f t="shared" si="177"/>
        <v>1</v>
      </c>
      <c r="K3791" s="30">
        <f t="shared" si="178"/>
        <v>1</v>
      </c>
      <c r="L3791" s="26">
        <f t="shared" si="179"/>
        <v>1</v>
      </c>
      <c r="M3791" s="26"/>
    </row>
    <row r="3792" spans="1:13" ht="15" customHeight="1">
      <c r="A3792" s="25">
        <v>1896285</v>
      </c>
      <c r="B3792" s="26" t="s">
        <v>5423</v>
      </c>
      <c r="C3792" s="26" t="s">
        <v>13161</v>
      </c>
      <c r="D3792" s="26" t="s">
        <v>13162</v>
      </c>
      <c r="E3792" s="26" t="s">
        <v>5504</v>
      </c>
      <c r="F3792" s="27">
        <v>6522447</v>
      </c>
      <c r="G3792" s="27">
        <v>1</v>
      </c>
      <c r="H3792" s="27">
        <v>1</v>
      </c>
      <c r="I3792" s="27">
        <v>1</v>
      </c>
      <c r="J3792" s="30">
        <f t="shared" si="177"/>
        <v>1</v>
      </c>
      <c r="K3792" s="30">
        <f t="shared" si="178"/>
        <v>1</v>
      </c>
      <c r="L3792" s="26">
        <f t="shared" si="179"/>
        <v>1</v>
      </c>
      <c r="M3792" s="26"/>
    </row>
    <row r="3793" spans="1:13" ht="15" customHeight="1">
      <c r="A3793" s="25">
        <v>1896466</v>
      </c>
      <c r="B3793" s="26" t="s">
        <v>5423</v>
      </c>
      <c r="C3793" s="26" t="s">
        <v>13163</v>
      </c>
      <c r="D3793" s="26" t="s">
        <v>13164</v>
      </c>
      <c r="E3793" s="26" t="s">
        <v>5436</v>
      </c>
      <c r="F3793" s="27">
        <v>6523308</v>
      </c>
      <c r="G3793" s="27">
        <v>1</v>
      </c>
      <c r="H3793" s="27">
        <v>0</v>
      </c>
      <c r="I3793" s="27">
        <v>1</v>
      </c>
      <c r="J3793" s="30">
        <f t="shared" si="177"/>
        <v>1</v>
      </c>
      <c r="K3793" s="30">
        <f t="shared" si="178"/>
        <v>0</v>
      </c>
      <c r="L3793" s="26">
        <f t="shared" si="179"/>
        <v>0</v>
      </c>
      <c r="M3793" s="26"/>
    </row>
    <row r="3794" spans="1:13" ht="15" customHeight="1">
      <c r="A3794" s="25" t="s">
        <v>13165</v>
      </c>
      <c r="B3794" s="26" t="s">
        <v>5423</v>
      </c>
      <c r="C3794" s="26" t="s">
        <v>13166</v>
      </c>
      <c r="D3794" s="26" t="s">
        <v>13167</v>
      </c>
      <c r="E3794" s="26" t="s">
        <v>5514</v>
      </c>
      <c r="F3794" s="27">
        <v>6039763</v>
      </c>
      <c r="G3794" s="27">
        <v>0</v>
      </c>
      <c r="H3794" s="27">
        <v>0</v>
      </c>
      <c r="I3794" s="27">
        <v>0</v>
      </c>
      <c r="J3794" s="30">
        <f t="shared" si="177"/>
        <v>0</v>
      </c>
      <c r="K3794" s="30">
        <f t="shared" si="178"/>
        <v>0</v>
      </c>
      <c r="L3794" s="26">
        <f t="shared" si="179"/>
        <v>0</v>
      </c>
      <c r="M3794" s="26">
        <v>0</v>
      </c>
    </row>
    <row r="3795" spans="1:13" ht="15" customHeight="1">
      <c r="A3795" s="25" t="s">
        <v>13168</v>
      </c>
      <c r="B3795" s="26" t="s">
        <v>5423</v>
      </c>
      <c r="C3795" s="26" t="s">
        <v>13169</v>
      </c>
      <c r="D3795" s="26" t="s">
        <v>13167</v>
      </c>
      <c r="E3795" s="26" t="s">
        <v>5683</v>
      </c>
      <c r="F3795" s="27">
        <v>6500029</v>
      </c>
      <c r="G3795" s="27">
        <v>1</v>
      </c>
      <c r="H3795" s="27">
        <v>0</v>
      </c>
      <c r="I3795" s="27">
        <v>1</v>
      </c>
      <c r="J3795" s="30">
        <f t="shared" si="177"/>
        <v>1</v>
      </c>
      <c r="K3795" s="30">
        <f t="shared" si="178"/>
        <v>0</v>
      </c>
      <c r="L3795" s="26">
        <f t="shared" si="179"/>
        <v>0</v>
      </c>
      <c r="M3795" s="26"/>
    </row>
    <row r="3796" spans="1:13" ht="15" customHeight="1">
      <c r="A3796" s="25">
        <v>1896567</v>
      </c>
      <c r="B3796" s="26" t="s">
        <v>5423</v>
      </c>
      <c r="C3796" s="26" t="s">
        <v>13170</v>
      </c>
      <c r="D3796" s="26" t="s">
        <v>13164</v>
      </c>
      <c r="E3796" s="26" t="s">
        <v>5439</v>
      </c>
      <c r="F3796" s="27">
        <v>6520334</v>
      </c>
      <c r="G3796" s="27">
        <v>1</v>
      </c>
      <c r="H3796" s="27">
        <v>0</v>
      </c>
      <c r="I3796" s="27">
        <v>1</v>
      </c>
      <c r="J3796" s="30">
        <f t="shared" si="177"/>
        <v>1</v>
      </c>
      <c r="K3796" s="30">
        <f t="shared" si="178"/>
        <v>0</v>
      </c>
      <c r="L3796" s="26">
        <f t="shared" si="179"/>
        <v>0</v>
      </c>
      <c r="M3796" s="26"/>
    </row>
    <row r="3797" spans="1:13" ht="15" customHeight="1">
      <c r="A3797" s="25" t="s">
        <v>13171</v>
      </c>
      <c r="B3797" s="26" t="s">
        <v>5423</v>
      </c>
      <c r="C3797" s="26" t="s">
        <v>13172</v>
      </c>
      <c r="D3797" s="26" t="s">
        <v>13146</v>
      </c>
      <c r="E3797" s="26" t="s">
        <v>5683</v>
      </c>
      <c r="F3797" s="27">
        <v>6523605</v>
      </c>
      <c r="G3797" s="27">
        <v>1</v>
      </c>
      <c r="H3797" s="27">
        <v>0</v>
      </c>
      <c r="I3797" s="27">
        <v>1</v>
      </c>
      <c r="J3797" s="30">
        <f t="shared" si="177"/>
        <v>1</v>
      </c>
      <c r="K3797" s="30">
        <f t="shared" si="178"/>
        <v>0</v>
      </c>
      <c r="L3797" s="26">
        <f t="shared" si="179"/>
        <v>0</v>
      </c>
      <c r="M3797" s="26"/>
    </row>
    <row r="3798" spans="1:13" ht="15" customHeight="1">
      <c r="A3798" s="25">
        <v>1897024</v>
      </c>
      <c r="B3798" s="26" t="s">
        <v>5427</v>
      </c>
      <c r="C3798" s="26" t="s">
        <v>13173</v>
      </c>
      <c r="D3798" s="26" t="s">
        <v>13164</v>
      </c>
      <c r="E3798" s="26" t="s">
        <v>5522</v>
      </c>
      <c r="F3798" s="27">
        <v>6509926</v>
      </c>
      <c r="G3798" s="27">
        <v>1</v>
      </c>
      <c r="H3798" s="27">
        <v>0</v>
      </c>
      <c r="I3798" s="27">
        <v>1</v>
      </c>
      <c r="J3798" s="30">
        <f t="shared" si="177"/>
        <v>1</v>
      </c>
      <c r="K3798" s="30">
        <f t="shared" si="178"/>
        <v>0</v>
      </c>
      <c r="L3798" s="26">
        <f t="shared" si="179"/>
        <v>0</v>
      </c>
      <c r="M3798" s="26"/>
    </row>
    <row r="3799" spans="1:13" ht="15" customHeight="1">
      <c r="A3799" s="25" t="s">
        <v>13174</v>
      </c>
      <c r="B3799" s="26" t="s">
        <v>5423</v>
      </c>
      <c r="C3799" s="26" t="s">
        <v>13175</v>
      </c>
      <c r="D3799" s="26" t="s">
        <v>13167</v>
      </c>
      <c r="E3799" s="26" t="s">
        <v>5455</v>
      </c>
      <c r="F3799" s="27">
        <v>6525296</v>
      </c>
      <c r="G3799" s="27">
        <v>0</v>
      </c>
      <c r="H3799" s="27">
        <v>0</v>
      </c>
      <c r="I3799" s="27">
        <v>0</v>
      </c>
      <c r="J3799" s="30">
        <f t="shared" si="177"/>
        <v>0</v>
      </c>
      <c r="K3799" s="30">
        <f t="shared" si="178"/>
        <v>0</v>
      </c>
      <c r="L3799" s="26">
        <f t="shared" si="179"/>
        <v>0</v>
      </c>
      <c r="M3799" s="26">
        <v>0</v>
      </c>
    </row>
    <row r="3800" spans="1:13" ht="15" customHeight="1">
      <c r="A3800" s="25" t="s">
        <v>13176</v>
      </c>
      <c r="B3800" s="26" t="s">
        <v>5423</v>
      </c>
      <c r="C3800" s="26" t="s">
        <v>13177</v>
      </c>
      <c r="D3800" s="26" t="s">
        <v>13167</v>
      </c>
      <c r="E3800" s="26" t="s">
        <v>5522</v>
      </c>
      <c r="F3800" s="27">
        <v>6499417</v>
      </c>
      <c r="G3800" s="27">
        <v>1</v>
      </c>
      <c r="H3800" s="27">
        <v>0</v>
      </c>
      <c r="I3800" s="27">
        <v>1</v>
      </c>
      <c r="J3800" s="30">
        <f t="shared" si="177"/>
        <v>1</v>
      </c>
      <c r="K3800" s="30">
        <f t="shared" si="178"/>
        <v>0</v>
      </c>
      <c r="L3800" s="26">
        <f t="shared" si="179"/>
        <v>0</v>
      </c>
      <c r="M3800" s="26"/>
    </row>
    <row r="3801" spans="1:13" ht="15" customHeight="1">
      <c r="A3801" s="25" t="s">
        <v>13178</v>
      </c>
      <c r="B3801" s="26" t="s">
        <v>5423</v>
      </c>
      <c r="C3801" s="26" t="s">
        <v>13179</v>
      </c>
      <c r="D3801" s="26" t="s">
        <v>13167</v>
      </c>
      <c r="E3801" s="26" t="s">
        <v>5491</v>
      </c>
      <c r="F3801" s="27">
        <v>6525148</v>
      </c>
      <c r="G3801" s="27">
        <v>0</v>
      </c>
      <c r="H3801" s="27">
        <v>0</v>
      </c>
      <c r="I3801" s="27">
        <v>0</v>
      </c>
      <c r="J3801" s="30">
        <f t="shared" si="177"/>
        <v>0</v>
      </c>
      <c r="K3801" s="30">
        <f t="shared" si="178"/>
        <v>0</v>
      </c>
      <c r="L3801" s="26">
        <f t="shared" si="179"/>
        <v>0</v>
      </c>
      <c r="M3801" s="26">
        <v>0</v>
      </c>
    </row>
    <row r="3802" spans="1:13" ht="15" customHeight="1">
      <c r="A3802" s="25" t="s">
        <v>13180</v>
      </c>
      <c r="B3802" s="26" t="s">
        <v>5423</v>
      </c>
      <c r="C3802" s="26" t="s">
        <v>13181</v>
      </c>
      <c r="D3802" s="26" t="s">
        <v>13167</v>
      </c>
      <c r="E3802" s="26" t="s">
        <v>5447</v>
      </c>
      <c r="F3802" s="27">
        <v>6485833</v>
      </c>
      <c r="G3802" s="27">
        <v>1</v>
      </c>
      <c r="H3802" s="27">
        <v>0</v>
      </c>
      <c r="I3802" s="27">
        <v>1</v>
      </c>
      <c r="J3802" s="30">
        <f t="shared" si="177"/>
        <v>1</v>
      </c>
      <c r="K3802" s="30">
        <f t="shared" si="178"/>
        <v>0</v>
      </c>
      <c r="L3802" s="26">
        <f t="shared" si="179"/>
        <v>0</v>
      </c>
      <c r="M3802" s="26"/>
    </row>
    <row r="3803" spans="1:13" ht="15" customHeight="1">
      <c r="A3803" s="25">
        <v>1897755</v>
      </c>
      <c r="B3803" s="26" t="s">
        <v>5423</v>
      </c>
      <c r="C3803" s="26" t="s">
        <v>13182</v>
      </c>
      <c r="D3803" s="26" t="s">
        <v>13183</v>
      </c>
      <c r="E3803" s="26" t="s">
        <v>5545</v>
      </c>
      <c r="F3803" s="27">
        <v>6525790</v>
      </c>
      <c r="G3803" s="27">
        <v>1</v>
      </c>
      <c r="H3803" s="27">
        <v>1</v>
      </c>
      <c r="I3803" s="27">
        <v>1</v>
      </c>
      <c r="J3803" s="30">
        <f t="shared" si="177"/>
        <v>1</v>
      </c>
      <c r="K3803" s="30">
        <f t="shared" si="178"/>
        <v>1</v>
      </c>
      <c r="L3803" s="26">
        <f t="shared" si="179"/>
        <v>1</v>
      </c>
      <c r="M3803" s="26"/>
    </row>
    <row r="3804" spans="1:13" ht="15" customHeight="1">
      <c r="A3804" s="25">
        <v>1897839</v>
      </c>
      <c r="B3804" s="26" t="s">
        <v>5423</v>
      </c>
      <c r="C3804" s="26" t="s">
        <v>13184</v>
      </c>
      <c r="D3804" s="26" t="s">
        <v>13135</v>
      </c>
      <c r="E3804" s="26" t="s">
        <v>5458</v>
      </c>
      <c r="F3804" s="27">
        <v>6499379</v>
      </c>
      <c r="G3804" s="27">
        <v>0</v>
      </c>
      <c r="H3804" s="27">
        <v>0</v>
      </c>
      <c r="I3804" s="27">
        <v>0</v>
      </c>
      <c r="J3804" s="30">
        <f t="shared" si="177"/>
        <v>0</v>
      </c>
      <c r="K3804" s="30">
        <f t="shared" si="178"/>
        <v>0</v>
      </c>
      <c r="L3804" s="26">
        <f t="shared" si="179"/>
        <v>0</v>
      </c>
      <c r="M3804" s="26">
        <v>0</v>
      </c>
    </row>
    <row r="3805" spans="1:13" ht="15" customHeight="1">
      <c r="A3805" s="25">
        <v>1898134</v>
      </c>
      <c r="B3805" s="26" t="s">
        <v>5423</v>
      </c>
      <c r="C3805" s="26" t="s">
        <v>13185</v>
      </c>
      <c r="D3805" s="26" t="s">
        <v>13119</v>
      </c>
      <c r="E3805" s="26" t="s">
        <v>5439</v>
      </c>
      <c r="F3805" s="27">
        <v>6526281</v>
      </c>
      <c r="G3805" s="27">
        <v>1</v>
      </c>
      <c r="H3805" s="27">
        <v>0</v>
      </c>
      <c r="I3805" s="27">
        <v>1</v>
      </c>
      <c r="J3805" s="30">
        <f t="shared" si="177"/>
        <v>1</v>
      </c>
      <c r="K3805" s="30">
        <f t="shared" si="178"/>
        <v>0</v>
      </c>
      <c r="L3805" s="26">
        <f t="shared" si="179"/>
        <v>0</v>
      </c>
      <c r="M3805" s="26"/>
    </row>
    <row r="3806" spans="1:13" ht="15" customHeight="1">
      <c r="A3806" s="25">
        <v>1898227</v>
      </c>
      <c r="B3806" s="26" t="s">
        <v>5423</v>
      </c>
      <c r="C3806" s="26" t="s">
        <v>13186</v>
      </c>
      <c r="D3806" s="26" t="s">
        <v>13187</v>
      </c>
      <c r="E3806" s="26" t="s">
        <v>5485</v>
      </c>
      <c r="F3806" s="27">
        <v>6482271</v>
      </c>
      <c r="G3806" s="27">
        <v>1</v>
      </c>
      <c r="H3806" s="27">
        <v>0</v>
      </c>
      <c r="I3806" s="27">
        <v>1</v>
      </c>
      <c r="J3806" s="30">
        <f t="shared" si="177"/>
        <v>1</v>
      </c>
      <c r="K3806" s="30">
        <f t="shared" si="178"/>
        <v>0</v>
      </c>
      <c r="L3806" s="26">
        <f t="shared" si="179"/>
        <v>0</v>
      </c>
      <c r="M3806" s="26"/>
    </row>
    <row r="3807" spans="1:13" ht="15" customHeight="1">
      <c r="A3807" s="25">
        <v>1898432</v>
      </c>
      <c r="B3807" s="26" t="s">
        <v>5423</v>
      </c>
      <c r="C3807" s="26" t="s">
        <v>13188</v>
      </c>
      <c r="D3807" s="26" t="s">
        <v>13119</v>
      </c>
      <c r="E3807" s="26" t="s">
        <v>5436</v>
      </c>
      <c r="F3807" s="27">
        <v>6528459</v>
      </c>
      <c r="G3807" s="27">
        <v>1</v>
      </c>
      <c r="H3807" s="27">
        <v>1</v>
      </c>
      <c r="I3807" s="27">
        <v>1</v>
      </c>
      <c r="J3807" s="30">
        <f t="shared" si="177"/>
        <v>1</v>
      </c>
      <c r="K3807" s="30">
        <f t="shared" si="178"/>
        <v>1</v>
      </c>
      <c r="L3807" s="26">
        <f t="shared" si="179"/>
        <v>1</v>
      </c>
      <c r="M3807" s="26"/>
    </row>
    <row r="3808" spans="1:13" ht="15" customHeight="1">
      <c r="A3808" s="25">
        <v>1898480</v>
      </c>
      <c r="B3808" s="26" t="s">
        <v>5423</v>
      </c>
      <c r="C3808" s="26" t="s">
        <v>13189</v>
      </c>
      <c r="D3808" s="26" t="s">
        <v>13183</v>
      </c>
      <c r="E3808" s="26" t="s">
        <v>5532</v>
      </c>
      <c r="F3808" s="27">
        <v>6527306</v>
      </c>
      <c r="G3808" s="27">
        <v>0</v>
      </c>
      <c r="H3808" s="27">
        <v>0</v>
      </c>
      <c r="I3808" s="27">
        <v>0</v>
      </c>
      <c r="J3808" s="30">
        <f t="shared" si="177"/>
        <v>0</v>
      </c>
      <c r="K3808" s="30">
        <f t="shared" si="178"/>
        <v>0</v>
      </c>
      <c r="L3808" s="26">
        <f t="shared" si="179"/>
        <v>0</v>
      </c>
      <c r="M3808" s="26">
        <v>0</v>
      </c>
    </row>
    <row r="3809" spans="1:13" ht="15" customHeight="1">
      <c r="A3809" s="25">
        <v>1898660</v>
      </c>
      <c r="B3809" s="26" t="s">
        <v>5423</v>
      </c>
      <c r="C3809" s="26" t="s">
        <v>13190</v>
      </c>
      <c r="D3809" s="26" t="s">
        <v>13183</v>
      </c>
      <c r="E3809" s="26" t="s">
        <v>5436</v>
      </c>
      <c r="F3809" s="27">
        <v>6491907</v>
      </c>
      <c r="G3809" s="27">
        <v>1</v>
      </c>
      <c r="H3809" s="27">
        <v>1</v>
      </c>
      <c r="I3809" s="27">
        <v>1</v>
      </c>
      <c r="J3809" s="30">
        <f t="shared" si="177"/>
        <v>1</v>
      </c>
      <c r="K3809" s="30">
        <f t="shared" si="178"/>
        <v>1</v>
      </c>
      <c r="L3809" s="26">
        <f t="shared" si="179"/>
        <v>1</v>
      </c>
      <c r="M3809" s="26"/>
    </row>
    <row r="3810" spans="1:13" ht="15" customHeight="1">
      <c r="A3810" s="25">
        <v>1898746</v>
      </c>
      <c r="B3810" s="26" t="s">
        <v>5427</v>
      </c>
      <c r="C3810" s="26" t="s">
        <v>13191</v>
      </c>
      <c r="D3810" s="26" t="s">
        <v>13192</v>
      </c>
      <c r="E3810" s="26" t="s">
        <v>5968</v>
      </c>
      <c r="F3810" s="27">
        <v>6528542</v>
      </c>
      <c r="G3810" s="27">
        <v>0</v>
      </c>
      <c r="H3810" s="27">
        <v>0</v>
      </c>
      <c r="I3810" s="27">
        <v>0</v>
      </c>
      <c r="J3810" s="30">
        <f t="shared" si="177"/>
        <v>0</v>
      </c>
      <c r="K3810" s="30">
        <f t="shared" si="178"/>
        <v>0</v>
      </c>
      <c r="L3810" s="26">
        <f t="shared" si="179"/>
        <v>0</v>
      </c>
      <c r="M3810" s="26">
        <v>0</v>
      </c>
    </row>
    <row r="3811" spans="1:13" ht="15" customHeight="1">
      <c r="A3811" s="25">
        <v>1898851</v>
      </c>
      <c r="B3811" s="26" t="s">
        <v>5423</v>
      </c>
      <c r="C3811" s="26" t="s">
        <v>13193</v>
      </c>
      <c r="D3811" s="26" t="s">
        <v>13194</v>
      </c>
      <c r="E3811" s="26" t="s">
        <v>5532</v>
      </c>
      <c r="F3811" s="27">
        <v>6489510</v>
      </c>
      <c r="G3811" s="27">
        <v>1</v>
      </c>
      <c r="H3811" s="27">
        <v>0</v>
      </c>
      <c r="I3811" s="27">
        <v>1</v>
      </c>
      <c r="J3811" s="30">
        <f t="shared" si="177"/>
        <v>1</v>
      </c>
      <c r="K3811" s="30">
        <f t="shared" si="178"/>
        <v>0</v>
      </c>
      <c r="L3811" s="26">
        <f t="shared" si="179"/>
        <v>0</v>
      </c>
      <c r="M3811" s="26"/>
    </row>
    <row r="3812" spans="1:13" ht="15" customHeight="1">
      <c r="A3812" s="25">
        <v>1898906</v>
      </c>
      <c r="B3812" s="26" t="s">
        <v>5427</v>
      </c>
      <c r="C3812" s="26" t="s">
        <v>13195</v>
      </c>
      <c r="D3812" s="26" t="s">
        <v>13194</v>
      </c>
      <c r="E3812" s="26" t="s">
        <v>5433</v>
      </c>
      <c r="F3812" s="27">
        <v>6529175</v>
      </c>
      <c r="G3812" s="27">
        <v>0</v>
      </c>
      <c r="H3812" s="27">
        <v>0</v>
      </c>
      <c r="I3812" s="27">
        <v>0</v>
      </c>
      <c r="J3812" s="30">
        <f t="shared" si="177"/>
        <v>0</v>
      </c>
      <c r="K3812" s="30">
        <f t="shared" si="178"/>
        <v>0</v>
      </c>
      <c r="L3812" s="26">
        <f t="shared" si="179"/>
        <v>0</v>
      </c>
      <c r="M3812" s="26">
        <v>0</v>
      </c>
    </row>
    <row r="3813" spans="1:13" ht="15" customHeight="1">
      <c r="A3813" s="25">
        <v>1899065</v>
      </c>
      <c r="B3813" s="26" t="s">
        <v>5423</v>
      </c>
      <c r="C3813" s="26" t="s">
        <v>13196</v>
      </c>
      <c r="D3813" s="26" t="s">
        <v>13194</v>
      </c>
      <c r="E3813" s="26" t="s">
        <v>5514</v>
      </c>
      <c r="F3813" s="27">
        <v>6468872</v>
      </c>
      <c r="G3813" s="27">
        <v>1</v>
      </c>
      <c r="H3813" s="27">
        <v>1</v>
      </c>
      <c r="I3813" s="27">
        <v>1</v>
      </c>
      <c r="J3813" s="30">
        <f t="shared" si="177"/>
        <v>1</v>
      </c>
      <c r="K3813" s="30">
        <f t="shared" si="178"/>
        <v>1</v>
      </c>
      <c r="L3813" s="26">
        <f t="shared" si="179"/>
        <v>1</v>
      </c>
      <c r="M3813" s="26"/>
    </row>
    <row r="3814" spans="1:13" ht="15" customHeight="1">
      <c r="A3814" s="25">
        <v>1899089</v>
      </c>
      <c r="B3814" s="26" t="s">
        <v>5427</v>
      </c>
      <c r="C3814" s="26" t="s">
        <v>13197</v>
      </c>
      <c r="D3814" s="26" t="s">
        <v>13194</v>
      </c>
      <c r="E3814" s="26" t="s">
        <v>5540</v>
      </c>
      <c r="F3814" s="27">
        <v>6510502</v>
      </c>
      <c r="G3814" s="27">
        <v>1</v>
      </c>
      <c r="H3814" s="27">
        <v>0</v>
      </c>
      <c r="I3814" s="27">
        <v>1</v>
      </c>
      <c r="J3814" s="30">
        <f t="shared" si="177"/>
        <v>1</v>
      </c>
      <c r="K3814" s="30">
        <f t="shared" si="178"/>
        <v>0</v>
      </c>
      <c r="L3814" s="26">
        <f t="shared" si="179"/>
        <v>0</v>
      </c>
      <c r="M3814" s="26"/>
    </row>
    <row r="3815" spans="1:13" ht="15" customHeight="1">
      <c r="A3815" s="25">
        <v>1899195</v>
      </c>
      <c r="B3815" s="26" t="s">
        <v>5423</v>
      </c>
      <c r="C3815" s="26" t="s">
        <v>13198</v>
      </c>
      <c r="D3815" s="26" t="s">
        <v>13192</v>
      </c>
      <c r="E3815" s="26" t="s">
        <v>5452</v>
      </c>
      <c r="F3815" s="27">
        <v>6528667</v>
      </c>
      <c r="G3815" s="27">
        <v>1</v>
      </c>
      <c r="H3815" s="27">
        <v>1</v>
      </c>
      <c r="I3815" s="27">
        <v>1</v>
      </c>
      <c r="J3815" s="30">
        <f t="shared" si="177"/>
        <v>1</v>
      </c>
      <c r="K3815" s="30">
        <f t="shared" si="178"/>
        <v>1</v>
      </c>
      <c r="L3815" s="26">
        <f t="shared" si="179"/>
        <v>1</v>
      </c>
      <c r="M3815" s="26"/>
    </row>
    <row r="3816" spans="1:13" ht="14.25" customHeight="1">
      <c r="A3816" s="25">
        <v>1899370</v>
      </c>
      <c r="B3816" s="26" t="s">
        <v>5427</v>
      </c>
      <c r="C3816" s="26" t="s">
        <v>13199</v>
      </c>
      <c r="D3816" s="26" t="s">
        <v>13192</v>
      </c>
      <c r="E3816" s="26" t="s">
        <v>5491</v>
      </c>
      <c r="F3816" s="27">
        <v>6437169</v>
      </c>
      <c r="G3816" s="27">
        <v>1</v>
      </c>
      <c r="H3816" s="27">
        <v>0</v>
      </c>
      <c r="I3816" s="27">
        <v>1</v>
      </c>
      <c r="J3816" s="30">
        <f t="shared" si="177"/>
        <v>1</v>
      </c>
      <c r="K3816" s="30">
        <f t="shared" si="178"/>
        <v>0</v>
      </c>
      <c r="L3816" s="26">
        <f t="shared" si="179"/>
        <v>0</v>
      </c>
      <c r="M3816" s="26"/>
    </row>
    <row r="3817" spans="1:13" ht="14.25" customHeight="1">
      <c r="A3817" s="25">
        <v>1899463</v>
      </c>
      <c r="B3817" s="26" t="s">
        <v>5427</v>
      </c>
      <c r="C3817" s="26" t="s">
        <v>13200</v>
      </c>
      <c r="D3817" s="26" t="s">
        <v>13201</v>
      </c>
      <c r="E3817" s="26" t="s">
        <v>5891</v>
      </c>
      <c r="F3817" s="27">
        <v>6511911</v>
      </c>
      <c r="G3817" s="27">
        <v>1</v>
      </c>
      <c r="H3817" s="27">
        <v>0</v>
      </c>
      <c r="I3817" s="27">
        <v>1</v>
      </c>
      <c r="J3817" s="30">
        <f t="shared" si="177"/>
        <v>1</v>
      </c>
      <c r="K3817" s="30">
        <f t="shared" si="178"/>
        <v>0</v>
      </c>
      <c r="L3817" s="26">
        <f t="shared" si="179"/>
        <v>0</v>
      </c>
      <c r="M3817" s="26"/>
    </row>
    <row r="3818" spans="1:13" ht="14.25" customHeight="1">
      <c r="A3818" s="25">
        <v>1899503</v>
      </c>
      <c r="B3818" s="26" t="s">
        <v>5427</v>
      </c>
      <c r="C3818" s="26" t="s">
        <v>13202</v>
      </c>
      <c r="D3818" s="26" t="s">
        <v>13201</v>
      </c>
      <c r="E3818" s="26" t="s">
        <v>5430</v>
      </c>
      <c r="F3818" s="27">
        <v>6350905</v>
      </c>
      <c r="G3818" s="27">
        <v>1</v>
      </c>
      <c r="H3818" s="27">
        <v>1</v>
      </c>
      <c r="I3818" s="27">
        <v>1</v>
      </c>
      <c r="J3818" s="30">
        <f t="shared" si="177"/>
        <v>1</v>
      </c>
      <c r="K3818" s="30">
        <f t="shared" si="178"/>
        <v>1</v>
      </c>
      <c r="L3818" s="26">
        <f t="shared" si="179"/>
        <v>1</v>
      </c>
      <c r="M3818" s="26"/>
    </row>
    <row r="3819" spans="1:13" ht="14.25" customHeight="1">
      <c r="A3819" s="25">
        <v>1899708</v>
      </c>
      <c r="B3819" s="26" t="s">
        <v>5423</v>
      </c>
      <c r="C3819" s="26" t="s">
        <v>13203</v>
      </c>
      <c r="D3819" s="26" t="s">
        <v>13204</v>
      </c>
      <c r="E3819" s="26" t="s">
        <v>5452</v>
      </c>
      <c r="F3819" s="27">
        <v>6530715</v>
      </c>
      <c r="G3819" s="27">
        <v>1</v>
      </c>
      <c r="H3819" s="27">
        <v>1</v>
      </c>
      <c r="I3819" s="27">
        <v>1</v>
      </c>
      <c r="J3819" s="30">
        <f t="shared" si="177"/>
        <v>1</v>
      </c>
      <c r="K3819" s="30">
        <f t="shared" si="178"/>
        <v>1</v>
      </c>
      <c r="L3819" s="26">
        <f t="shared" si="179"/>
        <v>1</v>
      </c>
      <c r="M3819" s="26"/>
    </row>
    <row r="3820" spans="1:13" ht="14.25" customHeight="1">
      <c r="A3820" s="25">
        <v>1899720</v>
      </c>
      <c r="B3820" s="26" t="s">
        <v>5423</v>
      </c>
      <c r="C3820" s="26" t="s">
        <v>13205</v>
      </c>
      <c r="D3820" s="26" t="s">
        <v>13206</v>
      </c>
      <c r="E3820" s="26" t="s">
        <v>5504</v>
      </c>
      <c r="F3820" s="27">
        <v>6530717</v>
      </c>
      <c r="G3820" s="27">
        <v>1</v>
      </c>
      <c r="H3820" s="27">
        <v>1</v>
      </c>
      <c r="I3820" s="27">
        <v>1</v>
      </c>
      <c r="J3820" s="30">
        <f t="shared" si="177"/>
        <v>1</v>
      </c>
      <c r="K3820" s="30">
        <f t="shared" si="178"/>
        <v>1</v>
      </c>
      <c r="L3820" s="26">
        <f t="shared" si="179"/>
        <v>1</v>
      </c>
      <c r="M3820" s="26"/>
    </row>
    <row r="3821" spans="1:13" ht="14.25" customHeight="1">
      <c r="A3821" s="25">
        <v>1899848</v>
      </c>
      <c r="B3821" s="26" t="s">
        <v>5427</v>
      </c>
      <c r="C3821" s="26" t="s">
        <v>13207</v>
      </c>
      <c r="D3821" s="26" t="s">
        <v>13201</v>
      </c>
      <c r="E3821" s="26" t="s">
        <v>5610</v>
      </c>
      <c r="F3821" s="27">
        <v>5680478</v>
      </c>
      <c r="G3821" s="27">
        <v>1</v>
      </c>
      <c r="H3821" s="27">
        <v>0</v>
      </c>
      <c r="I3821" s="27">
        <v>1</v>
      </c>
      <c r="J3821" s="30">
        <f t="shared" si="177"/>
        <v>1</v>
      </c>
      <c r="K3821" s="30">
        <f t="shared" si="178"/>
        <v>0</v>
      </c>
      <c r="L3821" s="26">
        <f t="shared" si="179"/>
        <v>0</v>
      </c>
      <c r="M3821" s="26" t="s">
        <v>9595</v>
      </c>
    </row>
    <row r="3822" spans="1:13" ht="14.25" customHeight="1">
      <c r="A3822" s="25">
        <v>1899862</v>
      </c>
      <c r="B3822" s="26" t="s">
        <v>5423</v>
      </c>
      <c r="C3822" s="26" t="s">
        <v>13208</v>
      </c>
      <c r="D3822" s="26" t="s">
        <v>13206</v>
      </c>
      <c r="E3822" s="26" t="s">
        <v>5522</v>
      </c>
      <c r="F3822" s="27">
        <v>6530861</v>
      </c>
      <c r="G3822" s="27">
        <v>1</v>
      </c>
      <c r="H3822" s="27">
        <v>1</v>
      </c>
      <c r="I3822" s="27">
        <v>1</v>
      </c>
      <c r="J3822" s="30">
        <f t="shared" si="177"/>
        <v>1</v>
      </c>
      <c r="K3822" s="30">
        <f t="shared" si="178"/>
        <v>1</v>
      </c>
      <c r="L3822" s="26">
        <f t="shared" si="179"/>
        <v>1</v>
      </c>
      <c r="M3822" s="26"/>
    </row>
    <row r="3823" spans="1:13" ht="14.25" customHeight="1">
      <c r="A3823" s="25">
        <v>1899995</v>
      </c>
      <c r="B3823" s="26" t="s">
        <v>5427</v>
      </c>
      <c r="C3823" s="26" t="s">
        <v>13209</v>
      </c>
      <c r="D3823" s="26" t="s">
        <v>13210</v>
      </c>
      <c r="E3823" s="26" t="s">
        <v>5433</v>
      </c>
      <c r="F3823" s="27">
        <v>6532906</v>
      </c>
      <c r="G3823" s="27">
        <v>0</v>
      </c>
      <c r="H3823" s="27">
        <v>0</v>
      </c>
      <c r="I3823" s="27">
        <v>0</v>
      </c>
      <c r="J3823" s="30">
        <f t="shared" si="177"/>
        <v>0</v>
      </c>
      <c r="K3823" s="30">
        <f t="shared" si="178"/>
        <v>0</v>
      </c>
      <c r="L3823" s="26">
        <f t="shared" si="179"/>
        <v>0</v>
      </c>
      <c r="M3823" s="26">
        <v>0</v>
      </c>
    </row>
    <row r="3824" spans="1:13" ht="14.25" customHeight="1">
      <c r="A3824" s="25">
        <v>1900123</v>
      </c>
      <c r="B3824" s="26" t="s">
        <v>5427</v>
      </c>
      <c r="C3824" s="26" t="s">
        <v>13211</v>
      </c>
      <c r="D3824" s="26" t="s">
        <v>13212</v>
      </c>
      <c r="E3824" s="26" t="s">
        <v>5610</v>
      </c>
      <c r="F3824" s="27">
        <v>6532046</v>
      </c>
      <c r="G3824" s="27">
        <v>1</v>
      </c>
      <c r="H3824" s="27">
        <v>1</v>
      </c>
      <c r="I3824" s="27">
        <v>1</v>
      </c>
      <c r="J3824" s="30">
        <f t="shared" si="177"/>
        <v>1</v>
      </c>
      <c r="K3824" s="30">
        <f t="shared" si="178"/>
        <v>1</v>
      </c>
      <c r="L3824" s="26">
        <f t="shared" si="179"/>
        <v>1</v>
      </c>
      <c r="M3824" s="26"/>
    </row>
    <row r="3825" spans="1:13" ht="14.25" customHeight="1">
      <c r="A3825" s="25">
        <v>1900179</v>
      </c>
      <c r="B3825" s="26" t="s">
        <v>5423</v>
      </c>
      <c r="C3825" s="26" t="s">
        <v>13213</v>
      </c>
      <c r="D3825" s="26" t="s">
        <v>13210</v>
      </c>
      <c r="E3825" s="26" t="s">
        <v>5683</v>
      </c>
      <c r="F3825" s="27">
        <v>5696282</v>
      </c>
      <c r="G3825" s="27">
        <v>1</v>
      </c>
      <c r="H3825" s="27">
        <v>1</v>
      </c>
      <c r="I3825" s="27">
        <v>1</v>
      </c>
      <c r="J3825" s="30">
        <f t="shared" si="177"/>
        <v>1</v>
      </c>
      <c r="K3825" s="30">
        <f t="shared" si="178"/>
        <v>1</v>
      </c>
      <c r="L3825" s="26">
        <f t="shared" si="179"/>
        <v>1</v>
      </c>
      <c r="M3825" s="26"/>
    </row>
    <row r="3826" spans="1:13" ht="14.25" customHeight="1">
      <c r="A3826" s="25">
        <v>1900346</v>
      </c>
      <c r="B3826" s="26" t="s">
        <v>5423</v>
      </c>
      <c r="C3826" s="26" t="s">
        <v>13214</v>
      </c>
      <c r="D3826" s="26" t="s">
        <v>13215</v>
      </c>
      <c r="E3826" s="26" t="s">
        <v>5475</v>
      </c>
      <c r="F3826" s="27">
        <v>6532096</v>
      </c>
      <c r="G3826" s="27">
        <v>0</v>
      </c>
      <c r="H3826" s="27">
        <v>0</v>
      </c>
      <c r="I3826" s="27">
        <v>0</v>
      </c>
      <c r="J3826" s="30">
        <f t="shared" si="177"/>
        <v>0</v>
      </c>
      <c r="K3826" s="30">
        <f t="shared" si="178"/>
        <v>0</v>
      </c>
      <c r="L3826" s="26">
        <f t="shared" si="179"/>
        <v>0</v>
      </c>
      <c r="M3826" s="26">
        <v>0</v>
      </c>
    </row>
    <row r="3827" spans="1:13" ht="14.25" customHeight="1">
      <c r="A3827" s="25">
        <v>1900970</v>
      </c>
      <c r="B3827" s="26" t="s">
        <v>5427</v>
      </c>
      <c r="C3827" s="26" t="s">
        <v>13216</v>
      </c>
      <c r="D3827" s="26" t="s">
        <v>13217</v>
      </c>
      <c r="E3827" s="26" t="s">
        <v>5485</v>
      </c>
      <c r="F3827" s="27">
        <v>6533844</v>
      </c>
      <c r="G3827" s="27">
        <v>1</v>
      </c>
      <c r="H3827" s="27">
        <v>1</v>
      </c>
      <c r="I3827" s="27">
        <v>1</v>
      </c>
      <c r="J3827" s="30">
        <f t="shared" si="177"/>
        <v>1</v>
      </c>
      <c r="K3827" s="30">
        <f t="shared" si="178"/>
        <v>1</v>
      </c>
      <c r="L3827" s="26">
        <f t="shared" si="179"/>
        <v>1</v>
      </c>
      <c r="M3827" s="26"/>
    </row>
    <row r="3828" spans="1:13" ht="14.25" customHeight="1">
      <c r="A3828" s="25">
        <v>1901174</v>
      </c>
      <c r="B3828" s="26" t="s">
        <v>5423</v>
      </c>
      <c r="C3828" s="26" t="s">
        <v>13218</v>
      </c>
      <c r="D3828" s="26" t="s">
        <v>13219</v>
      </c>
      <c r="E3828" s="26" t="s">
        <v>5707</v>
      </c>
      <c r="F3828" s="27">
        <v>6524086</v>
      </c>
      <c r="G3828" s="27">
        <v>1</v>
      </c>
      <c r="H3828" s="27">
        <v>1</v>
      </c>
      <c r="I3828" s="27">
        <v>1</v>
      </c>
      <c r="J3828" s="30">
        <f t="shared" si="177"/>
        <v>1</v>
      </c>
      <c r="K3828" s="30">
        <f t="shared" si="178"/>
        <v>1</v>
      </c>
      <c r="L3828" s="26">
        <f t="shared" si="179"/>
        <v>1</v>
      </c>
      <c r="M3828" s="26"/>
    </row>
    <row r="3829" spans="1:13" ht="14.25" customHeight="1">
      <c r="A3829" s="25">
        <v>1901468</v>
      </c>
      <c r="B3829" s="26" t="s">
        <v>5423</v>
      </c>
      <c r="C3829" s="26" t="s">
        <v>13220</v>
      </c>
      <c r="D3829" s="26" t="s">
        <v>13221</v>
      </c>
      <c r="E3829" s="26" t="s">
        <v>5436</v>
      </c>
      <c r="F3829" s="27">
        <v>6536251</v>
      </c>
      <c r="G3829" s="27">
        <v>0</v>
      </c>
      <c r="H3829" s="27">
        <v>0</v>
      </c>
      <c r="I3829" s="27">
        <v>0</v>
      </c>
      <c r="J3829" s="30">
        <f t="shared" si="177"/>
        <v>0</v>
      </c>
      <c r="K3829" s="30">
        <f t="shared" si="178"/>
        <v>0</v>
      </c>
      <c r="L3829" s="26">
        <f t="shared" si="179"/>
        <v>0</v>
      </c>
      <c r="M3829" s="26">
        <v>0</v>
      </c>
    </row>
    <row r="3830" spans="1:13" ht="14.25" customHeight="1">
      <c r="A3830" s="25">
        <v>1901470</v>
      </c>
      <c r="B3830" s="26" t="s">
        <v>5423</v>
      </c>
      <c r="C3830" s="26" t="s">
        <v>13222</v>
      </c>
      <c r="D3830" s="26" t="s">
        <v>13221</v>
      </c>
      <c r="E3830" s="26" t="s">
        <v>5468</v>
      </c>
      <c r="F3830" s="27">
        <v>6536241</v>
      </c>
      <c r="G3830" s="27">
        <v>0</v>
      </c>
      <c r="H3830" s="27">
        <v>0</v>
      </c>
      <c r="I3830" s="27">
        <v>0</v>
      </c>
      <c r="J3830" s="30">
        <f t="shared" si="177"/>
        <v>0</v>
      </c>
      <c r="K3830" s="30">
        <f t="shared" si="178"/>
        <v>0</v>
      </c>
      <c r="L3830" s="26">
        <f t="shared" si="179"/>
        <v>0</v>
      </c>
      <c r="M3830" s="26">
        <v>0</v>
      </c>
    </row>
    <row r="3831" spans="1:13" ht="14.25" customHeight="1">
      <c r="A3831" s="25">
        <v>1901519</v>
      </c>
      <c r="B3831" s="26" t="s">
        <v>5427</v>
      </c>
      <c r="C3831" s="26" t="s">
        <v>13223</v>
      </c>
      <c r="D3831" s="26" t="s">
        <v>13224</v>
      </c>
      <c r="E3831" s="26" t="s">
        <v>5532</v>
      </c>
      <c r="F3831" s="27">
        <v>6491346</v>
      </c>
      <c r="G3831" s="27">
        <v>1</v>
      </c>
      <c r="H3831" s="27">
        <v>1</v>
      </c>
      <c r="I3831" s="27">
        <v>1</v>
      </c>
      <c r="J3831" s="30">
        <f t="shared" si="177"/>
        <v>1</v>
      </c>
      <c r="K3831" s="30">
        <f t="shared" si="178"/>
        <v>1</v>
      </c>
      <c r="L3831" s="26">
        <f t="shared" si="179"/>
        <v>1</v>
      </c>
      <c r="M3831" s="26"/>
    </row>
    <row r="3832" spans="1:13" ht="14.25" customHeight="1">
      <c r="A3832" s="25">
        <v>1901531</v>
      </c>
      <c r="B3832" s="26" t="s">
        <v>5423</v>
      </c>
      <c r="C3832" s="26" t="s">
        <v>13225</v>
      </c>
      <c r="D3832" s="26" t="s">
        <v>13226</v>
      </c>
      <c r="E3832" s="26" t="s">
        <v>5463</v>
      </c>
      <c r="F3832" s="27">
        <v>6535320</v>
      </c>
      <c r="G3832" s="27">
        <v>1</v>
      </c>
      <c r="H3832" s="27">
        <v>1</v>
      </c>
      <c r="I3832" s="27">
        <v>1</v>
      </c>
      <c r="J3832" s="30">
        <f t="shared" si="177"/>
        <v>1</v>
      </c>
      <c r="K3832" s="30">
        <f t="shared" si="178"/>
        <v>1</v>
      </c>
      <c r="L3832" s="26">
        <f t="shared" si="179"/>
        <v>1</v>
      </c>
      <c r="M3832" s="26"/>
    </row>
    <row r="3833" spans="1:13" ht="14.25" customHeight="1">
      <c r="A3833" s="25">
        <v>1901672</v>
      </c>
      <c r="B3833" s="26" t="s">
        <v>5427</v>
      </c>
      <c r="C3833" s="26" t="s">
        <v>13227</v>
      </c>
      <c r="D3833" s="26" t="s">
        <v>13228</v>
      </c>
      <c r="E3833" s="26" t="s">
        <v>5491</v>
      </c>
      <c r="F3833" s="27">
        <v>6490777</v>
      </c>
      <c r="G3833" s="27">
        <v>1</v>
      </c>
      <c r="H3833" s="27">
        <v>1</v>
      </c>
      <c r="I3833" s="27">
        <v>1</v>
      </c>
      <c r="J3833" s="30">
        <f t="shared" si="177"/>
        <v>1</v>
      </c>
      <c r="K3833" s="30">
        <f t="shared" si="178"/>
        <v>1</v>
      </c>
      <c r="L3833" s="26">
        <f t="shared" si="179"/>
        <v>1</v>
      </c>
      <c r="M3833" s="26"/>
    </row>
    <row r="3834" spans="1:13" ht="14.25" customHeight="1">
      <c r="A3834" s="25">
        <v>1901714</v>
      </c>
      <c r="B3834" s="26" t="s">
        <v>5423</v>
      </c>
      <c r="C3834" s="26" t="s">
        <v>13229</v>
      </c>
      <c r="D3834" s="26" t="s">
        <v>13230</v>
      </c>
      <c r="E3834" s="26" t="s">
        <v>5514</v>
      </c>
      <c r="F3834" s="27">
        <v>6535747</v>
      </c>
      <c r="G3834" s="27">
        <v>1</v>
      </c>
      <c r="H3834" s="27">
        <v>0</v>
      </c>
      <c r="I3834" s="27">
        <v>1</v>
      </c>
      <c r="J3834" s="30">
        <f t="shared" si="177"/>
        <v>1</v>
      </c>
      <c r="K3834" s="30">
        <f t="shared" si="178"/>
        <v>0</v>
      </c>
      <c r="L3834" s="26">
        <f t="shared" si="179"/>
        <v>0</v>
      </c>
      <c r="M3834" s="26"/>
    </row>
    <row r="3835" spans="1:13" ht="14.25" customHeight="1">
      <c r="A3835" s="25">
        <v>1901778</v>
      </c>
      <c r="B3835" s="26" t="s">
        <v>5427</v>
      </c>
      <c r="C3835" s="26" t="s">
        <v>13231</v>
      </c>
      <c r="D3835" s="26" t="s">
        <v>13228</v>
      </c>
      <c r="E3835" s="26" t="s">
        <v>5707</v>
      </c>
      <c r="F3835" s="27">
        <v>6536816</v>
      </c>
      <c r="G3835" s="27">
        <v>0</v>
      </c>
      <c r="H3835" s="27">
        <v>0</v>
      </c>
      <c r="I3835" s="27">
        <v>0</v>
      </c>
      <c r="J3835" s="30">
        <f t="shared" si="177"/>
        <v>0</v>
      </c>
      <c r="K3835" s="30">
        <f t="shared" si="178"/>
        <v>0</v>
      </c>
      <c r="L3835" s="26">
        <f t="shared" si="179"/>
        <v>0</v>
      </c>
      <c r="M3835" s="26"/>
    </row>
    <row r="3836" spans="1:13" ht="14.25" customHeight="1">
      <c r="A3836" s="25">
        <v>1901836</v>
      </c>
      <c r="B3836" s="26" t="s">
        <v>5427</v>
      </c>
      <c r="C3836" s="26" t="s">
        <v>13232</v>
      </c>
      <c r="D3836" s="26" t="s">
        <v>13228</v>
      </c>
      <c r="E3836" s="26" t="s">
        <v>5442</v>
      </c>
      <c r="F3836" s="27">
        <v>6537411</v>
      </c>
      <c r="G3836" s="27">
        <v>0</v>
      </c>
      <c r="H3836" s="27">
        <v>0</v>
      </c>
      <c r="I3836" s="27">
        <v>0</v>
      </c>
      <c r="J3836" s="30">
        <f t="shared" si="177"/>
        <v>0</v>
      </c>
      <c r="K3836" s="30">
        <f t="shared" si="178"/>
        <v>0</v>
      </c>
      <c r="L3836" s="26">
        <f t="shared" si="179"/>
        <v>0</v>
      </c>
      <c r="M3836" s="26">
        <v>0</v>
      </c>
    </row>
    <row r="3837" spans="1:13" ht="14.25" customHeight="1">
      <c r="A3837" s="25">
        <v>1901861</v>
      </c>
      <c r="B3837" s="26" t="s">
        <v>5427</v>
      </c>
      <c r="C3837" s="26" t="s">
        <v>13233</v>
      </c>
      <c r="D3837" s="26" t="s">
        <v>13228</v>
      </c>
      <c r="E3837" s="26" t="s">
        <v>5968</v>
      </c>
      <c r="F3837" s="27">
        <v>6516205</v>
      </c>
      <c r="G3837" s="27">
        <v>1</v>
      </c>
      <c r="H3837" s="27">
        <v>1</v>
      </c>
      <c r="I3837" s="27">
        <v>1</v>
      </c>
      <c r="J3837" s="30">
        <f t="shared" si="177"/>
        <v>1</v>
      </c>
      <c r="K3837" s="30">
        <f t="shared" si="178"/>
        <v>1</v>
      </c>
      <c r="L3837" s="26">
        <f t="shared" si="179"/>
        <v>1</v>
      </c>
      <c r="M3837" s="26">
        <v>0</v>
      </c>
    </row>
    <row r="3838" spans="1:13" ht="14.25" customHeight="1">
      <c r="A3838" s="25">
        <v>1901936</v>
      </c>
      <c r="B3838" s="26" t="s">
        <v>5423</v>
      </c>
      <c r="C3838" s="26" t="s">
        <v>13234</v>
      </c>
      <c r="D3838" s="26" t="s">
        <v>13228</v>
      </c>
      <c r="E3838" s="26" t="s">
        <v>5532</v>
      </c>
      <c r="F3838" s="27">
        <v>6536805</v>
      </c>
      <c r="G3838" s="27">
        <v>0</v>
      </c>
      <c r="H3838" s="27">
        <v>0</v>
      </c>
      <c r="I3838" s="27">
        <v>0</v>
      </c>
      <c r="J3838" s="30">
        <f t="shared" si="177"/>
        <v>0</v>
      </c>
      <c r="K3838" s="30">
        <f t="shared" si="178"/>
        <v>0</v>
      </c>
      <c r="L3838" s="26">
        <f t="shared" si="179"/>
        <v>0</v>
      </c>
      <c r="M3838" s="26">
        <v>0</v>
      </c>
    </row>
    <row r="3839" spans="1:13" ht="14.25" customHeight="1">
      <c r="A3839" s="25">
        <v>1902098</v>
      </c>
      <c r="B3839" s="26" t="s">
        <v>5427</v>
      </c>
      <c r="C3839" s="26" t="s">
        <v>13235</v>
      </c>
      <c r="D3839" s="26" t="s">
        <v>13236</v>
      </c>
      <c r="E3839" s="26" t="s">
        <v>5683</v>
      </c>
      <c r="F3839" s="27">
        <v>6527817</v>
      </c>
      <c r="G3839" s="27">
        <v>1</v>
      </c>
      <c r="H3839" s="27">
        <v>1</v>
      </c>
      <c r="I3839" s="27">
        <v>1</v>
      </c>
      <c r="J3839" s="30">
        <f t="shared" si="177"/>
        <v>1</v>
      </c>
      <c r="K3839" s="30">
        <f t="shared" si="178"/>
        <v>1</v>
      </c>
      <c r="L3839" s="26">
        <f t="shared" si="179"/>
        <v>1</v>
      </c>
      <c r="M3839" s="26"/>
    </row>
    <row r="3840" spans="1:13" ht="14.25" customHeight="1">
      <c r="A3840" s="25">
        <v>1902322</v>
      </c>
      <c r="B3840" s="26" t="s">
        <v>5423</v>
      </c>
      <c r="C3840" s="26" t="s">
        <v>13237</v>
      </c>
      <c r="D3840" s="26" t="s">
        <v>13238</v>
      </c>
      <c r="E3840" s="26" t="s">
        <v>5463</v>
      </c>
      <c r="F3840" s="27">
        <v>6539036</v>
      </c>
      <c r="G3840" s="27">
        <v>0</v>
      </c>
      <c r="H3840" s="27">
        <v>0</v>
      </c>
      <c r="I3840" s="27">
        <v>0</v>
      </c>
      <c r="J3840" s="30">
        <f t="shared" si="177"/>
        <v>0</v>
      </c>
      <c r="K3840" s="30">
        <f t="shared" si="178"/>
        <v>0</v>
      </c>
      <c r="L3840" s="26">
        <f t="shared" si="179"/>
        <v>0</v>
      </c>
      <c r="M3840" s="26">
        <v>0</v>
      </c>
    </row>
    <row r="3841" spans="1:13" ht="14.25" customHeight="1">
      <c r="A3841" s="25">
        <v>1902423</v>
      </c>
      <c r="B3841" s="26" t="s">
        <v>5427</v>
      </c>
      <c r="C3841" s="26" t="s">
        <v>13239</v>
      </c>
      <c r="D3841" s="26" t="s">
        <v>13240</v>
      </c>
      <c r="E3841" s="26" t="s">
        <v>5683</v>
      </c>
      <c r="F3841" s="27">
        <v>6514546</v>
      </c>
      <c r="G3841" s="27">
        <v>1</v>
      </c>
      <c r="H3841" s="27">
        <v>1</v>
      </c>
      <c r="I3841" s="27">
        <v>1</v>
      </c>
      <c r="J3841" s="30">
        <f t="shared" si="177"/>
        <v>1</v>
      </c>
      <c r="K3841" s="30">
        <f t="shared" si="178"/>
        <v>1</v>
      </c>
      <c r="L3841" s="26">
        <f t="shared" si="179"/>
        <v>1</v>
      </c>
      <c r="M3841" s="26"/>
    </row>
    <row r="3842" spans="1:13" ht="14.25" customHeight="1">
      <c r="A3842" s="25">
        <v>1902654</v>
      </c>
      <c r="B3842" s="26" t="s">
        <v>5423</v>
      </c>
      <c r="C3842" s="26" t="s">
        <v>13241</v>
      </c>
      <c r="D3842" s="26" t="s">
        <v>13238</v>
      </c>
      <c r="E3842" s="26" t="s">
        <v>5433</v>
      </c>
      <c r="F3842" s="27">
        <v>6538204</v>
      </c>
      <c r="G3842" s="27">
        <v>1</v>
      </c>
      <c r="H3842" s="27">
        <v>1</v>
      </c>
      <c r="I3842" s="27">
        <v>1</v>
      </c>
      <c r="J3842" s="30">
        <f t="shared" ref="J3842:J3905" si="180">IF(G3842&gt;0,1,0)</f>
        <v>1</v>
      </c>
      <c r="K3842" s="30">
        <f t="shared" ref="K3842:K3905" si="181">IF(H3842&gt;0,1,0)</f>
        <v>1</v>
      </c>
      <c r="L3842" s="26">
        <f t="shared" ref="L3842:L3905" si="182">IF(G3842&gt;0,IF(H3842&gt;0,1,0),0)</f>
        <v>1</v>
      </c>
      <c r="M3842" s="26"/>
    </row>
    <row r="3843" spans="1:13" ht="14.25" customHeight="1">
      <c r="A3843" s="25">
        <v>1902680</v>
      </c>
      <c r="B3843" s="26" t="s">
        <v>5423</v>
      </c>
      <c r="C3843" s="26" t="s">
        <v>13242</v>
      </c>
      <c r="D3843" s="26" t="s">
        <v>13243</v>
      </c>
      <c r="E3843" s="26" t="s">
        <v>5433</v>
      </c>
      <c r="F3843" s="27">
        <v>6539730</v>
      </c>
      <c r="G3843" s="27">
        <v>1</v>
      </c>
      <c r="H3843" s="27">
        <v>1</v>
      </c>
      <c r="I3843" s="27">
        <v>1</v>
      </c>
      <c r="J3843" s="30">
        <f t="shared" si="180"/>
        <v>1</v>
      </c>
      <c r="K3843" s="30">
        <f t="shared" si="181"/>
        <v>1</v>
      </c>
      <c r="L3843" s="26">
        <f t="shared" si="182"/>
        <v>1</v>
      </c>
      <c r="M3843" s="26"/>
    </row>
    <row r="3844" spans="1:13" ht="14.25" customHeight="1">
      <c r="A3844" s="25">
        <v>1903114</v>
      </c>
      <c r="B3844" s="26" t="s">
        <v>5423</v>
      </c>
      <c r="C3844" s="26" t="s">
        <v>13244</v>
      </c>
      <c r="D3844" s="26" t="s">
        <v>13238</v>
      </c>
      <c r="E3844" s="26" t="s">
        <v>5442</v>
      </c>
      <c r="F3844" s="27">
        <v>6539847</v>
      </c>
      <c r="G3844" s="27">
        <v>0</v>
      </c>
      <c r="H3844" s="27">
        <v>0</v>
      </c>
      <c r="I3844" s="27">
        <v>0</v>
      </c>
      <c r="J3844" s="30">
        <f t="shared" si="180"/>
        <v>0</v>
      </c>
      <c r="K3844" s="30">
        <f t="shared" si="181"/>
        <v>0</v>
      </c>
      <c r="L3844" s="26">
        <f t="shared" si="182"/>
        <v>0</v>
      </c>
      <c r="M3844" s="26">
        <v>0</v>
      </c>
    </row>
    <row r="3845" spans="1:13" ht="14.25" customHeight="1">
      <c r="A3845" s="25">
        <v>1903219</v>
      </c>
      <c r="B3845" s="26" t="s">
        <v>5423</v>
      </c>
      <c r="C3845" s="26" t="s">
        <v>13245</v>
      </c>
      <c r="D3845" s="26" t="s">
        <v>13238</v>
      </c>
      <c r="E3845" s="26" t="s">
        <v>6541</v>
      </c>
      <c r="F3845" s="27">
        <v>5405983</v>
      </c>
      <c r="G3845" s="27">
        <v>1</v>
      </c>
      <c r="H3845" s="27">
        <v>0</v>
      </c>
      <c r="I3845" s="27">
        <v>1</v>
      </c>
      <c r="J3845" s="30">
        <f t="shared" si="180"/>
        <v>1</v>
      </c>
      <c r="K3845" s="30">
        <f t="shared" si="181"/>
        <v>0</v>
      </c>
      <c r="L3845" s="26">
        <f t="shared" si="182"/>
        <v>0</v>
      </c>
      <c r="M3845" s="26" t="s">
        <v>8209</v>
      </c>
    </row>
    <row r="3846" spans="1:13" ht="14.25" customHeight="1">
      <c r="A3846" s="25">
        <v>1903326</v>
      </c>
      <c r="B3846" s="26" t="s">
        <v>5427</v>
      </c>
      <c r="C3846" s="26" t="s">
        <v>13246</v>
      </c>
      <c r="D3846" s="26" t="s">
        <v>13228</v>
      </c>
      <c r="E3846" s="26" t="s">
        <v>5718</v>
      </c>
      <c r="F3846" s="27">
        <v>6334974</v>
      </c>
      <c r="G3846" s="27">
        <v>0</v>
      </c>
      <c r="H3846" s="27">
        <v>0</v>
      </c>
      <c r="I3846" s="27">
        <v>0</v>
      </c>
      <c r="J3846" s="30">
        <f t="shared" si="180"/>
        <v>0</v>
      </c>
      <c r="K3846" s="30">
        <f t="shared" si="181"/>
        <v>0</v>
      </c>
      <c r="L3846" s="26">
        <f t="shared" si="182"/>
        <v>0</v>
      </c>
      <c r="M3846" s="26">
        <v>0</v>
      </c>
    </row>
    <row r="3847" spans="1:13" ht="14.25" customHeight="1">
      <c r="A3847" s="25">
        <v>1903412</v>
      </c>
      <c r="B3847" s="26" t="s">
        <v>5423</v>
      </c>
      <c r="C3847" s="26" t="s">
        <v>13247</v>
      </c>
      <c r="D3847" s="26" t="s">
        <v>13248</v>
      </c>
      <c r="E3847" s="26" t="s">
        <v>5772</v>
      </c>
      <c r="F3847" s="27">
        <v>6540144</v>
      </c>
      <c r="G3847" s="27">
        <v>0</v>
      </c>
      <c r="H3847" s="27">
        <v>0</v>
      </c>
      <c r="I3847" s="27">
        <v>0</v>
      </c>
      <c r="J3847" s="30">
        <f t="shared" si="180"/>
        <v>0</v>
      </c>
      <c r="K3847" s="30">
        <f t="shared" si="181"/>
        <v>0</v>
      </c>
      <c r="L3847" s="26">
        <f t="shared" si="182"/>
        <v>0</v>
      </c>
      <c r="M3847" s="26"/>
    </row>
    <row r="3848" spans="1:13" ht="14.25" customHeight="1">
      <c r="A3848" s="25">
        <v>1903430</v>
      </c>
      <c r="B3848" s="26" t="s">
        <v>5423</v>
      </c>
      <c r="C3848" s="26" t="s">
        <v>13249</v>
      </c>
      <c r="D3848" s="26" t="s">
        <v>13219</v>
      </c>
      <c r="E3848" s="26" t="s">
        <v>5683</v>
      </c>
      <c r="F3848" s="27">
        <v>6539972</v>
      </c>
      <c r="G3848" s="27">
        <v>1</v>
      </c>
      <c r="H3848" s="27">
        <v>1</v>
      </c>
      <c r="I3848" s="27">
        <v>1</v>
      </c>
      <c r="J3848" s="30">
        <f t="shared" si="180"/>
        <v>1</v>
      </c>
      <c r="K3848" s="30">
        <f t="shared" si="181"/>
        <v>1</v>
      </c>
      <c r="L3848" s="26">
        <f t="shared" si="182"/>
        <v>1</v>
      </c>
      <c r="M3848" s="26"/>
    </row>
    <row r="3849" spans="1:13" ht="14.25" customHeight="1">
      <c r="A3849" s="25">
        <v>1903533</v>
      </c>
      <c r="B3849" s="26" t="s">
        <v>5423</v>
      </c>
      <c r="C3849" s="26" t="s">
        <v>13250</v>
      </c>
      <c r="D3849" s="26" t="s">
        <v>13251</v>
      </c>
      <c r="E3849" s="26" t="s">
        <v>5491</v>
      </c>
      <c r="F3849" s="27">
        <v>6503835</v>
      </c>
      <c r="G3849" s="27">
        <v>1</v>
      </c>
      <c r="H3849" s="27">
        <v>0</v>
      </c>
      <c r="I3849" s="27">
        <v>1</v>
      </c>
      <c r="J3849" s="30">
        <f t="shared" si="180"/>
        <v>1</v>
      </c>
      <c r="K3849" s="30">
        <f t="shared" si="181"/>
        <v>0</v>
      </c>
      <c r="L3849" s="26">
        <f t="shared" si="182"/>
        <v>0</v>
      </c>
      <c r="M3849" s="26"/>
    </row>
    <row r="3850" spans="1:13" ht="14.25" customHeight="1">
      <c r="A3850" s="25">
        <v>1903542</v>
      </c>
      <c r="B3850" s="26" t="s">
        <v>5423</v>
      </c>
      <c r="C3850" s="26" t="s">
        <v>13252</v>
      </c>
      <c r="D3850" s="26" t="s">
        <v>13251</v>
      </c>
      <c r="E3850" s="26" t="s">
        <v>5452</v>
      </c>
      <c r="F3850" s="27">
        <v>5921174</v>
      </c>
      <c r="G3850" s="27">
        <v>1</v>
      </c>
      <c r="H3850" s="27">
        <v>1</v>
      </c>
      <c r="I3850" s="27">
        <v>1</v>
      </c>
      <c r="J3850" s="30">
        <f t="shared" si="180"/>
        <v>1</v>
      </c>
      <c r="K3850" s="30">
        <f t="shared" si="181"/>
        <v>1</v>
      </c>
      <c r="L3850" s="26">
        <f t="shared" si="182"/>
        <v>1</v>
      </c>
      <c r="M3850" s="26"/>
    </row>
    <row r="3851" spans="1:13" ht="14.25" customHeight="1">
      <c r="A3851" s="25">
        <v>1903572</v>
      </c>
      <c r="B3851" s="26" t="s">
        <v>5427</v>
      </c>
      <c r="C3851" s="26" t="s">
        <v>13253</v>
      </c>
      <c r="D3851" s="26" t="s">
        <v>13254</v>
      </c>
      <c r="E3851" s="26" t="s">
        <v>5485</v>
      </c>
      <c r="F3851" s="27">
        <v>6541203</v>
      </c>
      <c r="G3851" s="27">
        <v>0</v>
      </c>
      <c r="H3851" s="27">
        <v>1</v>
      </c>
      <c r="I3851" s="27">
        <v>1</v>
      </c>
      <c r="J3851" s="30">
        <f t="shared" si="180"/>
        <v>0</v>
      </c>
      <c r="K3851" s="30">
        <f t="shared" si="181"/>
        <v>1</v>
      </c>
      <c r="L3851" s="26">
        <f t="shared" si="182"/>
        <v>0</v>
      </c>
      <c r="M3851" s="26"/>
    </row>
    <row r="3852" spans="1:13" ht="14.25" customHeight="1">
      <c r="A3852" s="25">
        <v>1903701</v>
      </c>
      <c r="B3852" s="26" t="s">
        <v>5423</v>
      </c>
      <c r="C3852" s="26" t="s">
        <v>13255</v>
      </c>
      <c r="D3852" s="26" t="s">
        <v>13135</v>
      </c>
      <c r="E3852" s="26" t="s">
        <v>5436</v>
      </c>
      <c r="F3852" s="27">
        <v>6540828</v>
      </c>
      <c r="G3852" s="27">
        <v>1</v>
      </c>
      <c r="H3852" s="27">
        <v>0</v>
      </c>
      <c r="I3852" s="27">
        <v>1</v>
      </c>
      <c r="J3852" s="30">
        <f t="shared" si="180"/>
        <v>1</v>
      </c>
      <c r="K3852" s="30">
        <f t="shared" si="181"/>
        <v>0</v>
      </c>
      <c r="L3852" s="26">
        <f t="shared" si="182"/>
        <v>0</v>
      </c>
      <c r="M3852" s="26"/>
    </row>
    <row r="3853" spans="1:13" ht="14.25" customHeight="1">
      <c r="A3853" s="25">
        <v>1903785</v>
      </c>
      <c r="B3853" s="26" t="s">
        <v>5423</v>
      </c>
      <c r="C3853" s="26" t="s">
        <v>13256</v>
      </c>
      <c r="D3853" s="26" t="s">
        <v>13251</v>
      </c>
      <c r="E3853" s="26" t="s">
        <v>6541</v>
      </c>
      <c r="F3853" s="27">
        <v>6541206</v>
      </c>
      <c r="G3853" s="27">
        <v>1</v>
      </c>
      <c r="H3853" s="27">
        <v>1</v>
      </c>
      <c r="I3853" s="27">
        <v>1</v>
      </c>
      <c r="J3853" s="30">
        <f t="shared" si="180"/>
        <v>1</v>
      </c>
      <c r="K3853" s="30">
        <f t="shared" si="181"/>
        <v>1</v>
      </c>
      <c r="L3853" s="26">
        <f t="shared" si="182"/>
        <v>1</v>
      </c>
      <c r="M3853" s="26"/>
    </row>
    <row r="3854" spans="1:13" ht="14.25" customHeight="1">
      <c r="A3854" s="25">
        <v>1903943</v>
      </c>
      <c r="B3854" s="26" t="s">
        <v>5427</v>
      </c>
      <c r="C3854" s="26" t="s">
        <v>13257</v>
      </c>
      <c r="D3854" s="26" t="s">
        <v>13251</v>
      </c>
      <c r="E3854" s="26" t="s">
        <v>5485</v>
      </c>
      <c r="F3854" s="27">
        <v>6501046</v>
      </c>
      <c r="G3854" s="27">
        <v>1</v>
      </c>
      <c r="H3854" s="27">
        <v>1</v>
      </c>
      <c r="I3854" s="27">
        <v>1</v>
      </c>
      <c r="J3854" s="30">
        <f t="shared" si="180"/>
        <v>1</v>
      </c>
      <c r="K3854" s="30">
        <f t="shared" si="181"/>
        <v>1</v>
      </c>
      <c r="L3854" s="26">
        <f t="shared" si="182"/>
        <v>1</v>
      </c>
      <c r="M3854" s="26"/>
    </row>
    <row r="3855" spans="1:13" ht="14.25" customHeight="1">
      <c r="A3855" s="25">
        <v>1903994</v>
      </c>
      <c r="B3855" s="26" t="s">
        <v>5423</v>
      </c>
      <c r="C3855" s="26" t="s">
        <v>13258</v>
      </c>
      <c r="D3855" s="26" t="s">
        <v>13259</v>
      </c>
      <c r="E3855" s="26" t="s">
        <v>5433</v>
      </c>
      <c r="F3855" s="27">
        <v>6514178</v>
      </c>
      <c r="G3855" s="27">
        <v>1</v>
      </c>
      <c r="H3855" s="27">
        <v>1</v>
      </c>
      <c r="I3855" s="27">
        <v>1</v>
      </c>
      <c r="J3855" s="30">
        <f t="shared" si="180"/>
        <v>1</v>
      </c>
      <c r="K3855" s="30">
        <f t="shared" si="181"/>
        <v>1</v>
      </c>
      <c r="L3855" s="26">
        <f t="shared" si="182"/>
        <v>1</v>
      </c>
      <c r="M3855" s="26"/>
    </row>
    <row r="3856" spans="1:13" ht="14.25" customHeight="1">
      <c r="A3856" s="25">
        <v>1904058</v>
      </c>
      <c r="B3856" s="26" t="s">
        <v>5423</v>
      </c>
      <c r="C3856" s="26" t="s">
        <v>13260</v>
      </c>
      <c r="D3856" s="26" t="s">
        <v>13261</v>
      </c>
      <c r="E3856" s="26" t="s">
        <v>5603</v>
      </c>
      <c r="F3856" s="27">
        <v>6542043</v>
      </c>
      <c r="G3856" s="27">
        <v>1</v>
      </c>
      <c r="H3856" s="27">
        <v>0</v>
      </c>
      <c r="I3856" s="27">
        <v>1</v>
      </c>
      <c r="J3856" s="30">
        <f t="shared" si="180"/>
        <v>1</v>
      </c>
      <c r="K3856" s="30">
        <f t="shared" si="181"/>
        <v>0</v>
      </c>
      <c r="L3856" s="26">
        <f t="shared" si="182"/>
        <v>0</v>
      </c>
      <c r="M3856" s="26"/>
    </row>
    <row r="3857" spans="1:13" ht="14.25" customHeight="1">
      <c r="A3857" s="25">
        <v>1904539</v>
      </c>
      <c r="B3857" s="26" t="s">
        <v>5427</v>
      </c>
      <c r="C3857" s="26" t="s">
        <v>13262</v>
      </c>
      <c r="D3857" s="26" t="s">
        <v>13263</v>
      </c>
      <c r="E3857" s="26" t="s">
        <v>5763</v>
      </c>
      <c r="F3857" s="27">
        <v>6193375</v>
      </c>
      <c r="G3857" s="27">
        <v>0</v>
      </c>
      <c r="H3857" s="27">
        <v>0</v>
      </c>
      <c r="I3857" s="27">
        <v>0</v>
      </c>
      <c r="J3857" s="30">
        <f t="shared" si="180"/>
        <v>0</v>
      </c>
      <c r="K3857" s="30">
        <f t="shared" si="181"/>
        <v>0</v>
      </c>
      <c r="L3857" s="26">
        <f t="shared" si="182"/>
        <v>0</v>
      </c>
      <c r="M3857" s="26">
        <v>0</v>
      </c>
    </row>
    <row r="3858" spans="1:13" ht="14.25" customHeight="1">
      <c r="A3858" s="25">
        <v>1904887</v>
      </c>
      <c r="B3858" s="26" t="s">
        <v>5427</v>
      </c>
      <c r="C3858" s="26" t="s">
        <v>13264</v>
      </c>
      <c r="D3858" s="26" t="s">
        <v>13254</v>
      </c>
      <c r="E3858" s="26" t="s">
        <v>5442</v>
      </c>
      <c r="F3858" s="27">
        <v>6545154</v>
      </c>
      <c r="G3858" s="27">
        <v>0</v>
      </c>
      <c r="H3858" s="27">
        <v>0</v>
      </c>
      <c r="I3858" s="27">
        <v>0</v>
      </c>
      <c r="J3858" s="30">
        <f t="shared" si="180"/>
        <v>0</v>
      </c>
      <c r="K3858" s="30">
        <f t="shared" si="181"/>
        <v>0</v>
      </c>
      <c r="L3858" s="26">
        <f t="shared" si="182"/>
        <v>0</v>
      </c>
      <c r="M3858" s="26">
        <v>0</v>
      </c>
    </row>
    <row r="3859" spans="1:13" ht="14.25" customHeight="1">
      <c r="A3859" s="25">
        <v>1905752</v>
      </c>
      <c r="B3859" s="26" t="s">
        <v>5423</v>
      </c>
      <c r="C3859" s="26" t="s">
        <v>13265</v>
      </c>
      <c r="D3859" s="26" t="s">
        <v>13254</v>
      </c>
      <c r="E3859" s="26" t="s">
        <v>5463</v>
      </c>
      <c r="F3859" s="27">
        <v>1905752</v>
      </c>
      <c r="G3859" s="27">
        <v>0</v>
      </c>
      <c r="H3859" s="27">
        <v>1</v>
      </c>
      <c r="I3859" s="27">
        <v>1</v>
      </c>
      <c r="J3859" s="30">
        <f t="shared" si="180"/>
        <v>0</v>
      </c>
      <c r="K3859" s="30">
        <f t="shared" si="181"/>
        <v>1</v>
      </c>
      <c r="L3859" s="26">
        <f t="shared" si="182"/>
        <v>0</v>
      </c>
      <c r="M3859" s="26"/>
    </row>
    <row r="3860" spans="1:13" ht="14.25" customHeight="1">
      <c r="A3860" s="25">
        <v>1905806</v>
      </c>
      <c r="B3860" s="26" t="s">
        <v>5427</v>
      </c>
      <c r="C3860" s="26" t="s">
        <v>13266</v>
      </c>
      <c r="D3860" s="26" t="s">
        <v>13267</v>
      </c>
      <c r="E3860" s="26" t="s">
        <v>5540</v>
      </c>
      <c r="F3860" s="27">
        <v>6546648</v>
      </c>
      <c r="G3860" s="27">
        <v>1</v>
      </c>
      <c r="H3860" s="27">
        <v>1</v>
      </c>
      <c r="I3860" s="27">
        <v>1</v>
      </c>
      <c r="J3860" s="30">
        <f t="shared" si="180"/>
        <v>1</v>
      </c>
      <c r="K3860" s="30">
        <f t="shared" si="181"/>
        <v>1</v>
      </c>
      <c r="L3860" s="26">
        <f t="shared" si="182"/>
        <v>1</v>
      </c>
      <c r="M3860" s="26"/>
    </row>
    <row r="3861" spans="1:13" ht="14.25" customHeight="1">
      <c r="A3861" s="25">
        <v>1905813</v>
      </c>
      <c r="B3861" s="26" t="s">
        <v>5423</v>
      </c>
      <c r="C3861" s="26" t="s">
        <v>13268</v>
      </c>
      <c r="D3861" s="26" t="s">
        <v>13267</v>
      </c>
      <c r="E3861" s="26" t="s">
        <v>5586</v>
      </c>
      <c r="F3861" s="27">
        <v>6546646</v>
      </c>
      <c r="G3861" s="27">
        <v>1</v>
      </c>
      <c r="H3861" s="27">
        <v>1</v>
      </c>
      <c r="I3861" s="27">
        <v>1</v>
      </c>
      <c r="J3861" s="30">
        <f t="shared" si="180"/>
        <v>1</v>
      </c>
      <c r="K3861" s="30">
        <f t="shared" si="181"/>
        <v>1</v>
      </c>
      <c r="L3861" s="26">
        <f t="shared" si="182"/>
        <v>1</v>
      </c>
      <c r="M3861" s="26"/>
    </row>
    <row r="3862" spans="1:13" ht="14.25" customHeight="1">
      <c r="A3862" s="25">
        <v>1905977</v>
      </c>
      <c r="B3862" s="26" t="s">
        <v>5427</v>
      </c>
      <c r="C3862" s="26" t="s">
        <v>13269</v>
      </c>
      <c r="D3862" s="26" t="s">
        <v>13270</v>
      </c>
      <c r="E3862" s="26" t="s">
        <v>5452</v>
      </c>
      <c r="F3862" s="27">
        <v>6547205</v>
      </c>
      <c r="G3862" s="27">
        <v>1</v>
      </c>
      <c r="H3862" s="27">
        <v>1</v>
      </c>
      <c r="I3862" s="27">
        <v>1</v>
      </c>
      <c r="J3862" s="30">
        <f t="shared" si="180"/>
        <v>1</v>
      </c>
      <c r="K3862" s="30">
        <f t="shared" si="181"/>
        <v>1</v>
      </c>
      <c r="L3862" s="26">
        <f t="shared" si="182"/>
        <v>1</v>
      </c>
      <c r="M3862" s="26"/>
    </row>
    <row r="3863" spans="1:13" ht="14.25" customHeight="1">
      <c r="A3863" s="25">
        <v>1906020</v>
      </c>
      <c r="B3863" s="26" t="s">
        <v>5423</v>
      </c>
      <c r="C3863" s="26" t="s">
        <v>13271</v>
      </c>
      <c r="D3863" s="26" t="s">
        <v>13267</v>
      </c>
      <c r="E3863" s="26" t="s">
        <v>5452</v>
      </c>
      <c r="F3863" s="27">
        <v>6530715</v>
      </c>
      <c r="G3863" s="27">
        <v>0</v>
      </c>
      <c r="H3863" s="27">
        <v>0</v>
      </c>
      <c r="I3863" s="27">
        <v>0</v>
      </c>
      <c r="J3863" s="30">
        <f t="shared" si="180"/>
        <v>0</v>
      </c>
      <c r="K3863" s="30">
        <f t="shared" si="181"/>
        <v>0</v>
      </c>
      <c r="L3863" s="26">
        <f t="shared" si="182"/>
        <v>0</v>
      </c>
      <c r="M3863" s="26">
        <v>0</v>
      </c>
    </row>
    <row r="3864" spans="1:13" ht="14.25" customHeight="1">
      <c r="A3864" s="25">
        <v>1906037</v>
      </c>
      <c r="B3864" s="26" t="s">
        <v>5427</v>
      </c>
      <c r="C3864" s="26" t="s">
        <v>13272</v>
      </c>
      <c r="D3864" s="26" t="s">
        <v>13270</v>
      </c>
      <c r="E3864" s="26" t="s">
        <v>5968</v>
      </c>
      <c r="F3864" s="27">
        <v>6515569</v>
      </c>
      <c r="G3864" s="27">
        <v>1</v>
      </c>
      <c r="H3864" s="27">
        <v>1</v>
      </c>
      <c r="I3864" s="27">
        <v>1</v>
      </c>
      <c r="J3864" s="30">
        <f t="shared" si="180"/>
        <v>1</v>
      </c>
      <c r="K3864" s="30">
        <f t="shared" si="181"/>
        <v>1</v>
      </c>
      <c r="L3864" s="26">
        <f t="shared" si="182"/>
        <v>1</v>
      </c>
      <c r="M3864" s="26" t="s">
        <v>9595</v>
      </c>
    </row>
    <row r="3865" spans="1:13" ht="14.25" customHeight="1">
      <c r="A3865" s="25">
        <v>1906063</v>
      </c>
      <c r="B3865" s="26" t="s">
        <v>5423</v>
      </c>
      <c r="C3865" s="26" t="s">
        <v>13273</v>
      </c>
      <c r="D3865" s="26" t="s">
        <v>13267</v>
      </c>
      <c r="E3865" s="26" t="s">
        <v>5475</v>
      </c>
      <c r="F3865" s="27">
        <v>6547206</v>
      </c>
      <c r="G3865" s="27">
        <v>1</v>
      </c>
      <c r="H3865" s="27">
        <v>1</v>
      </c>
      <c r="I3865" s="27">
        <v>1</v>
      </c>
      <c r="J3865" s="30">
        <f t="shared" si="180"/>
        <v>1</v>
      </c>
      <c r="K3865" s="30">
        <f t="shared" si="181"/>
        <v>1</v>
      </c>
      <c r="L3865" s="26">
        <f t="shared" si="182"/>
        <v>1</v>
      </c>
      <c r="M3865" s="26"/>
    </row>
    <row r="3866" spans="1:13" ht="14.25" customHeight="1">
      <c r="A3866" s="25">
        <v>1906090</v>
      </c>
      <c r="B3866" s="26" t="s">
        <v>5427</v>
      </c>
      <c r="C3866" s="26" t="s">
        <v>13274</v>
      </c>
      <c r="D3866" s="26" t="s">
        <v>13267</v>
      </c>
      <c r="E3866" s="26" t="s">
        <v>5485</v>
      </c>
      <c r="F3866" s="27">
        <v>6547211</v>
      </c>
      <c r="G3866" s="27">
        <v>1</v>
      </c>
      <c r="H3866" s="27">
        <v>1</v>
      </c>
      <c r="I3866" s="27">
        <v>1</v>
      </c>
      <c r="J3866" s="30">
        <f t="shared" si="180"/>
        <v>1</v>
      </c>
      <c r="K3866" s="30">
        <f t="shared" si="181"/>
        <v>1</v>
      </c>
      <c r="L3866" s="26">
        <f t="shared" si="182"/>
        <v>1</v>
      </c>
      <c r="M3866" s="26"/>
    </row>
    <row r="3867" spans="1:13" ht="14.25" customHeight="1">
      <c r="A3867" s="25">
        <v>1906097</v>
      </c>
      <c r="B3867" s="26" t="s">
        <v>5423</v>
      </c>
      <c r="C3867" s="26" t="s">
        <v>13275</v>
      </c>
      <c r="D3867" s="26" t="s">
        <v>13267</v>
      </c>
      <c r="E3867" s="26" t="s">
        <v>5535</v>
      </c>
      <c r="F3867" s="27">
        <v>6547212</v>
      </c>
      <c r="G3867" s="27">
        <v>1</v>
      </c>
      <c r="H3867" s="27">
        <v>1</v>
      </c>
      <c r="I3867" s="27">
        <v>1</v>
      </c>
      <c r="J3867" s="30">
        <f t="shared" si="180"/>
        <v>1</v>
      </c>
      <c r="K3867" s="30">
        <f t="shared" si="181"/>
        <v>1</v>
      </c>
      <c r="L3867" s="26">
        <f t="shared" si="182"/>
        <v>1</v>
      </c>
      <c r="M3867" s="26"/>
    </row>
    <row r="3868" spans="1:13" ht="14.25" customHeight="1">
      <c r="A3868" s="25">
        <v>1906151</v>
      </c>
      <c r="B3868" s="26" t="s">
        <v>5423</v>
      </c>
      <c r="C3868" s="26" t="s">
        <v>13276</v>
      </c>
      <c r="D3868" s="26" t="s">
        <v>13277</v>
      </c>
      <c r="E3868" s="26" t="s">
        <v>5452</v>
      </c>
      <c r="F3868" s="27">
        <v>6517483</v>
      </c>
      <c r="G3868" s="27">
        <v>1</v>
      </c>
      <c r="H3868" s="27">
        <v>0</v>
      </c>
      <c r="I3868" s="27">
        <v>1</v>
      </c>
      <c r="J3868" s="30">
        <f t="shared" si="180"/>
        <v>1</v>
      </c>
      <c r="K3868" s="30">
        <f t="shared" si="181"/>
        <v>0</v>
      </c>
      <c r="L3868" s="26">
        <f t="shared" si="182"/>
        <v>0</v>
      </c>
      <c r="M3868" s="26"/>
    </row>
    <row r="3869" spans="1:13" ht="14.25" customHeight="1">
      <c r="A3869" s="25">
        <v>1906154</v>
      </c>
      <c r="B3869" s="26" t="s">
        <v>5423</v>
      </c>
      <c r="C3869" s="26" t="s">
        <v>13278</v>
      </c>
      <c r="D3869" s="26" t="s">
        <v>13279</v>
      </c>
      <c r="E3869" s="26" t="s">
        <v>5522</v>
      </c>
      <c r="F3869" s="27">
        <v>6548117</v>
      </c>
      <c r="G3869" s="27">
        <v>0</v>
      </c>
      <c r="H3869" s="27">
        <v>0</v>
      </c>
      <c r="I3869" s="27">
        <v>0</v>
      </c>
      <c r="J3869" s="30">
        <f t="shared" si="180"/>
        <v>0</v>
      </c>
      <c r="K3869" s="30">
        <f t="shared" si="181"/>
        <v>0</v>
      </c>
      <c r="L3869" s="26">
        <f t="shared" si="182"/>
        <v>0</v>
      </c>
      <c r="M3869" s="26">
        <v>0</v>
      </c>
    </row>
    <row r="3870" spans="1:13" ht="14.25" customHeight="1">
      <c r="A3870" s="25">
        <v>1906433</v>
      </c>
      <c r="B3870" s="26" t="s">
        <v>5423</v>
      </c>
      <c r="C3870" s="26" t="s">
        <v>13280</v>
      </c>
      <c r="D3870" s="26" t="s">
        <v>13281</v>
      </c>
      <c r="E3870" s="26" t="s">
        <v>5517</v>
      </c>
      <c r="F3870" s="27">
        <v>6549710</v>
      </c>
      <c r="G3870" s="27">
        <v>0</v>
      </c>
      <c r="H3870" s="27">
        <v>0</v>
      </c>
      <c r="I3870" s="27">
        <v>0</v>
      </c>
      <c r="J3870" s="30">
        <f t="shared" si="180"/>
        <v>0</v>
      </c>
      <c r="K3870" s="30">
        <f t="shared" si="181"/>
        <v>0</v>
      </c>
      <c r="L3870" s="26">
        <f t="shared" si="182"/>
        <v>0</v>
      </c>
      <c r="M3870" s="26">
        <v>0</v>
      </c>
    </row>
    <row r="3871" spans="1:13" ht="14.25" customHeight="1">
      <c r="A3871" s="25">
        <v>1906459</v>
      </c>
      <c r="B3871" s="26" t="s">
        <v>5427</v>
      </c>
      <c r="C3871" s="26" t="s">
        <v>13282</v>
      </c>
      <c r="D3871" s="26" t="s">
        <v>13283</v>
      </c>
      <c r="E3871" s="26" t="s">
        <v>5603</v>
      </c>
      <c r="F3871" s="27">
        <v>6530302</v>
      </c>
      <c r="G3871" s="27">
        <v>1</v>
      </c>
      <c r="H3871" s="27">
        <v>0</v>
      </c>
      <c r="I3871" s="27">
        <v>1</v>
      </c>
      <c r="J3871" s="30">
        <f t="shared" si="180"/>
        <v>1</v>
      </c>
      <c r="K3871" s="30">
        <f t="shared" si="181"/>
        <v>0</v>
      </c>
      <c r="L3871" s="26">
        <f t="shared" si="182"/>
        <v>0</v>
      </c>
      <c r="M3871" s="26"/>
    </row>
    <row r="3872" spans="1:13" ht="14.25" customHeight="1">
      <c r="A3872" s="25">
        <v>1906523</v>
      </c>
      <c r="B3872" s="26" t="s">
        <v>5423</v>
      </c>
      <c r="C3872" s="26" t="s">
        <v>13284</v>
      </c>
      <c r="D3872" s="26" t="s">
        <v>13283</v>
      </c>
      <c r="E3872" s="26" t="s">
        <v>5540</v>
      </c>
      <c r="F3872" s="27">
        <v>6549029</v>
      </c>
      <c r="G3872" s="27">
        <v>0</v>
      </c>
      <c r="H3872" s="27">
        <v>0</v>
      </c>
      <c r="I3872" s="27">
        <v>0</v>
      </c>
      <c r="J3872" s="30">
        <f t="shared" si="180"/>
        <v>0</v>
      </c>
      <c r="K3872" s="30">
        <f t="shared" si="181"/>
        <v>0</v>
      </c>
      <c r="L3872" s="26">
        <f t="shared" si="182"/>
        <v>0</v>
      </c>
      <c r="M3872" s="26">
        <v>0</v>
      </c>
    </row>
    <row r="3873" spans="1:13" ht="14.25" customHeight="1">
      <c r="A3873" s="25">
        <v>1906581</v>
      </c>
      <c r="B3873" s="26" t="s">
        <v>5427</v>
      </c>
      <c r="C3873" s="26" t="s">
        <v>13285</v>
      </c>
      <c r="D3873" s="26" t="s">
        <v>13281</v>
      </c>
      <c r="E3873" s="26" t="s">
        <v>5529</v>
      </c>
      <c r="F3873" s="27">
        <v>6548542</v>
      </c>
      <c r="G3873" s="27">
        <v>1</v>
      </c>
      <c r="H3873" s="27">
        <v>0</v>
      </c>
      <c r="I3873" s="27">
        <v>1</v>
      </c>
      <c r="J3873" s="30">
        <f t="shared" si="180"/>
        <v>1</v>
      </c>
      <c r="K3873" s="30">
        <f t="shared" si="181"/>
        <v>0</v>
      </c>
      <c r="L3873" s="26">
        <f t="shared" si="182"/>
        <v>0</v>
      </c>
      <c r="M3873" s="26"/>
    </row>
    <row r="3874" spans="1:13" ht="14.25" customHeight="1">
      <c r="A3874" s="25">
        <v>1906609</v>
      </c>
      <c r="B3874" s="26" t="s">
        <v>5423</v>
      </c>
      <c r="C3874" s="26" t="s">
        <v>13286</v>
      </c>
      <c r="D3874" s="26" t="s">
        <v>13281</v>
      </c>
      <c r="E3874" s="26" t="s">
        <v>5603</v>
      </c>
      <c r="F3874" s="27">
        <v>6526573</v>
      </c>
      <c r="G3874" s="27">
        <v>1</v>
      </c>
      <c r="H3874" s="27">
        <v>0</v>
      </c>
      <c r="I3874" s="27">
        <v>1</v>
      </c>
      <c r="J3874" s="30">
        <f t="shared" si="180"/>
        <v>1</v>
      </c>
      <c r="K3874" s="30">
        <f t="shared" si="181"/>
        <v>0</v>
      </c>
      <c r="L3874" s="26">
        <f t="shared" si="182"/>
        <v>0</v>
      </c>
      <c r="M3874" s="26"/>
    </row>
    <row r="3875" spans="1:13" ht="14.25" customHeight="1">
      <c r="A3875" s="25">
        <v>1906840</v>
      </c>
      <c r="B3875" s="26" t="s">
        <v>5423</v>
      </c>
      <c r="C3875" s="26" t="s">
        <v>13287</v>
      </c>
      <c r="D3875" s="26" t="s">
        <v>13281</v>
      </c>
      <c r="E3875" s="26" t="s">
        <v>5560</v>
      </c>
      <c r="F3875" s="27">
        <v>6549723</v>
      </c>
      <c r="G3875" s="27">
        <v>0</v>
      </c>
      <c r="H3875" s="27">
        <v>0</v>
      </c>
      <c r="I3875" s="27">
        <v>0</v>
      </c>
      <c r="J3875" s="30">
        <f t="shared" si="180"/>
        <v>0</v>
      </c>
      <c r="K3875" s="30">
        <f t="shared" si="181"/>
        <v>0</v>
      </c>
      <c r="L3875" s="26">
        <f t="shared" si="182"/>
        <v>0</v>
      </c>
      <c r="M3875" s="26">
        <v>0</v>
      </c>
    </row>
    <row r="3876" spans="1:13" ht="14.25" customHeight="1">
      <c r="A3876" s="25">
        <v>1907058</v>
      </c>
      <c r="B3876" s="26" t="s">
        <v>5423</v>
      </c>
      <c r="C3876" s="26" t="s">
        <v>13288</v>
      </c>
      <c r="D3876" s="26" t="s">
        <v>13289</v>
      </c>
      <c r="E3876" s="26" t="s">
        <v>5458</v>
      </c>
      <c r="F3876" s="27">
        <v>6549498</v>
      </c>
      <c r="G3876" s="27">
        <v>1</v>
      </c>
      <c r="H3876" s="27">
        <v>0</v>
      </c>
      <c r="I3876" s="27">
        <v>1</v>
      </c>
      <c r="J3876" s="30">
        <f t="shared" si="180"/>
        <v>1</v>
      </c>
      <c r="K3876" s="30">
        <f t="shared" si="181"/>
        <v>0</v>
      </c>
      <c r="L3876" s="26">
        <f t="shared" si="182"/>
        <v>0</v>
      </c>
      <c r="M3876" s="26"/>
    </row>
    <row r="3877" spans="1:13" ht="14.25" customHeight="1">
      <c r="A3877" s="25">
        <v>1907160</v>
      </c>
      <c r="B3877" s="26" t="s">
        <v>5427</v>
      </c>
      <c r="C3877" s="26" t="s">
        <v>13290</v>
      </c>
      <c r="D3877" s="26" t="s">
        <v>13291</v>
      </c>
      <c r="E3877" s="26" t="s">
        <v>5781</v>
      </c>
      <c r="F3877" s="27">
        <v>6549773</v>
      </c>
      <c r="G3877" s="27">
        <v>1</v>
      </c>
      <c r="H3877" s="27">
        <v>0</v>
      </c>
      <c r="I3877" s="27">
        <v>1</v>
      </c>
      <c r="J3877" s="30">
        <f t="shared" si="180"/>
        <v>1</v>
      </c>
      <c r="K3877" s="30">
        <f t="shared" si="181"/>
        <v>0</v>
      </c>
      <c r="L3877" s="26">
        <f t="shared" si="182"/>
        <v>0</v>
      </c>
      <c r="M3877" s="26"/>
    </row>
    <row r="3878" spans="1:13" ht="14.25" customHeight="1">
      <c r="A3878" s="25">
        <v>1907172</v>
      </c>
      <c r="B3878" s="26" t="s">
        <v>5423</v>
      </c>
      <c r="C3878" s="26" t="s">
        <v>13292</v>
      </c>
      <c r="D3878" s="26" t="s">
        <v>13293</v>
      </c>
      <c r="E3878" s="26" t="s">
        <v>5455</v>
      </c>
      <c r="F3878" s="27">
        <v>6550401</v>
      </c>
      <c r="G3878" s="27">
        <v>0</v>
      </c>
      <c r="H3878" s="27">
        <v>0</v>
      </c>
      <c r="I3878" s="27">
        <v>0</v>
      </c>
      <c r="J3878" s="30">
        <f t="shared" si="180"/>
        <v>0</v>
      </c>
      <c r="K3878" s="30">
        <f t="shared" si="181"/>
        <v>0</v>
      </c>
      <c r="L3878" s="26">
        <f t="shared" si="182"/>
        <v>0</v>
      </c>
      <c r="M3878" s="26">
        <v>0</v>
      </c>
    </row>
    <row r="3879" spans="1:13" ht="14.25" customHeight="1">
      <c r="A3879" s="25">
        <v>1907477</v>
      </c>
      <c r="B3879" s="26" t="s">
        <v>5423</v>
      </c>
      <c r="C3879" s="26" t="s">
        <v>13294</v>
      </c>
      <c r="D3879" s="26" t="s">
        <v>13295</v>
      </c>
      <c r="E3879" s="26" t="s">
        <v>5463</v>
      </c>
      <c r="F3879" s="27">
        <v>6551643</v>
      </c>
      <c r="G3879" s="27">
        <v>1</v>
      </c>
      <c r="H3879" s="27">
        <v>1</v>
      </c>
      <c r="I3879" s="27">
        <v>1</v>
      </c>
      <c r="J3879" s="30">
        <f t="shared" si="180"/>
        <v>1</v>
      </c>
      <c r="K3879" s="30">
        <f t="shared" si="181"/>
        <v>1</v>
      </c>
      <c r="L3879" s="26">
        <f t="shared" si="182"/>
        <v>1</v>
      </c>
      <c r="M3879" s="26"/>
    </row>
    <row r="3880" spans="1:13" ht="14.25" customHeight="1">
      <c r="A3880" s="25">
        <v>1907676</v>
      </c>
      <c r="B3880" s="26" t="s">
        <v>5423</v>
      </c>
      <c r="C3880" s="26" t="s">
        <v>13296</v>
      </c>
      <c r="D3880" s="26" t="s">
        <v>13297</v>
      </c>
      <c r="E3880" s="26" t="s">
        <v>5452</v>
      </c>
      <c r="F3880" s="27">
        <v>6551206</v>
      </c>
      <c r="G3880" s="27">
        <v>1</v>
      </c>
      <c r="H3880" s="27">
        <v>0</v>
      </c>
      <c r="I3880" s="27">
        <v>1</v>
      </c>
      <c r="J3880" s="30">
        <f t="shared" si="180"/>
        <v>1</v>
      </c>
      <c r="K3880" s="30">
        <f t="shared" si="181"/>
        <v>0</v>
      </c>
      <c r="L3880" s="26">
        <f t="shared" si="182"/>
        <v>0</v>
      </c>
      <c r="M3880" s="26"/>
    </row>
    <row r="3881" spans="1:13" ht="14.25" customHeight="1">
      <c r="A3881" s="25">
        <v>1907942</v>
      </c>
      <c r="B3881" s="26" t="s">
        <v>5427</v>
      </c>
      <c r="C3881" s="26" t="s">
        <v>13298</v>
      </c>
      <c r="D3881" s="26" t="s">
        <v>13299</v>
      </c>
      <c r="E3881" s="26" t="s">
        <v>5772</v>
      </c>
      <c r="F3881" s="27">
        <v>6551614</v>
      </c>
      <c r="G3881" s="27">
        <v>1</v>
      </c>
      <c r="H3881" s="27">
        <v>0</v>
      </c>
      <c r="I3881" s="27">
        <v>1</v>
      </c>
      <c r="J3881" s="30">
        <f t="shared" si="180"/>
        <v>1</v>
      </c>
      <c r="K3881" s="30">
        <f t="shared" si="181"/>
        <v>0</v>
      </c>
      <c r="L3881" s="26">
        <f t="shared" si="182"/>
        <v>0</v>
      </c>
      <c r="M3881" s="26"/>
    </row>
    <row r="3882" spans="1:13" ht="14.25" customHeight="1">
      <c r="A3882" s="25">
        <v>1907945</v>
      </c>
      <c r="B3882" s="26" t="s">
        <v>5423</v>
      </c>
      <c r="C3882" s="26" t="s">
        <v>13300</v>
      </c>
      <c r="D3882" s="26" t="s">
        <v>13301</v>
      </c>
      <c r="E3882" s="26" t="s">
        <v>5540</v>
      </c>
      <c r="F3882" s="27">
        <v>6511165</v>
      </c>
      <c r="G3882" s="27">
        <v>1</v>
      </c>
      <c r="H3882" s="27">
        <v>0</v>
      </c>
      <c r="I3882" s="27">
        <v>1</v>
      </c>
      <c r="J3882" s="30">
        <f t="shared" si="180"/>
        <v>1</v>
      </c>
      <c r="K3882" s="30">
        <f t="shared" si="181"/>
        <v>0</v>
      </c>
      <c r="L3882" s="26">
        <f t="shared" si="182"/>
        <v>0</v>
      </c>
      <c r="M3882" s="26"/>
    </row>
    <row r="3883" spans="1:13" ht="14.25" customHeight="1">
      <c r="A3883" s="25">
        <v>1907979</v>
      </c>
      <c r="B3883" s="26" t="s">
        <v>5423</v>
      </c>
      <c r="C3883" s="26" t="s">
        <v>13302</v>
      </c>
      <c r="D3883" s="26" t="s">
        <v>13303</v>
      </c>
      <c r="E3883" s="26" t="s">
        <v>5442</v>
      </c>
      <c r="F3883" s="27">
        <v>6551837</v>
      </c>
      <c r="G3883" s="27">
        <v>0</v>
      </c>
      <c r="H3883" s="27">
        <v>0</v>
      </c>
      <c r="I3883" s="27">
        <v>0</v>
      </c>
      <c r="J3883" s="30">
        <f t="shared" si="180"/>
        <v>0</v>
      </c>
      <c r="K3883" s="30">
        <f t="shared" si="181"/>
        <v>0</v>
      </c>
      <c r="L3883" s="26">
        <f t="shared" si="182"/>
        <v>0</v>
      </c>
      <c r="M3883" s="26">
        <v>0</v>
      </c>
    </row>
    <row r="3884" spans="1:13" ht="14.25" customHeight="1">
      <c r="A3884" s="25">
        <v>1908122</v>
      </c>
      <c r="B3884" s="26" t="s">
        <v>5427</v>
      </c>
      <c r="C3884" s="26" t="s">
        <v>13304</v>
      </c>
      <c r="D3884" s="26" t="s">
        <v>13283</v>
      </c>
      <c r="E3884" s="26" t="s">
        <v>5442</v>
      </c>
      <c r="F3884" s="27">
        <v>6427955</v>
      </c>
      <c r="G3884" s="27">
        <v>0</v>
      </c>
      <c r="H3884" s="27">
        <v>0</v>
      </c>
      <c r="I3884" s="27">
        <v>0</v>
      </c>
      <c r="J3884" s="30">
        <f t="shared" si="180"/>
        <v>0</v>
      </c>
      <c r="K3884" s="30">
        <f t="shared" si="181"/>
        <v>0</v>
      </c>
      <c r="L3884" s="26">
        <f t="shared" si="182"/>
        <v>0</v>
      </c>
      <c r="M3884" s="26">
        <v>0</v>
      </c>
    </row>
    <row r="3885" spans="1:13" ht="14.25" customHeight="1">
      <c r="A3885" s="25">
        <v>1908312</v>
      </c>
      <c r="B3885" s="26" t="s">
        <v>5423</v>
      </c>
      <c r="C3885" s="26" t="s">
        <v>13305</v>
      </c>
      <c r="D3885" s="26" t="s">
        <v>13295</v>
      </c>
      <c r="E3885" s="26" t="s">
        <v>5504</v>
      </c>
      <c r="F3885" s="27">
        <v>6530717</v>
      </c>
      <c r="G3885" s="27">
        <v>0</v>
      </c>
      <c r="H3885" s="27">
        <v>0</v>
      </c>
      <c r="I3885" s="27">
        <v>0</v>
      </c>
      <c r="J3885" s="30">
        <f t="shared" si="180"/>
        <v>0</v>
      </c>
      <c r="K3885" s="30">
        <f t="shared" si="181"/>
        <v>0</v>
      </c>
      <c r="L3885" s="26">
        <f t="shared" si="182"/>
        <v>0</v>
      </c>
      <c r="M3885" s="26">
        <v>0</v>
      </c>
    </row>
    <row r="3886" spans="1:13" ht="14.25" customHeight="1">
      <c r="A3886" s="25">
        <v>1908319</v>
      </c>
      <c r="B3886" s="26" t="s">
        <v>5423</v>
      </c>
      <c r="C3886" s="26" t="s">
        <v>13306</v>
      </c>
      <c r="D3886" s="26" t="s">
        <v>13283</v>
      </c>
      <c r="E3886" s="26" t="s">
        <v>5610</v>
      </c>
      <c r="F3886" s="27">
        <v>6553991</v>
      </c>
      <c r="G3886" s="27">
        <v>0</v>
      </c>
      <c r="H3886" s="27">
        <v>0</v>
      </c>
      <c r="I3886" s="27">
        <v>0</v>
      </c>
      <c r="J3886" s="30">
        <f t="shared" si="180"/>
        <v>0</v>
      </c>
      <c r="K3886" s="30">
        <f t="shared" si="181"/>
        <v>0</v>
      </c>
      <c r="L3886" s="26">
        <f t="shared" si="182"/>
        <v>0</v>
      </c>
      <c r="M3886" s="26">
        <v>0</v>
      </c>
    </row>
    <row r="3887" spans="1:13" ht="14.25" customHeight="1">
      <c r="A3887" s="25">
        <v>1908394</v>
      </c>
      <c r="B3887" s="26" t="s">
        <v>5423</v>
      </c>
      <c r="C3887" s="26" t="s">
        <v>13307</v>
      </c>
      <c r="D3887" s="26" t="s">
        <v>13308</v>
      </c>
      <c r="E3887" s="26" t="s">
        <v>5452</v>
      </c>
      <c r="F3887" s="27">
        <v>6553202</v>
      </c>
      <c r="G3887" s="27">
        <v>0</v>
      </c>
      <c r="H3887" s="27">
        <v>0</v>
      </c>
      <c r="I3887" s="27">
        <v>0</v>
      </c>
      <c r="J3887" s="30">
        <f t="shared" si="180"/>
        <v>0</v>
      </c>
      <c r="K3887" s="30">
        <f t="shared" si="181"/>
        <v>0</v>
      </c>
      <c r="L3887" s="26">
        <f t="shared" si="182"/>
        <v>0</v>
      </c>
      <c r="M3887" s="26">
        <v>0</v>
      </c>
    </row>
    <row r="3888" spans="1:13" ht="14.25" customHeight="1">
      <c r="A3888" s="25">
        <v>1908423</v>
      </c>
      <c r="B3888" s="26" t="s">
        <v>5423</v>
      </c>
      <c r="C3888" s="26" t="s">
        <v>13309</v>
      </c>
      <c r="D3888" s="26" t="s">
        <v>13310</v>
      </c>
      <c r="E3888" s="26" t="s">
        <v>5610</v>
      </c>
      <c r="F3888" s="27">
        <v>6552955</v>
      </c>
      <c r="G3888" s="27">
        <v>0</v>
      </c>
      <c r="H3888" s="27">
        <v>0</v>
      </c>
      <c r="I3888" s="27">
        <v>0</v>
      </c>
      <c r="J3888" s="30">
        <f t="shared" si="180"/>
        <v>0</v>
      </c>
      <c r="K3888" s="30">
        <f t="shared" si="181"/>
        <v>0</v>
      </c>
      <c r="L3888" s="26">
        <f t="shared" si="182"/>
        <v>0</v>
      </c>
      <c r="M3888" s="26">
        <v>0</v>
      </c>
    </row>
    <row r="3889" spans="1:13" ht="14.25" customHeight="1">
      <c r="A3889" s="25">
        <v>1908625</v>
      </c>
      <c r="B3889" s="26" t="s">
        <v>5423</v>
      </c>
      <c r="C3889" s="26" t="s">
        <v>13311</v>
      </c>
      <c r="D3889" s="26" t="s">
        <v>13289</v>
      </c>
      <c r="E3889" s="26" t="s">
        <v>5475</v>
      </c>
      <c r="F3889" s="27">
        <v>6554629</v>
      </c>
      <c r="G3889" s="27">
        <v>0</v>
      </c>
      <c r="H3889" s="27">
        <v>0</v>
      </c>
      <c r="I3889" s="27">
        <v>0</v>
      </c>
      <c r="J3889" s="30">
        <f t="shared" si="180"/>
        <v>0</v>
      </c>
      <c r="K3889" s="30">
        <f t="shared" si="181"/>
        <v>0</v>
      </c>
      <c r="L3889" s="26">
        <f t="shared" si="182"/>
        <v>0</v>
      </c>
      <c r="M3889" s="26">
        <v>0</v>
      </c>
    </row>
    <row r="3890" spans="1:13" ht="14.25" customHeight="1">
      <c r="A3890" s="25">
        <v>1908727</v>
      </c>
      <c r="B3890" s="26" t="s">
        <v>5427</v>
      </c>
      <c r="C3890" s="26" t="s">
        <v>13312</v>
      </c>
      <c r="D3890" s="26" t="s">
        <v>13313</v>
      </c>
      <c r="E3890" s="26" t="s">
        <v>5550</v>
      </c>
      <c r="F3890" s="27">
        <v>6056000</v>
      </c>
      <c r="G3890" s="27">
        <v>0</v>
      </c>
      <c r="H3890" s="27">
        <v>0</v>
      </c>
      <c r="I3890" s="27">
        <v>0</v>
      </c>
      <c r="J3890" s="30">
        <f t="shared" si="180"/>
        <v>0</v>
      </c>
      <c r="K3890" s="30">
        <f t="shared" si="181"/>
        <v>0</v>
      </c>
      <c r="L3890" s="26">
        <f t="shared" si="182"/>
        <v>0</v>
      </c>
      <c r="M3890" s="26" t="s">
        <v>5567</v>
      </c>
    </row>
    <row r="3891" spans="1:13" ht="14.25" customHeight="1">
      <c r="A3891" s="25">
        <v>1909301</v>
      </c>
      <c r="B3891" s="26" t="s">
        <v>5423</v>
      </c>
      <c r="C3891" s="26" t="s">
        <v>13314</v>
      </c>
      <c r="D3891" s="26" t="s">
        <v>13315</v>
      </c>
      <c r="E3891" s="26" t="s">
        <v>5683</v>
      </c>
      <c r="F3891" s="27">
        <v>6438568</v>
      </c>
      <c r="G3891" s="27">
        <v>1</v>
      </c>
      <c r="H3891" s="27">
        <v>1</v>
      </c>
      <c r="I3891" s="27">
        <v>1</v>
      </c>
      <c r="J3891" s="30">
        <f t="shared" si="180"/>
        <v>1</v>
      </c>
      <c r="K3891" s="30">
        <f t="shared" si="181"/>
        <v>1</v>
      </c>
      <c r="L3891" s="26">
        <f t="shared" si="182"/>
        <v>1</v>
      </c>
      <c r="M3891" s="26"/>
    </row>
    <row r="3892" spans="1:13" ht="14.25" customHeight="1">
      <c r="A3892" s="25">
        <v>1909593</v>
      </c>
      <c r="B3892" s="26" t="s">
        <v>5423</v>
      </c>
      <c r="C3892" s="26" t="s">
        <v>13316</v>
      </c>
      <c r="D3892" s="26" t="s">
        <v>13317</v>
      </c>
      <c r="E3892" s="26" t="s">
        <v>5517</v>
      </c>
      <c r="F3892" s="27">
        <v>6106833</v>
      </c>
      <c r="G3892" s="27">
        <v>0</v>
      </c>
      <c r="H3892" s="27">
        <v>0</v>
      </c>
      <c r="I3892" s="27">
        <v>0</v>
      </c>
      <c r="J3892" s="30">
        <f t="shared" si="180"/>
        <v>0</v>
      </c>
      <c r="K3892" s="30">
        <f t="shared" si="181"/>
        <v>0</v>
      </c>
      <c r="L3892" s="26">
        <f t="shared" si="182"/>
        <v>0</v>
      </c>
      <c r="M3892" s="26">
        <v>0</v>
      </c>
    </row>
    <row r="3893" spans="1:13" ht="14.25" customHeight="1">
      <c r="A3893" s="25">
        <v>1909743</v>
      </c>
      <c r="B3893" s="26" t="s">
        <v>5423</v>
      </c>
      <c r="C3893" s="26" t="s">
        <v>13318</v>
      </c>
      <c r="D3893" s="26" t="s">
        <v>13319</v>
      </c>
      <c r="E3893" s="26" t="s">
        <v>5891</v>
      </c>
      <c r="F3893" s="27">
        <v>6545840</v>
      </c>
      <c r="G3893" s="27">
        <v>1</v>
      </c>
      <c r="H3893" s="27">
        <v>0</v>
      </c>
      <c r="I3893" s="27">
        <v>1</v>
      </c>
      <c r="J3893" s="30">
        <f t="shared" si="180"/>
        <v>1</v>
      </c>
      <c r="K3893" s="30">
        <f t="shared" si="181"/>
        <v>0</v>
      </c>
      <c r="L3893" s="26">
        <f t="shared" si="182"/>
        <v>0</v>
      </c>
      <c r="M3893" s="26"/>
    </row>
    <row r="3894" spans="1:13" ht="14.25" customHeight="1">
      <c r="A3894" s="25">
        <v>1909805</v>
      </c>
      <c r="B3894" s="26" t="s">
        <v>5427</v>
      </c>
      <c r="C3894" s="26" t="s">
        <v>13320</v>
      </c>
      <c r="D3894" s="26" t="s">
        <v>13317</v>
      </c>
      <c r="E3894" s="26" t="s">
        <v>5517</v>
      </c>
      <c r="F3894" s="27">
        <v>6547301</v>
      </c>
      <c r="G3894" s="27">
        <v>1</v>
      </c>
      <c r="H3894" s="27">
        <v>1</v>
      </c>
      <c r="I3894" s="27">
        <v>1</v>
      </c>
      <c r="J3894" s="30">
        <f t="shared" si="180"/>
        <v>1</v>
      </c>
      <c r="K3894" s="30">
        <f t="shared" si="181"/>
        <v>1</v>
      </c>
      <c r="L3894" s="26">
        <f t="shared" si="182"/>
        <v>1</v>
      </c>
      <c r="M3894" s="26"/>
    </row>
    <row r="3895" spans="1:13" ht="14.25" customHeight="1">
      <c r="A3895" s="25">
        <v>1909856</v>
      </c>
      <c r="B3895" s="26" t="s">
        <v>5427</v>
      </c>
      <c r="C3895" s="26" t="s">
        <v>13321</v>
      </c>
      <c r="D3895" s="26" t="s">
        <v>13130</v>
      </c>
      <c r="E3895" s="26" t="s">
        <v>5439</v>
      </c>
      <c r="F3895" s="27">
        <v>6556368</v>
      </c>
      <c r="G3895" s="27">
        <v>1</v>
      </c>
      <c r="H3895" s="27">
        <v>0</v>
      </c>
      <c r="I3895" s="27">
        <v>1</v>
      </c>
      <c r="J3895" s="30">
        <f t="shared" si="180"/>
        <v>1</v>
      </c>
      <c r="K3895" s="30">
        <f t="shared" si="181"/>
        <v>0</v>
      </c>
      <c r="L3895" s="26">
        <f t="shared" si="182"/>
        <v>0</v>
      </c>
      <c r="M3895" s="26"/>
    </row>
    <row r="3896" spans="1:13" ht="14.25" customHeight="1">
      <c r="A3896" s="25">
        <v>1910012</v>
      </c>
      <c r="B3896" s="26" t="s">
        <v>5427</v>
      </c>
      <c r="C3896" s="26" t="s">
        <v>13322</v>
      </c>
      <c r="D3896" s="26" t="s">
        <v>13323</v>
      </c>
      <c r="E3896" s="26" t="s">
        <v>5575</v>
      </c>
      <c r="F3896" s="27">
        <v>6548107</v>
      </c>
      <c r="G3896" s="27">
        <v>1</v>
      </c>
      <c r="H3896" s="27">
        <v>0</v>
      </c>
      <c r="I3896" s="27">
        <v>1</v>
      </c>
      <c r="J3896" s="30">
        <f t="shared" si="180"/>
        <v>1</v>
      </c>
      <c r="K3896" s="30">
        <f t="shared" si="181"/>
        <v>0</v>
      </c>
      <c r="L3896" s="26">
        <f t="shared" si="182"/>
        <v>0</v>
      </c>
      <c r="M3896" s="26"/>
    </row>
    <row r="3897" spans="1:13" ht="14.25" customHeight="1">
      <c r="A3897" s="25">
        <v>1910016</v>
      </c>
      <c r="B3897" s="26" t="s">
        <v>5427</v>
      </c>
      <c r="C3897" s="26" t="s">
        <v>13324</v>
      </c>
      <c r="D3897" s="26" t="s">
        <v>13317</v>
      </c>
      <c r="E3897" s="26" t="s">
        <v>8392</v>
      </c>
      <c r="F3897" s="27">
        <v>6558487</v>
      </c>
      <c r="G3897" s="27">
        <v>0</v>
      </c>
      <c r="H3897" s="27">
        <v>0</v>
      </c>
      <c r="I3897" s="27">
        <v>0</v>
      </c>
      <c r="J3897" s="30">
        <f t="shared" si="180"/>
        <v>0</v>
      </c>
      <c r="K3897" s="30">
        <f t="shared" si="181"/>
        <v>0</v>
      </c>
      <c r="L3897" s="26">
        <f t="shared" si="182"/>
        <v>0</v>
      </c>
      <c r="M3897" s="26">
        <v>0</v>
      </c>
    </row>
    <row r="3898" spans="1:13" ht="14.25" customHeight="1">
      <c r="A3898" s="25">
        <v>1910074</v>
      </c>
      <c r="B3898" s="26" t="s">
        <v>5427</v>
      </c>
      <c r="C3898" s="26" t="s">
        <v>13325</v>
      </c>
      <c r="D3898" s="26" t="s">
        <v>13326</v>
      </c>
      <c r="E3898" s="26" t="s">
        <v>5488</v>
      </c>
      <c r="F3898" s="27">
        <v>6556981</v>
      </c>
      <c r="G3898" s="27">
        <v>0</v>
      </c>
      <c r="H3898" s="27">
        <v>0</v>
      </c>
      <c r="I3898" s="27">
        <v>0</v>
      </c>
      <c r="J3898" s="30">
        <f t="shared" si="180"/>
        <v>0</v>
      </c>
      <c r="K3898" s="30">
        <f t="shared" si="181"/>
        <v>0</v>
      </c>
      <c r="L3898" s="26">
        <f t="shared" si="182"/>
        <v>0</v>
      </c>
      <c r="M3898" s="26">
        <v>0</v>
      </c>
    </row>
    <row r="3899" spans="1:13" ht="14.25" customHeight="1">
      <c r="A3899" s="25">
        <v>1910154</v>
      </c>
      <c r="B3899" s="26" t="s">
        <v>5423</v>
      </c>
      <c r="C3899" s="26" t="s">
        <v>13327</v>
      </c>
      <c r="D3899" s="26" t="s">
        <v>13317</v>
      </c>
      <c r="E3899" s="26" t="s">
        <v>5522</v>
      </c>
      <c r="F3899" s="27">
        <v>6558489</v>
      </c>
      <c r="G3899" s="27">
        <v>0</v>
      </c>
      <c r="H3899" s="27">
        <v>0</v>
      </c>
      <c r="I3899" s="27">
        <v>0</v>
      </c>
      <c r="J3899" s="30">
        <f t="shared" si="180"/>
        <v>0</v>
      </c>
      <c r="K3899" s="30">
        <f t="shared" si="181"/>
        <v>0</v>
      </c>
      <c r="L3899" s="26">
        <f t="shared" si="182"/>
        <v>0</v>
      </c>
      <c r="M3899" s="26">
        <v>0</v>
      </c>
    </row>
    <row r="3900" spans="1:13" ht="14.25" customHeight="1">
      <c r="A3900" s="25">
        <v>1910544</v>
      </c>
      <c r="B3900" s="26" t="s">
        <v>5423</v>
      </c>
      <c r="C3900" s="26" t="s">
        <v>13328</v>
      </c>
      <c r="D3900" s="26" t="s">
        <v>13329</v>
      </c>
      <c r="E3900" s="26" t="s">
        <v>5522</v>
      </c>
      <c r="F3900" s="27">
        <v>6558240</v>
      </c>
      <c r="G3900" s="27">
        <v>1</v>
      </c>
      <c r="H3900" s="27">
        <v>1</v>
      </c>
      <c r="I3900" s="27">
        <v>1</v>
      </c>
      <c r="J3900" s="30">
        <f t="shared" si="180"/>
        <v>1</v>
      </c>
      <c r="K3900" s="30">
        <f t="shared" si="181"/>
        <v>1</v>
      </c>
      <c r="L3900" s="26">
        <f t="shared" si="182"/>
        <v>1</v>
      </c>
      <c r="M3900" s="26"/>
    </row>
    <row r="3901" spans="1:13" ht="14.25" customHeight="1">
      <c r="A3901" s="25">
        <v>1910628</v>
      </c>
      <c r="B3901" s="26" t="s">
        <v>5423</v>
      </c>
      <c r="C3901" s="26" t="s">
        <v>13330</v>
      </c>
      <c r="D3901" s="26" t="s">
        <v>13331</v>
      </c>
      <c r="E3901" s="26" t="s">
        <v>5455</v>
      </c>
      <c r="F3901" s="27">
        <v>6558507</v>
      </c>
      <c r="G3901" s="27">
        <v>1</v>
      </c>
      <c r="H3901" s="27">
        <v>0</v>
      </c>
      <c r="I3901" s="27">
        <v>1</v>
      </c>
      <c r="J3901" s="30">
        <f t="shared" si="180"/>
        <v>1</v>
      </c>
      <c r="K3901" s="30">
        <f t="shared" si="181"/>
        <v>0</v>
      </c>
      <c r="L3901" s="26">
        <f t="shared" si="182"/>
        <v>0</v>
      </c>
      <c r="M3901" s="26"/>
    </row>
    <row r="3902" spans="1:13" ht="14.25" customHeight="1">
      <c r="A3902" s="25">
        <v>1910650</v>
      </c>
      <c r="B3902" s="26" t="s">
        <v>5423</v>
      </c>
      <c r="C3902" s="26" t="s">
        <v>13332</v>
      </c>
      <c r="D3902" s="26" t="s">
        <v>13333</v>
      </c>
      <c r="E3902" s="26" t="s">
        <v>5463</v>
      </c>
      <c r="F3902" s="27">
        <v>6558605</v>
      </c>
      <c r="G3902" s="27">
        <v>1</v>
      </c>
      <c r="H3902" s="27">
        <v>0</v>
      </c>
      <c r="I3902" s="27">
        <v>1</v>
      </c>
      <c r="J3902" s="30">
        <f t="shared" si="180"/>
        <v>1</v>
      </c>
      <c r="K3902" s="30">
        <f t="shared" si="181"/>
        <v>0</v>
      </c>
      <c r="L3902" s="26">
        <f t="shared" si="182"/>
        <v>0</v>
      </c>
      <c r="M3902" s="26"/>
    </row>
    <row r="3903" spans="1:13" ht="14.25" customHeight="1">
      <c r="A3903" s="25">
        <v>1910674</v>
      </c>
      <c r="B3903" s="26" t="s">
        <v>5427</v>
      </c>
      <c r="C3903" s="26" t="s">
        <v>13334</v>
      </c>
      <c r="D3903" s="26" t="s">
        <v>13313</v>
      </c>
      <c r="E3903" s="26" t="s">
        <v>5968</v>
      </c>
      <c r="F3903" s="27">
        <v>6558604</v>
      </c>
      <c r="G3903" s="27">
        <v>0</v>
      </c>
      <c r="H3903" s="27">
        <v>0</v>
      </c>
      <c r="I3903" s="27">
        <v>0</v>
      </c>
      <c r="J3903" s="30">
        <f t="shared" si="180"/>
        <v>0</v>
      </c>
      <c r="K3903" s="30">
        <f t="shared" si="181"/>
        <v>0</v>
      </c>
      <c r="L3903" s="26">
        <f t="shared" si="182"/>
        <v>0</v>
      </c>
      <c r="M3903" s="26">
        <v>0</v>
      </c>
    </row>
    <row r="3904" spans="1:13" ht="14.25" customHeight="1">
      <c r="A3904" s="25">
        <v>1910743</v>
      </c>
      <c r="B3904" s="26" t="s">
        <v>5423</v>
      </c>
      <c r="C3904" s="26" t="s">
        <v>13335</v>
      </c>
      <c r="D3904" s="26" t="s">
        <v>13326</v>
      </c>
      <c r="E3904" s="26" t="s">
        <v>5683</v>
      </c>
      <c r="F3904" s="27">
        <v>6558729</v>
      </c>
      <c r="G3904" s="27">
        <v>1</v>
      </c>
      <c r="H3904" s="27">
        <v>0</v>
      </c>
      <c r="I3904" s="27">
        <v>1</v>
      </c>
      <c r="J3904" s="30">
        <f t="shared" si="180"/>
        <v>1</v>
      </c>
      <c r="K3904" s="30">
        <f t="shared" si="181"/>
        <v>0</v>
      </c>
      <c r="L3904" s="26">
        <f t="shared" si="182"/>
        <v>0</v>
      </c>
      <c r="M3904" s="26"/>
    </row>
    <row r="3905" spans="1:13" ht="14.25" customHeight="1">
      <c r="A3905" s="25">
        <v>1910808</v>
      </c>
      <c r="B3905" s="26" t="s">
        <v>5423</v>
      </c>
      <c r="C3905" s="26" t="s">
        <v>13336</v>
      </c>
      <c r="D3905" s="26" t="s">
        <v>13337</v>
      </c>
      <c r="E3905" s="26" t="s">
        <v>5475</v>
      </c>
      <c r="F3905" s="27">
        <v>6389141</v>
      </c>
      <c r="G3905" s="27">
        <v>1</v>
      </c>
      <c r="H3905" s="27">
        <v>0</v>
      </c>
      <c r="I3905" s="27">
        <v>1</v>
      </c>
      <c r="J3905" s="30">
        <f t="shared" si="180"/>
        <v>1</v>
      </c>
      <c r="K3905" s="30">
        <f t="shared" si="181"/>
        <v>0</v>
      </c>
      <c r="L3905" s="26">
        <f t="shared" si="182"/>
        <v>0</v>
      </c>
      <c r="M3905" s="26"/>
    </row>
    <row r="3906" spans="1:13" ht="14.25" customHeight="1">
      <c r="A3906" s="25">
        <v>1910836</v>
      </c>
      <c r="B3906" s="26" t="s">
        <v>5423</v>
      </c>
      <c r="C3906" s="26" t="s">
        <v>13338</v>
      </c>
      <c r="D3906" s="26" t="s">
        <v>13313</v>
      </c>
      <c r="E3906" s="26" t="s">
        <v>5891</v>
      </c>
      <c r="F3906" s="27">
        <v>6557507</v>
      </c>
      <c r="G3906" s="27">
        <v>1</v>
      </c>
      <c r="H3906" s="27">
        <v>0</v>
      </c>
      <c r="I3906" s="27">
        <v>1</v>
      </c>
      <c r="J3906" s="30">
        <f t="shared" ref="J3906:J3969" si="183">IF(G3906&gt;0,1,0)</f>
        <v>1</v>
      </c>
      <c r="K3906" s="30">
        <f t="shared" ref="K3906:K3969" si="184">IF(H3906&gt;0,1,0)</f>
        <v>0</v>
      </c>
      <c r="L3906" s="26">
        <f t="shared" ref="L3906:L3969" si="185">IF(G3906&gt;0,IF(H3906&gt;0,1,0),0)</f>
        <v>0</v>
      </c>
      <c r="M3906" s="26"/>
    </row>
    <row r="3907" spans="1:13" ht="14.25" customHeight="1">
      <c r="A3907" s="25">
        <v>1910840</v>
      </c>
      <c r="B3907" s="26" t="s">
        <v>5427</v>
      </c>
      <c r="C3907" s="26" t="s">
        <v>13339</v>
      </c>
      <c r="D3907" s="26" t="s">
        <v>13299</v>
      </c>
      <c r="E3907" s="26" t="s">
        <v>5517</v>
      </c>
      <c r="F3907" s="27">
        <v>6540882</v>
      </c>
      <c r="G3907" s="27">
        <v>1</v>
      </c>
      <c r="H3907" s="27">
        <v>1</v>
      </c>
      <c r="I3907" s="27">
        <v>1</v>
      </c>
      <c r="J3907" s="30">
        <f t="shared" si="183"/>
        <v>1</v>
      </c>
      <c r="K3907" s="30">
        <f t="shared" si="184"/>
        <v>1</v>
      </c>
      <c r="L3907" s="26">
        <f t="shared" si="185"/>
        <v>1</v>
      </c>
      <c r="M3907" s="26"/>
    </row>
    <row r="3908" spans="1:13" ht="14.25" customHeight="1">
      <c r="A3908" s="25">
        <v>1910855</v>
      </c>
      <c r="B3908" s="26" t="s">
        <v>5427</v>
      </c>
      <c r="C3908" s="26" t="s">
        <v>13340</v>
      </c>
      <c r="D3908" s="26" t="s">
        <v>13299</v>
      </c>
      <c r="E3908" s="26" t="s">
        <v>5517</v>
      </c>
      <c r="F3908" s="27">
        <v>6462800</v>
      </c>
      <c r="G3908" s="27">
        <v>1</v>
      </c>
      <c r="H3908" s="27">
        <v>1</v>
      </c>
      <c r="I3908" s="27">
        <v>1</v>
      </c>
      <c r="J3908" s="30">
        <f t="shared" si="183"/>
        <v>1</v>
      </c>
      <c r="K3908" s="30">
        <f t="shared" si="184"/>
        <v>1</v>
      </c>
      <c r="L3908" s="26">
        <f t="shared" si="185"/>
        <v>1</v>
      </c>
      <c r="M3908" s="26"/>
    </row>
    <row r="3909" spans="1:13" ht="14.25" customHeight="1">
      <c r="A3909" s="25">
        <v>1910908</v>
      </c>
      <c r="B3909" s="26" t="s">
        <v>5427</v>
      </c>
      <c r="C3909" s="26" t="s">
        <v>13341</v>
      </c>
      <c r="D3909" s="26" t="s">
        <v>13326</v>
      </c>
      <c r="E3909" s="26" t="s">
        <v>5475</v>
      </c>
      <c r="F3909" s="27">
        <v>6536169</v>
      </c>
      <c r="G3909" s="27">
        <v>1</v>
      </c>
      <c r="H3909" s="27">
        <v>0</v>
      </c>
      <c r="I3909" s="27">
        <v>1</v>
      </c>
      <c r="J3909" s="30">
        <f t="shared" si="183"/>
        <v>1</v>
      </c>
      <c r="K3909" s="30">
        <f t="shared" si="184"/>
        <v>0</v>
      </c>
      <c r="L3909" s="26">
        <f t="shared" si="185"/>
        <v>0</v>
      </c>
      <c r="M3909" s="26"/>
    </row>
    <row r="3910" spans="1:13" ht="14.25" customHeight="1">
      <c r="A3910" s="25">
        <v>1910978</v>
      </c>
      <c r="B3910" s="26" t="s">
        <v>5423</v>
      </c>
      <c r="C3910" s="26" t="s">
        <v>13342</v>
      </c>
      <c r="D3910" s="26" t="s">
        <v>13299</v>
      </c>
      <c r="E3910" s="26" t="s">
        <v>5683</v>
      </c>
      <c r="F3910" s="27">
        <v>6561294</v>
      </c>
      <c r="G3910" s="27">
        <v>0</v>
      </c>
      <c r="H3910" s="27">
        <v>1</v>
      </c>
      <c r="I3910" s="27">
        <v>1</v>
      </c>
      <c r="J3910" s="30">
        <f t="shared" si="183"/>
        <v>0</v>
      </c>
      <c r="K3910" s="30">
        <f t="shared" si="184"/>
        <v>1</v>
      </c>
      <c r="L3910" s="26">
        <f t="shared" si="185"/>
        <v>0</v>
      </c>
      <c r="M3910" s="26"/>
    </row>
    <row r="3911" spans="1:13" ht="14.25" customHeight="1">
      <c r="A3911" s="25">
        <v>1911025</v>
      </c>
      <c r="B3911" s="26" t="s">
        <v>5423</v>
      </c>
      <c r="C3911" s="26" t="s">
        <v>13343</v>
      </c>
      <c r="D3911" s="26" t="s">
        <v>13299</v>
      </c>
      <c r="E3911" s="26" t="s">
        <v>5718</v>
      </c>
      <c r="F3911" s="27">
        <v>6511735</v>
      </c>
      <c r="G3911" s="27">
        <v>1</v>
      </c>
      <c r="H3911" s="27">
        <v>1</v>
      </c>
      <c r="I3911" s="27">
        <v>1</v>
      </c>
      <c r="J3911" s="30">
        <f t="shared" si="183"/>
        <v>1</v>
      </c>
      <c r="K3911" s="30">
        <f t="shared" si="184"/>
        <v>1</v>
      </c>
      <c r="L3911" s="26">
        <f t="shared" si="185"/>
        <v>1</v>
      </c>
      <c r="M3911" s="26"/>
    </row>
    <row r="3912" spans="1:13" ht="14.25" customHeight="1">
      <c r="A3912" s="25">
        <v>1911103</v>
      </c>
      <c r="B3912" s="26" t="s">
        <v>5423</v>
      </c>
      <c r="C3912" s="26" t="s">
        <v>13344</v>
      </c>
      <c r="D3912" s="26" t="s">
        <v>13345</v>
      </c>
      <c r="E3912" s="26" t="s">
        <v>5603</v>
      </c>
      <c r="F3912" s="27">
        <v>6540366</v>
      </c>
      <c r="G3912" s="27">
        <v>1</v>
      </c>
      <c r="H3912" s="27">
        <v>1</v>
      </c>
      <c r="I3912" s="27">
        <v>1</v>
      </c>
      <c r="J3912" s="30">
        <f t="shared" si="183"/>
        <v>1</v>
      </c>
      <c r="K3912" s="30">
        <f t="shared" si="184"/>
        <v>1</v>
      </c>
      <c r="L3912" s="26">
        <f t="shared" si="185"/>
        <v>1</v>
      </c>
      <c r="M3912" s="26" t="s">
        <v>12411</v>
      </c>
    </row>
    <row r="3913" spans="1:13" ht="14.25" customHeight="1">
      <c r="A3913" s="25">
        <v>1911132</v>
      </c>
      <c r="B3913" s="26" t="s">
        <v>5427</v>
      </c>
      <c r="C3913" s="26" t="s">
        <v>13346</v>
      </c>
      <c r="D3913" s="26" t="s">
        <v>13333</v>
      </c>
      <c r="E3913" s="26" t="s">
        <v>5517</v>
      </c>
      <c r="F3913" s="27">
        <v>6559905</v>
      </c>
      <c r="G3913" s="27">
        <v>1</v>
      </c>
      <c r="H3913" s="27">
        <v>0</v>
      </c>
      <c r="I3913" s="27">
        <v>1</v>
      </c>
      <c r="J3913" s="30">
        <f t="shared" si="183"/>
        <v>1</v>
      </c>
      <c r="K3913" s="30">
        <f t="shared" si="184"/>
        <v>0</v>
      </c>
      <c r="L3913" s="26">
        <f t="shared" si="185"/>
        <v>0</v>
      </c>
      <c r="M3913" s="26"/>
    </row>
    <row r="3914" spans="1:13" ht="14.25" customHeight="1">
      <c r="A3914" s="25">
        <v>1911194</v>
      </c>
      <c r="B3914" s="26" t="s">
        <v>5423</v>
      </c>
      <c r="C3914" s="26" t="s">
        <v>13347</v>
      </c>
      <c r="D3914" s="26" t="s">
        <v>13348</v>
      </c>
      <c r="E3914" s="26" t="s">
        <v>5480</v>
      </c>
      <c r="F3914" s="27">
        <v>6404248</v>
      </c>
      <c r="G3914" s="27">
        <v>1</v>
      </c>
      <c r="H3914" s="27">
        <v>1</v>
      </c>
      <c r="I3914" s="27">
        <v>1</v>
      </c>
      <c r="J3914" s="30">
        <f t="shared" si="183"/>
        <v>1</v>
      </c>
      <c r="K3914" s="30">
        <f t="shared" si="184"/>
        <v>1</v>
      </c>
      <c r="L3914" s="26">
        <f t="shared" si="185"/>
        <v>1</v>
      </c>
      <c r="M3914" s="26"/>
    </row>
    <row r="3915" spans="1:13" ht="14.25" customHeight="1">
      <c r="A3915" s="25">
        <v>1911421</v>
      </c>
      <c r="B3915" s="26" t="s">
        <v>5423</v>
      </c>
      <c r="C3915" s="26" t="s">
        <v>13349</v>
      </c>
      <c r="D3915" s="26" t="s">
        <v>13299</v>
      </c>
      <c r="E3915" s="26" t="s">
        <v>5433</v>
      </c>
      <c r="F3915" s="27">
        <v>6560499</v>
      </c>
      <c r="G3915" s="27">
        <v>1</v>
      </c>
      <c r="H3915" s="27">
        <v>0</v>
      </c>
      <c r="I3915" s="27">
        <v>1</v>
      </c>
      <c r="J3915" s="30">
        <f t="shared" si="183"/>
        <v>1</v>
      </c>
      <c r="K3915" s="30">
        <f t="shared" si="184"/>
        <v>0</v>
      </c>
      <c r="L3915" s="26">
        <f t="shared" si="185"/>
        <v>0</v>
      </c>
      <c r="M3915" s="26"/>
    </row>
    <row r="3916" spans="1:13" ht="14.25" customHeight="1">
      <c r="A3916" s="25">
        <v>1911564</v>
      </c>
      <c r="B3916" s="26" t="s">
        <v>5423</v>
      </c>
      <c r="C3916" s="26" t="s">
        <v>13350</v>
      </c>
      <c r="D3916" s="26" t="s">
        <v>13299</v>
      </c>
      <c r="E3916" s="26" t="s">
        <v>5491</v>
      </c>
      <c r="F3916" s="27">
        <v>4987461</v>
      </c>
      <c r="G3916" s="27">
        <v>1</v>
      </c>
      <c r="H3916" s="27">
        <v>0</v>
      </c>
      <c r="I3916" s="27">
        <v>1</v>
      </c>
      <c r="J3916" s="30">
        <f t="shared" si="183"/>
        <v>1</v>
      </c>
      <c r="K3916" s="30">
        <f t="shared" si="184"/>
        <v>0</v>
      </c>
      <c r="L3916" s="26">
        <f t="shared" si="185"/>
        <v>0</v>
      </c>
      <c r="M3916" s="26"/>
    </row>
    <row r="3917" spans="1:13" ht="14.25" customHeight="1">
      <c r="A3917" s="25">
        <v>1911569</v>
      </c>
      <c r="B3917" s="26" t="s">
        <v>5423</v>
      </c>
      <c r="C3917" s="26" t="s">
        <v>13351</v>
      </c>
      <c r="D3917" s="26" t="s">
        <v>13299</v>
      </c>
      <c r="E3917" s="26" t="s">
        <v>5603</v>
      </c>
      <c r="F3917" s="27">
        <v>6550083</v>
      </c>
      <c r="G3917" s="27">
        <v>1</v>
      </c>
      <c r="H3917" s="27">
        <v>0</v>
      </c>
      <c r="I3917" s="27">
        <v>1</v>
      </c>
      <c r="J3917" s="30">
        <f t="shared" si="183"/>
        <v>1</v>
      </c>
      <c r="K3917" s="30">
        <f t="shared" si="184"/>
        <v>0</v>
      </c>
      <c r="L3917" s="26">
        <f t="shared" si="185"/>
        <v>0</v>
      </c>
      <c r="M3917" s="26"/>
    </row>
    <row r="3918" spans="1:13" ht="14.25" customHeight="1">
      <c r="A3918" s="25">
        <v>1911710</v>
      </c>
      <c r="B3918" s="26" t="s">
        <v>5423</v>
      </c>
      <c r="C3918" s="26" t="s">
        <v>13352</v>
      </c>
      <c r="D3918" s="26" t="s">
        <v>13353</v>
      </c>
      <c r="E3918" s="26" t="s">
        <v>5480</v>
      </c>
      <c r="F3918" s="27">
        <v>5070158</v>
      </c>
      <c r="G3918" s="27">
        <v>1</v>
      </c>
      <c r="H3918" s="27">
        <v>1</v>
      </c>
      <c r="I3918" s="27">
        <v>1</v>
      </c>
      <c r="J3918" s="30">
        <f t="shared" si="183"/>
        <v>1</v>
      </c>
      <c r="K3918" s="30">
        <f t="shared" si="184"/>
        <v>1</v>
      </c>
      <c r="L3918" s="26">
        <f t="shared" si="185"/>
        <v>1</v>
      </c>
      <c r="M3918" s="26"/>
    </row>
    <row r="3919" spans="1:13" ht="14.25" customHeight="1">
      <c r="A3919" s="25">
        <v>1911872</v>
      </c>
      <c r="B3919" s="26" t="s">
        <v>5427</v>
      </c>
      <c r="C3919" s="26" t="s">
        <v>13354</v>
      </c>
      <c r="D3919" s="26" t="s">
        <v>13348</v>
      </c>
      <c r="E3919" s="26" t="s">
        <v>5494</v>
      </c>
      <c r="F3919" s="27">
        <v>6493350</v>
      </c>
      <c r="G3919" s="27">
        <v>1</v>
      </c>
      <c r="H3919" s="27">
        <v>0</v>
      </c>
      <c r="I3919" s="27">
        <v>1</v>
      </c>
      <c r="J3919" s="30">
        <f t="shared" si="183"/>
        <v>1</v>
      </c>
      <c r="K3919" s="30">
        <f t="shared" si="184"/>
        <v>0</v>
      </c>
      <c r="L3919" s="26">
        <f t="shared" si="185"/>
        <v>0</v>
      </c>
      <c r="M3919" s="26"/>
    </row>
    <row r="3920" spans="1:13" ht="14.25" customHeight="1">
      <c r="A3920" s="25">
        <v>1912201</v>
      </c>
      <c r="B3920" s="26" t="s">
        <v>5423</v>
      </c>
      <c r="C3920" s="26" t="s">
        <v>13355</v>
      </c>
      <c r="D3920" s="26" t="s">
        <v>13303</v>
      </c>
      <c r="E3920" s="26" t="s">
        <v>5458</v>
      </c>
      <c r="F3920" s="27">
        <v>6550071</v>
      </c>
      <c r="G3920" s="27">
        <v>1</v>
      </c>
      <c r="H3920" s="27">
        <v>1</v>
      </c>
      <c r="I3920" s="27">
        <v>1</v>
      </c>
      <c r="J3920" s="30">
        <f t="shared" si="183"/>
        <v>1</v>
      </c>
      <c r="K3920" s="30">
        <f t="shared" si="184"/>
        <v>1</v>
      </c>
      <c r="L3920" s="26">
        <f t="shared" si="185"/>
        <v>1</v>
      </c>
      <c r="M3920" s="26"/>
    </row>
    <row r="3921" spans="1:13" ht="14.25" customHeight="1">
      <c r="A3921" s="25">
        <v>1912211</v>
      </c>
      <c r="B3921" s="26" t="s">
        <v>5423</v>
      </c>
      <c r="C3921" s="26" t="s">
        <v>13356</v>
      </c>
      <c r="D3921" s="26" t="s">
        <v>13303</v>
      </c>
      <c r="E3921" s="26" t="s">
        <v>5504</v>
      </c>
      <c r="F3921" s="27">
        <v>6494182</v>
      </c>
      <c r="G3921" s="27">
        <v>1</v>
      </c>
      <c r="H3921" s="27">
        <v>1</v>
      </c>
      <c r="I3921" s="27">
        <v>1</v>
      </c>
      <c r="J3921" s="30">
        <f t="shared" si="183"/>
        <v>1</v>
      </c>
      <c r="K3921" s="30">
        <f t="shared" si="184"/>
        <v>1</v>
      </c>
      <c r="L3921" s="26">
        <f t="shared" si="185"/>
        <v>1</v>
      </c>
      <c r="M3921" s="26"/>
    </row>
    <row r="3922" spans="1:13" ht="14.25" customHeight="1">
      <c r="A3922" s="25">
        <v>1912239</v>
      </c>
      <c r="B3922" s="26" t="s">
        <v>5423</v>
      </c>
      <c r="C3922" s="26" t="s">
        <v>13357</v>
      </c>
      <c r="D3922" s="26" t="s">
        <v>13337</v>
      </c>
      <c r="E3922" s="26" t="s">
        <v>5433</v>
      </c>
      <c r="F3922" s="27">
        <v>6563792</v>
      </c>
      <c r="G3922" s="27">
        <v>0</v>
      </c>
      <c r="H3922" s="27">
        <v>0</v>
      </c>
      <c r="I3922" s="27">
        <v>0</v>
      </c>
      <c r="J3922" s="30">
        <f t="shared" si="183"/>
        <v>0</v>
      </c>
      <c r="K3922" s="30">
        <f t="shared" si="184"/>
        <v>0</v>
      </c>
      <c r="L3922" s="26">
        <f t="shared" si="185"/>
        <v>0</v>
      </c>
      <c r="M3922" s="26">
        <v>0</v>
      </c>
    </row>
    <row r="3923" spans="1:13" ht="14.25" customHeight="1">
      <c r="A3923" s="25">
        <v>1912253</v>
      </c>
      <c r="B3923" s="26" t="s">
        <v>5427</v>
      </c>
      <c r="C3923" s="26" t="s">
        <v>13358</v>
      </c>
      <c r="D3923" s="26" t="s">
        <v>13337</v>
      </c>
      <c r="E3923" s="26" t="s">
        <v>5442</v>
      </c>
      <c r="F3923" s="27">
        <v>6516231</v>
      </c>
      <c r="G3923" s="27">
        <v>1</v>
      </c>
      <c r="H3923" s="27">
        <v>0</v>
      </c>
      <c r="I3923" s="27">
        <v>1</v>
      </c>
      <c r="J3923" s="30">
        <f t="shared" si="183"/>
        <v>1</v>
      </c>
      <c r="K3923" s="30">
        <f t="shared" si="184"/>
        <v>0</v>
      </c>
      <c r="L3923" s="26">
        <f t="shared" si="185"/>
        <v>0</v>
      </c>
      <c r="M3923" s="26"/>
    </row>
    <row r="3924" spans="1:13" ht="14.25" customHeight="1">
      <c r="A3924" s="25">
        <v>1912452</v>
      </c>
      <c r="B3924" s="26" t="s">
        <v>5423</v>
      </c>
      <c r="C3924" s="26" t="s">
        <v>13359</v>
      </c>
      <c r="D3924" s="26" t="s">
        <v>13333</v>
      </c>
      <c r="E3924" s="26" t="s">
        <v>5535</v>
      </c>
      <c r="F3924" s="27">
        <v>6563479</v>
      </c>
      <c r="G3924" s="27">
        <v>1</v>
      </c>
      <c r="H3924" s="27">
        <v>0</v>
      </c>
      <c r="I3924" s="27">
        <v>1</v>
      </c>
      <c r="J3924" s="30">
        <f t="shared" si="183"/>
        <v>1</v>
      </c>
      <c r="K3924" s="30">
        <f t="shared" si="184"/>
        <v>0</v>
      </c>
      <c r="L3924" s="26">
        <f t="shared" si="185"/>
        <v>0</v>
      </c>
      <c r="M3924" s="26"/>
    </row>
    <row r="3925" spans="1:13" ht="14.25" customHeight="1">
      <c r="A3925" s="25">
        <v>1912876</v>
      </c>
      <c r="B3925" s="26" t="s">
        <v>5423</v>
      </c>
      <c r="C3925" s="26" t="s">
        <v>13360</v>
      </c>
      <c r="D3925" s="26" t="s">
        <v>13333</v>
      </c>
      <c r="E3925" s="26" t="s">
        <v>5430</v>
      </c>
      <c r="F3925" s="27">
        <v>5228999</v>
      </c>
      <c r="G3925" s="27">
        <v>0</v>
      </c>
      <c r="H3925" s="27">
        <v>1</v>
      </c>
      <c r="I3925" s="27">
        <v>1</v>
      </c>
      <c r="J3925" s="30">
        <f t="shared" si="183"/>
        <v>0</v>
      </c>
      <c r="K3925" s="30">
        <f t="shared" si="184"/>
        <v>1</v>
      </c>
      <c r="L3925" s="26">
        <f t="shared" si="185"/>
        <v>0</v>
      </c>
      <c r="M3925" s="26"/>
    </row>
    <row r="3926" spans="1:13" ht="14.25" customHeight="1">
      <c r="A3926" s="25">
        <v>1912960</v>
      </c>
      <c r="B3926" s="26" t="s">
        <v>5423</v>
      </c>
      <c r="C3926" s="26" t="s">
        <v>13361</v>
      </c>
      <c r="D3926" s="26" t="s">
        <v>13362</v>
      </c>
      <c r="E3926" s="26" t="s">
        <v>5610</v>
      </c>
      <c r="F3926" s="27">
        <v>6565653</v>
      </c>
      <c r="G3926" s="27">
        <v>0</v>
      </c>
      <c r="H3926" s="27">
        <v>0</v>
      </c>
      <c r="I3926" s="27">
        <v>0</v>
      </c>
      <c r="J3926" s="30">
        <f t="shared" si="183"/>
        <v>0</v>
      </c>
      <c r="K3926" s="30">
        <f t="shared" si="184"/>
        <v>0</v>
      </c>
      <c r="L3926" s="26">
        <f t="shared" si="185"/>
        <v>0</v>
      </c>
      <c r="M3926" s="26">
        <v>0</v>
      </c>
    </row>
    <row r="3927" spans="1:13" ht="14.25" customHeight="1">
      <c r="A3927" s="25">
        <v>1912961</v>
      </c>
      <c r="B3927" s="26" t="s">
        <v>5423</v>
      </c>
      <c r="C3927" s="26" t="s">
        <v>13363</v>
      </c>
      <c r="D3927" s="26" t="s">
        <v>13130</v>
      </c>
      <c r="E3927" s="26" t="s">
        <v>5540</v>
      </c>
      <c r="F3927" s="27">
        <v>6565756</v>
      </c>
      <c r="G3927" s="27">
        <v>0</v>
      </c>
      <c r="H3927" s="27">
        <v>0</v>
      </c>
      <c r="I3927" s="27">
        <v>0</v>
      </c>
      <c r="J3927" s="30">
        <f t="shared" si="183"/>
        <v>0</v>
      </c>
      <c r="K3927" s="30">
        <f t="shared" si="184"/>
        <v>0</v>
      </c>
      <c r="L3927" s="26">
        <f t="shared" si="185"/>
        <v>0</v>
      </c>
      <c r="M3927" s="26">
        <v>0</v>
      </c>
    </row>
    <row r="3928" spans="1:13" ht="14.25" customHeight="1">
      <c r="A3928" s="25">
        <v>1913034</v>
      </c>
      <c r="B3928" s="26" t="s">
        <v>5427</v>
      </c>
      <c r="C3928" s="26" t="s">
        <v>13364</v>
      </c>
      <c r="D3928" s="26" t="s">
        <v>13365</v>
      </c>
      <c r="E3928" s="26" t="s">
        <v>5507</v>
      </c>
      <c r="F3928" s="27">
        <v>6564665</v>
      </c>
      <c r="G3928" s="27">
        <v>0</v>
      </c>
      <c r="H3928" s="27">
        <v>0</v>
      </c>
      <c r="I3928" s="27">
        <v>0</v>
      </c>
      <c r="J3928" s="30">
        <f t="shared" si="183"/>
        <v>0</v>
      </c>
      <c r="K3928" s="30">
        <f t="shared" si="184"/>
        <v>0</v>
      </c>
      <c r="L3928" s="26">
        <f t="shared" si="185"/>
        <v>0</v>
      </c>
      <c r="M3928" s="26">
        <v>0</v>
      </c>
    </row>
    <row r="3929" spans="1:13" ht="14.25" customHeight="1">
      <c r="A3929" s="25">
        <v>1913041</v>
      </c>
      <c r="B3929" s="26" t="s">
        <v>5423</v>
      </c>
      <c r="C3929" s="26" t="s">
        <v>13366</v>
      </c>
      <c r="D3929" s="26" t="s">
        <v>13367</v>
      </c>
      <c r="E3929" s="26" t="s">
        <v>5442</v>
      </c>
      <c r="F3929" s="27">
        <v>6564726</v>
      </c>
      <c r="G3929" s="27">
        <v>0</v>
      </c>
      <c r="H3929" s="27">
        <v>0</v>
      </c>
      <c r="I3929" s="27">
        <v>0</v>
      </c>
      <c r="J3929" s="30">
        <f t="shared" si="183"/>
        <v>0</v>
      </c>
      <c r="K3929" s="30">
        <f t="shared" si="184"/>
        <v>0</v>
      </c>
      <c r="L3929" s="26">
        <f t="shared" si="185"/>
        <v>0</v>
      </c>
      <c r="M3929" s="26" t="s">
        <v>5567</v>
      </c>
    </row>
    <row r="3930" spans="1:13" ht="14.25" customHeight="1">
      <c r="A3930" s="25">
        <v>1913119</v>
      </c>
      <c r="B3930" s="26" t="s">
        <v>5427</v>
      </c>
      <c r="C3930" s="26" t="s">
        <v>13368</v>
      </c>
      <c r="D3930" s="26" t="s">
        <v>13130</v>
      </c>
      <c r="E3930" s="26" t="s">
        <v>5532</v>
      </c>
      <c r="F3930" s="27">
        <v>6565633</v>
      </c>
      <c r="G3930" s="27">
        <v>0</v>
      </c>
      <c r="H3930" s="27">
        <v>0</v>
      </c>
      <c r="I3930" s="27">
        <v>0</v>
      </c>
      <c r="J3930" s="30">
        <f t="shared" si="183"/>
        <v>0</v>
      </c>
      <c r="K3930" s="30">
        <f t="shared" si="184"/>
        <v>0</v>
      </c>
      <c r="L3930" s="26">
        <f t="shared" si="185"/>
        <v>0</v>
      </c>
      <c r="M3930" s="26">
        <v>0</v>
      </c>
    </row>
    <row r="3931" spans="1:13" ht="14.25" customHeight="1">
      <c r="A3931" s="25">
        <v>1913695</v>
      </c>
      <c r="B3931" s="26" t="s">
        <v>5427</v>
      </c>
      <c r="C3931" s="26" t="s">
        <v>13369</v>
      </c>
      <c r="D3931" s="26" t="s">
        <v>13365</v>
      </c>
      <c r="E3931" s="26" t="s">
        <v>5485</v>
      </c>
      <c r="F3931" s="27">
        <v>6566220</v>
      </c>
      <c r="G3931" s="27">
        <v>1</v>
      </c>
      <c r="H3931" s="27">
        <v>1</v>
      </c>
      <c r="I3931" s="27">
        <v>1</v>
      </c>
      <c r="J3931" s="30">
        <f t="shared" si="183"/>
        <v>1</v>
      </c>
      <c r="K3931" s="30">
        <f t="shared" si="184"/>
        <v>1</v>
      </c>
      <c r="L3931" s="26">
        <f t="shared" si="185"/>
        <v>1</v>
      </c>
      <c r="M3931" s="26"/>
    </row>
    <row r="3932" spans="1:13" ht="14.25" customHeight="1">
      <c r="A3932" s="25">
        <v>1913714</v>
      </c>
      <c r="B3932" s="26" t="s">
        <v>5423</v>
      </c>
      <c r="C3932" s="26" t="s">
        <v>13370</v>
      </c>
      <c r="D3932" s="26" t="s">
        <v>13130</v>
      </c>
      <c r="E3932" s="26" t="s">
        <v>5683</v>
      </c>
      <c r="F3932" s="27">
        <v>6553810</v>
      </c>
      <c r="G3932" s="27">
        <v>1</v>
      </c>
      <c r="H3932" s="27">
        <v>0</v>
      </c>
      <c r="I3932" s="27">
        <v>1</v>
      </c>
      <c r="J3932" s="30">
        <f t="shared" si="183"/>
        <v>1</v>
      </c>
      <c r="K3932" s="30">
        <f t="shared" si="184"/>
        <v>0</v>
      </c>
      <c r="L3932" s="26">
        <f t="shared" si="185"/>
        <v>0</v>
      </c>
      <c r="M3932" s="26"/>
    </row>
    <row r="3933" spans="1:13" ht="14.25" customHeight="1">
      <c r="A3933" s="25">
        <v>1914046</v>
      </c>
      <c r="B3933" s="26" t="s">
        <v>5423</v>
      </c>
      <c r="C3933" s="26" t="s">
        <v>13371</v>
      </c>
      <c r="D3933" s="26" t="s">
        <v>13367</v>
      </c>
      <c r="E3933" s="26" t="s">
        <v>5517</v>
      </c>
      <c r="F3933" s="27">
        <v>6567072</v>
      </c>
      <c r="G3933" s="27">
        <v>1</v>
      </c>
      <c r="H3933" s="27">
        <v>0</v>
      </c>
      <c r="I3933" s="27">
        <v>1</v>
      </c>
      <c r="J3933" s="30">
        <f t="shared" si="183"/>
        <v>1</v>
      </c>
      <c r="K3933" s="30">
        <f t="shared" si="184"/>
        <v>0</v>
      </c>
      <c r="L3933" s="26">
        <f t="shared" si="185"/>
        <v>0</v>
      </c>
      <c r="M3933" s="26"/>
    </row>
    <row r="3934" spans="1:13" ht="14.25" customHeight="1">
      <c r="A3934" s="25">
        <v>1914452</v>
      </c>
      <c r="B3934" s="26" t="s">
        <v>5427</v>
      </c>
      <c r="C3934" s="26" t="s">
        <v>13372</v>
      </c>
      <c r="D3934" s="26" t="s">
        <v>13329</v>
      </c>
      <c r="E3934" s="26" t="s">
        <v>5532</v>
      </c>
      <c r="F3934" s="27">
        <v>6549558</v>
      </c>
      <c r="G3934" s="27">
        <v>1</v>
      </c>
      <c r="H3934" s="27">
        <v>0</v>
      </c>
      <c r="I3934" s="27">
        <v>1</v>
      </c>
      <c r="J3934" s="30">
        <f t="shared" si="183"/>
        <v>1</v>
      </c>
      <c r="K3934" s="30">
        <f t="shared" si="184"/>
        <v>0</v>
      </c>
      <c r="L3934" s="26">
        <f t="shared" si="185"/>
        <v>0</v>
      </c>
      <c r="M3934" s="26"/>
    </row>
    <row r="3935" spans="1:13" ht="14.25" customHeight="1">
      <c r="A3935" s="25">
        <v>1914566</v>
      </c>
      <c r="B3935" s="26" t="s">
        <v>5423</v>
      </c>
      <c r="C3935" s="26" t="s">
        <v>13373</v>
      </c>
      <c r="D3935" s="26" t="s">
        <v>13329</v>
      </c>
      <c r="E3935" s="26" t="s">
        <v>5504</v>
      </c>
      <c r="F3935" s="27">
        <v>6570044</v>
      </c>
      <c r="G3935" s="27">
        <v>0</v>
      </c>
      <c r="H3935" s="27">
        <v>0</v>
      </c>
      <c r="I3935" s="27">
        <v>0</v>
      </c>
      <c r="J3935" s="30">
        <f t="shared" si="183"/>
        <v>0</v>
      </c>
      <c r="K3935" s="30">
        <f t="shared" si="184"/>
        <v>0</v>
      </c>
      <c r="L3935" s="26">
        <f t="shared" si="185"/>
        <v>0</v>
      </c>
      <c r="M3935" s="26">
        <v>0</v>
      </c>
    </row>
    <row r="3936" spans="1:13" ht="14.25" customHeight="1">
      <c r="A3936" s="25">
        <v>1914622</v>
      </c>
      <c r="B3936" s="26" t="s">
        <v>5423</v>
      </c>
      <c r="C3936" s="26" t="s">
        <v>13374</v>
      </c>
      <c r="D3936" s="26" t="s">
        <v>13313</v>
      </c>
      <c r="E3936" s="26" t="s">
        <v>5452</v>
      </c>
      <c r="F3936" s="27">
        <v>6569017</v>
      </c>
      <c r="G3936" s="27">
        <v>1</v>
      </c>
      <c r="H3936" s="27">
        <v>1</v>
      </c>
      <c r="I3936" s="27">
        <v>1</v>
      </c>
      <c r="J3936" s="30">
        <f t="shared" si="183"/>
        <v>1</v>
      </c>
      <c r="K3936" s="30">
        <f t="shared" si="184"/>
        <v>1</v>
      </c>
      <c r="L3936" s="26">
        <f t="shared" si="185"/>
        <v>1</v>
      </c>
      <c r="M3936" s="26"/>
    </row>
    <row r="3937" spans="1:13" ht="14.25" customHeight="1">
      <c r="A3937" s="25">
        <v>1914745</v>
      </c>
      <c r="B3937" s="26" t="s">
        <v>5423</v>
      </c>
      <c r="C3937" s="26" t="s">
        <v>13375</v>
      </c>
      <c r="D3937" s="26" t="s">
        <v>13329</v>
      </c>
      <c r="E3937" s="26" t="s">
        <v>5475</v>
      </c>
      <c r="F3937" s="27">
        <v>6570033</v>
      </c>
      <c r="G3937" s="27">
        <v>0</v>
      </c>
      <c r="H3937" s="27">
        <v>0</v>
      </c>
      <c r="I3937" s="27">
        <v>0</v>
      </c>
      <c r="J3937" s="30">
        <f t="shared" si="183"/>
        <v>0</v>
      </c>
      <c r="K3937" s="30">
        <f t="shared" si="184"/>
        <v>0</v>
      </c>
      <c r="L3937" s="26">
        <f t="shared" si="185"/>
        <v>0</v>
      </c>
      <c r="M3937" s="26">
        <v>0</v>
      </c>
    </row>
    <row r="3938" spans="1:13" ht="14.25" customHeight="1">
      <c r="A3938" s="25">
        <v>1915049</v>
      </c>
      <c r="B3938" s="26" t="s">
        <v>5423</v>
      </c>
      <c r="C3938" s="26" t="s">
        <v>13376</v>
      </c>
      <c r="D3938" s="26" t="s">
        <v>13313</v>
      </c>
      <c r="E3938" s="26" t="s">
        <v>5447</v>
      </c>
      <c r="F3938" s="27">
        <v>6569655</v>
      </c>
      <c r="G3938" s="27">
        <v>1</v>
      </c>
      <c r="H3938" s="27">
        <v>1</v>
      </c>
      <c r="I3938" s="27">
        <v>1</v>
      </c>
      <c r="J3938" s="30">
        <f t="shared" si="183"/>
        <v>1</v>
      </c>
      <c r="K3938" s="30">
        <f t="shared" si="184"/>
        <v>1</v>
      </c>
      <c r="L3938" s="26">
        <f t="shared" si="185"/>
        <v>1</v>
      </c>
      <c r="M3938" s="26"/>
    </row>
    <row r="3939" spans="1:13" ht="14.25" customHeight="1">
      <c r="A3939" s="25">
        <v>1915279</v>
      </c>
      <c r="B3939" s="26" t="s">
        <v>5427</v>
      </c>
      <c r="C3939" s="26" t="s">
        <v>13377</v>
      </c>
      <c r="D3939" s="26" t="s">
        <v>13378</v>
      </c>
      <c r="E3939" s="26" t="s">
        <v>5447</v>
      </c>
      <c r="F3939" s="27">
        <v>6553027</v>
      </c>
      <c r="G3939" s="27">
        <v>1</v>
      </c>
      <c r="H3939" s="27">
        <v>0</v>
      </c>
      <c r="I3939" s="27">
        <v>1</v>
      </c>
      <c r="J3939" s="30">
        <f t="shared" si="183"/>
        <v>1</v>
      </c>
      <c r="K3939" s="30">
        <f t="shared" si="184"/>
        <v>0</v>
      </c>
      <c r="L3939" s="26">
        <f t="shared" si="185"/>
        <v>0</v>
      </c>
      <c r="M3939" s="26"/>
    </row>
    <row r="3940" spans="1:13" ht="14.25" customHeight="1">
      <c r="A3940" s="25">
        <v>1915551</v>
      </c>
      <c r="B3940" s="26" t="s">
        <v>5427</v>
      </c>
      <c r="C3940" s="26" t="s">
        <v>13379</v>
      </c>
      <c r="D3940" s="26" t="s">
        <v>13380</v>
      </c>
      <c r="E3940" s="26" t="s">
        <v>5452</v>
      </c>
      <c r="F3940" s="27">
        <v>6491416</v>
      </c>
      <c r="G3940" s="27">
        <v>1</v>
      </c>
      <c r="H3940" s="27">
        <v>1</v>
      </c>
      <c r="I3940" s="27">
        <v>1</v>
      </c>
      <c r="J3940" s="30">
        <f t="shared" si="183"/>
        <v>1</v>
      </c>
      <c r="K3940" s="30">
        <f t="shared" si="184"/>
        <v>1</v>
      </c>
      <c r="L3940" s="26">
        <f t="shared" si="185"/>
        <v>1</v>
      </c>
      <c r="M3940" s="26"/>
    </row>
    <row r="3941" spans="1:13" ht="14.25" customHeight="1">
      <c r="A3941" s="25">
        <v>1915585</v>
      </c>
      <c r="B3941" s="26" t="s">
        <v>5427</v>
      </c>
      <c r="C3941" s="26" t="s">
        <v>13381</v>
      </c>
      <c r="D3941" s="26" t="s">
        <v>13382</v>
      </c>
      <c r="E3941" s="26" t="s">
        <v>5480</v>
      </c>
      <c r="F3941" s="27">
        <v>6559332</v>
      </c>
      <c r="G3941" s="27">
        <v>1</v>
      </c>
      <c r="H3941" s="27">
        <v>0</v>
      </c>
      <c r="I3941" s="27">
        <v>1</v>
      </c>
      <c r="J3941" s="30">
        <f t="shared" si="183"/>
        <v>1</v>
      </c>
      <c r="K3941" s="30">
        <f t="shared" si="184"/>
        <v>0</v>
      </c>
      <c r="L3941" s="26">
        <f t="shared" si="185"/>
        <v>0</v>
      </c>
      <c r="M3941" s="26"/>
    </row>
    <row r="3942" spans="1:13" ht="14.25" customHeight="1">
      <c r="A3942" s="25">
        <v>1915702</v>
      </c>
      <c r="B3942" s="26" t="s">
        <v>5423</v>
      </c>
      <c r="C3942" s="26" t="s">
        <v>13383</v>
      </c>
      <c r="D3942" s="26" t="s">
        <v>13380</v>
      </c>
      <c r="E3942" s="26" t="s">
        <v>5517</v>
      </c>
      <c r="F3942" s="27">
        <v>6572007</v>
      </c>
      <c r="G3942" s="27">
        <v>0</v>
      </c>
      <c r="H3942" s="27">
        <v>0</v>
      </c>
      <c r="I3942" s="27">
        <v>0</v>
      </c>
      <c r="J3942" s="30">
        <f t="shared" si="183"/>
        <v>0</v>
      </c>
      <c r="K3942" s="30">
        <f t="shared" si="184"/>
        <v>0</v>
      </c>
      <c r="L3942" s="26">
        <f t="shared" si="185"/>
        <v>0</v>
      </c>
      <c r="M3942" s="26">
        <v>0</v>
      </c>
    </row>
    <row r="3943" spans="1:13" ht="14.25" customHeight="1">
      <c r="A3943" s="25">
        <v>1915722</v>
      </c>
      <c r="B3943" s="26" t="s">
        <v>5423</v>
      </c>
      <c r="C3943" s="26" t="s">
        <v>13384</v>
      </c>
      <c r="D3943" s="26" t="s">
        <v>13385</v>
      </c>
      <c r="E3943" s="26" t="s">
        <v>5707</v>
      </c>
      <c r="F3943" s="27">
        <v>6571812</v>
      </c>
      <c r="G3943" s="27">
        <v>0</v>
      </c>
      <c r="H3943" s="27">
        <v>0</v>
      </c>
      <c r="I3943" s="27">
        <v>0</v>
      </c>
      <c r="J3943" s="30">
        <f t="shared" si="183"/>
        <v>0</v>
      </c>
      <c r="K3943" s="30">
        <f t="shared" si="184"/>
        <v>0</v>
      </c>
      <c r="L3943" s="26">
        <f t="shared" si="185"/>
        <v>0</v>
      </c>
      <c r="M3943" s="26">
        <v>0</v>
      </c>
    </row>
    <row r="3944" spans="1:13" ht="14.25" customHeight="1">
      <c r="A3944" s="25">
        <v>1915762</v>
      </c>
      <c r="B3944" s="26" t="s">
        <v>5427</v>
      </c>
      <c r="C3944" s="26" t="s">
        <v>13386</v>
      </c>
      <c r="D3944" s="26" t="s">
        <v>13380</v>
      </c>
      <c r="E3944" s="26" t="s">
        <v>5430</v>
      </c>
      <c r="F3944" s="27">
        <v>6572002</v>
      </c>
      <c r="G3944" s="27">
        <v>1</v>
      </c>
      <c r="H3944" s="27">
        <v>0</v>
      </c>
      <c r="I3944" s="27">
        <v>1</v>
      </c>
      <c r="J3944" s="30">
        <f t="shared" si="183"/>
        <v>1</v>
      </c>
      <c r="K3944" s="30">
        <f t="shared" si="184"/>
        <v>0</v>
      </c>
      <c r="L3944" s="26">
        <f t="shared" si="185"/>
        <v>0</v>
      </c>
      <c r="M3944" s="26"/>
    </row>
    <row r="3945" spans="1:13" ht="14.25" customHeight="1">
      <c r="A3945" s="25">
        <v>1916031</v>
      </c>
      <c r="B3945" s="26" t="s">
        <v>5427</v>
      </c>
      <c r="C3945" s="26" t="s">
        <v>13387</v>
      </c>
      <c r="D3945" s="26" t="s">
        <v>13380</v>
      </c>
      <c r="E3945" s="26" t="s">
        <v>5522</v>
      </c>
      <c r="F3945" s="27">
        <v>4169361</v>
      </c>
      <c r="G3945" s="27">
        <v>0</v>
      </c>
      <c r="H3945" s="27">
        <v>0</v>
      </c>
      <c r="I3945" s="27">
        <v>0</v>
      </c>
      <c r="J3945" s="30">
        <f t="shared" si="183"/>
        <v>0</v>
      </c>
      <c r="K3945" s="30">
        <f t="shared" si="184"/>
        <v>0</v>
      </c>
      <c r="L3945" s="26">
        <f t="shared" si="185"/>
        <v>0</v>
      </c>
      <c r="M3945" s="26" t="s">
        <v>5557</v>
      </c>
    </row>
    <row r="3946" spans="1:13" ht="14.25" customHeight="1">
      <c r="A3946" s="25">
        <v>1916460</v>
      </c>
      <c r="B3946" s="26" t="s">
        <v>5423</v>
      </c>
      <c r="C3946" s="26" t="s">
        <v>13388</v>
      </c>
      <c r="D3946" s="26" t="s">
        <v>13389</v>
      </c>
      <c r="E3946" s="26" t="s">
        <v>5517</v>
      </c>
      <c r="F3946" s="27">
        <v>6574176</v>
      </c>
      <c r="G3946" s="27">
        <v>0</v>
      </c>
      <c r="H3946" s="27">
        <v>0</v>
      </c>
      <c r="I3946" s="27">
        <v>0</v>
      </c>
      <c r="J3946" s="30">
        <f t="shared" si="183"/>
        <v>0</v>
      </c>
      <c r="K3946" s="30">
        <f t="shared" si="184"/>
        <v>0</v>
      </c>
      <c r="L3946" s="26">
        <f t="shared" si="185"/>
        <v>0</v>
      </c>
      <c r="M3946" s="26">
        <v>0</v>
      </c>
    </row>
    <row r="3947" spans="1:13" ht="14.25" customHeight="1">
      <c r="A3947" s="25">
        <v>1916465</v>
      </c>
      <c r="B3947" s="26" t="s">
        <v>5427</v>
      </c>
      <c r="C3947" s="26" t="s">
        <v>13390</v>
      </c>
      <c r="D3947" s="26" t="s">
        <v>13391</v>
      </c>
      <c r="E3947" s="26" t="s">
        <v>5550</v>
      </c>
      <c r="F3947" s="27">
        <v>6573313</v>
      </c>
      <c r="G3947" s="27">
        <v>1</v>
      </c>
      <c r="H3947" s="27">
        <v>0</v>
      </c>
      <c r="I3947" s="27">
        <v>1</v>
      </c>
      <c r="J3947" s="30">
        <f t="shared" si="183"/>
        <v>1</v>
      </c>
      <c r="K3947" s="30">
        <f t="shared" si="184"/>
        <v>0</v>
      </c>
      <c r="L3947" s="26">
        <f t="shared" si="185"/>
        <v>0</v>
      </c>
      <c r="M3947" s="26"/>
    </row>
    <row r="3948" spans="1:13" ht="14.25" customHeight="1">
      <c r="A3948" s="25">
        <v>1916469</v>
      </c>
      <c r="B3948" s="26" t="s">
        <v>5423</v>
      </c>
      <c r="C3948" s="26" t="s">
        <v>13392</v>
      </c>
      <c r="D3948" s="26" t="s">
        <v>13389</v>
      </c>
      <c r="E3948" s="26" t="s">
        <v>5532</v>
      </c>
      <c r="F3948" s="27">
        <v>6573340</v>
      </c>
      <c r="G3948" s="27">
        <v>1</v>
      </c>
      <c r="H3948" s="27">
        <v>1</v>
      </c>
      <c r="I3948" s="27">
        <v>1</v>
      </c>
      <c r="J3948" s="30">
        <f t="shared" si="183"/>
        <v>1</v>
      </c>
      <c r="K3948" s="30">
        <f t="shared" si="184"/>
        <v>1</v>
      </c>
      <c r="L3948" s="26">
        <f t="shared" si="185"/>
        <v>1</v>
      </c>
      <c r="M3948" s="26"/>
    </row>
    <row r="3949" spans="1:13" ht="14.25" customHeight="1">
      <c r="A3949" s="25">
        <v>1916490</v>
      </c>
      <c r="B3949" s="26" t="s">
        <v>5423</v>
      </c>
      <c r="C3949" s="26" t="s">
        <v>13393</v>
      </c>
      <c r="D3949" s="26" t="s">
        <v>13389</v>
      </c>
      <c r="E3949" s="26" t="s">
        <v>5488</v>
      </c>
      <c r="F3949" s="27">
        <v>6573316</v>
      </c>
      <c r="G3949" s="27">
        <v>1</v>
      </c>
      <c r="H3949" s="27">
        <v>1</v>
      </c>
      <c r="I3949" s="27">
        <v>1</v>
      </c>
      <c r="J3949" s="30">
        <f t="shared" si="183"/>
        <v>1</v>
      </c>
      <c r="K3949" s="30">
        <f t="shared" si="184"/>
        <v>1</v>
      </c>
      <c r="L3949" s="26">
        <f t="shared" si="185"/>
        <v>1</v>
      </c>
      <c r="M3949" s="26"/>
    </row>
    <row r="3950" spans="1:13" ht="14.25" customHeight="1">
      <c r="A3950" s="25">
        <v>1916513</v>
      </c>
      <c r="B3950" s="26" t="s">
        <v>5423</v>
      </c>
      <c r="C3950" s="26" t="s">
        <v>13394</v>
      </c>
      <c r="D3950" s="26" t="s">
        <v>13391</v>
      </c>
      <c r="E3950" s="26" t="s">
        <v>5463</v>
      </c>
      <c r="F3950" s="27">
        <v>6483613</v>
      </c>
      <c r="G3950" s="27">
        <v>1</v>
      </c>
      <c r="H3950" s="27">
        <v>1</v>
      </c>
      <c r="I3950" s="27">
        <v>1</v>
      </c>
      <c r="J3950" s="30">
        <f t="shared" si="183"/>
        <v>1</v>
      </c>
      <c r="K3950" s="30">
        <f t="shared" si="184"/>
        <v>1</v>
      </c>
      <c r="L3950" s="26">
        <f t="shared" si="185"/>
        <v>1</v>
      </c>
      <c r="M3950" s="26"/>
    </row>
    <row r="3951" spans="1:13" ht="14.25" customHeight="1">
      <c r="A3951" s="25">
        <v>1916538</v>
      </c>
      <c r="B3951" s="26" t="s">
        <v>5427</v>
      </c>
      <c r="C3951" s="26" t="s">
        <v>13395</v>
      </c>
      <c r="D3951" s="26" t="s">
        <v>13396</v>
      </c>
      <c r="E3951" s="26" t="s">
        <v>5491</v>
      </c>
      <c r="F3951" s="27">
        <v>6573343</v>
      </c>
      <c r="G3951" s="27">
        <v>1</v>
      </c>
      <c r="H3951" s="27">
        <v>1</v>
      </c>
      <c r="I3951" s="27">
        <v>1</v>
      </c>
      <c r="J3951" s="30">
        <f t="shared" si="183"/>
        <v>1</v>
      </c>
      <c r="K3951" s="30">
        <f t="shared" si="184"/>
        <v>1</v>
      </c>
      <c r="L3951" s="26">
        <f t="shared" si="185"/>
        <v>1</v>
      </c>
      <c r="M3951" s="26" t="s">
        <v>13397</v>
      </c>
    </row>
    <row r="3952" spans="1:13" ht="14.25" customHeight="1">
      <c r="A3952" s="25">
        <v>1916585</v>
      </c>
      <c r="B3952" s="26" t="s">
        <v>5427</v>
      </c>
      <c r="C3952" s="26" t="s">
        <v>13398</v>
      </c>
      <c r="D3952" s="26" t="s">
        <v>13391</v>
      </c>
      <c r="E3952" s="26" t="s">
        <v>5540</v>
      </c>
      <c r="F3952" s="27">
        <v>6575681</v>
      </c>
      <c r="G3952" s="27">
        <v>0</v>
      </c>
      <c r="H3952" s="27">
        <v>0</v>
      </c>
      <c r="I3952" s="27">
        <v>0</v>
      </c>
      <c r="J3952" s="30">
        <f t="shared" si="183"/>
        <v>0</v>
      </c>
      <c r="K3952" s="30">
        <f t="shared" si="184"/>
        <v>0</v>
      </c>
      <c r="L3952" s="26">
        <f t="shared" si="185"/>
        <v>0</v>
      </c>
      <c r="M3952" s="26">
        <v>0</v>
      </c>
    </row>
    <row r="3953" spans="1:13" ht="14.25" customHeight="1">
      <c r="A3953" s="25">
        <v>1916749</v>
      </c>
      <c r="B3953" s="26" t="s">
        <v>5423</v>
      </c>
      <c r="C3953" s="26" t="s">
        <v>13399</v>
      </c>
      <c r="D3953" s="26" t="s">
        <v>13385</v>
      </c>
      <c r="E3953" s="26" t="s">
        <v>5504</v>
      </c>
      <c r="F3953" s="27">
        <v>5852885</v>
      </c>
      <c r="G3953" s="27">
        <v>1</v>
      </c>
      <c r="H3953" s="27">
        <v>0</v>
      </c>
      <c r="I3953" s="27">
        <v>1</v>
      </c>
      <c r="J3953" s="30">
        <f t="shared" si="183"/>
        <v>1</v>
      </c>
      <c r="K3953" s="30">
        <f t="shared" si="184"/>
        <v>0</v>
      </c>
      <c r="L3953" s="26">
        <f t="shared" si="185"/>
        <v>0</v>
      </c>
      <c r="M3953" s="26"/>
    </row>
    <row r="3954" spans="1:13" ht="14.25" customHeight="1">
      <c r="A3954" s="25">
        <v>1917302</v>
      </c>
      <c r="B3954" s="26" t="s">
        <v>5423</v>
      </c>
      <c r="C3954" s="26" t="s">
        <v>13400</v>
      </c>
      <c r="D3954" s="26" t="s">
        <v>13401</v>
      </c>
      <c r="E3954" s="26" t="s">
        <v>5517</v>
      </c>
      <c r="F3954" s="27">
        <v>6574948</v>
      </c>
      <c r="G3954" s="27">
        <v>1</v>
      </c>
      <c r="H3954" s="27">
        <v>0</v>
      </c>
      <c r="I3954" s="27">
        <v>1</v>
      </c>
      <c r="J3954" s="30">
        <f t="shared" si="183"/>
        <v>1</v>
      </c>
      <c r="K3954" s="30">
        <f t="shared" si="184"/>
        <v>0</v>
      </c>
      <c r="L3954" s="26">
        <f t="shared" si="185"/>
        <v>0</v>
      </c>
      <c r="M3954" s="26"/>
    </row>
    <row r="3955" spans="1:13" ht="14.25" customHeight="1">
      <c r="A3955" s="25">
        <v>1917505</v>
      </c>
      <c r="B3955" s="26" t="s">
        <v>5423</v>
      </c>
      <c r="C3955" s="26" t="s">
        <v>13402</v>
      </c>
      <c r="D3955" s="26" t="s">
        <v>13401</v>
      </c>
      <c r="E3955" s="26" t="s">
        <v>5433</v>
      </c>
      <c r="F3955" s="27">
        <v>6575687</v>
      </c>
      <c r="G3955" s="27">
        <v>1</v>
      </c>
      <c r="H3955" s="27">
        <v>0</v>
      </c>
      <c r="I3955" s="27">
        <v>1</v>
      </c>
      <c r="J3955" s="30">
        <f t="shared" si="183"/>
        <v>1</v>
      </c>
      <c r="K3955" s="30">
        <f t="shared" si="184"/>
        <v>0</v>
      </c>
      <c r="L3955" s="26">
        <f t="shared" si="185"/>
        <v>0</v>
      </c>
      <c r="M3955" s="26"/>
    </row>
    <row r="3956" spans="1:13" ht="14.25" customHeight="1">
      <c r="A3956" s="25">
        <v>1917516</v>
      </c>
      <c r="B3956" s="26" t="s">
        <v>5423</v>
      </c>
      <c r="C3956" s="26" t="s">
        <v>13403</v>
      </c>
      <c r="D3956" s="26" t="s">
        <v>13404</v>
      </c>
      <c r="E3956" s="26" t="s">
        <v>5560</v>
      </c>
      <c r="F3956" s="27">
        <v>6557866</v>
      </c>
      <c r="G3956" s="27">
        <v>1</v>
      </c>
      <c r="H3956" s="27">
        <v>0</v>
      </c>
      <c r="I3956" s="27">
        <v>1</v>
      </c>
      <c r="J3956" s="30">
        <f t="shared" si="183"/>
        <v>1</v>
      </c>
      <c r="K3956" s="30">
        <f t="shared" si="184"/>
        <v>0</v>
      </c>
      <c r="L3956" s="26">
        <f t="shared" si="185"/>
        <v>0</v>
      </c>
      <c r="M3956" s="26"/>
    </row>
    <row r="3957" spans="1:13" ht="14.25" customHeight="1">
      <c r="A3957" s="25">
        <v>1917773</v>
      </c>
      <c r="B3957" s="26" t="s">
        <v>5427</v>
      </c>
      <c r="C3957" s="26" t="s">
        <v>13405</v>
      </c>
      <c r="D3957" s="26" t="s">
        <v>13406</v>
      </c>
      <c r="E3957" s="26" t="s">
        <v>5540</v>
      </c>
      <c r="F3957" s="27">
        <v>6576266</v>
      </c>
      <c r="G3957" s="27">
        <v>1</v>
      </c>
      <c r="H3957" s="27">
        <v>1</v>
      </c>
      <c r="I3957" s="27">
        <v>1</v>
      </c>
      <c r="J3957" s="30">
        <f t="shared" si="183"/>
        <v>1</v>
      </c>
      <c r="K3957" s="30">
        <f t="shared" si="184"/>
        <v>1</v>
      </c>
      <c r="L3957" s="26">
        <f t="shared" si="185"/>
        <v>1</v>
      </c>
      <c r="M3957" s="26"/>
    </row>
    <row r="3958" spans="1:13" ht="14.25" customHeight="1">
      <c r="A3958" s="25">
        <v>1917784</v>
      </c>
      <c r="B3958" s="26" t="s">
        <v>5423</v>
      </c>
      <c r="C3958" s="26" t="s">
        <v>13407</v>
      </c>
      <c r="D3958" s="26" t="s">
        <v>13408</v>
      </c>
      <c r="E3958" s="26" t="s">
        <v>5603</v>
      </c>
      <c r="F3958" s="27">
        <v>6576667</v>
      </c>
      <c r="G3958" s="27">
        <v>1</v>
      </c>
      <c r="H3958" s="27">
        <v>0</v>
      </c>
      <c r="I3958" s="27">
        <v>1</v>
      </c>
      <c r="J3958" s="30">
        <f t="shared" si="183"/>
        <v>1</v>
      </c>
      <c r="K3958" s="30">
        <f t="shared" si="184"/>
        <v>0</v>
      </c>
      <c r="L3958" s="26">
        <f t="shared" si="185"/>
        <v>0</v>
      </c>
      <c r="M3958" s="26"/>
    </row>
    <row r="3959" spans="1:13" ht="14.25" customHeight="1">
      <c r="A3959" s="25">
        <v>1917845</v>
      </c>
      <c r="B3959" s="26" t="s">
        <v>5427</v>
      </c>
      <c r="C3959" s="26" t="s">
        <v>13409</v>
      </c>
      <c r="D3959" s="26" t="s">
        <v>13410</v>
      </c>
      <c r="E3959" s="26" t="s">
        <v>8392</v>
      </c>
      <c r="F3959" s="27">
        <v>6576795</v>
      </c>
      <c r="G3959" s="27">
        <v>0</v>
      </c>
      <c r="H3959" s="27">
        <v>0</v>
      </c>
      <c r="I3959" s="27">
        <v>0</v>
      </c>
      <c r="J3959" s="30">
        <f t="shared" si="183"/>
        <v>0</v>
      </c>
      <c r="K3959" s="30">
        <f t="shared" si="184"/>
        <v>0</v>
      </c>
      <c r="L3959" s="26">
        <f t="shared" si="185"/>
        <v>0</v>
      </c>
      <c r="M3959" s="26">
        <v>0</v>
      </c>
    </row>
    <row r="3960" spans="1:13" ht="14.25" customHeight="1">
      <c r="A3960" s="25">
        <v>1917886</v>
      </c>
      <c r="B3960" s="26" t="s">
        <v>5423</v>
      </c>
      <c r="C3960" s="26" t="s">
        <v>13411</v>
      </c>
      <c r="D3960" s="26" t="s">
        <v>13412</v>
      </c>
      <c r="E3960" s="26" t="s">
        <v>5540</v>
      </c>
      <c r="F3960" s="27">
        <v>6528522</v>
      </c>
      <c r="G3960" s="27">
        <v>1</v>
      </c>
      <c r="H3960" s="27">
        <v>0</v>
      </c>
      <c r="I3960" s="27">
        <v>1</v>
      </c>
      <c r="J3960" s="30">
        <f t="shared" si="183"/>
        <v>1</v>
      </c>
      <c r="K3960" s="30">
        <f t="shared" si="184"/>
        <v>0</v>
      </c>
      <c r="L3960" s="26">
        <f t="shared" si="185"/>
        <v>0</v>
      </c>
      <c r="M3960" s="26"/>
    </row>
    <row r="3961" spans="1:13" ht="14.25" customHeight="1">
      <c r="A3961" s="25">
        <v>1917919</v>
      </c>
      <c r="B3961" s="26" t="s">
        <v>5423</v>
      </c>
      <c r="C3961" s="26" t="s">
        <v>13413</v>
      </c>
      <c r="D3961" s="26" t="s">
        <v>13408</v>
      </c>
      <c r="E3961" s="26" t="s">
        <v>5504</v>
      </c>
      <c r="F3961" s="27">
        <v>6576571</v>
      </c>
      <c r="G3961" s="27">
        <v>1</v>
      </c>
      <c r="H3961" s="27">
        <v>0</v>
      </c>
      <c r="I3961" s="27">
        <v>1</v>
      </c>
      <c r="J3961" s="30">
        <f t="shared" si="183"/>
        <v>1</v>
      </c>
      <c r="K3961" s="30">
        <f t="shared" si="184"/>
        <v>0</v>
      </c>
      <c r="L3961" s="26">
        <f t="shared" si="185"/>
        <v>0</v>
      </c>
      <c r="M3961" s="26"/>
    </row>
    <row r="3962" spans="1:13" ht="14.25" customHeight="1">
      <c r="A3962" s="25">
        <v>1917951</v>
      </c>
      <c r="B3962" s="26" t="s">
        <v>5427</v>
      </c>
      <c r="C3962" s="26" t="s">
        <v>13414</v>
      </c>
      <c r="D3962" s="26" t="s">
        <v>13410</v>
      </c>
      <c r="E3962" s="26" t="s">
        <v>5480</v>
      </c>
      <c r="F3962" s="27">
        <v>6577703</v>
      </c>
      <c r="G3962" s="27">
        <v>0</v>
      </c>
      <c r="H3962" s="27">
        <v>0</v>
      </c>
      <c r="I3962" s="27">
        <v>0</v>
      </c>
      <c r="J3962" s="30">
        <f t="shared" si="183"/>
        <v>0</v>
      </c>
      <c r="K3962" s="30">
        <f t="shared" si="184"/>
        <v>0</v>
      </c>
      <c r="L3962" s="26">
        <f t="shared" si="185"/>
        <v>0</v>
      </c>
      <c r="M3962" s="26">
        <v>0</v>
      </c>
    </row>
    <row r="3963" spans="1:13" ht="14.25" customHeight="1">
      <c r="A3963" s="25">
        <v>1918077</v>
      </c>
      <c r="B3963" s="26" t="s">
        <v>5423</v>
      </c>
      <c r="C3963" s="26" t="s">
        <v>13415</v>
      </c>
      <c r="D3963" s="26" t="s">
        <v>13416</v>
      </c>
      <c r="E3963" s="26" t="s">
        <v>5517</v>
      </c>
      <c r="F3963" s="27">
        <v>6577104</v>
      </c>
      <c r="G3963" s="27">
        <v>1</v>
      </c>
      <c r="H3963" s="27">
        <v>0</v>
      </c>
      <c r="I3963" s="27">
        <v>1</v>
      </c>
      <c r="J3963" s="30">
        <f t="shared" si="183"/>
        <v>1</v>
      </c>
      <c r="K3963" s="30">
        <f t="shared" si="184"/>
        <v>0</v>
      </c>
      <c r="L3963" s="26">
        <f t="shared" si="185"/>
        <v>0</v>
      </c>
      <c r="M3963" s="32"/>
    </row>
    <row r="3964" spans="1:13" ht="14.25" customHeight="1">
      <c r="A3964" s="25">
        <v>1918135</v>
      </c>
      <c r="B3964" s="26" t="s">
        <v>5423</v>
      </c>
      <c r="C3964" s="26" t="s">
        <v>13417</v>
      </c>
      <c r="D3964" s="26" t="s">
        <v>13382</v>
      </c>
      <c r="E3964" s="26" t="s">
        <v>5517</v>
      </c>
      <c r="F3964" s="27">
        <v>6555671</v>
      </c>
      <c r="G3964" s="27">
        <v>1</v>
      </c>
      <c r="H3964" s="27">
        <v>1</v>
      </c>
      <c r="I3964" s="27">
        <v>1</v>
      </c>
      <c r="J3964" s="30">
        <f t="shared" si="183"/>
        <v>1</v>
      </c>
      <c r="K3964" s="30">
        <f t="shared" si="184"/>
        <v>1</v>
      </c>
      <c r="L3964" s="26">
        <f t="shared" si="185"/>
        <v>1</v>
      </c>
      <c r="M3964" s="26"/>
    </row>
    <row r="3965" spans="1:13" ht="14.25" customHeight="1">
      <c r="A3965" s="25">
        <v>1918150</v>
      </c>
      <c r="B3965" s="26" t="s">
        <v>5427</v>
      </c>
      <c r="C3965" s="26" t="s">
        <v>13418</v>
      </c>
      <c r="D3965" s="26" t="s">
        <v>13419</v>
      </c>
      <c r="E3965" s="26" t="s">
        <v>5430</v>
      </c>
      <c r="F3965" s="27">
        <v>5315373</v>
      </c>
      <c r="G3965" s="27">
        <v>1</v>
      </c>
      <c r="H3965" s="27">
        <v>1</v>
      </c>
      <c r="I3965" s="27">
        <v>1</v>
      </c>
      <c r="J3965" s="30">
        <f t="shared" si="183"/>
        <v>1</v>
      </c>
      <c r="K3965" s="30">
        <f t="shared" si="184"/>
        <v>1</v>
      </c>
      <c r="L3965" s="26">
        <f t="shared" si="185"/>
        <v>1</v>
      </c>
      <c r="M3965" s="26"/>
    </row>
    <row r="3966" spans="1:13" ht="14.25" customHeight="1">
      <c r="A3966" s="25">
        <v>1918177</v>
      </c>
      <c r="B3966" s="26" t="s">
        <v>5423</v>
      </c>
      <c r="C3966" s="26" t="s">
        <v>13420</v>
      </c>
      <c r="D3966" s="26" t="s">
        <v>13408</v>
      </c>
      <c r="E3966" s="26" t="s">
        <v>5430</v>
      </c>
      <c r="F3966" s="27">
        <v>6578386</v>
      </c>
      <c r="G3966" s="27">
        <v>0</v>
      </c>
      <c r="H3966" s="27">
        <v>0</v>
      </c>
      <c r="I3966" s="27">
        <v>0</v>
      </c>
      <c r="J3966" s="30">
        <f t="shared" si="183"/>
        <v>0</v>
      </c>
      <c r="K3966" s="30">
        <f t="shared" si="184"/>
        <v>0</v>
      </c>
      <c r="L3966" s="26">
        <f t="shared" si="185"/>
        <v>0</v>
      </c>
      <c r="M3966" s="26">
        <v>0</v>
      </c>
    </row>
    <row r="3967" spans="1:13" ht="14.25" customHeight="1">
      <c r="A3967" s="25">
        <v>1918265</v>
      </c>
      <c r="B3967" s="26" t="s">
        <v>5423</v>
      </c>
      <c r="C3967" s="26" t="s">
        <v>13421</v>
      </c>
      <c r="D3967" s="26" t="s">
        <v>13408</v>
      </c>
      <c r="E3967" s="26" t="s">
        <v>5426</v>
      </c>
      <c r="F3967" s="27">
        <v>6549953</v>
      </c>
      <c r="G3967" s="27">
        <v>1</v>
      </c>
      <c r="H3967" s="27">
        <v>0</v>
      </c>
      <c r="I3967" s="27">
        <v>1</v>
      </c>
      <c r="J3967" s="30">
        <f t="shared" si="183"/>
        <v>1</v>
      </c>
      <c r="K3967" s="30">
        <f t="shared" si="184"/>
        <v>0</v>
      </c>
      <c r="L3967" s="26">
        <f t="shared" si="185"/>
        <v>0</v>
      </c>
      <c r="M3967" s="26"/>
    </row>
    <row r="3968" spans="1:13" ht="14.25" customHeight="1">
      <c r="A3968" s="25">
        <v>1918451</v>
      </c>
      <c r="B3968" s="26" t="s">
        <v>5423</v>
      </c>
      <c r="C3968" s="26" t="s">
        <v>13422</v>
      </c>
      <c r="D3968" s="26" t="s">
        <v>13419</v>
      </c>
      <c r="E3968" s="26" t="s">
        <v>5763</v>
      </c>
      <c r="F3968" s="27">
        <v>6577934</v>
      </c>
      <c r="G3968" s="27">
        <v>1</v>
      </c>
      <c r="H3968" s="27">
        <v>0</v>
      </c>
      <c r="I3968" s="27">
        <v>1</v>
      </c>
      <c r="J3968" s="30">
        <f t="shared" si="183"/>
        <v>1</v>
      </c>
      <c r="K3968" s="30">
        <f t="shared" si="184"/>
        <v>0</v>
      </c>
      <c r="L3968" s="26">
        <f t="shared" si="185"/>
        <v>0</v>
      </c>
      <c r="M3968" s="26"/>
    </row>
    <row r="3969" spans="1:13" ht="14.25" customHeight="1">
      <c r="A3969" s="25">
        <v>1918487</v>
      </c>
      <c r="B3969" s="26" t="s">
        <v>5423</v>
      </c>
      <c r="C3969" s="26" t="s">
        <v>13423</v>
      </c>
      <c r="D3969" s="26" t="s">
        <v>13424</v>
      </c>
      <c r="E3969" s="26" t="s">
        <v>5560</v>
      </c>
      <c r="F3969" s="27">
        <v>6450285</v>
      </c>
      <c r="G3969" s="27">
        <v>1</v>
      </c>
      <c r="H3969" s="27">
        <v>1</v>
      </c>
      <c r="I3969" s="27">
        <v>1</v>
      </c>
      <c r="J3969" s="30">
        <f t="shared" si="183"/>
        <v>1</v>
      </c>
      <c r="K3969" s="30">
        <f t="shared" si="184"/>
        <v>1</v>
      </c>
      <c r="L3969" s="26">
        <f t="shared" si="185"/>
        <v>1</v>
      </c>
      <c r="M3969" s="26"/>
    </row>
    <row r="3970" spans="1:13" ht="14.25" customHeight="1">
      <c r="A3970" s="25">
        <v>1918492</v>
      </c>
      <c r="B3970" s="26" t="s">
        <v>5427</v>
      </c>
      <c r="C3970" s="26" t="s">
        <v>13425</v>
      </c>
      <c r="D3970" s="26" t="s">
        <v>13419</v>
      </c>
      <c r="E3970" s="26" t="s">
        <v>6123</v>
      </c>
      <c r="F3970" s="27">
        <v>6579329</v>
      </c>
      <c r="G3970" s="27">
        <v>1</v>
      </c>
      <c r="H3970" s="27">
        <v>0</v>
      </c>
      <c r="I3970" s="27">
        <v>1</v>
      </c>
      <c r="J3970" s="30">
        <f t="shared" ref="J3970:J4033" si="186">IF(G3970&gt;0,1,0)</f>
        <v>1</v>
      </c>
      <c r="K3970" s="30">
        <f t="shared" ref="K3970:K4033" si="187">IF(H3970&gt;0,1,0)</f>
        <v>0</v>
      </c>
      <c r="L3970" s="26">
        <f t="shared" ref="L3970:L4033" si="188">IF(G3970&gt;0,IF(H3970&gt;0,1,0),0)</f>
        <v>0</v>
      </c>
      <c r="M3970" s="26"/>
    </row>
    <row r="3971" spans="1:13" ht="14.25" customHeight="1">
      <c r="A3971" s="25">
        <v>1918531</v>
      </c>
      <c r="B3971" s="26" t="s">
        <v>5423</v>
      </c>
      <c r="C3971" s="26" t="s">
        <v>13426</v>
      </c>
      <c r="D3971" s="26" t="s">
        <v>13319</v>
      </c>
      <c r="E3971" s="26" t="s">
        <v>5485</v>
      </c>
      <c r="F3971" s="27">
        <v>6578244</v>
      </c>
      <c r="G3971" s="27">
        <v>1</v>
      </c>
      <c r="H3971" s="27">
        <v>1</v>
      </c>
      <c r="I3971" s="27">
        <v>1</v>
      </c>
      <c r="J3971" s="30">
        <f t="shared" si="186"/>
        <v>1</v>
      </c>
      <c r="K3971" s="30">
        <f t="shared" si="187"/>
        <v>1</v>
      </c>
      <c r="L3971" s="26">
        <f t="shared" si="188"/>
        <v>1</v>
      </c>
      <c r="M3971" s="26"/>
    </row>
    <row r="3972" spans="1:13" ht="14.25" customHeight="1">
      <c r="A3972" s="25">
        <v>1918848</v>
      </c>
      <c r="B3972" s="26" t="s">
        <v>5427</v>
      </c>
      <c r="C3972" s="26" t="s">
        <v>13427</v>
      </c>
      <c r="D3972" s="26" t="s">
        <v>13382</v>
      </c>
      <c r="E3972" s="26" t="s">
        <v>5603</v>
      </c>
      <c r="F3972" s="27">
        <v>6578974</v>
      </c>
      <c r="G3972" s="27">
        <v>0</v>
      </c>
      <c r="H3972" s="27">
        <v>0</v>
      </c>
      <c r="I3972" s="27">
        <v>0</v>
      </c>
      <c r="J3972" s="30">
        <f t="shared" si="186"/>
        <v>0</v>
      </c>
      <c r="K3972" s="30">
        <f t="shared" si="187"/>
        <v>0</v>
      </c>
      <c r="L3972" s="26">
        <f t="shared" si="188"/>
        <v>0</v>
      </c>
      <c r="M3972" s="26">
        <v>0</v>
      </c>
    </row>
    <row r="3973" spans="1:13" ht="14.25" customHeight="1">
      <c r="A3973" s="25">
        <v>1919113</v>
      </c>
      <c r="B3973" s="26" t="s">
        <v>5423</v>
      </c>
      <c r="C3973" s="26" t="s">
        <v>13428</v>
      </c>
      <c r="D3973" s="26" t="s">
        <v>13429</v>
      </c>
      <c r="E3973" s="26" t="s">
        <v>5683</v>
      </c>
      <c r="F3973" s="27">
        <v>5721652</v>
      </c>
      <c r="G3973" s="27">
        <v>1</v>
      </c>
      <c r="H3973" s="27">
        <v>1</v>
      </c>
      <c r="I3973" s="27">
        <v>1</v>
      </c>
      <c r="J3973" s="30">
        <f t="shared" si="186"/>
        <v>1</v>
      </c>
      <c r="K3973" s="30">
        <f t="shared" si="187"/>
        <v>1</v>
      </c>
      <c r="L3973" s="26">
        <f t="shared" si="188"/>
        <v>1</v>
      </c>
      <c r="M3973" s="26"/>
    </row>
    <row r="3974" spans="1:13" ht="14.25" customHeight="1">
      <c r="A3974" s="25">
        <v>1919295</v>
      </c>
      <c r="B3974" s="26" t="s">
        <v>5423</v>
      </c>
      <c r="C3974" s="26" t="s">
        <v>13430</v>
      </c>
      <c r="D3974" s="26" t="s">
        <v>13382</v>
      </c>
      <c r="E3974" s="26" t="s">
        <v>5452</v>
      </c>
      <c r="F3974" s="27">
        <v>6580214</v>
      </c>
      <c r="G3974" s="27">
        <v>0</v>
      </c>
      <c r="H3974" s="27">
        <v>0</v>
      </c>
      <c r="I3974" s="27">
        <v>0</v>
      </c>
      <c r="J3974" s="30">
        <f t="shared" si="186"/>
        <v>0</v>
      </c>
      <c r="K3974" s="30">
        <f t="shared" si="187"/>
        <v>0</v>
      </c>
      <c r="L3974" s="26">
        <f t="shared" si="188"/>
        <v>0</v>
      </c>
      <c r="M3974" s="26">
        <v>0</v>
      </c>
    </row>
    <row r="3975" spans="1:13" ht="14.25" customHeight="1">
      <c r="A3975" s="25">
        <v>1919431</v>
      </c>
      <c r="B3975" s="26" t="s">
        <v>5423</v>
      </c>
      <c r="C3975" s="26" t="s">
        <v>13431</v>
      </c>
      <c r="D3975" s="26" t="s">
        <v>13429</v>
      </c>
      <c r="E3975" s="26" t="s">
        <v>5491</v>
      </c>
      <c r="F3975" s="27">
        <v>6580368</v>
      </c>
      <c r="G3975" s="27">
        <v>1</v>
      </c>
      <c r="H3975" s="27">
        <v>1</v>
      </c>
      <c r="I3975" s="27">
        <v>1</v>
      </c>
      <c r="J3975" s="30">
        <f t="shared" si="186"/>
        <v>1</v>
      </c>
      <c r="K3975" s="30">
        <f t="shared" si="187"/>
        <v>1</v>
      </c>
      <c r="L3975" s="26">
        <f t="shared" si="188"/>
        <v>1</v>
      </c>
      <c r="M3975" s="26"/>
    </row>
    <row r="3976" spans="1:13" ht="14.25" customHeight="1">
      <c r="A3976" s="25">
        <v>1919457</v>
      </c>
      <c r="B3976" s="26" t="s">
        <v>5423</v>
      </c>
      <c r="C3976" s="26" t="s">
        <v>13432</v>
      </c>
      <c r="D3976" s="26" t="s">
        <v>13429</v>
      </c>
      <c r="E3976" s="26" t="s">
        <v>5586</v>
      </c>
      <c r="F3976" s="27">
        <v>6580421</v>
      </c>
      <c r="G3976" s="27">
        <v>0</v>
      </c>
      <c r="H3976" s="27">
        <v>0</v>
      </c>
      <c r="I3976" s="27">
        <v>0</v>
      </c>
      <c r="J3976" s="30">
        <f t="shared" si="186"/>
        <v>0</v>
      </c>
      <c r="K3976" s="30">
        <f t="shared" si="187"/>
        <v>0</v>
      </c>
      <c r="L3976" s="26">
        <f t="shared" si="188"/>
        <v>0</v>
      </c>
      <c r="M3976" s="26">
        <v>0</v>
      </c>
    </row>
    <row r="3977" spans="1:13" ht="14.25" customHeight="1">
      <c r="A3977" s="25">
        <v>1919495</v>
      </c>
      <c r="B3977" s="26" t="s">
        <v>5423</v>
      </c>
      <c r="C3977" s="26" t="s">
        <v>13433</v>
      </c>
      <c r="D3977" s="26" t="s">
        <v>13434</v>
      </c>
      <c r="E3977" s="26" t="s">
        <v>5540</v>
      </c>
      <c r="F3977" s="27"/>
      <c r="G3977" s="27">
        <v>0</v>
      </c>
      <c r="H3977" s="27">
        <v>0</v>
      </c>
      <c r="I3977" s="27">
        <v>0</v>
      </c>
      <c r="J3977" s="30">
        <f t="shared" si="186"/>
        <v>0</v>
      </c>
      <c r="K3977" s="30">
        <f t="shared" si="187"/>
        <v>0</v>
      </c>
      <c r="L3977" s="26">
        <f t="shared" si="188"/>
        <v>0</v>
      </c>
      <c r="M3977" s="26" t="s">
        <v>5567</v>
      </c>
    </row>
    <row r="3978" spans="1:13" ht="14.25" customHeight="1">
      <c r="A3978" s="25">
        <v>1919974</v>
      </c>
      <c r="B3978" s="26" t="s">
        <v>5427</v>
      </c>
      <c r="C3978" s="26" t="s">
        <v>13435</v>
      </c>
      <c r="D3978" s="26" t="s">
        <v>13436</v>
      </c>
      <c r="E3978" s="26" t="s">
        <v>5517</v>
      </c>
      <c r="F3978" s="27">
        <v>5765849</v>
      </c>
      <c r="G3978" s="27">
        <v>1</v>
      </c>
      <c r="H3978" s="27">
        <v>1</v>
      </c>
      <c r="I3978" s="27">
        <v>1</v>
      </c>
      <c r="J3978" s="30">
        <f t="shared" si="186"/>
        <v>1</v>
      </c>
      <c r="K3978" s="30">
        <f t="shared" si="187"/>
        <v>1</v>
      </c>
      <c r="L3978" s="26">
        <f t="shared" si="188"/>
        <v>1</v>
      </c>
      <c r="M3978" s="26"/>
    </row>
    <row r="3979" spans="1:13" ht="14.25" customHeight="1">
      <c r="A3979" s="25">
        <v>1920061</v>
      </c>
      <c r="B3979" s="26" t="s">
        <v>5427</v>
      </c>
      <c r="C3979" s="26" t="s">
        <v>13437</v>
      </c>
      <c r="D3979" s="26" t="s">
        <v>13436</v>
      </c>
      <c r="E3979" s="26" t="s">
        <v>5575</v>
      </c>
      <c r="F3979" s="27">
        <v>6574926</v>
      </c>
      <c r="G3979" s="27">
        <v>1</v>
      </c>
      <c r="H3979" s="27">
        <v>1</v>
      </c>
      <c r="I3979" s="27">
        <v>1</v>
      </c>
      <c r="J3979" s="30">
        <f t="shared" si="186"/>
        <v>1</v>
      </c>
      <c r="K3979" s="30">
        <f t="shared" si="187"/>
        <v>1</v>
      </c>
      <c r="L3979" s="26">
        <f t="shared" si="188"/>
        <v>1</v>
      </c>
      <c r="M3979" s="26"/>
    </row>
    <row r="3980" spans="1:13" ht="14.25" customHeight="1">
      <c r="A3980" s="25">
        <v>1920063</v>
      </c>
      <c r="B3980" s="26" t="s">
        <v>5427</v>
      </c>
      <c r="C3980" s="26" t="s">
        <v>13438</v>
      </c>
      <c r="D3980" s="26" t="s">
        <v>13319</v>
      </c>
      <c r="E3980" s="26" t="s">
        <v>5586</v>
      </c>
      <c r="F3980" s="27">
        <v>5401650</v>
      </c>
      <c r="G3980" s="27">
        <v>1</v>
      </c>
      <c r="H3980" s="27">
        <v>0</v>
      </c>
      <c r="I3980" s="27">
        <v>1</v>
      </c>
      <c r="J3980" s="30">
        <f t="shared" si="186"/>
        <v>1</v>
      </c>
      <c r="K3980" s="30">
        <f t="shared" si="187"/>
        <v>0</v>
      </c>
      <c r="L3980" s="26">
        <f t="shared" si="188"/>
        <v>0</v>
      </c>
      <c r="M3980" s="26"/>
    </row>
    <row r="3981" spans="1:13" ht="14.25" customHeight="1">
      <c r="A3981" s="25">
        <v>1920092</v>
      </c>
      <c r="B3981" s="26" t="s">
        <v>5423</v>
      </c>
      <c r="C3981" s="26" t="s">
        <v>13439</v>
      </c>
      <c r="D3981" s="26" t="s">
        <v>13424</v>
      </c>
      <c r="E3981" s="26" t="s">
        <v>5491</v>
      </c>
      <c r="F3981" s="27">
        <v>6541365</v>
      </c>
      <c r="G3981" s="27">
        <v>1</v>
      </c>
      <c r="H3981" s="27">
        <v>1</v>
      </c>
      <c r="I3981" s="27">
        <v>1</v>
      </c>
      <c r="J3981" s="30">
        <f t="shared" si="186"/>
        <v>1</v>
      </c>
      <c r="K3981" s="30">
        <f t="shared" si="187"/>
        <v>1</v>
      </c>
      <c r="L3981" s="26">
        <f t="shared" si="188"/>
        <v>1</v>
      </c>
      <c r="M3981" s="26"/>
    </row>
    <row r="3982" spans="1:13" ht="14.25" customHeight="1">
      <c r="A3982" s="25">
        <v>1920140</v>
      </c>
      <c r="B3982" s="26" t="s">
        <v>5423</v>
      </c>
      <c r="C3982" s="26" t="s">
        <v>13440</v>
      </c>
      <c r="D3982" s="26" t="s">
        <v>13429</v>
      </c>
      <c r="E3982" s="26" t="s">
        <v>5488</v>
      </c>
      <c r="F3982" s="27">
        <v>6582985</v>
      </c>
      <c r="G3982" s="27">
        <v>0</v>
      </c>
      <c r="H3982" s="27">
        <v>0</v>
      </c>
      <c r="I3982" s="27">
        <v>0</v>
      </c>
      <c r="J3982" s="30">
        <f t="shared" si="186"/>
        <v>0</v>
      </c>
      <c r="K3982" s="30">
        <f t="shared" si="187"/>
        <v>0</v>
      </c>
      <c r="L3982" s="26">
        <f t="shared" si="188"/>
        <v>0</v>
      </c>
      <c r="M3982" s="26">
        <v>0</v>
      </c>
    </row>
    <row r="3983" spans="1:13" ht="14.25" customHeight="1">
      <c r="A3983" s="25">
        <v>1920151</v>
      </c>
      <c r="B3983" s="26" t="s">
        <v>5423</v>
      </c>
      <c r="C3983" s="26" t="s">
        <v>13441</v>
      </c>
      <c r="D3983" s="26" t="s">
        <v>13442</v>
      </c>
      <c r="E3983" s="26" t="s">
        <v>5436</v>
      </c>
      <c r="F3983" s="27">
        <v>6567449</v>
      </c>
      <c r="G3983" s="27">
        <v>1</v>
      </c>
      <c r="H3983" s="27">
        <v>1</v>
      </c>
      <c r="I3983" s="27">
        <v>1</v>
      </c>
      <c r="J3983" s="30">
        <f t="shared" si="186"/>
        <v>1</v>
      </c>
      <c r="K3983" s="30">
        <f t="shared" si="187"/>
        <v>1</v>
      </c>
      <c r="L3983" s="26">
        <f t="shared" si="188"/>
        <v>1</v>
      </c>
      <c r="M3983" s="26"/>
    </row>
    <row r="3984" spans="1:13" ht="14.25" customHeight="1">
      <c r="A3984" s="25">
        <v>1920437</v>
      </c>
      <c r="B3984" s="26" t="s">
        <v>5427</v>
      </c>
      <c r="C3984" s="26" t="s">
        <v>13443</v>
      </c>
      <c r="D3984" s="26" t="s">
        <v>13444</v>
      </c>
      <c r="E3984" s="26" t="s">
        <v>5529</v>
      </c>
      <c r="F3984" s="27">
        <v>6583203</v>
      </c>
      <c r="G3984" s="27">
        <v>1</v>
      </c>
      <c r="H3984" s="27">
        <v>1</v>
      </c>
      <c r="I3984" s="27">
        <v>1</v>
      </c>
      <c r="J3984" s="30">
        <f t="shared" si="186"/>
        <v>1</v>
      </c>
      <c r="K3984" s="30">
        <f t="shared" si="187"/>
        <v>1</v>
      </c>
      <c r="L3984" s="26">
        <f t="shared" si="188"/>
        <v>1</v>
      </c>
      <c r="M3984" s="26" t="s">
        <v>12411</v>
      </c>
    </row>
    <row r="3985" spans="1:13" ht="14.25" customHeight="1">
      <c r="A3985" s="25">
        <v>1920502</v>
      </c>
      <c r="B3985" s="26" t="s">
        <v>5423</v>
      </c>
      <c r="C3985" s="26" t="s">
        <v>13445</v>
      </c>
      <c r="D3985" s="26" t="s">
        <v>13444</v>
      </c>
      <c r="E3985" s="26" t="s">
        <v>5683</v>
      </c>
      <c r="F3985" s="27">
        <v>6583307</v>
      </c>
      <c r="G3985" s="27">
        <v>1</v>
      </c>
      <c r="H3985" s="27">
        <v>1</v>
      </c>
      <c r="I3985" s="27">
        <v>1</v>
      </c>
      <c r="J3985" s="30">
        <f t="shared" si="186"/>
        <v>1</v>
      </c>
      <c r="K3985" s="30">
        <f t="shared" si="187"/>
        <v>1</v>
      </c>
      <c r="L3985" s="26">
        <f t="shared" si="188"/>
        <v>1</v>
      </c>
      <c r="M3985" s="26" t="s">
        <v>12411</v>
      </c>
    </row>
    <row r="3986" spans="1:13" ht="14.25" customHeight="1">
      <c r="A3986" s="25">
        <v>1920527</v>
      </c>
      <c r="B3986" s="26" t="s">
        <v>5423</v>
      </c>
      <c r="C3986" s="26" t="s">
        <v>13446</v>
      </c>
      <c r="D3986" s="26" t="s">
        <v>13447</v>
      </c>
      <c r="E3986" s="26" t="s">
        <v>5488</v>
      </c>
      <c r="F3986" s="27">
        <v>5858592</v>
      </c>
      <c r="G3986" s="27">
        <v>1</v>
      </c>
      <c r="H3986" s="27">
        <v>0</v>
      </c>
      <c r="I3986" s="27">
        <v>1</v>
      </c>
      <c r="J3986" s="30">
        <f t="shared" si="186"/>
        <v>1</v>
      </c>
      <c r="K3986" s="30">
        <f t="shared" si="187"/>
        <v>0</v>
      </c>
      <c r="L3986" s="26">
        <f t="shared" si="188"/>
        <v>0</v>
      </c>
      <c r="M3986" s="26"/>
    </row>
    <row r="3987" spans="1:13" ht="14.25" customHeight="1">
      <c r="A3987" s="25">
        <v>1920591</v>
      </c>
      <c r="B3987" s="26" t="s">
        <v>5423</v>
      </c>
      <c r="C3987" s="26" t="s">
        <v>13448</v>
      </c>
      <c r="D3987" s="26" t="s">
        <v>13436</v>
      </c>
      <c r="E3987" s="26" t="s">
        <v>5683</v>
      </c>
      <c r="F3987" s="27">
        <v>6583206</v>
      </c>
      <c r="G3987" s="27">
        <v>1</v>
      </c>
      <c r="H3987" s="27">
        <v>1</v>
      </c>
      <c r="I3987" s="27">
        <v>1</v>
      </c>
      <c r="J3987" s="30">
        <f t="shared" si="186"/>
        <v>1</v>
      </c>
      <c r="K3987" s="30">
        <f t="shared" si="187"/>
        <v>1</v>
      </c>
      <c r="L3987" s="26">
        <f t="shared" si="188"/>
        <v>1</v>
      </c>
      <c r="M3987" s="26"/>
    </row>
    <row r="3988" spans="1:13" ht="14.25" customHeight="1">
      <c r="A3988" s="25">
        <v>1920642</v>
      </c>
      <c r="B3988" s="26" t="s">
        <v>5423</v>
      </c>
      <c r="C3988" s="26" t="s">
        <v>13449</v>
      </c>
      <c r="D3988" s="26" t="s">
        <v>13442</v>
      </c>
      <c r="E3988" s="26" t="s">
        <v>5517</v>
      </c>
      <c r="F3988" s="27">
        <v>6492681</v>
      </c>
      <c r="G3988" s="27">
        <v>1</v>
      </c>
      <c r="H3988" s="27">
        <v>0</v>
      </c>
      <c r="I3988" s="27">
        <v>1</v>
      </c>
      <c r="J3988" s="30">
        <f t="shared" si="186"/>
        <v>1</v>
      </c>
      <c r="K3988" s="30">
        <f t="shared" si="187"/>
        <v>0</v>
      </c>
      <c r="L3988" s="26">
        <f t="shared" si="188"/>
        <v>0</v>
      </c>
      <c r="M3988" s="26"/>
    </row>
    <row r="3989" spans="1:13" ht="14.25" customHeight="1">
      <c r="A3989" s="25">
        <v>1920731</v>
      </c>
      <c r="B3989" s="26" t="s">
        <v>5423</v>
      </c>
      <c r="C3989" s="26" t="s">
        <v>13450</v>
      </c>
      <c r="D3989" s="26" t="s">
        <v>13436</v>
      </c>
      <c r="E3989" s="26" t="s">
        <v>5763</v>
      </c>
      <c r="F3989" s="27">
        <v>6557026</v>
      </c>
      <c r="G3989" s="27">
        <v>1</v>
      </c>
      <c r="H3989" s="27">
        <v>1</v>
      </c>
      <c r="I3989" s="27">
        <v>1</v>
      </c>
      <c r="J3989" s="30">
        <f t="shared" si="186"/>
        <v>1</v>
      </c>
      <c r="K3989" s="30">
        <f t="shared" si="187"/>
        <v>1</v>
      </c>
      <c r="L3989" s="26">
        <f t="shared" si="188"/>
        <v>1</v>
      </c>
      <c r="M3989" s="26"/>
    </row>
    <row r="3990" spans="1:13" ht="14.25" customHeight="1">
      <c r="A3990" s="25">
        <v>1921238</v>
      </c>
      <c r="B3990" s="26" t="s">
        <v>5423</v>
      </c>
      <c r="C3990" s="26" t="s">
        <v>13451</v>
      </c>
      <c r="D3990" s="26" t="s">
        <v>13444</v>
      </c>
      <c r="E3990" s="26" t="s">
        <v>5540</v>
      </c>
      <c r="F3990" s="27">
        <v>6585791</v>
      </c>
      <c r="G3990" s="27">
        <v>0</v>
      </c>
      <c r="H3990" s="27">
        <v>0</v>
      </c>
      <c r="I3990" s="27">
        <v>0</v>
      </c>
      <c r="J3990" s="30">
        <f t="shared" si="186"/>
        <v>0</v>
      </c>
      <c r="K3990" s="30">
        <f t="shared" si="187"/>
        <v>0</v>
      </c>
      <c r="L3990" s="26">
        <f t="shared" si="188"/>
        <v>0</v>
      </c>
      <c r="M3990" s="26">
        <v>0</v>
      </c>
    </row>
    <row r="3991" spans="1:13" ht="14.25" customHeight="1">
      <c r="A3991" s="25">
        <v>1921239</v>
      </c>
      <c r="B3991" s="26" t="s">
        <v>5423</v>
      </c>
      <c r="C3991" s="26" t="s">
        <v>13452</v>
      </c>
      <c r="D3991" s="26" t="s">
        <v>13453</v>
      </c>
      <c r="E3991" s="26" t="s">
        <v>5426</v>
      </c>
      <c r="F3991" s="27">
        <v>6584585</v>
      </c>
      <c r="G3991" s="27">
        <v>1</v>
      </c>
      <c r="H3991" s="27">
        <v>0</v>
      </c>
      <c r="I3991" s="27">
        <v>1</v>
      </c>
      <c r="J3991" s="30">
        <f t="shared" si="186"/>
        <v>1</v>
      </c>
      <c r="K3991" s="30">
        <f t="shared" si="187"/>
        <v>0</v>
      </c>
      <c r="L3991" s="26">
        <f t="shared" si="188"/>
        <v>0</v>
      </c>
      <c r="M3991" s="26"/>
    </row>
    <row r="3992" spans="1:13" ht="14.25" customHeight="1">
      <c r="A3992" s="25">
        <v>1921336</v>
      </c>
      <c r="B3992" s="26" t="s">
        <v>5427</v>
      </c>
      <c r="C3992" s="26" t="s">
        <v>13454</v>
      </c>
      <c r="D3992" s="26" t="s">
        <v>13455</v>
      </c>
      <c r="E3992" s="26" t="s">
        <v>5517</v>
      </c>
      <c r="F3992" s="27">
        <v>6582294</v>
      </c>
      <c r="G3992" s="27">
        <v>1</v>
      </c>
      <c r="H3992" s="27">
        <v>0</v>
      </c>
      <c r="I3992" s="27">
        <v>1</v>
      </c>
      <c r="J3992" s="30">
        <f t="shared" si="186"/>
        <v>1</v>
      </c>
      <c r="K3992" s="30">
        <f t="shared" si="187"/>
        <v>0</v>
      </c>
      <c r="L3992" s="26">
        <f t="shared" si="188"/>
        <v>0</v>
      </c>
      <c r="M3992" s="26"/>
    </row>
    <row r="3993" spans="1:13" ht="14.25" customHeight="1">
      <c r="A3993" s="25">
        <v>1921337</v>
      </c>
      <c r="B3993" s="26" t="s">
        <v>5427</v>
      </c>
      <c r="C3993" s="26" t="s">
        <v>13456</v>
      </c>
      <c r="D3993" s="26" t="s">
        <v>13455</v>
      </c>
      <c r="E3993" s="26" t="s">
        <v>5463</v>
      </c>
      <c r="F3993" s="27">
        <v>6584979</v>
      </c>
      <c r="G3993" s="27">
        <v>1</v>
      </c>
      <c r="H3993" s="27">
        <v>0</v>
      </c>
      <c r="I3993" s="27">
        <v>1</v>
      </c>
      <c r="J3993" s="30">
        <f t="shared" si="186"/>
        <v>1</v>
      </c>
      <c r="K3993" s="30">
        <f t="shared" si="187"/>
        <v>0</v>
      </c>
      <c r="L3993" s="26">
        <f t="shared" si="188"/>
        <v>0</v>
      </c>
      <c r="M3993" s="26"/>
    </row>
    <row r="3994" spans="1:13" ht="14.25" customHeight="1">
      <c r="A3994" s="25">
        <v>1921437</v>
      </c>
      <c r="B3994" s="26" t="s">
        <v>5427</v>
      </c>
      <c r="C3994" s="26" t="s">
        <v>13457</v>
      </c>
      <c r="D3994" s="26" t="s">
        <v>13436</v>
      </c>
      <c r="E3994" s="26" t="s">
        <v>5610</v>
      </c>
      <c r="F3994" s="27">
        <v>6585063</v>
      </c>
      <c r="G3994" s="27">
        <v>1</v>
      </c>
      <c r="H3994" s="27">
        <v>0</v>
      </c>
      <c r="I3994" s="27">
        <v>1</v>
      </c>
      <c r="J3994" s="30">
        <f t="shared" si="186"/>
        <v>1</v>
      </c>
      <c r="K3994" s="30">
        <f t="shared" si="187"/>
        <v>0</v>
      </c>
      <c r="L3994" s="26">
        <f t="shared" si="188"/>
        <v>0</v>
      </c>
      <c r="M3994" s="26"/>
    </row>
    <row r="3995" spans="1:13" ht="14.25" customHeight="1">
      <c r="A3995" s="25">
        <v>1921527</v>
      </c>
      <c r="B3995" s="26" t="s">
        <v>5427</v>
      </c>
      <c r="C3995" s="26" t="s">
        <v>13458</v>
      </c>
      <c r="D3995" s="26" t="s">
        <v>13459</v>
      </c>
      <c r="E3995" s="26" t="s">
        <v>5781</v>
      </c>
      <c r="F3995" s="27">
        <v>6582132</v>
      </c>
      <c r="G3995" s="27">
        <v>1</v>
      </c>
      <c r="H3995" s="27">
        <v>0</v>
      </c>
      <c r="I3995" s="27">
        <v>1</v>
      </c>
      <c r="J3995" s="30">
        <f t="shared" si="186"/>
        <v>1</v>
      </c>
      <c r="K3995" s="30">
        <f t="shared" si="187"/>
        <v>0</v>
      </c>
      <c r="L3995" s="26">
        <f t="shared" si="188"/>
        <v>0</v>
      </c>
      <c r="M3995" s="32"/>
    </row>
    <row r="3996" spans="1:13" ht="14.25" customHeight="1">
      <c r="A3996" s="25">
        <v>1921540</v>
      </c>
      <c r="B3996" s="26" t="s">
        <v>5423</v>
      </c>
      <c r="C3996" s="26" t="s">
        <v>13460</v>
      </c>
      <c r="D3996" s="26" t="s">
        <v>13436</v>
      </c>
      <c r="E3996" s="26" t="s">
        <v>5455</v>
      </c>
      <c r="F3996" s="27">
        <v>6585246</v>
      </c>
      <c r="G3996" s="27">
        <v>1</v>
      </c>
      <c r="H3996" s="27">
        <v>0</v>
      </c>
      <c r="I3996" s="27">
        <v>1</v>
      </c>
      <c r="J3996" s="30">
        <f t="shared" si="186"/>
        <v>1</v>
      </c>
      <c r="K3996" s="30">
        <f t="shared" si="187"/>
        <v>0</v>
      </c>
      <c r="L3996" s="26">
        <f t="shared" si="188"/>
        <v>0</v>
      </c>
      <c r="M3996" s="26"/>
    </row>
    <row r="3997" spans="1:13" ht="14.25" customHeight="1">
      <c r="A3997" s="25">
        <v>1922034</v>
      </c>
      <c r="B3997" s="26" t="s">
        <v>5423</v>
      </c>
      <c r="C3997" s="26" t="s">
        <v>13461</v>
      </c>
      <c r="D3997" s="26" t="s">
        <v>13404</v>
      </c>
      <c r="E3997" s="26" t="s">
        <v>5436</v>
      </c>
      <c r="F3997" s="27">
        <v>6572380</v>
      </c>
      <c r="G3997" s="27">
        <v>1</v>
      </c>
      <c r="H3997" s="27">
        <v>1</v>
      </c>
      <c r="I3997" s="27">
        <v>1</v>
      </c>
      <c r="J3997" s="30">
        <f t="shared" si="186"/>
        <v>1</v>
      </c>
      <c r="K3997" s="30">
        <f t="shared" si="187"/>
        <v>1</v>
      </c>
      <c r="L3997" s="26">
        <f t="shared" si="188"/>
        <v>1</v>
      </c>
      <c r="M3997" s="26" t="s">
        <v>13462</v>
      </c>
    </row>
    <row r="3998" spans="1:13" ht="14.25" customHeight="1">
      <c r="A3998" s="25">
        <v>1922180</v>
      </c>
      <c r="B3998" s="26" t="s">
        <v>5423</v>
      </c>
      <c r="C3998" s="26" t="s">
        <v>13463</v>
      </c>
      <c r="D3998" s="26" t="s">
        <v>13455</v>
      </c>
      <c r="E3998" s="26" t="s">
        <v>5522</v>
      </c>
      <c r="F3998" s="27">
        <v>4180132</v>
      </c>
      <c r="G3998" s="27">
        <v>0</v>
      </c>
      <c r="H3998" s="27">
        <v>0</v>
      </c>
      <c r="I3998" s="27">
        <v>0</v>
      </c>
      <c r="J3998" s="30">
        <f t="shared" si="186"/>
        <v>0</v>
      </c>
      <c r="K3998" s="30">
        <f t="shared" si="187"/>
        <v>0</v>
      </c>
      <c r="L3998" s="26">
        <f t="shared" si="188"/>
        <v>0</v>
      </c>
      <c r="M3998" s="26">
        <v>0</v>
      </c>
    </row>
    <row r="3999" spans="1:13" ht="14.25" customHeight="1">
      <c r="A3999" s="25">
        <v>1922471</v>
      </c>
      <c r="B3999" s="26" t="s">
        <v>5423</v>
      </c>
      <c r="C3999" s="26" t="s">
        <v>13464</v>
      </c>
      <c r="D3999" s="26" t="s">
        <v>13345</v>
      </c>
      <c r="E3999" s="26" t="s">
        <v>5683</v>
      </c>
      <c r="F3999" s="27">
        <v>6587743</v>
      </c>
      <c r="G3999" s="27">
        <v>1</v>
      </c>
      <c r="H3999" s="27">
        <v>1</v>
      </c>
      <c r="I3999" s="27">
        <v>1</v>
      </c>
      <c r="J3999" s="30">
        <f t="shared" si="186"/>
        <v>1</v>
      </c>
      <c r="K3999" s="30">
        <f t="shared" si="187"/>
        <v>1</v>
      </c>
      <c r="L3999" s="26">
        <f t="shared" si="188"/>
        <v>1</v>
      </c>
      <c r="M3999" s="26" t="s">
        <v>13462</v>
      </c>
    </row>
    <row r="4000" spans="1:13" ht="14.25" customHeight="1">
      <c r="A4000" s="25">
        <v>1922472</v>
      </c>
      <c r="B4000" s="26" t="s">
        <v>5423</v>
      </c>
      <c r="C4000" s="26" t="s">
        <v>13465</v>
      </c>
      <c r="D4000" s="26" t="s">
        <v>13466</v>
      </c>
      <c r="E4000" s="26" t="s">
        <v>5586</v>
      </c>
      <c r="F4000" s="27">
        <v>6587947</v>
      </c>
      <c r="G4000" s="27">
        <v>1</v>
      </c>
      <c r="H4000" s="27">
        <v>1</v>
      </c>
      <c r="I4000" s="27">
        <v>1</v>
      </c>
      <c r="J4000" s="30">
        <f t="shared" si="186"/>
        <v>1</v>
      </c>
      <c r="K4000" s="30">
        <f t="shared" si="187"/>
        <v>1</v>
      </c>
      <c r="L4000" s="26">
        <f t="shared" si="188"/>
        <v>1</v>
      </c>
      <c r="M4000" s="26"/>
    </row>
    <row r="4001" spans="1:13" ht="14.25" customHeight="1">
      <c r="A4001" s="25">
        <v>1922824</v>
      </c>
      <c r="B4001" s="26" t="s">
        <v>5423</v>
      </c>
      <c r="C4001" s="26" t="s">
        <v>13467</v>
      </c>
      <c r="D4001" s="26" t="s">
        <v>13468</v>
      </c>
      <c r="E4001" s="26" t="s">
        <v>5442</v>
      </c>
      <c r="F4001" s="27"/>
      <c r="G4001" s="27">
        <v>0</v>
      </c>
      <c r="H4001" s="27">
        <v>0</v>
      </c>
      <c r="I4001" s="27">
        <v>0</v>
      </c>
      <c r="J4001" s="30">
        <f t="shared" si="186"/>
        <v>0</v>
      </c>
      <c r="K4001" s="30">
        <f t="shared" si="187"/>
        <v>0</v>
      </c>
      <c r="L4001" s="26">
        <f t="shared" si="188"/>
        <v>0</v>
      </c>
      <c r="M4001" s="26">
        <v>0</v>
      </c>
    </row>
    <row r="4002" spans="1:13" ht="14.25" customHeight="1">
      <c r="A4002" s="25">
        <v>1923040</v>
      </c>
      <c r="B4002" s="26" t="s">
        <v>5423</v>
      </c>
      <c r="C4002" s="26" t="s">
        <v>13469</v>
      </c>
      <c r="D4002" s="26" t="s">
        <v>13323</v>
      </c>
      <c r="E4002" s="26" t="s">
        <v>5455</v>
      </c>
      <c r="F4002" s="27">
        <v>6590149</v>
      </c>
      <c r="G4002" s="27">
        <v>0</v>
      </c>
      <c r="H4002" s="27">
        <v>0</v>
      </c>
      <c r="I4002" s="27">
        <v>0</v>
      </c>
      <c r="J4002" s="30">
        <f t="shared" si="186"/>
        <v>0</v>
      </c>
      <c r="K4002" s="30">
        <f t="shared" si="187"/>
        <v>0</v>
      </c>
      <c r="L4002" s="26">
        <f t="shared" si="188"/>
        <v>0</v>
      </c>
      <c r="M4002" s="26">
        <v>0</v>
      </c>
    </row>
    <row r="4003" spans="1:13" ht="14.25" customHeight="1">
      <c r="A4003" s="25">
        <v>1923559</v>
      </c>
      <c r="B4003" s="26" t="s">
        <v>5423</v>
      </c>
      <c r="C4003" s="26" t="s">
        <v>13470</v>
      </c>
      <c r="D4003" s="26" t="s">
        <v>13471</v>
      </c>
      <c r="E4003" s="26" t="s">
        <v>5504</v>
      </c>
      <c r="F4003" s="27">
        <v>5980481</v>
      </c>
      <c r="G4003" s="27">
        <v>1</v>
      </c>
      <c r="H4003" s="27">
        <v>0</v>
      </c>
      <c r="I4003" s="27">
        <v>1</v>
      </c>
      <c r="J4003" s="30">
        <f t="shared" si="186"/>
        <v>1</v>
      </c>
      <c r="K4003" s="30">
        <f t="shared" si="187"/>
        <v>0</v>
      </c>
      <c r="L4003" s="26">
        <f t="shared" si="188"/>
        <v>0</v>
      </c>
      <c r="M4003" s="26"/>
    </row>
    <row r="4004" spans="1:13" ht="14.25" customHeight="1">
      <c r="A4004" s="25">
        <v>1923885</v>
      </c>
      <c r="B4004" s="26" t="s">
        <v>5427</v>
      </c>
      <c r="C4004" s="26" t="s">
        <v>13472</v>
      </c>
      <c r="D4004" s="26" t="s">
        <v>13473</v>
      </c>
      <c r="E4004" s="26" t="s">
        <v>5683</v>
      </c>
      <c r="F4004" s="27">
        <v>6536108</v>
      </c>
      <c r="G4004" s="27">
        <v>1</v>
      </c>
      <c r="H4004" s="27">
        <v>0</v>
      </c>
      <c r="I4004" s="27">
        <v>1</v>
      </c>
      <c r="J4004" s="30">
        <f t="shared" si="186"/>
        <v>1</v>
      </c>
      <c r="K4004" s="30">
        <f t="shared" si="187"/>
        <v>0</v>
      </c>
      <c r="L4004" s="26">
        <f t="shared" si="188"/>
        <v>0</v>
      </c>
      <c r="M4004" s="26"/>
    </row>
    <row r="4005" spans="1:13" ht="14.25" customHeight="1">
      <c r="A4005" s="25">
        <v>1924087</v>
      </c>
      <c r="B4005" s="26" t="s">
        <v>5423</v>
      </c>
      <c r="C4005" s="26" t="s">
        <v>13474</v>
      </c>
      <c r="D4005" s="26" t="s">
        <v>13473</v>
      </c>
      <c r="E4005" s="26" t="s">
        <v>5463</v>
      </c>
      <c r="F4005" s="27">
        <v>6592144</v>
      </c>
      <c r="G4005" s="27">
        <v>1</v>
      </c>
      <c r="H4005" s="27">
        <v>1</v>
      </c>
      <c r="I4005" s="27">
        <v>1</v>
      </c>
      <c r="J4005" s="30">
        <f t="shared" si="186"/>
        <v>1</v>
      </c>
      <c r="K4005" s="30">
        <f t="shared" si="187"/>
        <v>1</v>
      </c>
      <c r="L4005" s="26">
        <f t="shared" si="188"/>
        <v>1</v>
      </c>
      <c r="M4005" s="26" t="s">
        <v>13462</v>
      </c>
    </row>
    <row r="4006" spans="1:13" ht="14.25" customHeight="1">
      <c r="A4006" s="25">
        <v>1924131</v>
      </c>
      <c r="B4006" s="26" t="s">
        <v>5423</v>
      </c>
      <c r="C4006" s="26" t="s">
        <v>13475</v>
      </c>
      <c r="D4006" s="26" t="s">
        <v>13473</v>
      </c>
      <c r="E4006" s="26" t="s">
        <v>5475</v>
      </c>
      <c r="F4006" s="27">
        <v>5590014</v>
      </c>
      <c r="G4006" s="27">
        <v>1</v>
      </c>
      <c r="H4006" s="27">
        <v>1</v>
      </c>
      <c r="I4006" s="27">
        <v>1</v>
      </c>
      <c r="J4006" s="30">
        <f t="shared" si="186"/>
        <v>1</v>
      </c>
      <c r="K4006" s="30">
        <f t="shared" si="187"/>
        <v>1</v>
      </c>
      <c r="L4006" s="26">
        <f t="shared" si="188"/>
        <v>1</v>
      </c>
      <c r="M4006" s="26"/>
    </row>
    <row r="4007" spans="1:13" ht="14.25" customHeight="1">
      <c r="A4007" s="25">
        <v>1924169</v>
      </c>
      <c r="B4007" s="26" t="s">
        <v>5423</v>
      </c>
      <c r="C4007" s="26" t="s">
        <v>13476</v>
      </c>
      <c r="D4007" s="26" t="s">
        <v>13477</v>
      </c>
      <c r="E4007" s="26" t="s">
        <v>5532</v>
      </c>
      <c r="F4007" s="27">
        <v>6591968</v>
      </c>
      <c r="G4007" s="27">
        <v>1</v>
      </c>
      <c r="H4007" s="27">
        <v>0</v>
      </c>
      <c r="I4007" s="27">
        <v>1</v>
      </c>
      <c r="J4007" s="30">
        <f t="shared" si="186"/>
        <v>1</v>
      </c>
      <c r="K4007" s="30">
        <f t="shared" si="187"/>
        <v>0</v>
      </c>
      <c r="L4007" s="26">
        <f t="shared" si="188"/>
        <v>0</v>
      </c>
      <c r="M4007" s="26"/>
    </row>
    <row r="4008" spans="1:13" ht="14.25" customHeight="1">
      <c r="A4008" s="25">
        <v>1924204</v>
      </c>
      <c r="B4008" s="26" t="s">
        <v>5423</v>
      </c>
      <c r="C4008" s="26" t="s">
        <v>13478</v>
      </c>
      <c r="D4008" s="26" t="s">
        <v>13477</v>
      </c>
      <c r="E4008" s="26" t="s">
        <v>5488</v>
      </c>
      <c r="F4008" s="27">
        <v>6592054</v>
      </c>
      <c r="G4008" s="27">
        <v>1</v>
      </c>
      <c r="H4008" s="27">
        <v>0</v>
      </c>
      <c r="I4008" s="27">
        <v>1</v>
      </c>
      <c r="J4008" s="30">
        <f t="shared" si="186"/>
        <v>1</v>
      </c>
      <c r="K4008" s="30">
        <f t="shared" si="187"/>
        <v>0</v>
      </c>
      <c r="L4008" s="26">
        <f t="shared" si="188"/>
        <v>0</v>
      </c>
      <c r="M4008" s="26"/>
    </row>
    <row r="4009" spans="1:13" ht="14.25" customHeight="1">
      <c r="A4009" s="25">
        <v>1924210</v>
      </c>
      <c r="B4009" s="26" t="s">
        <v>5423</v>
      </c>
      <c r="C4009" s="26" t="s">
        <v>13479</v>
      </c>
      <c r="D4009" s="26" t="s">
        <v>13480</v>
      </c>
      <c r="E4009" s="26" t="s">
        <v>5707</v>
      </c>
      <c r="F4009" s="27">
        <v>6592091</v>
      </c>
      <c r="G4009" s="27">
        <v>1</v>
      </c>
      <c r="H4009" s="27">
        <v>0</v>
      </c>
      <c r="I4009" s="27">
        <v>1</v>
      </c>
      <c r="J4009" s="30">
        <f t="shared" si="186"/>
        <v>1</v>
      </c>
      <c r="K4009" s="30">
        <f t="shared" si="187"/>
        <v>0</v>
      </c>
      <c r="L4009" s="26">
        <f t="shared" si="188"/>
        <v>0</v>
      </c>
      <c r="M4009" s="32"/>
    </row>
    <row r="4010" spans="1:13" ht="14.25" customHeight="1">
      <c r="A4010" s="25">
        <v>1924374</v>
      </c>
      <c r="B4010" s="26" t="s">
        <v>5423</v>
      </c>
      <c r="C4010" s="26" t="s">
        <v>13481</v>
      </c>
      <c r="D4010" s="26" t="s">
        <v>13471</v>
      </c>
      <c r="E4010" s="26" t="s">
        <v>5455</v>
      </c>
      <c r="F4010" s="27">
        <v>6592416</v>
      </c>
      <c r="G4010" s="27">
        <v>0</v>
      </c>
      <c r="H4010" s="27">
        <v>0</v>
      </c>
      <c r="I4010" s="27">
        <v>0</v>
      </c>
      <c r="J4010" s="30">
        <f t="shared" si="186"/>
        <v>0</v>
      </c>
      <c r="K4010" s="30">
        <f t="shared" si="187"/>
        <v>0</v>
      </c>
      <c r="L4010" s="26">
        <f t="shared" si="188"/>
        <v>0</v>
      </c>
      <c r="M4010" s="26">
        <v>0</v>
      </c>
    </row>
    <row r="4011" spans="1:13" ht="14.25" customHeight="1">
      <c r="A4011" s="25">
        <v>1924523</v>
      </c>
      <c r="B4011" s="26" t="s">
        <v>5427</v>
      </c>
      <c r="C4011" s="26" t="s">
        <v>13482</v>
      </c>
      <c r="D4011" s="26" t="s">
        <v>13480</v>
      </c>
      <c r="E4011" s="26" t="s">
        <v>5514</v>
      </c>
      <c r="F4011" s="27">
        <v>6514864</v>
      </c>
      <c r="G4011" s="27">
        <v>1</v>
      </c>
      <c r="H4011" s="27">
        <v>0</v>
      </c>
      <c r="I4011" s="27">
        <v>1</v>
      </c>
      <c r="J4011" s="30">
        <f t="shared" si="186"/>
        <v>1</v>
      </c>
      <c r="K4011" s="30">
        <f t="shared" si="187"/>
        <v>0</v>
      </c>
      <c r="L4011" s="26">
        <f t="shared" si="188"/>
        <v>0</v>
      </c>
      <c r="M4011" s="32"/>
    </row>
    <row r="4012" spans="1:13" ht="14.25" customHeight="1">
      <c r="A4012" s="25">
        <v>1924589</v>
      </c>
      <c r="B4012" s="26" t="s">
        <v>5423</v>
      </c>
      <c r="C4012" s="26" t="s">
        <v>13483</v>
      </c>
      <c r="D4012" s="26" t="s">
        <v>13484</v>
      </c>
      <c r="E4012" s="26" t="s">
        <v>5442</v>
      </c>
      <c r="F4012" s="27">
        <v>6542911</v>
      </c>
      <c r="G4012" s="27">
        <v>1</v>
      </c>
      <c r="H4012" s="27">
        <v>0</v>
      </c>
      <c r="I4012" s="27">
        <v>1</v>
      </c>
      <c r="J4012" s="30">
        <f t="shared" si="186"/>
        <v>1</v>
      </c>
      <c r="K4012" s="30">
        <f t="shared" si="187"/>
        <v>0</v>
      </c>
      <c r="L4012" s="26">
        <f t="shared" si="188"/>
        <v>0</v>
      </c>
      <c r="M4012" s="26"/>
    </row>
    <row r="4013" spans="1:13" ht="14.25" customHeight="1">
      <c r="A4013" s="25">
        <v>1924673</v>
      </c>
      <c r="B4013" s="26" t="s">
        <v>5423</v>
      </c>
      <c r="C4013" s="26" t="s">
        <v>13485</v>
      </c>
      <c r="D4013" s="26" t="s">
        <v>13473</v>
      </c>
      <c r="E4013" s="26" t="s">
        <v>5439</v>
      </c>
      <c r="F4013" s="27">
        <v>6592611</v>
      </c>
      <c r="G4013" s="27">
        <v>1</v>
      </c>
      <c r="H4013" s="27">
        <v>0</v>
      </c>
      <c r="I4013" s="27">
        <v>1</v>
      </c>
      <c r="J4013" s="30">
        <f t="shared" si="186"/>
        <v>1</v>
      </c>
      <c r="K4013" s="30">
        <f t="shared" si="187"/>
        <v>0</v>
      </c>
      <c r="L4013" s="26">
        <f t="shared" si="188"/>
        <v>0</v>
      </c>
      <c r="M4013" s="26"/>
    </row>
    <row r="4014" spans="1:13" ht="14.25" customHeight="1">
      <c r="A4014" s="25">
        <v>1924843</v>
      </c>
      <c r="B4014" s="26" t="s">
        <v>5427</v>
      </c>
      <c r="C4014" s="26" t="s">
        <v>13486</v>
      </c>
      <c r="D4014" s="26" t="s">
        <v>13487</v>
      </c>
      <c r="E4014" s="26" t="s">
        <v>5560</v>
      </c>
      <c r="F4014" s="27">
        <v>6593520</v>
      </c>
      <c r="G4014" s="27">
        <v>1</v>
      </c>
      <c r="H4014" s="27">
        <v>0</v>
      </c>
      <c r="I4014" s="27">
        <v>1</v>
      </c>
      <c r="J4014" s="30">
        <f t="shared" si="186"/>
        <v>1</v>
      </c>
      <c r="K4014" s="30">
        <f t="shared" si="187"/>
        <v>0</v>
      </c>
      <c r="L4014" s="26">
        <f t="shared" si="188"/>
        <v>0</v>
      </c>
      <c r="M4014" s="26"/>
    </row>
    <row r="4015" spans="1:13" ht="14.25" customHeight="1">
      <c r="A4015" s="25">
        <v>1924971</v>
      </c>
      <c r="B4015" s="26" t="s">
        <v>5423</v>
      </c>
      <c r="C4015" s="26" t="s">
        <v>13488</v>
      </c>
      <c r="D4015" s="26" t="s">
        <v>13487</v>
      </c>
      <c r="E4015" s="26" t="s">
        <v>5468</v>
      </c>
      <c r="F4015" s="27"/>
      <c r="G4015" s="27">
        <v>0</v>
      </c>
      <c r="H4015" s="27">
        <v>0</v>
      </c>
      <c r="I4015" s="27">
        <v>0</v>
      </c>
      <c r="J4015" s="30">
        <f t="shared" si="186"/>
        <v>0</v>
      </c>
      <c r="K4015" s="30">
        <f t="shared" si="187"/>
        <v>0</v>
      </c>
      <c r="L4015" s="26">
        <f t="shared" si="188"/>
        <v>0</v>
      </c>
      <c r="M4015" s="26" t="s">
        <v>5567</v>
      </c>
    </row>
    <row r="4016" spans="1:13" ht="14.25" customHeight="1">
      <c r="A4016" s="25">
        <v>1925254</v>
      </c>
      <c r="B4016" s="26" t="s">
        <v>5423</v>
      </c>
      <c r="C4016" s="26" t="s">
        <v>13489</v>
      </c>
      <c r="D4016" s="26" t="s">
        <v>13484</v>
      </c>
      <c r="E4016" s="26" t="s">
        <v>5442</v>
      </c>
      <c r="F4016" s="27"/>
      <c r="G4016" s="27">
        <v>0</v>
      </c>
      <c r="H4016" s="27">
        <v>0</v>
      </c>
      <c r="I4016" s="27">
        <v>0</v>
      </c>
      <c r="J4016" s="30">
        <f t="shared" si="186"/>
        <v>0</v>
      </c>
      <c r="K4016" s="30">
        <f t="shared" si="187"/>
        <v>0</v>
      </c>
      <c r="L4016" s="26">
        <f t="shared" si="188"/>
        <v>0</v>
      </c>
      <c r="M4016" s="26">
        <v>0</v>
      </c>
    </row>
    <row r="4017" spans="1:13" ht="14.25" customHeight="1">
      <c r="A4017" s="25">
        <v>1925273</v>
      </c>
      <c r="B4017" s="26" t="s">
        <v>5423</v>
      </c>
      <c r="C4017" s="26" t="s">
        <v>13490</v>
      </c>
      <c r="D4017" s="26" t="s">
        <v>13473</v>
      </c>
      <c r="E4017" s="26" t="s">
        <v>5535</v>
      </c>
      <c r="F4017" s="27">
        <v>6591625</v>
      </c>
      <c r="G4017" s="27">
        <v>1</v>
      </c>
      <c r="H4017" s="27">
        <v>0</v>
      </c>
      <c r="I4017" s="27">
        <v>1</v>
      </c>
      <c r="J4017" s="30">
        <f t="shared" si="186"/>
        <v>1</v>
      </c>
      <c r="K4017" s="30">
        <f t="shared" si="187"/>
        <v>0</v>
      </c>
      <c r="L4017" s="26">
        <f t="shared" si="188"/>
        <v>0</v>
      </c>
      <c r="M4017" s="26"/>
    </row>
    <row r="4018" spans="1:13" ht="14.25" customHeight="1">
      <c r="A4018" s="25">
        <v>1925336</v>
      </c>
      <c r="B4018" s="26" t="s">
        <v>5423</v>
      </c>
      <c r="C4018" s="26" t="s">
        <v>13491</v>
      </c>
      <c r="D4018" s="26" t="s">
        <v>13473</v>
      </c>
      <c r="E4018" s="26" t="s">
        <v>5439</v>
      </c>
      <c r="F4018" s="27">
        <v>6595193</v>
      </c>
      <c r="G4018" s="27">
        <v>0</v>
      </c>
      <c r="H4018" s="27">
        <v>0</v>
      </c>
      <c r="I4018" s="27">
        <v>0</v>
      </c>
      <c r="J4018" s="30">
        <f t="shared" si="186"/>
        <v>0</v>
      </c>
      <c r="K4018" s="30">
        <f t="shared" si="187"/>
        <v>0</v>
      </c>
      <c r="L4018" s="26">
        <f t="shared" si="188"/>
        <v>0</v>
      </c>
      <c r="M4018" s="26">
        <v>0</v>
      </c>
    </row>
    <row r="4019" spans="1:13" ht="14.25" customHeight="1">
      <c r="A4019" s="25">
        <v>1925640</v>
      </c>
      <c r="B4019" s="26" t="s">
        <v>5423</v>
      </c>
      <c r="C4019" s="26" t="s">
        <v>13492</v>
      </c>
      <c r="D4019" s="26" t="s">
        <v>13484</v>
      </c>
      <c r="E4019" s="26" t="s">
        <v>5491</v>
      </c>
      <c r="F4019" s="27">
        <v>6564096</v>
      </c>
      <c r="G4019" s="27">
        <v>1</v>
      </c>
      <c r="H4019" s="27">
        <v>1</v>
      </c>
      <c r="I4019" s="27">
        <v>1</v>
      </c>
      <c r="J4019" s="30">
        <f t="shared" si="186"/>
        <v>1</v>
      </c>
      <c r="K4019" s="30">
        <f t="shared" si="187"/>
        <v>1</v>
      </c>
      <c r="L4019" s="26">
        <f t="shared" si="188"/>
        <v>1</v>
      </c>
      <c r="M4019" s="26"/>
    </row>
    <row r="4020" spans="1:13" ht="14.25" customHeight="1">
      <c r="A4020" s="25">
        <v>1925706</v>
      </c>
      <c r="B4020" s="26" t="s">
        <v>5423</v>
      </c>
      <c r="C4020" s="26" t="s">
        <v>13493</v>
      </c>
      <c r="D4020" s="26" t="s">
        <v>13484</v>
      </c>
      <c r="E4020" s="26" t="s">
        <v>5442</v>
      </c>
      <c r="F4020" s="27">
        <v>5709721</v>
      </c>
      <c r="G4020" s="27">
        <v>1</v>
      </c>
      <c r="H4020" s="27">
        <v>0</v>
      </c>
      <c r="I4020" s="27">
        <v>1</v>
      </c>
      <c r="J4020" s="30">
        <f t="shared" si="186"/>
        <v>1</v>
      </c>
      <c r="K4020" s="30">
        <f t="shared" si="187"/>
        <v>0</v>
      </c>
      <c r="L4020" s="26">
        <f t="shared" si="188"/>
        <v>0</v>
      </c>
      <c r="M4020" s="26"/>
    </row>
    <row r="4021" spans="1:13" ht="14.25" customHeight="1">
      <c r="A4021" s="25">
        <v>1926010</v>
      </c>
      <c r="B4021" s="26" t="s">
        <v>5423</v>
      </c>
      <c r="C4021" s="26" t="s">
        <v>13494</v>
      </c>
      <c r="D4021" s="26" t="s">
        <v>13495</v>
      </c>
      <c r="E4021" s="26" t="s">
        <v>5439</v>
      </c>
      <c r="F4021" s="27">
        <v>6596213</v>
      </c>
      <c r="G4021" s="27">
        <v>1</v>
      </c>
      <c r="H4021" s="27">
        <v>1</v>
      </c>
      <c r="I4021" s="27">
        <v>1</v>
      </c>
      <c r="J4021" s="30">
        <f t="shared" si="186"/>
        <v>1</v>
      </c>
      <c r="K4021" s="30">
        <f t="shared" si="187"/>
        <v>1</v>
      </c>
      <c r="L4021" s="26">
        <f t="shared" si="188"/>
        <v>1</v>
      </c>
      <c r="M4021" s="32"/>
    </row>
    <row r="4022" spans="1:13" ht="14.25" customHeight="1">
      <c r="A4022" s="25">
        <v>1926074</v>
      </c>
      <c r="B4022" s="26" t="s">
        <v>5423</v>
      </c>
      <c r="C4022" s="26" t="s">
        <v>13496</v>
      </c>
      <c r="D4022" s="26" t="s">
        <v>13484</v>
      </c>
      <c r="E4022" s="26" t="s">
        <v>5455</v>
      </c>
      <c r="F4022" s="27">
        <v>6596403</v>
      </c>
      <c r="G4022" s="27">
        <v>0</v>
      </c>
      <c r="H4022" s="27">
        <v>1</v>
      </c>
      <c r="I4022" s="27">
        <v>1</v>
      </c>
      <c r="J4022" s="30">
        <f t="shared" si="186"/>
        <v>0</v>
      </c>
      <c r="K4022" s="30">
        <f t="shared" si="187"/>
        <v>1</v>
      </c>
      <c r="L4022" s="26">
        <f t="shared" si="188"/>
        <v>0</v>
      </c>
      <c r="M4022" s="26"/>
    </row>
    <row r="4023" spans="1:13" ht="14.25" customHeight="1">
      <c r="A4023" s="25">
        <v>1926380</v>
      </c>
      <c r="B4023" s="26" t="s">
        <v>5423</v>
      </c>
      <c r="C4023" s="26" t="s">
        <v>13497</v>
      </c>
      <c r="D4023" s="26" t="s">
        <v>13495</v>
      </c>
      <c r="E4023" s="26" t="s">
        <v>5463</v>
      </c>
      <c r="F4023" s="27">
        <v>6572405</v>
      </c>
      <c r="G4023" s="27">
        <v>1</v>
      </c>
      <c r="H4023" s="27">
        <v>0</v>
      </c>
      <c r="I4023" s="27">
        <v>1</v>
      </c>
      <c r="J4023" s="30">
        <f t="shared" si="186"/>
        <v>1</v>
      </c>
      <c r="K4023" s="30">
        <f t="shared" si="187"/>
        <v>0</v>
      </c>
      <c r="L4023" s="26">
        <f t="shared" si="188"/>
        <v>0</v>
      </c>
      <c r="M4023" s="32"/>
    </row>
    <row r="4024" spans="1:13" ht="14.25" customHeight="1">
      <c r="A4024" s="25">
        <v>1926421</v>
      </c>
      <c r="B4024" s="26" t="s">
        <v>5423</v>
      </c>
      <c r="C4024" s="26" t="s">
        <v>13498</v>
      </c>
      <c r="D4024" s="26" t="s">
        <v>13499</v>
      </c>
      <c r="E4024" s="26" t="s">
        <v>5610</v>
      </c>
      <c r="F4024" s="27">
        <v>6567482</v>
      </c>
      <c r="G4024" s="27">
        <v>1</v>
      </c>
      <c r="H4024" s="27">
        <v>1</v>
      </c>
      <c r="I4024" s="27">
        <v>1</v>
      </c>
      <c r="J4024" s="30">
        <f t="shared" si="186"/>
        <v>1</v>
      </c>
      <c r="K4024" s="30">
        <f t="shared" si="187"/>
        <v>1</v>
      </c>
      <c r="L4024" s="26">
        <f t="shared" si="188"/>
        <v>1</v>
      </c>
      <c r="M4024" s="32"/>
    </row>
    <row r="4025" spans="1:13" ht="14.25" customHeight="1">
      <c r="A4025" s="25">
        <v>1926425</v>
      </c>
      <c r="B4025" s="26" t="s">
        <v>5427</v>
      </c>
      <c r="C4025" s="26" t="s">
        <v>13500</v>
      </c>
      <c r="D4025" s="26" t="s">
        <v>13501</v>
      </c>
      <c r="E4025" s="26" t="s">
        <v>5455</v>
      </c>
      <c r="F4025" s="27">
        <v>6598398</v>
      </c>
      <c r="G4025" s="27">
        <v>0</v>
      </c>
      <c r="H4025" s="27">
        <v>0</v>
      </c>
      <c r="I4025" s="27">
        <v>0</v>
      </c>
      <c r="J4025" s="30">
        <f t="shared" si="186"/>
        <v>0</v>
      </c>
      <c r="K4025" s="30">
        <f t="shared" si="187"/>
        <v>0</v>
      </c>
      <c r="L4025" s="26">
        <f t="shared" si="188"/>
        <v>0</v>
      </c>
      <c r="M4025" s="32">
        <v>0</v>
      </c>
    </row>
    <row r="4026" spans="1:13" ht="14.25" customHeight="1">
      <c r="A4026" s="25">
        <v>1926484</v>
      </c>
      <c r="B4026" s="26" t="s">
        <v>5423</v>
      </c>
      <c r="C4026" s="26" t="s">
        <v>13502</v>
      </c>
      <c r="D4026" s="26" t="s">
        <v>13499</v>
      </c>
      <c r="E4026" s="26" t="s">
        <v>5452</v>
      </c>
      <c r="F4026" s="27">
        <v>6527958</v>
      </c>
      <c r="G4026" s="27">
        <v>1</v>
      </c>
      <c r="H4026" s="27">
        <v>0</v>
      </c>
      <c r="I4026" s="27">
        <v>1</v>
      </c>
      <c r="J4026" s="30">
        <f t="shared" si="186"/>
        <v>1</v>
      </c>
      <c r="K4026" s="30">
        <f t="shared" si="187"/>
        <v>0</v>
      </c>
      <c r="L4026" s="26">
        <f t="shared" si="188"/>
        <v>0</v>
      </c>
      <c r="M4026" s="32"/>
    </row>
    <row r="4027" spans="1:13" ht="14.25" customHeight="1">
      <c r="A4027" s="25">
        <v>1926707</v>
      </c>
      <c r="B4027" s="26" t="s">
        <v>5427</v>
      </c>
      <c r="C4027" s="26" t="s">
        <v>13503</v>
      </c>
      <c r="D4027" s="26" t="s">
        <v>13501</v>
      </c>
      <c r="E4027" s="26" t="s">
        <v>5532</v>
      </c>
      <c r="F4027" s="27">
        <v>6598099</v>
      </c>
      <c r="G4027" s="27">
        <v>0</v>
      </c>
      <c r="H4027" s="27">
        <v>0</v>
      </c>
      <c r="I4027" s="27">
        <v>0</v>
      </c>
      <c r="J4027" s="30">
        <f t="shared" si="186"/>
        <v>0</v>
      </c>
      <c r="K4027" s="30">
        <f t="shared" si="187"/>
        <v>0</v>
      </c>
      <c r="L4027" s="26">
        <f t="shared" si="188"/>
        <v>0</v>
      </c>
      <c r="M4027" s="32">
        <v>0</v>
      </c>
    </row>
    <row r="4028" spans="1:13" ht="14.25" hidden="1" customHeight="1">
      <c r="A4028" s="25">
        <v>1928390</v>
      </c>
      <c r="B4028" s="26" t="s">
        <v>5427</v>
      </c>
      <c r="C4028" s="26" t="s">
        <v>13504</v>
      </c>
      <c r="D4028" s="26" t="s">
        <v>13505</v>
      </c>
      <c r="E4028" s="26" t="s">
        <v>5507</v>
      </c>
      <c r="F4028" s="27">
        <v>6601919</v>
      </c>
      <c r="G4028" s="27">
        <v>1</v>
      </c>
      <c r="H4028" s="27">
        <v>0</v>
      </c>
      <c r="I4028" s="27">
        <v>1</v>
      </c>
      <c r="J4028" s="30">
        <f t="shared" si="186"/>
        <v>1</v>
      </c>
      <c r="K4028" s="30">
        <f t="shared" si="187"/>
        <v>0</v>
      </c>
      <c r="L4028" s="26">
        <f t="shared" si="188"/>
        <v>0</v>
      </c>
      <c r="M4028" s="32"/>
    </row>
    <row r="4029" spans="1:13" ht="14.25" customHeight="1">
      <c r="A4029" s="25">
        <v>1926982</v>
      </c>
      <c r="B4029" s="26" t="s">
        <v>5423</v>
      </c>
      <c r="C4029" s="26" t="s">
        <v>13506</v>
      </c>
      <c r="D4029" s="26" t="s">
        <v>13501</v>
      </c>
      <c r="E4029" s="26" t="s">
        <v>5455</v>
      </c>
      <c r="F4029" s="27">
        <v>6216866</v>
      </c>
      <c r="G4029" s="27">
        <v>1</v>
      </c>
      <c r="H4029" s="27">
        <v>0</v>
      </c>
      <c r="I4029" s="27">
        <v>1</v>
      </c>
      <c r="J4029" s="30">
        <f t="shared" si="186"/>
        <v>1</v>
      </c>
      <c r="K4029" s="30">
        <f t="shared" si="187"/>
        <v>0</v>
      </c>
      <c r="L4029" s="26">
        <f t="shared" si="188"/>
        <v>0</v>
      </c>
      <c r="M4029" s="32"/>
    </row>
    <row r="4030" spans="1:13" ht="14.25" customHeight="1">
      <c r="A4030" s="25">
        <v>1926988</v>
      </c>
      <c r="B4030" s="26" t="s">
        <v>5427</v>
      </c>
      <c r="C4030" s="26" t="s">
        <v>13507</v>
      </c>
      <c r="D4030" s="26" t="s">
        <v>13501</v>
      </c>
      <c r="E4030" s="26" t="s">
        <v>5535</v>
      </c>
      <c r="F4030" s="27">
        <v>6599149</v>
      </c>
      <c r="G4030" s="27">
        <v>0</v>
      </c>
      <c r="H4030" s="27">
        <v>0</v>
      </c>
      <c r="I4030" s="27">
        <v>0</v>
      </c>
      <c r="J4030" s="30">
        <f t="shared" si="186"/>
        <v>0</v>
      </c>
      <c r="K4030" s="30">
        <f t="shared" si="187"/>
        <v>0</v>
      </c>
      <c r="L4030" s="26">
        <f t="shared" si="188"/>
        <v>0</v>
      </c>
      <c r="M4030" s="32">
        <v>0</v>
      </c>
    </row>
    <row r="4031" spans="1:13" ht="14.25" customHeight="1">
      <c r="A4031" s="25">
        <v>1927257</v>
      </c>
      <c r="B4031" s="26" t="s">
        <v>5427</v>
      </c>
      <c r="C4031" s="26" t="s">
        <v>13508</v>
      </c>
      <c r="D4031" s="26" t="s">
        <v>13509</v>
      </c>
      <c r="E4031" s="26" t="s">
        <v>5436</v>
      </c>
      <c r="F4031" s="27">
        <v>6576374</v>
      </c>
      <c r="G4031" s="27">
        <v>1</v>
      </c>
      <c r="H4031" s="27">
        <v>0</v>
      </c>
      <c r="I4031" s="27">
        <v>1</v>
      </c>
      <c r="J4031" s="30">
        <f t="shared" si="186"/>
        <v>1</v>
      </c>
      <c r="K4031" s="30">
        <f t="shared" si="187"/>
        <v>0</v>
      </c>
      <c r="L4031" s="26">
        <f t="shared" si="188"/>
        <v>0</v>
      </c>
      <c r="M4031" s="32"/>
    </row>
    <row r="4032" spans="1:13" ht="14.25" customHeight="1">
      <c r="A4032" s="25">
        <v>1927272</v>
      </c>
      <c r="B4032" s="26" t="s">
        <v>5423</v>
      </c>
      <c r="C4032" s="26" t="s">
        <v>13510</v>
      </c>
      <c r="D4032" s="26" t="s">
        <v>13511</v>
      </c>
      <c r="E4032" s="26" t="s">
        <v>5458</v>
      </c>
      <c r="F4032" s="27">
        <v>6599392</v>
      </c>
      <c r="G4032" s="27">
        <v>1</v>
      </c>
      <c r="H4032" s="27">
        <v>0</v>
      </c>
      <c r="I4032" s="27">
        <v>1</v>
      </c>
      <c r="J4032" s="30">
        <f t="shared" si="186"/>
        <v>1</v>
      </c>
      <c r="K4032" s="30">
        <f t="shared" si="187"/>
        <v>0</v>
      </c>
      <c r="L4032" s="26">
        <f t="shared" si="188"/>
        <v>0</v>
      </c>
      <c r="M4032" s="32"/>
    </row>
    <row r="4033" spans="1:13" ht="14.25" customHeight="1">
      <c r="A4033" s="25">
        <v>1927294</v>
      </c>
      <c r="B4033" s="26" t="s">
        <v>5423</v>
      </c>
      <c r="C4033" s="26" t="s">
        <v>13512</v>
      </c>
      <c r="D4033" s="26" t="s">
        <v>13513</v>
      </c>
      <c r="E4033" s="26" t="s">
        <v>5436</v>
      </c>
      <c r="F4033" s="27">
        <v>6599507</v>
      </c>
      <c r="G4033" s="27">
        <v>1</v>
      </c>
      <c r="H4033" s="27">
        <v>0</v>
      </c>
      <c r="I4033" s="27">
        <v>1</v>
      </c>
      <c r="J4033" s="30">
        <f t="shared" si="186"/>
        <v>1</v>
      </c>
      <c r="K4033" s="30">
        <f t="shared" si="187"/>
        <v>0</v>
      </c>
      <c r="L4033" s="26">
        <f t="shared" si="188"/>
        <v>0</v>
      </c>
      <c r="M4033" s="32"/>
    </row>
    <row r="4034" spans="1:13" ht="14.25" customHeight="1">
      <c r="A4034" s="25">
        <v>1927521</v>
      </c>
      <c r="B4034" s="26" t="s">
        <v>5423</v>
      </c>
      <c r="C4034" s="26" t="s">
        <v>13514</v>
      </c>
      <c r="D4034" s="26" t="s">
        <v>13515</v>
      </c>
      <c r="E4034" s="26" t="s">
        <v>5532</v>
      </c>
      <c r="F4034" s="27">
        <v>6600448</v>
      </c>
      <c r="G4034" s="27">
        <v>0</v>
      </c>
      <c r="H4034" s="27">
        <v>0</v>
      </c>
      <c r="I4034" s="27">
        <v>0</v>
      </c>
      <c r="J4034" s="30">
        <f t="shared" ref="J4034:J4097" si="189">IF(G4034&gt;0,1,0)</f>
        <v>0</v>
      </c>
      <c r="K4034" s="30">
        <f t="shared" ref="K4034:K4097" si="190">IF(H4034&gt;0,1,0)</f>
        <v>0</v>
      </c>
      <c r="L4034" s="26">
        <f t="shared" ref="L4034:L4097" si="191">IF(G4034&gt;0,IF(H4034&gt;0,1,0),0)</f>
        <v>0</v>
      </c>
      <c r="M4034" s="32">
        <v>0</v>
      </c>
    </row>
    <row r="4035" spans="1:13" ht="14.25" customHeight="1">
      <c r="A4035" s="25">
        <v>1927606</v>
      </c>
      <c r="B4035" s="26" t="s">
        <v>5423</v>
      </c>
      <c r="C4035" s="26" t="s">
        <v>13516</v>
      </c>
      <c r="D4035" s="26" t="s">
        <v>13511</v>
      </c>
      <c r="E4035" s="26" t="s">
        <v>5540</v>
      </c>
      <c r="F4035" s="27">
        <v>6590642</v>
      </c>
      <c r="G4035" s="27">
        <v>1</v>
      </c>
      <c r="H4035" s="27">
        <v>0</v>
      </c>
      <c r="I4035" s="27">
        <v>1</v>
      </c>
      <c r="J4035" s="30">
        <f t="shared" si="189"/>
        <v>1</v>
      </c>
      <c r="K4035" s="30">
        <f t="shared" si="190"/>
        <v>0</v>
      </c>
      <c r="L4035" s="26">
        <f t="shared" si="191"/>
        <v>0</v>
      </c>
      <c r="M4035" s="32"/>
    </row>
    <row r="4036" spans="1:13" ht="14.25" customHeight="1">
      <c r="A4036" s="25">
        <v>1927917</v>
      </c>
      <c r="B4036" s="26" t="s">
        <v>5423</v>
      </c>
      <c r="C4036" s="26" t="s">
        <v>13517</v>
      </c>
      <c r="D4036" s="26" t="s">
        <v>13480</v>
      </c>
      <c r="E4036" s="26" t="s">
        <v>5447</v>
      </c>
      <c r="F4036" s="27">
        <v>6601605</v>
      </c>
      <c r="G4036" s="27">
        <v>0</v>
      </c>
      <c r="H4036" s="27">
        <v>0</v>
      </c>
      <c r="I4036" s="27">
        <v>0</v>
      </c>
      <c r="J4036" s="30">
        <f t="shared" si="189"/>
        <v>0</v>
      </c>
      <c r="K4036" s="30">
        <f t="shared" si="190"/>
        <v>0</v>
      </c>
      <c r="L4036" s="26">
        <f t="shared" si="191"/>
        <v>0</v>
      </c>
      <c r="M4036" s="32">
        <v>0</v>
      </c>
    </row>
    <row r="4037" spans="1:13" ht="14.25" customHeight="1">
      <c r="A4037" s="25">
        <v>1928004</v>
      </c>
      <c r="B4037" s="26" t="s">
        <v>5423</v>
      </c>
      <c r="C4037" s="26" t="s">
        <v>13518</v>
      </c>
      <c r="D4037" s="26" t="s">
        <v>13480</v>
      </c>
      <c r="E4037" s="26" t="s">
        <v>5683</v>
      </c>
      <c r="F4037" s="27">
        <v>6601667</v>
      </c>
      <c r="G4037" s="27">
        <v>1</v>
      </c>
      <c r="H4037" s="27">
        <v>0</v>
      </c>
      <c r="I4037" s="27">
        <v>1</v>
      </c>
      <c r="J4037" s="30">
        <f t="shared" si="189"/>
        <v>1</v>
      </c>
      <c r="K4037" s="30">
        <f t="shared" si="190"/>
        <v>0</v>
      </c>
      <c r="L4037" s="26">
        <f t="shared" si="191"/>
        <v>0</v>
      </c>
      <c r="M4037" s="32"/>
    </row>
    <row r="4038" spans="1:13" ht="14.25" customHeight="1">
      <c r="A4038" s="25">
        <v>1928367</v>
      </c>
      <c r="B4038" s="26" t="s">
        <v>5423</v>
      </c>
      <c r="C4038" s="26" t="s">
        <v>13519</v>
      </c>
      <c r="D4038" s="26" t="s">
        <v>13480</v>
      </c>
      <c r="E4038" s="26" t="s">
        <v>5517</v>
      </c>
      <c r="F4038" s="27">
        <v>6601932</v>
      </c>
      <c r="G4038" s="27">
        <v>0</v>
      </c>
      <c r="H4038" s="27">
        <v>0</v>
      </c>
      <c r="I4038" s="27">
        <v>0</v>
      </c>
      <c r="J4038" s="30">
        <f t="shared" si="189"/>
        <v>0</v>
      </c>
      <c r="K4038" s="30">
        <f t="shared" si="190"/>
        <v>0</v>
      </c>
      <c r="L4038" s="26">
        <f t="shared" si="191"/>
        <v>0</v>
      </c>
      <c r="M4038" s="32">
        <v>0</v>
      </c>
    </row>
    <row r="4039" spans="1:13" ht="14.25" customHeight="1">
      <c r="A4039" s="25">
        <v>1928498</v>
      </c>
      <c r="B4039" s="26" t="s">
        <v>5427</v>
      </c>
      <c r="C4039" s="26" t="s">
        <v>13520</v>
      </c>
      <c r="D4039" s="26" t="s">
        <v>13521</v>
      </c>
      <c r="E4039" s="26" t="s">
        <v>5550</v>
      </c>
      <c r="F4039" s="27">
        <v>6602934</v>
      </c>
      <c r="G4039" s="27">
        <v>1</v>
      </c>
      <c r="H4039" s="27">
        <v>1</v>
      </c>
      <c r="I4039" s="27">
        <v>1</v>
      </c>
      <c r="J4039" s="30">
        <f t="shared" si="189"/>
        <v>1</v>
      </c>
      <c r="K4039" s="30">
        <f t="shared" si="190"/>
        <v>1</v>
      </c>
      <c r="L4039" s="26">
        <f t="shared" si="191"/>
        <v>1</v>
      </c>
      <c r="M4039" s="32"/>
    </row>
    <row r="4040" spans="1:13" ht="14.25" customHeight="1">
      <c r="A4040" s="25">
        <v>1928581</v>
      </c>
      <c r="B4040" s="26" t="s">
        <v>5427</v>
      </c>
      <c r="C4040" s="26" t="s">
        <v>13522</v>
      </c>
      <c r="D4040" s="26" t="s">
        <v>13521</v>
      </c>
      <c r="E4040" s="26" t="s">
        <v>5891</v>
      </c>
      <c r="F4040" s="27">
        <v>6602754</v>
      </c>
      <c r="G4040" s="27">
        <v>1</v>
      </c>
      <c r="H4040" s="27">
        <v>1</v>
      </c>
      <c r="I4040" s="27">
        <v>1</v>
      </c>
      <c r="J4040" s="30">
        <f t="shared" si="189"/>
        <v>1</v>
      </c>
      <c r="K4040" s="30">
        <f t="shared" si="190"/>
        <v>1</v>
      </c>
      <c r="L4040" s="26">
        <f t="shared" si="191"/>
        <v>1</v>
      </c>
      <c r="M4040" s="32" t="s">
        <v>13523</v>
      </c>
    </row>
    <row r="4041" spans="1:13" ht="14.25" customHeight="1">
      <c r="A4041" s="25">
        <v>1928691</v>
      </c>
      <c r="B4041" s="26" t="s">
        <v>5423</v>
      </c>
      <c r="C4041" s="26" t="s">
        <v>13524</v>
      </c>
      <c r="D4041" s="26" t="s">
        <v>13525</v>
      </c>
      <c r="E4041" s="26" t="s">
        <v>5439</v>
      </c>
      <c r="F4041" s="27">
        <v>6603497</v>
      </c>
      <c r="G4041" s="27">
        <v>0</v>
      </c>
      <c r="H4041" s="27">
        <v>0</v>
      </c>
      <c r="I4041" s="27">
        <v>0</v>
      </c>
      <c r="J4041" s="30">
        <f t="shared" si="189"/>
        <v>0</v>
      </c>
      <c r="K4041" s="30">
        <f t="shared" si="190"/>
        <v>0</v>
      </c>
      <c r="L4041" s="26">
        <f t="shared" si="191"/>
        <v>0</v>
      </c>
      <c r="M4041" s="32">
        <v>0</v>
      </c>
    </row>
    <row r="4042" spans="1:13" ht="14.25" customHeight="1">
      <c r="A4042" s="25">
        <v>1928712</v>
      </c>
      <c r="B4042" s="26" t="s">
        <v>5423</v>
      </c>
      <c r="C4042" s="26" t="s">
        <v>13526</v>
      </c>
      <c r="D4042" s="26" t="s">
        <v>13525</v>
      </c>
      <c r="E4042" s="26" t="s">
        <v>5447</v>
      </c>
      <c r="F4042" s="27">
        <v>6576819</v>
      </c>
      <c r="G4042" s="27">
        <v>1</v>
      </c>
      <c r="H4042" s="27">
        <v>0</v>
      </c>
      <c r="I4042" s="27">
        <v>1</v>
      </c>
      <c r="J4042" s="30">
        <f t="shared" si="189"/>
        <v>1</v>
      </c>
      <c r="K4042" s="30">
        <f t="shared" si="190"/>
        <v>0</v>
      </c>
      <c r="L4042" s="26">
        <f t="shared" si="191"/>
        <v>0</v>
      </c>
      <c r="M4042" s="32"/>
    </row>
    <row r="4043" spans="1:13" ht="14.25" customHeight="1">
      <c r="A4043" s="25">
        <v>1929070</v>
      </c>
      <c r="B4043" s="26" t="s">
        <v>5423</v>
      </c>
      <c r="C4043" s="26" t="s">
        <v>13527</v>
      </c>
      <c r="D4043" s="26" t="s">
        <v>13416</v>
      </c>
      <c r="E4043" s="26" t="s">
        <v>5433</v>
      </c>
      <c r="F4043" s="27">
        <v>6601669</v>
      </c>
      <c r="G4043" s="27">
        <v>1</v>
      </c>
      <c r="H4043" s="27">
        <v>0</v>
      </c>
      <c r="I4043" s="27">
        <v>1</v>
      </c>
      <c r="J4043" s="30">
        <f t="shared" si="189"/>
        <v>1</v>
      </c>
      <c r="K4043" s="30">
        <f t="shared" si="190"/>
        <v>0</v>
      </c>
      <c r="L4043" s="26">
        <f t="shared" si="191"/>
        <v>0</v>
      </c>
      <c r="M4043" s="32"/>
    </row>
    <row r="4044" spans="1:13" ht="14.25" customHeight="1">
      <c r="A4044" s="25">
        <v>1929205</v>
      </c>
      <c r="B4044" s="26" t="s">
        <v>5423</v>
      </c>
      <c r="C4044" s="26" t="s">
        <v>13528</v>
      </c>
      <c r="D4044" s="26" t="s">
        <v>13529</v>
      </c>
      <c r="E4044" s="26" t="s">
        <v>5491</v>
      </c>
      <c r="F4044" s="27">
        <v>5919771</v>
      </c>
      <c r="G4044" s="27">
        <v>1</v>
      </c>
      <c r="H4044" s="27">
        <v>0</v>
      </c>
      <c r="I4044" s="27">
        <v>1</v>
      </c>
      <c r="J4044" s="30">
        <f t="shared" si="189"/>
        <v>1</v>
      </c>
      <c r="K4044" s="30">
        <f t="shared" si="190"/>
        <v>0</v>
      </c>
      <c r="L4044" s="26">
        <f t="shared" si="191"/>
        <v>0</v>
      </c>
      <c r="M4044" s="32"/>
    </row>
    <row r="4045" spans="1:13" ht="14.25" customHeight="1">
      <c r="A4045" s="25">
        <v>1929775</v>
      </c>
      <c r="B4045" s="26" t="s">
        <v>5427</v>
      </c>
      <c r="C4045" s="26" t="s">
        <v>13530</v>
      </c>
      <c r="D4045" s="26" t="s">
        <v>13531</v>
      </c>
      <c r="E4045" s="26" t="s">
        <v>5468</v>
      </c>
      <c r="F4045" s="27">
        <v>2647515</v>
      </c>
      <c r="G4045" s="27">
        <v>1</v>
      </c>
      <c r="H4045" s="27">
        <v>1</v>
      </c>
      <c r="I4045" s="27">
        <v>1</v>
      </c>
      <c r="J4045" s="30">
        <f t="shared" si="189"/>
        <v>1</v>
      </c>
      <c r="K4045" s="30">
        <f t="shared" si="190"/>
        <v>1</v>
      </c>
      <c r="L4045" s="26">
        <f t="shared" si="191"/>
        <v>1</v>
      </c>
      <c r="M4045" s="32" t="s">
        <v>13532</v>
      </c>
    </row>
    <row r="4046" spans="1:13" ht="14.25" customHeight="1">
      <c r="A4046" s="25">
        <v>1929776</v>
      </c>
      <c r="B4046" s="26" t="s">
        <v>5427</v>
      </c>
      <c r="C4046" s="26" t="s">
        <v>13533</v>
      </c>
      <c r="D4046" s="26" t="s">
        <v>13509</v>
      </c>
      <c r="E4046" s="26" t="s">
        <v>5550</v>
      </c>
      <c r="F4046" s="27">
        <v>6608418</v>
      </c>
      <c r="G4046" s="27">
        <v>0</v>
      </c>
      <c r="H4046" s="27">
        <v>0</v>
      </c>
      <c r="I4046" s="27">
        <v>0</v>
      </c>
      <c r="J4046" s="30">
        <f t="shared" si="189"/>
        <v>0</v>
      </c>
      <c r="K4046" s="30">
        <f t="shared" si="190"/>
        <v>0</v>
      </c>
      <c r="L4046" s="26">
        <f t="shared" si="191"/>
        <v>0</v>
      </c>
      <c r="M4046" s="32">
        <v>0</v>
      </c>
    </row>
    <row r="4047" spans="1:13" ht="14.25" customHeight="1">
      <c r="A4047" s="25">
        <v>1929777</v>
      </c>
      <c r="B4047" s="26" t="s">
        <v>5423</v>
      </c>
      <c r="C4047" s="26" t="s">
        <v>13534</v>
      </c>
      <c r="D4047" s="26" t="s">
        <v>13509</v>
      </c>
      <c r="E4047" s="26" t="s">
        <v>5514</v>
      </c>
      <c r="F4047" s="27">
        <v>6605590</v>
      </c>
      <c r="G4047" s="27">
        <v>1</v>
      </c>
      <c r="H4047" s="27">
        <v>0</v>
      </c>
      <c r="I4047" s="27">
        <v>1</v>
      </c>
      <c r="J4047" s="30">
        <f t="shared" si="189"/>
        <v>1</v>
      </c>
      <c r="K4047" s="30">
        <f t="shared" si="190"/>
        <v>0</v>
      </c>
      <c r="L4047" s="26">
        <f t="shared" si="191"/>
        <v>0</v>
      </c>
      <c r="M4047" s="32"/>
    </row>
    <row r="4048" spans="1:13" ht="14.25" customHeight="1">
      <c r="A4048" s="25">
        <v>1929785</v>
      </c>
      <c r="B4048" s="26" t="s">
        <v>5427</v>
      </c>
      <c r="C4048" s="26" t="s">
        <v>13535</v>
      </c>
      <c r="D4048" s="26" t="s">
        <v>13536</v>
      </c>
      <c r="E4048" s="26" t="s">
        <v>5436</v>
      </c>
      <c r="F4048" s="27">
        <v>6605484</v>
      </c>
      <c r="G4048" s="27">
        <v>1</v>
      </c>
      <c r="H4048" s="27">
        <v>1</v>
      </c>
      <c r="I4048" s="27">
        <v>1</v>
      </c>
      <c r="J4048" s="30">
        <f t="shared" si="189"/>
        <v>1</v>
      </c>
      <c r="K4048" s="30">
        <f t="shared" si="190"/>
        <v>1</v>
      </c>
      <c r="L4048" s="26">
        <f t="shared" si="191"/>
        <v>1</v>
      </c>
      <c r="M4048" s="32"/>
    </row>
    <row r="4049" spans="1:13" ht="14.25" customHeight="1">
      <c r="A4049" s="25">
        <v>1929792</v>
      </c>
      <c r="B4049" s="26" t="s">
        <v>5423</v>
      </c>
      <c r="C4049" s="26" t="s">
        <v>13537</v>
      </c>
      <c r="D4049" s="26" t="s">
        <v>13509</v>
      </c>
      <c r="E4049" s="26" t="s">
        <v>5475</v>
      </c>
      <c r="F4049" s="27">
        <v>6448030</v>
      </c>
      <c r="G4049" s="27">
        <v>1</v>
      </c>
      <c r="H4049" s="27">
        <v>0</v>
      </c>
      <c r="I4049" s="27">
        <v>1</v>
      </c>
      <c r="J4049" s="30">
        <f t="shared" si="189"/>
        <v>1</v>
      </c>
      <c r="K4049" s="30">
        <f t="shared" si="190"/>
        <v>0</v>
      </c>
      <c r="L4049" s="26">
        <f t="shared" si="191"/>
        <v>0</v>
      </c>
      <c r="M4049" s="32"/>
    </row>
    <row r="4050" spans="1:13" ht="14.25" customHeight="1">
      <c r="A4050" s="25">
        <v>1929848</v>
      </c>
      <c r="B4050" s="26" t="s">
        <v>5423</v>
      </c>
      <c r="C4050" s="26" t="s">
        <v>13538</v>
      </c>
      <c r="D4050" s="26" t="s">
        <v>13509</v>
      </c>
      <c r="E4050" s="26" t="s">
        <v>5447</v>
      </c>
      <c r="F4050" s="27">
        <v>6591962</v>
      </c>
      <c r="G4050" s="27">
        <v>1</v>
      </c>
      <c r="H4050" s="27">
        <v>0</v>
      </c>
      <c r="I4050" s="27">
        <v>1</v>
      </c>
      <c r="J4050" s="30">
        <f t="shared" si="189"/>
        <v>1</v>
      </c>
      <c r="K4050" s="30">
        <f t="shared" si="190"/>
        <v>0</v>
      </c>
      <c r="L4050" s="26">
        <f t="shared" si="191"/>
        <v>0</v>
      </c>
      <c r="M4050" s="32"/>
    </row>
    <row r="4051" spans="1:13" ht="14.25" customHeight="1">
      <c r="A4051" s="25">
        <v>1929889</v>
      </c>
      <c r="B4051" s="26" t="s">
        <v>5423</v>
      </c>
      <c r="C4051" s="26" t="s">
        <v>13539</v>
      </c>
      <c r="D4051" s="26" t="s">
        <v>13536</v>
      </c>
      <c r="E4051" s="26" t="s">
        <v>5517</v>
      </c>
      <c r="F4051" s="27">
        <v>6581247</v>
      </c>
      <c r="G4051" s="27">
        <v>1</v>
      </c>
      <c r="H4051" s="27">
        <v>0</v>
      </c>
      <c r="I4051" s="27">
        <v>1</v>
      </c>
      <c r="J4051" s="30">
        <f t="shared" si="189"/>
        <v>1</v>
      </c>
      <c r="K4051" s="30">
        <f t="shared" si="190"/>
        <v>0</v>
      </c>
      <c r="L4051" s="26">
        <f t="shared" si="191"/>
        <v>0</v>
      </c>
      <c r="M4051" s="32"/>
    </row>
    <row r="4052" spans="1:13" ht="14.25" customHeight="1">
      <c r="A4052" s="25">
        <v>1930342</v>
      </c>
      <c r="B4052" s="26" t="s">
        <v>5427</v>
      </c>
      <c r="C4052" s="26" t="s">
        <v>13540</v>
      </c>
      <c r="D4052" s="26" t="s">
        <v>13509</v>
      </c>
      <c r="E4052" s="26" t="s">
        <v>5458</v>
      </c>
      <c r="F4052" s="27">
        <v>6293529</v>
      </c>
      <c r="G4052" s="27">
        <v>1</v>
      </c>
      <c r="H4052" s="27">
        <v>0</v>
      </c>
      <c r="I4052" s="27">
        <v>1</v>
      </c>
      <c r="J4052" s="30">
        <f t="shared" si="189"/>
        <v>1</v>
      </c>
      <c r="K4052" s="30">
        <f t="shared" si="190"/>
        <v>0</v>
      </c>
      <c r="L4052" s="26">
        <f t="shared" si="191"/>
        <v>0</v>
      </c>
      <c r="M4052" s="32"/>
    </row>
    <row r="4053" spans="1:13" ht="14.25" customHeight="1">
      <c r="A4053" s="25">
        <v>1930440</v>
      </c>
      <c r="B4053" s="26" t="s">
        <v>5423</v>
      </c>
      <c r="C4053" s="26" t="s">
        <v>13541</v>
      </c>
      <c r="D4053" s="26" t="s">
        <v>13509</v>
      </c>
      <c r="E4053" s="26" t="s">
        <v>6075</v>
      </c>
      <c r="F4053" s="27">
        <v>6607961</v>
      </c>
      <c r="G4053" s="27">
        <v>0</v>
      </c>
      <c r="H4053" s="27">
        <v>0</v>
      </c>
      <c r="I4053" s="27">
        <v>0</v>
      </c>
      <c r="J4053" s="30">
        <f t="shared" si="189"/>
        <v>0</v>
      </c>
      <c r="K4053" s="30">
        <f t="shared" si="190"/>
        <v>0</v>
      </c>
      <c r="L4053" s="26">
        <f t="shared" si="191"/>
        <v>0</v>
      </c>
      <c r="M4053" s="32">
        <v>0</v>
      </c>
    </row>
    <row r="4054" spans="1:13" ht="14.25" customHeight="1">
      <c r="A4054" s="25">
        <v>1930451</v>
      </c>
      <c r="B4054" s="26" t="s">
        <v>5423</v>
      </c>
      <c r="C4054" s="26" t="s">
        <v>13542</v>
      </c>
      <c r="D4054" s="26" t="s">
        <v>13509</v>
      </c>
      <c r="E4054" s="26" t="s">
        <v>5426</v>
      </c>
      <c r="F4054" s="27">
        <v>6607972</v>
      </c>
      <c r="G4054" s="27">
        <v>0</v>
      </c>
      <c r="H4054" s="27">
        <v>0</v>
      </c>
      <c r="I4054" s="27">
        <v>0</v>
      </c>
      <c r="J4054" s="30">
        <f t="shared" si="189"/>
        <v>0</v>
      </c>
      <c r="K4054" s="30">
        <f t="shared" si="190"/>
        <v>0</v>
      </c>
      <c r="L4054" s="26">
        <f t="shared" si="191"/>
        <v>0</v>
      </c>
      <c r="M4054" s="32">
        <v>0</v>
      </c>
    </row>
    <row r="4055" spans="1:13" ht="14.25" customHeight="1">
      <c r="A4055" s="25">
        <v>1930489</v>
      </c>
      <c r="B4055" s="26" t="s">
        <v>5423</v>
      </c>
      <c r="C4055" s="26" t="s">
        <v>13543</v>
      </c>
      <c r="D4055" s="26" t="s">
        <v>13509</v>
      </c>
      <c r="E4055" s="26" t="s">
        <v>5455</v>
      </c>
      <c r="F4055" s="27">
        <v>6607963</v>
      </c>
      <c r="G4055" s="27">
        <v>0</v>
      </c>
      <c r="H4055" s="27">
        <v>0</v>
      </c>
      <c r="I4055" s="27">
        <v>0</v>
      </c>
      <c r="J4055" s="30">
        <f t="shared" si="189"/>
        <v>0</v>
      </c>
      <c r="K4055" s="30">
        <f t="shared" si="190"/>
        <v>0</v>
      </c>
      <c r="L4055" s="26">
        <f t="shared" si="191"/>
        <v>0</v>
      </c>
      <c r="M4055" s="32">
        <v>0</v>
      </c>
    </row>
    <row r="4056" spans="1:13" ht="14.25" customHeight="1">
      <c r="A4056" s="25">
        <v>1930492</v>
      </c>
      <c r="B4056" s="26" t="s">
        <v>5423</v>
      </c>
      <c r="C4056" s="26" t="s">
        <v>13544</v>
      </c>
      <c r="D4056" s="26" t="s">
        <v>13509</v>
      </c>
      <c r="E4056" s="26" t="s">
        <v>5455</v>
      </c>
      <c r="F4056" s="27">
        <v>5077887</v>
      </c>
      <c r="G4056" s="27">
        <v>1</v>
      </c>
      <c r="H4056" s="27">
        <v>0</v>
      </c>
      <c r="I4056" s="27">
        <v>1</v>
      </c>
      <c r="J4056" s="30">
        <f t="shared" si="189"/>
        <v>1</v>
      </c>
      <c r="K4056" s="30">
        <f t="shared" si="190"/>
        <v>0</v>
      </c>
      <c r="L4056" s="26">
        <f t="shared" si="191"/>
        <v>0</v>
      </c>
      <c r="M4056" s="32"/>
    </row>
    <row r="4057" spans="1:13" ht="14.25" customHeight="1">
      <c r="A4057" s="25">
        <v>1930538</v>
      </c>
      <c r="B4057" s="26" t="s">
        <v>5427</v>
      </c>
      <c r="C4057" s="26" t="s">
        <v>13545</v>
      </c>
      <c r="D4057" s="26" t="s">
        <v>13536</v>
      </c>
      <c r="E4057" s="26" t="s">
        <v>5540</v>
      </c>
      <c r="F4057" s="27">
        <v>6558192</v>
      </c>
      <c r="G4057" s="27">
        <v>1</v>
      </c>
      <c r="H4057" s="27">
        <v>1</v>
      </c>
      <c r="I4057" s="27">
        <v>1</v>
      </c>
      <c r="J4057" s="30">
        <f t="shared" si="189"/>
        <v>1</v>
      </c>
      <c r="K4057" s="30">
        <f t="shared" si="190"/>
        <v>1</v>
      </c>
      <c r="L4057" s="26">
        <f t="shared" si="191"/>
        <v>1</v>
      </c>
      <c r="M4057" s="32"/>
    </row>
    <row r="4058" spans="1:13" ht="14.25" customHeight="1">
      <c r="A4058" s="25">
        <v>1930624</v>
      </c>
      <c r="B4058" s="26" t="s">
        <v>5423</v>
      </c>
      <c r="C4058" s="26" t="s">
        <v>13546</v>
      </c>
      <c r="D4058" s="26" t="s">
        <v>13536</v>
      </c>
      <c r="E4058" s="26" t="s">
        <v>5475</v>
      </c>
      <c r="F4058" s="27">
        <v>6607260</v>
      </c>
      <c r="G4058" s="27">
        <v>0</v>
      </c>
      <c r="H4058" s="27">
        <v>0</v>
      </c>
      <c r="I4058" s="27">
        <v>0</v>
      </c>
      <c r="J4058" s="30">
        <f t="shared" si="189"/>
        <v>0</v>
      </c>
      <c r="K4058" s="30">
        <f t="shared" si="190"/>
        <v>0</v>
      </c>
      <c r="L4058" s="26">
        <f t="shared" si="191"/>
        <v>0</v>
      </c>
      <c r="M4058" s="32">
        <v>0</v>
      </c>
    </row>
    <row r="4059" spans="1:13" ht="14.25" customHeight="1">
      <c r="A4059" s="25">
        <v>1931322</v>
      </c>
      <c r="B4059" s="26" t="s">
        <v>5423</v>
      </c>
      <c r="C4059" s="26" t="s">
        <v>13547</v>
      </c>
      <c r="D4059" s="26" t="s">
        <v>13548</v>
      </c>
      <c r="E4059" s="26" t="s">
        <v>5475</v>
      </c>
      <c r="F4059" s="27">
        <v>6597602</v>
      </c>
      <c r="G4059" s="27">
        <v>1</v>
      </c>
      <c r="H4059" s="27">
        <v>0</v>
      </c>
      <c r="I4059" s="27">
        <v>1</v>
      </c>
      <c r="J4059" s="30">
        <f t="shared" si="189"/>
        <v>1</v>
      </c>
      <c r="K4059" s="30">
        <f t="shared" si="190"/>
        <v>0</v>
      </c>
      <c r="L4059" s="26">
        <f t="shared" si="191"/>
        <v>0</v>
      </c>
      <c r="M4059" s="32"/>
    </row>
    <row r="4060" spans="1:13" ht="14.25" customHeight="1">
      <c r="A4060" s="25">
        <v>1382998</v>
      </c>
      <c r="B4060" s="26" t="s">
        <v>5427</v>
      </c>
      <c r="C4060" s="26" t="s">
        <v>13549</v>
      </c>
      <c r="D4060" s="26" t="s">
        <v>13550</v>
      </c>
      <c r="E4060" s="26" t="s">
        <v>5707</v>
      </c>
      <c r="F4060" s="27">
        <v>4988497</v>
      </c>
      <c r="G4060" s="27">
        <v>0</v>
      </c>
      <c r="H4060" s="27">
        <v>0</v>
      </c>
      <c r="I4060" s="27">
        <v>0</v>
      </c>
      <c r="J4060" s="30">
        <f t="shared" si="189"/>
        <v>0</v>
      </c>
      <c r="K4060" s="30">
        <f t="shared" si="190"/>
        <v>0</v>
      </c>
      <c r="L4060" s="26">
        <f t="shared" si="191"/>
        <v>0</v>
      </c>
      <c r="M4060" s="32"/>
    </row>
    <row r="4061" spans="1:13" ht="14.25" customHeight="1">
      <c r="A4061" s="25">
        <v>1383011</v>
      </c>
      <c r="B4061" s="26" t="s">
        <v>5427</v>
      </c>
      <c r="C4061" s="26" t="s">
        <v>13551</v>
      </c>
      <c r="D4061" s="26" t="s">
        <v>13552</v>
      </c>
      <c r="E4061" s="26" t="s">
        <v>5532</v>
      </c>
      <c r="F4061" s="27">
        <v>3782299</v>
      </c>
      <c r="G4061" s="27">
        <v>3</v>
      </c>
      <c r="H4061" s="27">
        <v>0</v>
      </c>
      <c r="I4061" s="27">
        <v>1</v>
      </c>
      <c r="J4061" s="30">
        <f t="shared" si="189"/>
        <v>1</v>
      </c>
      <c r="K4061" s="30">
        <f t="shared" si="190"/>
        <v>0</v>
      </c>
      <c r="L4061" s="26">
        <f t="shared" si="191"/>
        <v>0</v>
      </c>
      <c r="M4061" s="32"/>
    </row>
    <row r="4062" spans="1:13" ht="14.25" customHeight="1">
      <c r="A4062" s="25">
        <v>1383354</v>
      </c>
      <c r="B4062" s="26" t="s">
        <v>5423</v>
      </c>
      <c r="C4062" s="26" t="s">
        <v>13553</v>
      </c>
      <c r="D4062" s="26" t="s">
        <v>13554</v>
      </c>
      <c r="E4062" s="26" t="s">
        <v>5426</v>
      </c>
      <c r="F4062" s="27">
        <v>4989426</v>
      </c>
      <c r="G4062" s="27">
        <v>1</v>
      </c>
      <c r="H4062" s="27">
        <v>1</v>
      </c>
      <c r="I4062" s="27">
        <v>1</v>
      </c>
      <c r="J4062" s="30">
        <f t="shared" si="189"/>
        <v>1</v>
      </c>
      <c r="K4062" s="30">
        <f t="shared" si="190"/>
        <v>1</v>
      </c>
      <c r="L4062" s="26">
        <f t="shared" si="191"/>
        <v>1</v>
      </c>
      <c r="M4062" s="32" t="s">
        <v>13555</v>
      </c>
    </row>
    <row r="4063" spans="1:13" ht="14.25" customHeight="1">
      <c r="A4063" s="25">
        <v>1384744</v>
      </c>
      <c r="B4063" s="26" t="s">
        <v>5427</v>
      </c>
      <c r="C4063" s="26" t="s">
        <v>13556</v>
      </c>
      <c r="D4063" s="26" t="s">
        <v>13557</v>
      </c>
      <c r="E4063" s="26" t="s">
        <v>5772</v>
      </c>
      <c r="F4063" s="27">
        <v>4905291</v>
      </c>
      <c r="G4063" s="27">
        <v>1</v>
      </c>
      <c r="H4063" s="27">
        <v>1</v>
      </c>
      <c r="I4063" s="27">
        <v>1</v>
      </c>
      <c r="J4063" s="30">
        <f t="shared" si="189"/>
        <v>1</v>
      </c>
      <c r="K4063" s="30">
        <f t="shared" si="190"/>
        <v>1</v>
      </c>
      <c r="L4063" s="26">
        <f t="shared" si="191"/>
        <v>1</v>
      </c>
      <c r="M4063" s="32"/>
    </row>
    <row r="4064" spans="1:13" ht="14.25" customHeight="1">
      <c r="A4064" s="25">
        <v>1384845</v>
      </c>
      <c r="B4064" s="26" t="s">
        <v>5423</v>
      </c>
      <c r="C4064" s="26" t="s">
        <v>13558</v>
      </c>
      <c r="D4064" s="26" t="s">
        <v>13559</v>
      </c>
      <c r="E4064" s="26" t="s">
        <v>5575</v>
      </c>
      <c r="F4064" s="27">
        <v>4992262</v>
      </c>
      <c r="G4064" s="27">
        <v>1</v>
      </c>
      <c r="H4064" s="27">
        <v>1</v>
      </c>
      <c r="I4064" s="27">
        <v>1</v>
      </c>
      <c r="J4064" s="30">
        <f t="shared" si="189"/>
        <v>1</v>
      </c>
      <c r="K4064" s="30">
        <f t="shared" si="190"/>
        <v>1</v>
      </c>
      <c r="L4064" s="26">
        <f t="shared" si="191"/>
        <v>1</v>
      </c>
      <c r="M4064" s="32" t="s">
        <v>13555</v>
      </c>
    </row>
    <row r="4065" spans="1:13" ht="14.25" customHeight="1">
      <c r="A4065" s="25">
        <v>1391088</v>
      </c>
      <c r="B4065" s="26" t="s">
        <v>5423</v>
      </c>
      <c r="C4065" s="26" t="s">
        <v>13560</v>
      </c>
      <c r="D4065" s="26" t="s">
        <v>13561</v>
      </c>
      <c r="E4065" s="26" t="s">
        <v>5718</v>
      </c>
      <c r="F4065" s="27">
        <v>4887651</v>
      </c>
      <c r="G4065" s="27">
        <v>1</v>
      </c>
      <c r="H4065" s="27">
        <v>0</v>
      </c>
      <c r="I4065" s="27">
        <v>1</v>
      </c>
      <c r="J4065" s="30">
        <f t="shared" si="189"/>
        <v>1</v>
      </c>
      <c r="K4065" s="30">
        <f t="shared" si="190"/>
        <v>0</v>
      </c>
      <c r="L4065" s="26">
        <f t="shared" si="191"/>
        <v>0</v>
      </c>
      <c r="M4065" s="32"/>
    </row>
    <row r="4066" spans="1:13" ht="14.25" customHeight="1">
      <c r="A4066" s="25">
        <v>1393008</v>
      </c>
      <c r="B4066" s="26" t="s">
        <v>5423</v>
      </c>
      <c r="C4066" s="26" t="s">
        <v>13562</v>
      </c>
      <c r="D4066" s="26" t="s">
        <v>13563</v>
      </c>
      <c r="E4066" s="26" t="s">
        <v>5436</v>
      </c>
      <c r="F4066" s="27">
        <v>3063226</v>
      </c>
      <c r="G4066" s="27">
        <v>2</v>
      </c>
      <c r="H4066" s="27">
        <v>0</v>
      </c>
      <c r="I4066" s="27">
        <v>1</v>
      </c>
      <c r="J4066" s="30">
        <f t="shared" si="189"/>
        <v>1</v>
      </c>
      <c r="K4066" s="30">
        <f t="shared" si="190"/>
        <v>0</v>
      </c>
      <c r="L4066" s="26">
        <f t="shared" si="191"/>
        <v>0</v>
      </c>
      <c r="M4066" s="32"/>
    </row>
    <row r="4067" spans="1:13" ht="14.25" customHeight="1">
      <c r="A4067" s="25">
        <v>1393010</v>
      </c>
      <c r="B4067" s="26" t="s">
        <v>5423</v>
      </c>
      <c r="C4067" s="26" t="s">
        <v>13564</v>
      </c>
      <c r="D4067" s="26" t="s">
        <v>13565</v>
      </c>
      <c r="E4067" s="26" t="s">
        <v>5452</v>
      </c>
      <c r="F4067" s="27">
        <v>5017280</v>
      </c>
      <c r="G4067" s="27">
        <v>0</v>
      </c>
      <c r="H4067" s="27">
        <v>0</v>
      </c>
      <c r="I4067" s="27">
        <v>0</v>
      </c>
      <c r="J4067" s="30">
        <f t="shared" si="189"/>
        <v>0</v>
      </c>
      <c r="K4067" s="30">
        <f t="shared" si="190"/>
        <v>0</v>
      </c>
      <c r="L4067" s="26">
        <f t="shared" si="191"/>
        <v>0</v>
      </c>
      <c r="M4067" s="32"/>
    </row>
    <row r="4068" spans="1:13" ht="14.25" customHeight="1">
      <c r="A4068" s="25">
        <v>1393462</v>
      </c>
      <c r="B4068" s="26" t="s">
        <v>5423</v>
      </c>
      <c r="C4068" s="26" t="s">
        <v>13566</v>
      </c>
      <c r="D4068" s="26" t="s">
        <v>13567</v>
      </c>
      <c r="E4068" s="26" t="s">
        <v>5442</v>
      </c>
      <c r="F4068" s="27">
        <v>5022741</v>
      </c>
      <c r="G4068" s="27">
        <v>0</v>
      </c>
      <c r="H4068" s="27">
        <v>0</v>
      </c>
      <c r="I4068" s="27">
        <v>0</v>
      </c>
      <c r="J4068" s="30">
        <f t="shared" si="189"/>
        <v>0</v>
      </c>
      <c r="K4068" s="30">
        <f t="shared" si="190"/>
        <v>0</v>
      </c>
      <c r="L4068" s="26">
        <f t="shared" si="191"/>
        <v>0</v>
      </c>
      <c r="M4068" s="32"/>
    </row>
    <row r="4069" spans="1:13" ht="14.25" customHeight="1">
      <c r="A4069" s="25">
        <v>1395666</v>
      </c>
      <c r="B4069" s="26" t="s">
        <v>5423</v>
      </c>
      <c r="C4069" s="26" t="s">
        <v>13568</v>
      </c>
      <c r="D4069" s="26" t="s">
        <v>13569</v>
      </c>
      <c r="E4069" s="26" t="s">
        <v>5426</v>
      </c>
      <c r="F4069" s="27">
        <v>4989049</v>
      </c>
      <c r="G4069" s="27">
        <v>1</v>
      </c>
      <c r="H4069" s="27">
        <v>0</v>
      </c>
      <c r="I4069" s="27">
        <v>1</v>
      </c>
      <c r="J4069" s="30">
        <f t="shared" si="189"/>
        <v>1</v>
      </c>
      <c r="K4069" s="30">
        <f t="shared" si="190"/>
        <v>0</v>
      </c>
      <c r="L4069" s="26">
        <f t="shared" si="191"/>
        <v>0</v>
      </c>
      <c r="M4069" s="32"/>
    </row>
    <row r="4070" spans="1:13" ht="14.25" customHeight="1">
      <c r="A4070" s="25">
        <v>1397512</v>
      </c>
      <c r="B4070" s="26" t="s">
        <v>5423</v>
      </c>
      <c r="C4070" s="26" t="s">
        <v>13570</v>
      </c>
      <c r="D4070" s="26" t="s">
        <v>13571</v>
      </c>
      <c r="E4070" s="26" t="s">
        <v>5433</v>
      </c>
      <c r="F4070" s="27">
        <v>5026754</v>
      </c>
      <c r="G4070" s="27">
        <v>1</v>
      </c>
      <c r="H4070" s="27">
        <v>0</v>
      </c>
      <c r="I4070" s="27">
        <v>1</v>
      </c>
      <c r="J4070" s="30">
        <f t="shared" si="189"/>
        <v>1</v>
      </c>
      <c r="K4070" s="30">
        <f t="shared" si="190"/>
        <v>0</v>
      </c>
      <c r="L4070" s="26">
        <f t="shared" si="191"/>
        <v>0</v>
      </c>
      <c r="M4070" s="32"/>
    </row>
    <row r="4071" spans="1:13" ht="14.25" customHeight="1">
      <c r="A4071" s="25">
        <v>1398101</v>
      </c>
      <c r="B4071" s="26" t="s">
        <v>5423</v>
      </c>
      <c r="C4071" s="26" t="s">
        <v>13572</v>
      </c>
      <c r="D4071" s="26" t="s">
        <v>13573</v>
      </c>
      <c r="E4071" s="26" t="s">
        <v>5488</v>
      </c>
      <c r="F4071" s="27">
        <v>4191588</v>
      </c>
      <c r="G4071" s="27">
        <v>1</v>
      </c>
      <c r="H4071" s="27">
        <v>0</v>
      </c>
      <c r="I4071" s="27">
        <v>1</v>
      </c>
      <c r="J4071" s="30">
        <f t="shared" si="189"/>
        <v>1</v>
      </c>
      <c r="K4071" s="30">
        <f t="shared" si="190"/>
        <v>0</v>
      </c>
      <c r="L4071" s="26">
        <f t="shared" si="191"/>
        <v>0</v>
      </c>
      <c r="M4071" s="32"/>
    </row>
    <row r="4072" spans="1:13" ht="14.25" customHeight="1">
      <c r="A4072" s="25">
        <v>1400761</v>
      </c>
      <c r="B4072" s="26" t="s">
        <v>5423</v>
      </c>
      <c r="C4072" s="26" t="s">
        <v>13574</v>
      </c>
      <c r="D4072" s="26" t="s">
        <v>13575</v>
      </c>
      <c r="E4072" s="26" t="s">
        <v>5436</v>
      </c>
      <c r="F4072" s="27">
        <v>4185730</v>
      </c>
      <c r="G4072" s="27">
        <v>0</v>
      </c>
      <c r="H4072" s="27">
        <v>0</v>
      </c>
      <c r="I4072" s="27">
        <v>0</v>
      </c>
      <c r="J4072" s="30">
        <f t="shared" si="189"/>
        <v>0</v>
      </c>
      <c r="K4072" s="30">
        <f t="shared" si="190"/>
        <v>0</v>
      </c>
      <c r="L4072" s="26">
        <f t="shared" si="191"/>
        <v>0</v>
      </c>
      <c r="M4072" s="32"/>
    </row>
    <row r="4073" spans="1:13" ht="14.25" customHeight="1">
      <c r="A4073" s="25">
        <v>1404801</v>
      </c>
      <c r="B4073" s="26" t="s">
        <v>5427</v>
      </c>
      <c r="C4073" s="26" t="s">
        <v>13576</v>
      </c>
      <c r="D4073" s="26" t="s">
        <v>13577</v>
      </c>
      <c r="E4073" s="26" t="s">
        <v>5540</v>
      </c>
      <c r="F4073" s="27">
        <v>5051832</v>
      </c>
      <c r="G4073" s="27">
        <v>0</v>
      </c>
      <c r="H4073" s="27">
        <v>0</v>
      </c>
      <c r="I4073" s="27">
        <v>0</v>
      </c>
      <c r="J4073" s="30">
        <f t="shared" si="189"/>
        <v>0</v>
      </c>
      <c r="K4073" s="30">
        <f t="shared" si="190"/>
        <v>0</v>
      </c>
      <c r="L4073" s="26">
        <f t="shared" si="191"/>
        <v>0</v>
      </c>
      <c r="M4073" s="32"/>
    </row>
    <row r="4074" spans="1:13" ht="14.25" customHeight="1">
      <c r="A4074" s="25">
        <v>1405094</v>
      </c>
      <c r="B4074" s="26" t="s">
        <v>5423</v>
      </c>
      <c r="C4074" s="26" t="s">
        <v>13578</v>
      </c>
      <c r="D4074" s="26" t="s">
        <v>13579</v>
      </c>
      <c r="E4074" s="26" t="s">
        <v>5447</v>
      </c>
      <c r="F4074" s="27">
        <v>5047640</v>
      </c>
      <c r="G4074" s="27">
        <v>1</v>
      </c>
      <c r="H4074" s="27">
        <v>0</v>
      </c>
      <c r="I4074" s="27">
        <v>1</v>
      </c>
      <c r="J4074" s="30">
        <f t="shared" si="189"/>
        <v>1</v>
      </c>
      <c r="K4074" s="30">
        <f t="shared" si="190"/>
        <v>0</v>
      </c>
      <c r="L4074" s="26">
        <f t="shared" si="191"/>
        <v>0</v>
      </c>
      <c r="M4074" s="32"/>
    </row>
    <row r="4075" spans="1:13" ht="14.25" customHeight="1">
      <c r="A4075" s="25">
        <v>1407705</v>
      </c>
      <c r="B4075" s="26" t="s">
        <v>5423</v>
      </c>
      <c r="C4075" s="26" t="s">
        <v>13580</v>
      </c>
      <c r="D4075" s="26" t="s">
        <v>13581</v>
      </c>
      <c r="E4075" s="26" t="s">
        <v>5540</v>
      </c>
      <c r="F4075" s="27"/>
      <c r="G4075" s="27">
        <v>0</v>
      </c>
      <c r="H4075" s="27">
        <v>0</v>
      </c>
      <c r="I4075" s="27">
        <v>0</v>
      </c>
      <c r="J4075" s="30">
        <f t="shared" si="189"/>
        <v>0</v>
      </c>
      <c r="K4075" s="30">
        <f t="shared" si="190"/>
        <v>0</v>
      </c>
      <c r="L4075" s="26">
        <f t="shared" si="191"/>
        <v>0</v>
      </c>
      <c r="M4075" s="32" t="s">
        <v>13582</v>
      </c>
    </row>
    <row r="4076" spans="1:13" ht="14.25" customHeight="1">
      <c r="A4076" s="25">
        <v>1407939</v>
      </c>
      <c r="B4076" s="26" t="s">
        <v>5427</v>
      </c>
      <c r="C4076" s="26" t="s">
        <v>13583</v>
      </c>
      <c r="D4076" s="26" t="s">
        <v>13584</v>
      </c>
      <c r="E4076" s="26" t="s">
        <v>5439</v>
      </c>
      <c r="F4076" s="27">
        <v>4745757</v>
      </c>
      <c r="G4076" s="27">
        <v>0</v>
      </c>
      <c r="H4076" s="27">
        <v>0</v>
      </c>
      <c r="I4076" s="27">
        <v>0</v>
      </c>
      <c r="J4076" s="30">
        <f t="shared" si="189"/>
        <v>0</v>
      </c>
      <c r="K4076" s="30">
        <f t="shared" si="190"/>
        <v>0</v>
      </c>
      <c r="L4076" s="26">
        <f t="shared" si="191"/>
        <v>0</v>
      </c>
      <c r="M4076" s="32"/>
    </row>
    <row r="4077" spans="1:13" ht="14.25" customHeight="1">
      <c r="A4077" s="25">
        <v>1410016</v>
      </c>
      <c r="B4077" s="26" t="s">
        <v>5423</v>
      </c>
      <c r="C4077" s="26" t="s">
        <v>13585</v>
      </c>
      <c r="D4077" s="26" t="s">
        <v>13586</v>
      </c>
      <c r="E4077" s="26" t="s">
        <v>5891</v>
      </c>
      <c r="F4077" s="27">
        <v>5064888</v>
      </c>
      <c r="G4077" s="27">
        <v>1</v>
      </c>
      <c r="H4077" s="27">
        <v>0</v>
      </c>
      <c r="I4077" s="27">
        <v>1</v>
      </c>
      <c r="J4077" s="30">
        <f t="shared" si="189"/>
        <v>1</v>
      </c>
      <c r="K4077" s="30">
        <f t="shared" si="190"/>
        <v>0</v>
      </c>
      <c r="L4077" s="26">
        <f t="shared" si="191"/>
        <v>0</v>
      </c>
      <c r="M4077" s="32"/>
    </row>
    <row r="4078" spans="1:13" ht="14.25" customHeight="1">
      <c r="A4078" s="25">
        <v>1412677</v>
      </c>
      <c r="B4078" s="26" t="s">
        <v>5427</v>
      </c>
      <c r="C4078" s="26" t="s">
        <v>13587</v>
      </c>
      <c r="D4078" s="26" t="s">
        <v>13588</v>
      </c>
      <c r="E4078" s="26" t="s">
        <v>5468</v>
      </c>
      <c r="F4078" s="27">
        <v>3023020</v>
      </c>
      <c r="G4078" s="27">
        <v>2</v>
      </c>
      <c r="H4078" s="27">
        <v>1</v>
      </c>
      <c r="I4078" s="27">
        <v>1</v>
      </c>
      <c r="J4078" s="30">
        <f t="shared" si="189"/>
        <v>1</v>
      </c>
      <c r="K4078" s="30">
        <f t="shared" si="190"/>
        <v>1</v>
      </c>
      <c r="L4078" s="26">
        <f t="shared" si="191"/>
        <v>1</v>
      </c>
      <c r="M4078" s="32" t="s">
        <v>13555</v>
      </c>
    </row>
    <row r="4079" spans="1:13" ht="14.25" customHeight="1">
      <c r="A4079" s="25">
        <v>1414074</v>
      </c>
      <c r="B4079" s="26" t="s">
        <v>5423</v>
      </c>
      <c r="C4079" s="26" t="s">
        <v>13589</v>
      </c>
      <c r="D4079" s="26" t="s">
        <v>13590</v>
      </c>
      <c r="E4079" s="26" t="s">
        <v>5426</v>
      </c>
      <c r="F4079" s="27">
        <v>5019362</v>
      </c>
      <c r="G4079" s="27">
        <v>1</v>
      </c>
      <c r="H4079" s="27">
        <v>0</v>
      </c>
      <c r="I4079" s="27">
        <v>1</v>
      </c>
      <c r="J4079" s="30">
        <f t="shared" si="189"/>
        <v>1</v>
      </c>
      <c r="K4079" s="30">
        <f t="shared" si="190"/>
        <v>0</v>
      </c>
      <c r="L4079" s="26">
        <f t="shared" si="191"/>
        <v>0</v>
      </c>
      <c r="M4079" s="32"/>
    </row>
    <row r="4080" spans="1:13" ht="14.25" customHeight="1">
      <c r="A4080" s="25">
        <v>1417816</v>
      </c>
      <c r="B4080" s="26" t="s">
        <v>5427</v>
      </c>
      <c r="C4080" s="26" t="s">
        <v>13591</v>
      </c>
      <c r="D4080" s="26" t="s">
        <v>13592</v>
      </c>
      <c r="E4080" s="26" t="s">
        <v>5494</v>
      </c>
      <c r="F4080" s="27">
        <v>2898880</v>
      </c>
      <c r="G4080" s="27">
        <v>2</v>
      </c>
      <c r="H4080" s="27">
        <v>0</v>
      </c>
      <c r="I4080" s="27">
        <v>1</v>
      </c>
      <c r="J4080" s="30">
        <f t="shared" si="189"/>
        <v>1</v>
      </c>
      <c r="K4080" s="30">
        <f t="shared" si="190"/>
        <v>0</v>
      </c>
      <c r="L4080" s="26">
        <f t="shared" si="191"/>
        <v>0</v>
      </c>
      <c r="M4080" s="32"/>
    </row>
    <row r="4081" spans="1:13" ht="14.25" customHeight="1">
      <c r="A4081" s="25">
        <v>1418878</v>
      </c>
      <c r="B4081" s="26" t="s">
        <v>5427</v>
      </c>
      <c r="C4081" s="26" t="s">
        <v>13593</v>
      </c>
      <c r="D4081" s="26" t="s">
        <v>13594</v>
      </c>
      <c r="E4081" s="26" t="s">
        <v>5433</v>
      </c>
      <c r="F4081" s="27">
        <v>5095114</v>
      </c>
      <c r="G4081" s="27">
        <v>0</v>
      </c>
      <c r="H4081" s="27">
        <v>0</v>
      </c>
      <c r="I4081" s="27">
        <v>0</v>
      </c>
      <c r="J4081" s="30">
        <f t="shared" si="189"/>
        <v>0</v>
      </c>
      <c r="K4081" s="30">
        <f t="shared" si="190"/>
        <v>0</v>
      </c>
      <c r="L4081" s="26">
        <f t="shared" si="191"/>
        <v>0</v>
      </c>
      <c r="M4081" s="32"/>
    </row>
    <row r="4082" spans="1:13" ht="14.25" customHeight="1">
      <c r="A4082" s="25">
        <v>1419513</v>
      </c>
      <c r="B4082" s="26" t="s">
        <v>5427</v>
      </c>
      <c r="C4082" s="26" t="s">
        <v>13595</v>
      </c>
      <c r="D4082" s="26" t="s">
        <v>13596</v>
      </c>
      <c r="E4082" s="26" t="s">
        <v>8392</v>
      </c>
      <c r="F4082" s="27">
        <v>5098326</v>
      </c>
      <c r="G4082" s="27">
        <v>1</v>
      </c>
      <c r="H4082" s="27">
        <v>1</v>
      </c>
      <c r="I4082" s="27">
        <v>1</v>
      </c>
      <c r="J4082" s="30">
        <f t="shared" si="189"/>
        <v>1</v>
      </c>
      <c r="K4082" s="30">
        <f t="shared" si="190"/>
        <v>1</v>
      </c>
      <c r="L4082" s="26">
        <f t="shared" si="191"/>
        <v>1</v>
      </c>
      <c r="M4082" s="32"/>
    </row>
    <row r="4083" spans="1:13" ht="14.25" customHeight="1">
      <c r="A4083" s="25">
        <v>1420250</v>
      </c>
      <c r="B4083" s="26" t="s">
        <v>5423</v>
      </c>
      <c r="C4083" s="26" t="s">
        <v>13597</v>
      </c>
      <c r="D4083" s="26" t="s">
        <v>13598</v>
      </c>
      <c r="E4083" s="26" t="s">
        <v>5517</v>
      </c>
      <c r="F4083" s="27">
        <v>5099560</v>
      </c>
      <c r="G4083" s="27">
        <v>0</v>
      </c>
      <c r="H4083" s="27">
        <v>0</v>
      </c>
      <c r="I4083" s="27">
        <v>0</v>
      </c>
      <c r="J4083" s="30">
        <f t="shared" si="189"/>
        <v>0</v>
      </c>
      <c r="K4083" s="30">
        <f t="shared" si="190"/>
        <v>0</v>
      </c>
      <c r="L4083" s="26">
        <f t="shared" si="191"/>
        <v>0</v>
      </c>
      <c r="M4083" s="32"/>
    </row>
    <row r="4084" spans="1:13" ht="14.25" customHeight="1">
      <c r="A4084" s="25">
        <v>1421670</v>
      </c>
      <c r="B4084" s="26" t="s">
        <v>5427</v>
      </c>
      <c r="C4084" s="26" t="s">
        <v>13599</v>
      </c>
      <c r="D4084" s="26" t="s">
        <v>13600</v>
      </c>
      <c r="E4084" s="26" t="s">
        <v>5517</v>
      </c>
      <c r="F4084" s="27">
        <v>5103216</v>
      </c>
      <c r="G4084" s="27">
        <v>0</v>
      </c>
      <c r="H4084" s="27">
        <v>0</v>
      </c>
      <c r="I4084" s="27">
        <v>0</v>
      </c>
      <c r="J4084" s="30">
        <f t="shared" si="189"/>
        <v>0</v>
      </c>
      <c r="K4084" s="30">
        <f t="shared" si="190"/>
        <v>0</v>
      </c>
      <c r="L4084" s="26">
        <f t="shared" si="191"/>
        <v>0</v>
      </c>
      <c r="M4084" s="32" t="s">
        <v>13601</v>
      </c>
    </row>
    <row r="4085" spans="1:13" ht="14.25" customHeight="1">
      <c r="A4085" s="25">
        <v>1422743</v>
      </c>
      <c r="B4085" s="26" t="s">
        <v>5423</v>
      </c>
      <c r="C4085" s="26" t="s">
        <v>13602</v>
      </c>
      <c r="D4085" s="26" t="s">
        <v>13603</v>
      </c>
      <c r="E4085" s="26" t="s">
        <v>5504</v>
      </c>
      <c r="F4085" s="27">
        <v>5107730</v>
      </c>
      <c r="G4085" s="27">
        <v>0</v>
      </c>
      <c r="H4085" s="27">
        <v>0</v>
      </c>
      <c r="I4085" s="27">
        <v>0</v>
      </c>
      <c r="J4085" s="30">
        <f t="shared" si="189"/>
        <v>0</v>
      </c>
      <c r="K4085" s="30">
        <f t="shared" si="190"/>
        <v>0</v>
      </c>
      <c r="L4085" s="26">
        <f t="shared" si="191"/>
        <v>0</v>
      </c>
      <c r="M4085" s="32"/>
    </row>
    <row r="4086" spans="1:13" ht="14.25" customHeight="1">
      <c r="A4086" s="25">
        <v>1423827</v>
      </c>
      <c r="B4086" s="26" t="s">
        <v>5423</v>
      </c>
      <c r="C4086" s="26" t="s">
        <v>13604</v>
      </c>
      <c r="D4086" s="26" t="s">
        <v>13605</v>
      </c>
      <c r="E4086" s="26" t="s">
        <v>5475</v>
      </c>
      <c r="F4086" s="27">
        <v>5111192</v>
      </c>
      <c r="G4086" s="27">
        <v>0</v>
      </c>
      <c r="H4086" s="27">
        <v>0</v>
      </c>
      <c r="I4086" s="27">
        <v>0</v>
      </c>
      <c r="J4086" s="30">
        <f t="shared" si="189"/>
        <v>0</v>
      </c>
      <c r="K4086" s="30">
        <f t="shared" si="190"/>
        <v>0</v>
      </c>
      <c r="L4086" s="26">
        <f t="shared" si="191"/>
        <v>0</v>
      </c>
      <c r="M4086" s="32"/>
    </row>
    <row r="4087" spans="1:13" ht="14.25" customHeight="1">
      <c r="A4087" s="25">
        <v>1425970</v>
      </c>
      <c r="B4087" s="26" t="s">
        <v>5427</v>
      </c>
      <c r="C4087" s="26" t="s">
        <v>13606</v>
      </c>
      <c r="D4087" s="26" t="s">
        <v>13607</v>
      </c>
      <c r="E4087" s="26" t="s">
        <v>5442</v>
      </c>
      <c r="F4087" s="27">
        <v>2513313</v>
      </c>
      <c r="G4087" s="27">
        <v>2</v>
      </c>
      <c r="H4087" s="27">
        <v>0</v>
      </c>
      <c r="I4087" s="27">
        <v>1</v>
      </c>
      <c r="J4087" s="30">
        <f t="shared" si="189"/>
        <v>1</v>
      </c>
      <c r="K4087" s="30">
        <f t="shared" si="190"/>
        <v>0</v>
      </c>
      <c r="L4087" s="26">
        <f t="shared" si="191"/>
        <v>0</v>
      </c>
      <c r="M4087" s="32"/>
    </row>
    <row r="4088" spans="1:13" ht="14.25" customHeight="1">
      <c r="A4088" s="25">
        <v>1426033</v>
      </c>
      <c r="B4088" s="26" t="s">
        <v>5423</v>
      </c>
      <c r="C4088" s="26" t="s">
        <v>13608</v>
      </c>
      <c r="D4088" s="26" t="s">
        <v>13609</v>
      </c>
      <c r="E4088" s="26" t="s">
        <v>5504</v>
      </c>
      <c r="F4088" s="27">
        <v>5115574</v>
      </c>
      <c r="G4088" s="27">
        <v>0</v>
      </c>
      <c r="H4088" s="27">
        <v>0</v>
      </c>
      <c r="I4088" s="27">
        <v>0</v>
      </c>
      <c r="J4088" s="30">
        <f t="shared" si="189"/>
        <v>0</v>
      </c>
      <c r="K4088" s="30">
        <f t="shared" si="190"/>
        <v>0</v>
      </c>
      <c r="L4088" s="26">
        <f t="shared" si="191"/>
        <v>0</v>
      </c>
      <c r="M4088" s="32"/>
    </row>
    <row r="4089" spans="1:13" ht="14.25" customHeight="1">
      <c r="A4089" s="25">
        <v>1429697</v>
      </c>
      <c r="B4089" s="26" t="s">
        <v>5427</v>
      </c>
      <c r="C4089" s="26" t="s">
        <v>13610</v>
      </c>
      <c r="D4089" s="26" t="s">
        <v>13611</v>
      </c>
      <c r="E4089" s="26" t="s">
        <v>5491</v>
      </c>
      <c r="F4089" s="27">
        <v>5127728</v>
      </c>
      <c r="G4089" s="27">
        <v>1</v>
      </c>
      <c r="H4089" s="27">
        <v>1</v>
      </c>
      <c r="I4089" s="27">
        <v>1</v>
      </c>
      <c r="J4089" s="30">
        <f t="shared" si="189"/>
        <v>1</v>
      </c>
      <c r="K4089" s="30">
        <f t="shared" si="190"/>
        <v>1</v>
      </c>
      <c r="L4089" s="26">
        <f t="shared" si="191"/>
        <v>1</v>
      </c>
      <c r="M4089" s="32"/>
    </row>
    <row r="4090" spans="1:13" ht="14.25" customHeight="1">
      <c r="A4090" s="25">
        <v>1430443</v>
      </c>
      <c r="B4090" s="26" t="s">
        <v>5427</v>
      </c>
      <c r="C4090" s="26" t="s">
        <v>13612</v>
      </c>
      <c r="D4090" s="26" t="s">
        <v>13613</v>
      </c>
      <c r="E4090" s="26" t="s">
        <v>5455</v>
      </c>
      <c r="F4090" s="27">
        <v>5136808</v>
      </c>
      <c r="G4090" s="27">
        <v>0</v>
      </c>
      <c r="H4090" s="27">
        <v>0</v>
      </c>
      <c r="I4090" s="27">
        <v>0</v>
      </c>
      <c r="J4090" s="30">
        <f t="shared" si="189"/>
        <v>0</v>
      </c>
      <c r="K4090" s="30">
        <f t="shared" si="190"/>
        <v>0</v>
      </c>
      <c r="L4090" s="26">
        <f t="shared" si="191"/>
        <v>0</v>
      </c>
      <c r="M4090" s="32"/>
    </row>
    <row r="4091" spans="1:13" ht="14.25" customHeight="1">
      <c r="A4091" s="25">
        <v>1438721</v>
      </c>
      <c r="B4091" s="26" t="s">
        <v>5427</v>
      </c>
      <c r="C4091" s="26" t="s">
        <v>13614</v>
      </c>
      <c r="D4091" s="26" t="s">
        <v>13615</v>
      </c>
      <c r="E4091" s="26" t="s">
        <v>5442</v>
      </c>
      <c r="F4091" s="27">
        <v>4092261</v>
      </c>
      <c r="G4091" s="27">
        <v>1</v>
      </c>
      <c r="H4091" s="27">
        <v>1</v>
      </c>
      <c r="I4091" s="27">
        <v>1</v>
      </c>
      <c r="J4091" s="30">
        <f t="shared" si="189"/>
        <v>1</v>
      </c>
      <c r="K4091" s="30">
        <f t="shared" si="190"/>
        <v>1</v>
      </c>
      <c r="L4091" s="26">
        <f t="shared" si="191"/>
        <v>1</v>
      </c>
      <c r="M4091" s="32"/>
    </row>
    <row r="4092" spans="1:13" ht="14.25" customHeight="1">
      <c r="A4092" s="25">
        <v>1438741</v>
      </c>
      <c r="B4092" s="26" t="s">
        <v>5427</v>
      </c>
      <c r="C4092" s="26" t="s">
        <v>13616</v>
      </c>
      <c r="D4092" s="26" t="s">
        <v>13617</v>
      </c>
      <c r="E4092" s="26" t="s">
        <v>5426</v>
      </c>
      <c r="F4092" s="27">
        <v>4313440</v>
      </c>
      <c r="G4092" s="27">
        <v>2</v>
      </c>
      <c r="H4092" s="27">
        <v>1</v>
      </c>
      <c r="I4092" s="27">
        <v>1</v>
      </c>
      <c r="J4092" s="30">
        <f t="shared" si="189"/>
        <v>1</v>
      </c>
      <c r="K4092" s="30">
        <f t="shared" si="190"/>
        <v>1</v>
      </c>
      <c r="L4092" s="26">
        <f t="shared" si="191"/>
        <v>1</v>
      </c>
      <c r="M4092" s="32"/>
    </row>
    <row r="4093" spans="1:13" ht="14.25" customHeight="1">
      <c r="A4093" s="25">
        <v>1441507</v>
      </c>
      <c r="B4093" s="26" t="s">
        <v>5423</v>
      </c>
      <c r="C4093" s="26" t="s">
        <v>13618</v>
      </c>
      <c r="D4093" s="26" t="s">
        <v>13619</v>
      </c>
      <c r="E4093" s="26" t="s">
        <v>5439</v>
      </c>
      <c r="F4093" s="27">
        <v>5162537</v>
      </c>
      <c r="G4093" s="27">
        <v>1</v>
      </c>
      <c r="H4093" s="27">
        <v>0</v>
      </c>
      <c r="I4093" s="27">
        <v>1</v>
      </c>
      <c r="J4093" s="30">
        <f t="shared" si="189"/>
        <v>1</v>
      </c>
      <c r="K4093" s="30">
        <f t="shared" si="190"/>
        <v>0</v>
      </c>
      <c r="L4093" s="26">
        <f t="shared" si="191"/>
        <v>0</v>
      </c>
      <c r="M4093" s="32" t="s">
        <v>13620</v>
      </c>
    </row>
    <row r="4094" spans="1:13" ht="14.25" customHeight="1">
      <c r="A4094" s="25">
        <v>1441747</v>
      </c>
      <c r="B4094" s="26" t="s">
        <v>5423</v>
      </c>
      <c r="C4094" s="26" t="s">
        <v>13621</v>
      </c>
      <c r="D4094" s="26" t="s">
        <v>13622</v>
      </c>
      <c r="E4094" s="26" t="s">
        <v>5442</v>
      </c>
      <c r="F4094" s="27">
        <v>5164425</v>
      </c>
      <c r="G4094" s="27">
        <v>0</v>
      </c>
      <c r="H4094" s="27">
        <v>0</v>
      </c>
      <c r="I4094" s="27">
        <v>0</v>
      </c>
      <c r="J4094" s="30">
        <f t="shared" si="189"/>
        <v>0</v>
      </c>
      <c r="K4094" s="30">
        <f t="shared" si="190"/>
        <v>0</v>
      </c>
      <c r="L4094" s="26">
        <f t="shared" si="191"/>
        <v>0</v>
      </c>
      <c r="M4094" s="32"/>
    </row>
    <row r="4095" spans="1:13" ht="14.25" customHeight="1">
      <c r="A4095" s="25">
        <v>1442143</v>
      </c>
      <c r="B4095" s="26" t="s">
        <v>5423</v>
      </c>
      <c r="C4095" s="26" t="s">
        <v>13623</v>
      </c>
      <c r="D4095" s="26" t="s">
        <v>13624</v>
      </c>
      <c r="E4095" s="26" t="s">
        <v>5540</v>
      </c>
      <c r="F4095" s="27">
        <v>5038906</v>
      </c>
      <c r="G4095" s="27">
        <v>0</v>
      </c>
      <c r="H4095" s="27">
        <v>0</v>
      </c>
      <c r="I4095" s="27">
        <v>0</v>
      </c>
      <c r="J4095" s="30">
        <f t="shared" si="189"/>
        <v>0</v>
      </c>
      <c r="K4095" s="30">
        <f t="shared" si="190"/>
        <v>0</v>
      </c>
      <c r="L4095" s="26">
        <f t="shared" si="191"/>
        <v>0</v>
      </c>
      <c r="M4095" s="32"/>
    </row>
    <row r="4096" spans="1:13" ht="14.25" customHeight="1">
      <c r="A4096" s="25">
        <v>1443551</v>
      </c>
      <c r="B4096" s="26" t="s">
        <v>5423</v>
      </c>
      <c r="C4096" s="26" t="s">
        <v>13625</v>
      </c>
      <c r="D4096" s="26" t="s">
        <v>13626</v>
      </c>
      <c r="E4096" s="26" t="s">
        <v>5654</v>
      </c>
      <c r="F4096" s="27">
        <v>5139468</v>
      </c>
      <c r="G4096" s="27">
        <v>1</v>
      </c>
      <c r="H4096" s="27">
        <v>0</v>
      </c>
      <c r="I4096" s="27">
        <v>1</v>
      </c>
      <c r="J4096" s="30">
        <f t="shared" si="189"/>
        <v>1</v>
      </c>
      <c r="K4096" s="30">
        <f t="shared" si="190"/>
        <v>0</v>
      </c>
      <c r="L4096" s="26">
        <f t="shared" si="191"/>
        <v>0</v>
      </c>
      <c r="M4096" s="32"/>
    </row>
    <row r="4097" spans="1:13" ht="14.25" customHeight="1">
      <c r="A4097" s="25">
        <v>1443982</v>
      </c>
      <c r="B4097" s="26" t="s">
        <v>5423</v>
      </c>
      <c r="C4097" s="26" t="s">
        <v>13627</v>
      </c>
      <c r="D4097" s="26" t="s">
        <v>13628</v>
      </c>
      <c r="E4097" s="26" t="s">
        <v>5426</v>
      </c>
      <c r="F4097" s="27">
        <v>5170488</v>
      </c>
      <c r="G4097" s="27">
        <v>0</v>
      </c>
      <c r="H4097" s="27"/>
      <c r="I4097" s="27"/>
      <c r="J4097" s="30">
        <f t="shared" si="189"/>
        <v>0</v>
      </c>
      <c r="K4097" s="30">
        <f t="shared" si="190"/>
        <v>0</v>
      </c>
      <c r="L4097" s="26">
        <f t="shared" si="191"/>
        <v>0</v>
      </c>
      <c r="M4097" s="32" t="s">
        <v>13629</v>
      </c>
    </row>
    <row r="4098" spans="1:13" ht="14.25" customHeight="1">
      <c r="A4098" s="25">
        <v>1465855</v>
      </c>
      <c r="B4098" s="26" t="s">
        <v>5427</v>
      </c>
      <c r="C4098" s="26" t="s">
        <v>13630</v>
      </c>
      <c r="D4098" s="26" t="s">
        <v>13631</v>
      </c>
      <c r="E4098" s="26" t="s">
        <v>9527</v>
      </c>
      <c r="F4098" s="27">
        <v>5167344</v>
      </c>
      <c r="G4098" s="27">
        <v>1</v>
      </c>
      <c r="H4098" s="27">
        <v>1</v>
      </c>
      <c r="I4098" s="27">
        <v>1</v>
      </c>
      <c r="J4098" s="30">
        <f t="shared" ref="J4098:J4139" si="192">IF(G4098&gt;0,1,0)</f>
        <v>1</v>
      </c>
      <c r="K4098" s="30">
        <f t="shared" ref="K4098:K4139" si="193">IF(H4098&gt;0,1,0)</f>
        <v>1</v>
      </c>
      <c r="L4098" s="26">
        <f t="shared" ref="L4098:L4139" si="194">IF(G4098&gt;0,IF(H4098&gt;0,1,0),0)</f>
        <v>1</v>
      </c>
      <c r="M4098" s="32"/>
    </row>
    <row r="4099" spans="1:13" ht="14.25" customHeight="1">
      <c r="A4099" s="25">
        <v>1487398</v>
      </c>
      <c r="B4099" s="26" t="s">
        <v>5423</v>
      </c>
      <c r="C4099" s="26" t="s">
        <v>13632</v>
      </c>
      <c r="D4099" s="26" t="s">
        <v>13633</v>
      </c>
      <c r="E4099" s="26" t="s">
        <v>5517</v>
      </c>
      <c r="F4099" s="27"/>
      <c r="G4099" s="27">
        <v>0</v>
      </c>
      <c r="H4099" s="27">
        <v>0</v>
      </c>
      <c r="I4099" s="27">
        <v>0</v>
      </c>
      <c r="J4099" s="30">
        <f t="shared" si="192"/>
        <v>0</v>
      </c>
      <c r="K4099" s="30">
        <f t="shared" si="193"/>
        <v>0</v>
      </c>
      <c r="L4099" s="26">
        <f t="shared" si="194"/>
        <v>0</v>
      </c>
      <c r="M4099" s="32" t="s">
        <v>13582</v>
      </c>
    </row>
    <row r="4100" spans="1:13" ht="14.25" customHeight="1">
      <c r="A4100" s="25">
        <v>1516459</v>
      </c>
      <c r="B4100" s="26" t="s">
        <v>5423</v>
      </c>
      <c r="C4100" s="26" t="s">
        <v>13634</v>
      </c>
      <c r="D4100" s="26" t="s">
        <v>13635</v>
      </c>
      <c r="E4100" s="26" t="s">
        <v>5610</v>
      </c>
      <c r="F4100" s="27">
        <v>4887651</v>
      </c>
      <c r="G4100" s="27">
        <v>0</v>
      </c>
      <c r="H4100" s="27">
        <v>0</v>
      </c>
      <c r="I4100" s="27">
        <v>0</v>
      </c>
      <c r="J4100" s="30">
        <f t="shared" si="192"/>
        <v>0</v>
      </c>
      <c r="K4100" s="30">
        <f t="shared" si="193"/>
        <v>0</v>
      </c>
      <c r="L4100" s="26">
        <f t="shared" si="194"/>
        <v>0</v>
      </c>
      <c r="M4100" s="32">
        <v>0</v>
      </c>
    </row>
    <row r="4101" spans="1:13" ht="14.25" customHeight="1">
      <c r="A4101" s="25">
        <v>1632305</v>
      </c>
      <c r="B4101" s="26" t="s">
        <v>5423</v>
      </c>
      <c r="C4101" s="26" t="s">
        <v>13636</v>
      </c>
      <c r="D4101" s="26" t="s">
        <v>13637</v>
      </c>
      <c r="E4101" s="26" t="s">
        <v>5535</v>
      </c>
      <c r="F4101" s="27">
        <v>5798344</v>
      </c>
      <c r="G4101" s="27">
        <v>1</v>
      </c>
      <c r="H4101" s="27">
        <v>0</v>
      </c>
      <c r="I4101" s="27">
        <v>1</v>
      </c>
      <c r="J4101" s="30">
        <f t="shared" si="192"/>
        <v>1</v>
      </c>
      <c r="K4101" s="30">
        <f t="shared" si="193"/>
        <v>0</v>
      </c>
      <c r="L4101" s="26">
        <f t="shared" si="194"/>
        <v>0</v>
      </c>
      <c r="M4101" s="32"/>
    </row>
    <row r="4102" spans="1:13" ht="14.25" customHeight="1">
      <c r="A4102" s="25">
        <v>1714771</v>
      </c>
      <c r="B4102" s="26" t="s">
        <v>5423</v>
      </c>
      <c r="C4102" s="26" t="s">
        <v>13638</v>
      </c>
      <c r="D4102" s="26" t="s">
        <v>10430</v>
      </c>
      <c r="E4102" s="26" t="s">
        <v>5463</v>
      </c>
      <c r="F4102" s="27">
        <v>6038845</v>
      </c>
      <c r="G4102" s="27">
        <v>1</v>
      </c>
      <c r="H4102" s="27">
        <v>0</v>
      </c>
      <c r="I4102" s="27">
        <v>1</v>
      </c>
      <c r="J4102" s="30">
        <f t="shared" si="192"/>
        <v>1</v>
      </c>
      <c r="K4102" s="30">
        <f t="shared" si="193"/>
        <v>0</v>
      </c>
      <c r="L4102" s="26">
        <f t="shared" si="194"/>
        <v>0</v>
      </c>
      <c r="M4102" s="32"/>
    </row>
    <row r="4103" spans="1:13" ht="14.25" customHeight="1">
      <c r="A4103" s="25">
        <v>1421702</v>
      </c>
      <c r="B4103" s="26" t="s">
        <v>5423</v>
      </c>
      <c r="C4103" s="26" t="s">
        <v>13639</v>
      </c>
      <c r="D4103" s="26" t="s">
        <v>13640</v>
      </c>
      <c r="E4103" s="26" t="s">
        <v>5442</v>
      </c>
      <c r="F4103" s="27">
        <v>2666958</v>
      </c>
      <c r="G4103" s="27"/>
      <c r="H4103" s="27"/>
      <c r="I4103" s="27"/>
      <c r="J4103" s="30">
        <f t="shared" si="192"/>
        <v>0</v>
      </c>
      <c r="K4103" s="30">
        <f t="shared" si="193"/>
        <v>0</v>
      </c>
      <c r="L4103" s="26">
        <f t="shared" si="194"/>
        <v>0</v>
      </c>
      <c r="M4103" s="32" t="s">
        <v>13641</v>
      </c>
    </row>
    <row r="4104" spans="1:13" ht="14.25" customHeight="1">
      <c r="A4104" s="25">
        <v>1693232</v>
      </c>
      <c r="B4104" s="26" t="s">
        <v>5423</v>
      </c>
      <c r="C4104" s="26" t="s">
        <v>13642</v>
      </c>
      <c r="D4104" s="26" t="s">
        <v>10186</v>
      </c>
      <c r="E4104" s="26" t="s">
        <v>5463</v>
      </c>
      <c r="F4104" s="27">
        <v>5751767</v>
      </c>
      <c r="G4104" s="27">
        <v>1</v>
      </c>
      <c r="H4104" s="27">
        <v>1</v>
      </c>
      <c r="I4104" s="27">
        <v>1</v>
      </c>
      <c r="J4104" s="30">
        <f t="shared" si="192"/>
        <v>1</v>
      </c>
      <c r="K4104" s="30">
        <f t="shared" si="193"/>
        <v>1</v>
      </c>
      <c r="L4104" s="26">
        <f t="shared" si="194"/>
        <v>1</v>
      </c>
      <c r="M4104" s="32"/>
    </row>
    <row r="4105" spans="1:13" ht="14.25" customHeight="1">
      <c r="A4105" s="25">
        <v>1710882</v>
      </c>
      <c r="B4105" s="26" t="s">
        <v>5423</v>
      </c>
      <c r="C4105" s="26" t="s">
        <v>13643</v>
      </c>
      <c r="D4105" s="26" t="s">
        <v>13644</v>
      </c>
      <c r="E4105" s="26" t="s">
        <v>5532</v>
      </c>
      <c r="F4105" s="27">
        <v>6036071</v>
      </c>
      <c r="G4105" s="27">
        <v>0</v>
      </c>
      <c r="H4105" s="27">
        <v>1</v>
      </c>
      <c r="I4105" s="27">
        <v>1</v>
      </c>
      <c r="J4105" s="30">
        <f t="shared" si="192"/>
        <v>0</v>
      </c>
      <c r="K4105" s="30">
        <f t="shared" si="193"/>
        <v>1</v>
      </c>
      <c r="L4105" s="26">
        <f t="shared" si="194"/>
        <v>0</v>
      </c>
      <c r="M4105" s="32"/>
    </row>
    <row r="4106" spans="1:13" ht="14.25" customHeight="1">
      <c r="A4106" s="25">
        <v>1717287</v>
      </c>
      <c r="B4106" s="26" t="s">
        <v>5427</v>
      </c>
      <c r="C4106" s="26" t="s">
        <v>13645</v>
      </c>
      <c r="D4106" s="26" t="s">
        <v>10472</v>
      </c>
      <c r="E4106" s="26" t="s">
        <v>5586</v>
      </c>
      <c r="F4106" s="27">
        <v>6046493</v>
      </c>
      <c r="G4106" s="27">
        <v>1</v>
      </c>
      <c r="H4106" s="27">
        <v>1</v>
      </c>
      <c r="I4106" s="27">
        <v>1</v>
      </c>
      <c r="J4106" s="30">
        <f t="shared" si="192"/>
        <v>1</v>
      </c>
      <c r="K4106" s="30">
        <f t="shared" si="193"/>
        <v>1</v>
      </c>
      <c r="L4106" s="26">
        <f t="shared" si="194"/>
        <v>1</v>
      </c>
      <c r="M4106" s="32" t="s">
        <v>13555</v>
      </c>
    </row>
    <row r="4107" spans="1:13" ht="14.25" customHeight="1">
      <c r="A4107" s="25">
        <v>1721161</v>
      </c>
      <c r="B4107" s="26" t="s">
        <v>5423</v>
      </c>
      <c r="C4107" s="26" t="s">
        <v>13646</v>
      </c>
      <c r="D4107" s="26" t="s">
        <v>10507</v>
      </c>
      <c r="E4107" s="26" t="s">
        <v>5891</v>
      </c>
      <c r="F4107" s="27">
        <v>6064248</v>
      </c>
      <c r="G4107" s="27">
        <v>0</v>
      </c>
      <c r="H4107" s="27">
        <v>0</v>
      </c>
      <c r="I4107" s="27">
        <v>0</v>
      </c>
      <c r="J4107" s="30">
        <f t="shared" si="192"/>
        <v>0</v>
      </c>
      <c r="K4107" s="30">
        <f t="shared" si="193"/>
        <v>0</v>
      </c>
      <c r="L4107" s="26">
        <f t="shared" si="194"/>
        <v>0</v>
      </c>
      <c r="M4107" s="32">
        <v>0</v>
      </c>
    </row>
    <row r="4108" spans="1:13" ht="14.25" customHeight="1">
      <c r="A4108" s="25">
        <v>1743332</v>
      </c>
      <c r="B4108" s="26" t="s">
        <v>5423</v>
      </c>
      <c r="C4108" s="26" t="s">
        <v>13647</v>
      </c>
      <c r="D4108" s="26" t="s">
        <v>13648</v>
      </c>
      <c r="E4108" s="26" t="s">
        <v>5439</v>
      </c>
      <c r="F4108" s="27">
        <v>6124958</v>
      </c>
      <c r="G4108" s="27">
        <v>1</v>
      </c>
      <c r="H4108" s="27">
        <v>0</v>
      </c>
      <c r="I4108" s="27">
        <v>1</v>
      </c>
      <c r="J4108" s="30">
        <f t="shared" si="192"/>
        <v>1</v>
      </c>
      <c r="K4108" s="30">
        <f t="shared" si="193"/>
        <v>0</v>
      </c>
      <c r="L4108" s="26">
        <f t="shared" si="194"/>
        <v>0</v>
      </c>
      <c r="M4108" s="32"/>
    </row>
    <row r="4109" spans="1:13" ht="14.25" customHeight="1">
      <c r="A4109" s="25">
        <v>1752809</v>
      </c>
      <c r="B4109" s="26" t="s">
        <v>5423</v>
      </c>
      <c r="C4109" s="26" t="s">
        <v>13649</v>
      </c>
      <c r="D4109" s="26" t="s">
        <v>10870</v>
      </c>
      <c r="E4109" s="26" t="s">
        <v>5535</v>
      </c>
      <c r="F4109" s="27">
        <v>6154153</v>
      </c>
      <c r="G4109" s="27">
        <v>0</v>
      </c>
      <c r="H4109" s="27">
        <v>0</v>
      </c>
      <c r="I4109" s="27">
        <v>0</v>
      </c>
      <c r="J4109" s="30">
        <f t="shared" si="192"/>
        <v>0</v>
      </c>
      <c r="K4109" s="30">
        <f t="shared" si="193"/>
        <v>0</v>
      </c>
      <c r="L4109" s="26">
        <f t="shared" si="194"/>
        <v>0</v>
      </c>
      <c r="M4109" s="32">
        <v>0</v>
      </c>
    </row>
    <row r="4110" spans="1:13" ht="14.25" customHeight="1">
      <c r="A4110" s="25">
        <v>1757536</v>
      </c>
      <c r="B4110" s="26" t="s">
        <v>5423</v>
      </c>
      <c r="C4110" s="26" t="s">
        <v>13650</v>
      </c>
      <c r="D4110" s="26" t="s">
        <v>10949</v>
      </c>
      <c r="E4110" s="26" t="s">
        <v>7084</v>
      </c>
      <c r="F4110" s="27">
        <v>6141251</v>
      </c>
      <c r="G4110" s="27">
        <v>0</v>
      </c>
      <c r="H4110" s="27">
        <v>0</v>
      </c>
      <c r="I4110" s="27">
        <v>0</v>
      </c>
      <c r="J4110" s="30">
        <f t="shared" si="192"/>
        <v>0</v>
      </c>
      <c r="K4110" s="30">
        <f t="shared" si="193"/>
        <v>0</v>
      </c>
      <c r="L4110" s="26">
        <f t="shared" si="194"/>
        <v>0</v>
      </c>
      <c r="M4110" s="32">
        <v>0</v>
      </c>
    </row>
    <row r="4111" spans="1:13" ht="14.25" customHeight="1">
      <c r="A4111" s="25">
        <v>1778952</v>
      </c>
      <c r="B4111" s="26" t="s">
        <v>5423</v>
      </c>
      <c r="C4111" s="26" t="s">
        <v>13651</v>
      </c>
      <c r="D4111" s="26" t="s">
        <v>13652</v>
      </c>
      <c r="E4111" s="26" t="s">
        <v>5488</v>
      </c>
      <c r="F4111" s="27">
        <v>6208285</v>
      </c>
      <c r="G4111" s="27">
        <v>1</v>
      </c>
      <c r="H4111" s="27">
        <v>0</v>
      </c>
      <c r="I4111" s="27">
        <v>1</v>
      </c>
      <c r="J4111" s="30">
        <f t="shared" si="192"/>
        <v>1</v>
      </c>
      <c r="K4111" s="30">
        <f t="shared" si="193"/>
        <v>0</v>
      </c>
      <c r="L4111" s="26">
        <f t="shared" si="194"/>
        <v>0</v>
      </c>
      <c r="M4111" s="32"/>
    </row>
    <row r="4112" spans="1:13" ht="14.25" customHeight="1">
      <c r="A4112" s="25">
        <v>1821727</v>
      </c>
      <c r="B4112" s="26" t="s">
        <v>5423</v>
      </c>
      <c r="C4112" s="26" t="s">
        <v>13653</v>
      </c>
      <c r="D4112" s="26" t="s">
        <v>11813</v>
      </c>
      <c r="E4112" s="26" t="s">
        <v>5654</v>
      </c>
      <c r="F4112" s="27">
        <v>6335328</v>
      </c>
      <c r="G4112" s="27">
        <v>0</v>
      </c>
      <c r="H4112" s="27">
        <v>0</v>
      </c>
      <c r="I4112" s="27">
        <v>0</v>
      </c>
      <c r="J4112" s="30">
        <f t="shared" si="192"/>
        <v>0</v>
      </c>
      <c r="K4112" s="30">
        <f t="shared" si="193"/>
        <v>0</v>
      </c>
      <c r="L4112" s="26">
        <f t="shared" si="194"/>
        <v>0</v>
      </c>
      <c r="M4112" s="32">
        <v>0</v>
      </c>
    </row>
    <row r="4113" spans="1:13" ht="14.25" customHeight="1">
      <c r="A4113" s="25">
        <v>1838428</v>
      </c>
      <c r="B4113" s="26" t="s">
        <v>5423</v>
      </c>
      <c r="C4113" s="26" t="s">
        <v>13654</v>
      </c>
      <c r="D4113" s="26" t="s">
        <v>12115</v>
      </c>
      <c r="E4113" s="26" t="s">
        <v>5475</v>
      </c>
      <c r="F4113" s="27">
        <v>6377479</v>
      </c>
      <c r="G4113" s="27">
        <v>0</v>
      </c>
      <c r="H4113" s="27">
        <v>0</v>
      </c>
      <c r="I4113" s="27">
        <v>0</v>
      </c>
      <c r="J4113" s="30">
        <f t="shared" si="192"/>
        <v>0</v>
      </c>
      <c r="K4113" s="30">
        <f t="shared" si="193"/>
        <v>0</v>
      </c>
      <c r="L4113" s="26">
        <f t="shared" si="194"/>
        <v>0</v>
      </c>
      <c r="M4113" s="32">
        <v>0</v>
      </c>
    </row>
    <row r="4114" spans="1:13" ht="14.25" customHeight="1">
      <c r="A4114" s="25">
        <v>1384753</v>
      </c>
      <c r="B4114" s="26" t="s">
        <v>5427</v>
      </c>
      <c r="C4114" s="26" t="s">
        <v>13655</v>
      </c>
      <c r="D4114" s="26" t="s">
        <v>13656</v>
      </c>
      <c r="E4114" s="26" t="s">
        <v>5504</v>
      </c>
      <c r="F4114" s="27">
        <v>4992078</v>
      </c>
      <c r="G4114" s="27">
        <v>0</v>
      </c>
      <c r="H4114" s="27">
        <v>0</v>
      </c>
      <c r="I4114" s="27">
        <v>0</v>
      </c>
      <c r="J4114" s="30">
        <f t="shared" si="192"/>
        <v>0</v>
      </c>
      <c r="K4114" s="30">
        <f t="shared" si="193"/>
        <v>0</v>
      </c>
      <c r="L4114" s="26">
        <f t="shared" si="194"/>
        <v>0</v>
      </c>
      <c r="M4114" s="32" t="s">
        <v>13601</v>
      </c>
    </row>
    <row r="4115" spans="1:13" ht="14.25" customHeight="1">
      <c r="A4115" s="25">
        <v>1394850</v>
      </c>
      <c r="B4115" s="26" t="s">
        <v>5423</v>
      </c>
      <c r="C4115" s="26" t="s">
        <v>13657</v>
      </c>
      <c r="D4115" s="26" t="s">
        <v>13658</v>
      </c>
      <c r="E4115" s="26" t="s">
        <v>5504</v>
      </c>
      <c r="F4115" s="27">
        <v>4003250</v>
      </c>
      <c r="G4115" s="27">
        <v>1</v>
      </c>
      <c r="H4115" s="27">
        <v>1</v>
      </c>
      <c r="I4115" s="27">
        <v>1</v>
      </c>
      <c r="J4115" s="30">
        <f t="shared" si="192"/>
        <v>1</v>
      </c>
      <c r="K4115" s="30">
        <f t="shared" si="193"/>
        <v>1</v>
      </c>
      <c r="L4115" s="26">
        <f t="shared" si="194"/>
        <v>1</v>
      </c>
      <c r="M4115" s="32"/>
    </row>
    <row r="4116" spans="1:13" ht="14.25" customHeight="1">
      <c r="A4116" s="25">
        <v>1396463</v>
      </c>
      <c r="B4116" s="26" t="s">
        <v>5427</v>
      </c>
      <c r="C4116" s="26" t="s">
        <v>13659</v>
      </c>
      <c r="D4116" s="26" t="s">
        <v>13660</v>
      </c>
      <c r="E4116" s="26" t="s">
        <v>5491</v>
      </c>
      <c r="F4116" s="27">
        <v>5032704</v>
      </c>
      <c r="G4116" s="27">
        <v>1</v>
      </c>
      <c r="H4116" s="27">
        <v>1</v>
      </c>
      <c r="I4116" s="27">
        <v>1</v>
      </c>
      <c r="J4116" s="30">
        <f t="shared" si="192"/>
        <v>1</v>
      </c>
      <c r="K4116" s="30">
        <f t="shared" si="193"/>
        <v>1</v>
      </c>
      <c r="L4116" s="26">
        <f t="shared" si="194"/>
        <v>1</v>
      </c>
      <c r="M4116" s="32"/>
    </row>
    <row r="4117" spans="1:13" ht="14.25" customHeight="1">
      <c r="A4117" s="25">
        <v>1399572</v>
      </c>
      <c r="B4117" s="26" t="s">
        <v>5427</v>
      </c>
      <c r="C4117" s="26" t="s">
        <v>13661</v>
      </c>
      <c r="D4117" s="26" t="s">
        <v>13662</v>
      </c>
      <c r="E4117" s="26" t="s">
        <v>5968</v>
      </c>
      <c r="F4117" s="27">
        <v>5035494</v>
      </c>
      <c r="G4117" s="27">
        <v>0</v>
      </c>
      <c r="H4117" s="27">
        <v>1</v>
      </c>
      <c r="I4117" s="27">
        <v>1</v>
      </c>
      <c r="J4117" s="30">
        <f t="shared" si="192"/>
        <v>0</v>
      </c>
      <c r="K4117" s="30">
        <f t="shared" si="193"/>
        <v>1</v>
      </c>
      <c r="L4117" s="26">
        <f t="shared" si="194"/>
        <v>0</v>
      </c>
      <c r="M4117" s="32"/>
    </row>
    <row r="4118" spans="1:13" ht="14.25" customHeight="1">
      <c r="A4118" s="25">
        <v>1409573</v>
      </c>
      <c r="B4118" s="26" t="s">
        <v>5427</v>
      </c>
      <c r="C4118" s="26" t="s">
        <v>13663</v>
      </c>
      <c r="D4118" s="26" t="s">
        <v>13664</v>
      </c>
      <c r="E4118" s="26" t="s">
        <v>5610</v>
      </c>
      <c r="F4118" s="27">
        <v>5067818</v>
      </c>
      <c r="G4118" s="27">
        <v>1</v>
      </c>
      <c r="H4118" s="27">
        <v>1</v>
      </c>
      <c r="I4118" s="27">
        <v>1</v>
      </c>
      <c r="J4118" s="30">
        <f t="shared" si="192"/>
        <v>1</v>
      </c>
      <c r="K4118" s="30">
        <f t="shared" si="193"/>
        <v>1</v>
      </c>
      <c r="L4118" s="26">
        <f t="shared" si="194"/>
        <v>1</v>
      </c>
      <c r="M4118" s="32"/>
    </row>
    <row r="4119" spans="1:13" ht="14.25" customHeight="1">
      <c r="A4119" s="25">
        <v>1456115</v>
      </c>
      <c r="B4119" s="26" t="s">
        <v>5423</v>
      </c>
      <c r="C4119" s="26" t="s">
        <v>13665</v>
      </c>
      <c r="D4119" s="26" t="s">
        <v>13666</v>
      </c>
      <c r="E4119" s="26" t="s">
        <v>5707</v>
      </c>
      <c r="F4119" s="27">
        <v>5202322</v>
      </c>
      <c r="G4119" s="27">
        <v>0</v>
      </c>
      <c r="H4119" s="27">
        <v>0</v>
      </c>
      <c r="I4119" s="27">
        <v>0</v>
      </c>
      <c r="J4119" s="30">
        <f t="shared" si="192"/>
        <v>0</v>
      </c>
      <c r="K4119" s="30">
        <f t="shared" si="193"/>
        <v>0</v>
      </c>
      <c r="L4119" s="26">
        <f t="shared" si="194"/>
        <v>0</v>
      </c>
      <c r="M4119" s="32"/>
    </row>
    <row r="4120" spans="1:13" ht="14.25" customHeight="1">
      <c r="A4120" s="25">
        <v>1465873</v>
      </c>
      <c r="B4120" s="26" t="s">
        <v>5427</v>
      </c>
      <c r="C4120" s="26" t="s">
        <v>13667</v>
      </c>
      <c r="D4120" s="26" t="s">
        <v>13668</v>
      </c>
      <c r="E4120" s="26" t="s">
        <v>5603</v>
      </c>
      <c r="F4120" s="27">
        <v>5234642</v>
      </c>
      <c r="G4120" s="27"/>
      <c r="H4120" s="27">
        <v>0</v>
      </c>
      <c r="I4120" s="27"/>
      <c r="J4120" s="30">
        <f t="shared" si="192"/>
        <v>0</v>
      </c>
      <c r="K4120" s="30">
        <f t="shared" si="193"/>
        <v>0</v>
      </c>
      <c r="L4120" s="26">
        <f t="shared" si="194"/>
        <v>0</v>
      </c>
      <c r="M4120" s="32" t="s">
        <v>13669</v>
      </c>
    </row>
    <row r="4121" spans="1:13" ht="14.25" customHeight="1">
      <c r="A4121" s="25">
        <v>1479477</v>
      </c>
      <c r="B4121" s="26" t="s">
        <v>5423</v>
      </c>
      <c r="C4121" s="26" t="s">
        <v>13670</v>
      </c>
      <c r="D4121" s="26" t="s">
        <v>13671</v>
      </c>
      <c r="E4121" s="26" t="s">
        <v>5532</v>
      </c>
      <c r="F4121" s="27">
        <v>5265500</v>
      </c>
      <c r="G4121" s="27">
        <v>1</v>
      </c>
      <c r="H4121" s="27">
        <v>0</v>
      </c>
      <c r="I4121" s="27">
        <v>1</v>
      </c>
      <c r="J4121" s="30">
        <f t="shared" si="192"/>
        <v>1</v>
      </c>
      <c r="K4121" s="30">
        <f t="shared" si="193"/>
        <v>0</v>
      </c>
      <c r="L4121" s="26">
        <f t="shared" si="194"/>
        <v>0</v>
      </c>
      <c r="M4121" s="32"/>
    </row>
    <row r="4122" spans="1:13" ht="14.25" customHeight="1">
      <c r="A4122" s="25">
        <v>1486480</v>
      </c>
      <c r="B4122" s="26" t="s">
        <v>5427</v>
      </c>
      <c r="C4122" s="26" t="s">
        <v>13672</v>
      </c>
      <c r="D4122" s="26" t="s">
        <v>13673</v>
      </c>
      <c r="E4122" s="26" t="s">
        <v>5504</v>
      </c>
      <c r="F4122" s="27">
        <v>5038276</v>
      </c>
      <c r="G4122" s="27">
        <v>1</v>
      </c>
      <c r="H4122" s="27">
        <v>0</v>
      </c>
      <c r="I4122" s="27">
        <v>1</v>
      </c>
      <c r="J4122" s="30">
        <f t="shared" si="192"/>
        <v>1</v>
      </c>
      <c r="K4122" s="30">
        <f t="shared" si="193"/>
        <v>0</v>
      </c>
      <c r="L4122" s="26">
        <f t="shared" si="194"/>
        <v>0</v>
      </c>
      <c r="M4122" s="32"/>
    </row>
    <row r="4123" spans="1:13" ht="14.25" customHeight="1">
      <c r="A4123" s="25">
        <v>1509105</v>
      </c>
      <c r="B4123" s="26" t="s">
        <v>5427</v>
      </c>
      <c r="C4123" s="26" t="s">
        <v>13674</v>
      </c>
      <c r="D4123" s="26" t="s">
        <v>13675</v>
      </c>
      <c r="E4123" s="26" t="s">
        <v>6541</v>
      </c>
      <c r="F4123" s="27">
        <v>4669217</v>
      </c>
      <c r="G4123" s="27">
        <v>1</v>
      </c>
      <c r="H4123" s="27">
        <v>0</v>
      </c>
      <c r="I4123" s="27">
        <v>1</v>
      </c>
      <c r="J4123" s="30">
        <f t="shared" si="192"/>
        <v>1</v>
      </c>
      <c r="K4123" s="30">
        <f t="shared" si="193"/>
        <v>0</v>
      </c>
      <c r="L4123" s="26">
        <f t="shared" si="194"/>
        <v>0</v>
      </c>
      <c r="M4123" s="32"/>
    </row>
    <row r="4124" spans="1:13" ht="14.25" customHeight="1">
      <c r="A4124" s="25">
        <v>1668182</v>
      </c>
      <c r="B4124" s="26" t="s">
        <v>5423</v>
      </c>
      <c r="C4124" s="26" t="s">
        <v>13676</v>
      </c>
      <c r="D4124" s="26" t="s">
        <v>13677</v>
      </c>
      <c r="E4124" s="26" t="s">
        <v>5447</v>
      </c>
      <c r="F4124" s="27">
        <v>5882293</v>
      </c>
      <c r="G4124" s="27">
        <v>1</v>
      </c>
      <c r="H4124" s="27">
        <v>0</v>
      </c>
      <c r="I4124" s="27">
        <v>1</v>
      </c>
      <c r="J4124" s="30">
        <f t="shared" si="192"/>
        <v>1</v>
      </c>
      <c r="K4124" s="30">
        <f t="shared" si="193"/>
        <v>0</v>
      </c>
      <c r="L4124" s="26">
        <f t="shared" si="194"/>
        <v>0</v>
      </c>
      <c r="M4124" s="32"/>
    </row>
    <row r="4125" spans="1:13" ht="14.25" customHeight="1">
      <c r="A4125" s="25">
        <v>1696679</v>
      </c>
      <c r="B4125" s="26" t="s">
        <v>5427</v>
      </c>
      <c r="C4125" s="26" t="s">
        <v>13678</v>
      </c>
      <c r="D4125" s="26" t="s">
        <v>10214</v>
      </c>
      <c r="E4125" s="26" t="s">
        <v>5586</v>
      </c>
      <c r="F4125" s="27">
        <v>5995533</v>
      </c>
      <c r="G4125" s="27">
        <v>0</v>
      </c>
      <c r="H4125" s="27">
        <v>0</v>
      </c>
      <c r="I4125" s="27">
        <v>0</v>
      </c>
      <c r="J4125" s="30">
        <f t="shared" si="192"/>
        <v>0</v>
      </c>
      <c r="K4125" s="30">
        <f t="shared" si="193"/>
        <v>0</v>
      </c>
      <c r="L4125" s="26">
        <f t="shared" si="194"/>
        <v>0</v>
      </c>
      <c r="M4125" s="32">
        <v>0</v>
      </c>
    </row>
    <row r="4126" spans="1:13" ht="14.25" customHeight="1">
      <c r="A4126" s="25">
        <v>1700847</v>
      </c>
      <c r="B4126" s="26" t="s">
        <v>5423</v>
      </c>
      <c r="C4126" s="26" t="s">
        <v>13679</v>
      </c>
      <c r="D4126" s="26" t="s">
        <v>10254</v>
      </c>
      <c r="E4126" s="26" t="s">
        <v>5458</v>
      </c>
      <c r="F4126" s="27">
        <v>6008614</v>
      </c>
      <c r="G4126" s="27">
        <v>1</v>
      </c>
      <c r="H4126" s="27">
        <v>0</v>
      </c>
      <c r="I4126" s="27">
        <v>1</v>
      </c>
      <c r="J4126" s="30">
        <f t="shared" si="192"/>
        <v>1</v>
      </c>
      <c r="K4126" s="30">
        <f t="shared" si="193"/>
        <v>0</v>
      </c>
      <c r="L4126" s="26">
        <f t="shared" si="194"/>
        <v>0</v>
      </c>
      <c r="M4126" s="32"/>
    </row>
    <row r="4127" spans="1:13" ht="14.25" customHeight="1">
      <c r="A4127" s="25">
        <v>1754080</v>
      </c>
      <c r="B4127" s="26" t="s">
        <v>5427</v>
      </c>
      <c r="C4127" s="26" t="s">
        <v>13680</v>
      </c>
      <c r="D4127" s="26" t="s">
        <v>13681</v>
      </c>
      <c r="E4127" s="26" t="s">
        <v>5891</v>
      </c>
      <c r="F4127" s="27">
        <v>6155969</v>
      </c>
      <c r="G4127" s="27">
        <v>1</v>
      </c>
      <c r="H4127" s="27">
        <v>1</v>
      </c>
      <c r="I4127" s="27">
        <v>1</v>
      </c>
      <c r="J4127" s="30">
        <f t="shared" si="192"/>
        <v>1</v>
      </c>
      <c r="K4127" s="30">
        <f t="shared" si="193"/>
        <v>1</v>
      </c>
      <c r="L4127" s="26">
        <f t="shared" si="194"/>
        <v>1</v>
      </c>
      <c r="M4127" s="32"/>
    </row>
    <row r="4128" spans="1:13" ht="14.25" customHeight="1">
      <c r="A4128" s="25">
        <v>1861888</v>
      </c>
      <c r="B4128" s="26" t="s">
        <v>5427</v>
      </c>
      <c r="C4128" s="26" t="s">
        <v>13682</v>
      </c>
      <c r="D4128" s="26" t="s">
        <v>12518</v>
      </c>
      <c r="E4128" s="26" t="s">
        <v>5488</v>
      </c>
      <c r="F4128" s="27">
        <v>4992078</v>
      </c>
      <c r="G4128" s="27">
        <v>0</v>
      </c>
      <c r="H4128" s="27">
        <v>0</v>
      </c>
      <c r="I4128" s="27">
        <v>0</v>
      </c>
      <c r="J4128" s="30">
        <f t="shared" si="192"/>
        <v>0</v>
      </c>
      <c r="K4128" s="30">
        <f t="shared" si="193"/>
        <v>0</v>
      </c>
      <c r="L4128" s="26">
        <f t="shared" si="194"/>
        <v>0</v>
      </c>
      <c r="M4128" s="32" t="s">
        <v>13683</v>
      </c>
    </row>
    <row r="4129" spans="1:13" ht="14.25" customHeight="1">
      <c r="A4129" s="25">
        <v>1930976</v>
      </c>
      <c r="B4129" s="26" t="s">
        <v>5423</v>
      </c>
      <c r="C4129" s="26" t="s">
        <v>13684</v>
      </c>
      <c r="D4129" s="26" t="s">
        <v>13685</v>
      </c>
      <c r="E4129" s="26" t="s">
        <v>5455</v>
      </c>
      <c r="F4129" s="27">
        <v>6608042</v>
      </c>
      <c r="G4129" s="27">
        <v>0</v>
      </c>
      <c r="H4129" s="27">
        <v>0</v>
      </c>
      <c r="I4129" s="27">
        <v>0</v>
      </c>
      <c r="J4129" s="30">
        <f t="shared" si="192"/>
        <v>0</v>
      </c>
      <c r="K4129" s="30">
        <f t="shared" si="193"/>
        <v>0</v>
      </c>
      <c r="L4129" s="26">
        <f t="shared" si="194"/>
        <v>0</v>
      </c>
      <c r="M4129" s="32">
        <v>0</v>
      </c>
    </row>
    <row r="4130" spans="1:13" ht="14.25" customHeight="1">
      <c r="A4130" s="25">
        <v>1931156</v>
      </c>
      <c r="B4130" s="26" t="s">
        <v>5427</v>
      </c>
      <c r="C4130" s="26" t="s">
        <v>13686</v>
      </c>
      <c r="D4130" s="26" t="s">
        <v>13685</v>
      </c>
      <c r="E4130" s="26" t="s">
        <v>5488</v>
      </c>
      <c r="F4130" s="27">
        <v>6600013</v>
      </c>
      <c r="G4130" s="27">
        <v>1</v>
      </c>
      <c r="H4130" s="27">
        <v>0</v>
      </c>
      <c r="I4130" s="27">
        <v>1</v>
      </c>
      <c r="J4130" s="30">
        <f t="shared" si="192"/>
        <v>1</v>
      </c>
      <c r="K4130" s="30">
        <f t="shared" si="193"/>
        <v>0</v>
      </c>
      <c r="L4130" s="26">
        <f t="shared" si="194"/>
        <v>0</v>
      </c>
      <c r="M4130" s="32"/>
    </row>
    <row r="4131" spans="1:13" ht="14.25" customHeight="1">
      <c r="A4131" s="25">
        <v>1931286</v>
      </c>
      <c r="B4131" s="26" t="s">
        <v>5423</v>
      </c>
      <c r="C4131" s="26" t="s">
        <v>13687</v>
      </c>
      <c r="D4131" s="26" t="s">
        <v>13688</v>
      </c>
      <c r="E4131" s="26" t="s">
        <v>5430</v>
      </c>
      <c r="F4131" s="27">
        <v>6608753</v>
      </c>
      <c r="G4131" s="27">
        <v>1</v>
      </c>
      <c r="H4131" s="27">
        <v>0</v>
      </c>
      <c r="I4131" s="27">
        <v>1</v>
      </c>
      <c r="J4131" s="30">
        <f t="shared" si="192"/>
        <v>1</v>
      </c>
      <c r="K4131" s="30">
        <f t="shared" si="193"/>
        <v>0</v>
      </c>
      <c r="L4131" s="26">
        <f t="shared" si="194"/>
        <v>0</v>
      </c>
      <c r="M4131" s="32"/>
    </row>
    <row r="4132" spans="1:13" ht="14.25" customHeight="1">
      <c r="A4132" s="25">
        <v>1931692</v>
      </c>
      <c r="B4132" s="26" t="s">
        <v>5427</v>
      </c>
      <c r="C4132" s="26" t="s">
        <v>13689</v>
      </c>
      <c r="D4132" s="26" t="s">
        <v>13685</v>
      </c>
      <c r="E4132" s="26" t="s">
        <v>5463</v>
      </c>
      <c r="F4132" s="27">
        <v>6609779</v>
      </c>
      <c r="G4132" s="27">
        <v>0</v>
      </c>
      <c r="H4132" s="27">
        <v>0</v>
      </c>
      <c r="I4132" s="27">
        <v>0</v>
      </c>
      <c r="J4132" s="30">
        <f t="shared" si="192"/>
        <v>0</v>
      </c>
      <c r="K4132" s="30">
        <f t="shared" si="193"/>
        <v>0</v>
      </c>
      <c r="L4132" s="26">
        <f t="shared" si="194"/>
        <v>0</v>
      </c>
      <c r="M4132" s="32">
        <v>0</v>
      </c>
    </row>
    <row r="4133" spans="1:13" ht="14.25" customHeight="1">
      <c r="A4133" s="25">
        <v>1931076</v>
      </c>
      <c r="B4133" s="26" t="s">
        <v>5423</v>
      </c>
      <c r="C4133" s="26" t="s">
        <v>13690</v>
      </c>
      <c r="D4133" s="26" t="s">
        <v>13691</v>
      </c>
      <c r="E4133" s="26" t="s">
        <v>5772</v>
      </c>
      <c r="F4133" s="27"/>
      <c r="G4133" s="27">
        <v>0</v>
      </c>
      <c r="H4133" s="27">
        <v>0</v>
      </c>
      <c r="I4133" s="27">
        <v>0</v>
      </c>
      <c r="J4133" s="30">
        <f t="shared" si="192"/>
        <v>0</v>
      </c>
      <c r="K4133" s="30">
        <f t="shared" si="193"/>
        <v>0</v>
      </c>
      <c r="L4133" s="26">
        <f t="shared" si="194"/>
        <v>0</v>
      </c>
      <c r="M4133" s="32" t="s">
        <v>13582</v>
      </c>
    </row>
    <row r="4134" spans="1:13" ht="14.25" customHeight="1">
      <c r="A4134" s="25">
        <v>1931788</v>
      </c>
      <c r="B4134" s="26" t="s">
        <v>5423</v>
      </c>
      <c r="C4134" s="26" t="s">
        <v>13692</v>
      </c>
      <c r="D4134" s="26" t="s">
        <v>13691</v>
      </c>
      <c r="E4134" s="26" t="s">
        <v>5488</v>
      </c>
      <c r="F4134" s="27">
        <v>6609842</v>
      </c>
      <c r="G4134" s="27">
        <v>0</v>
      </c>
      <c r="H4134" s="27">
        <v>0</v>
      </c>
      <c r="I4134" s="27">
        <v>0</v>
      </c>
      <c r="J4134" s="30">
        <f t="shared" si="192"/>
        <v>0</v>
      </c>
      <c r="K4134" s="30">
        <f t="shared" si="193"/>
        <v>0</v>
      </c>
      <c r="L4134" s="26">
        <f t="shared" si="194"/>
        <v>0</v>
      </c>
      <c r="M4134" s="32"/>
    </row>
    <row r="4135" spans="1:13" ht="14.25" customHeight="1">
      <c r="A4135" s="25">
        <v>1931059</v>
      </c>
      <c r="B4135" s="26" t="s">
        <v>5423</v>
      </c>
      <c r="C4135" s="26" t="s">
        <v>13693</v>
      </c>
      <c r="D4135" s="26" t="s">
        <v>13694</v>
      </c>
      <c r="E4135" s="26" t="s">
        <v>5488</v>
      </c>
      <c r="F4135" s="27">
        <v>6608427</v>
      </c>
      <c r="G4135" s="27">
        <v>1</v>
      </c>
      <c r="H4135" s="27">
        <v>1</v>
      </c>
      <c r="I4135" s="27">
        <v>1</v>
      </c>
      <c r="J4135" s="30">
        <f t="shared" si="192"/>
        <v>1</v>
      </c>
      <c r="K4135" s="30">
        <f t="shared" si="193"/>
        <v>1</v>
      </c>
      <c r="L4135" s="26">
        <f t="shared" si="194"/>
        <v>1</v>
      </c>
      <c r="M4135" s="32"/>
    </row>
    <row r="4136" spans="1:13" ht="14.25" customHeight="1">
      <c r="A4136" s="25">
        <v>1930187</v>
      </c>
      <c r="B4136" s="26" t="s">
        <v>5423</v>
      </c>
      <c r="C4136" s="26" t="s">
        <v>13695</v>
      </c>
      <c r="D4136" s="26" t="s">
        <v>13696</v>
      </c>
      <c r="E4136" s="26" t="s">
        <v>5430</v>
      </c>
      <c r="F4136" s="27">
        <v>6606289</v>
      </c>
      <c r="G4136" s="27">
        <v>0</v>
      </c>
      <c r="H4136" s="27">
        <v>0</v>
      </c>
      <c r="I4136" s="27">
        <v>0</v>
      </c>
      <c r="J4136" s="30">
        <f t="shared" si="192"/>
        <v>0</v>
      </c>
      <c r="K4136" s="30">
        <f t="shared" si="193"/>
        <v>0</v>
      </c>
      <c r="L4136" s="26">
        <f t="shared" si="194"/>
        <v>0</v>
      </c>
      <c r="M4136" s="32"/>
    </row>
    <row r="4137" spans="1:13" ht="14.25" customHeight="1">
      <c r="A4137" s="25">
        <v>1931986</v>
      </c>
      <c r="B4137" s="26" t="s">
        <v>5423</v>
      </c>
      <c r="C4137" s="26" t="s">
        <v>13697</v>
      </c>
      <c r="D4137" s="26" t="s">
        <v>13696</v>
      </c>
      <c r="E4137" s="26" t="s">
        <v>5475</v>
      </c>
      <c r="F4137" s="27">
        <v>6576324</v>
      </c>
      <c r="G4137" s="27">
        <v>1</v>
      </c>
      <c r="H4137" s="27">
        <v>0</v>
      </c>
      <c r="I4137" s="27">
        <v>1</v>
      </c>
      <c r="J4137" s="30">
        <f t="shared" si="192"/>
        <v>1</v>
      </c>
      <c r="K4137" s="30">
        <f t="shared" si="193"/>
        <v>0</v>
      </c>
      <c r="L4137" s="26">
        <f t="shared" si="194"/>
        <v>0</v>
      </c>
      <c r="M4137" s="32"/>
    </row>
    <row r="4138" spans="1:13" ht="14.25" customHeight="1">
      <c r="A4138" s="25">
        <v>1931988</v>
      </c>
      <c r="B4138" s="26" t="s">
        <v>5423</v>
      </c>
      <c r="C4138" s="26" t="s">
        <v>13698</v>
      </c>
      <c r="D4138" s="26" t="s">
        <v>13696</v>
      </c>
      <c r="E4138" s="26" t="s">
        <v>9527</v>
      </c>
      <c r="F4138" s="27">
        <v>6611905</v>
      </c>
      <c r="G4138" s="27">
        <v>0</v>
      </c>
      <c r="H4138" s="27">
        <v>0</v>
      </c>
      <c r="I4138" s="27">
        <v>0</v>
      </c>
      <c r="J4138" s="30">
        <f t="shared" si="192"/>
        <v>0</v>
      </c>
      <c r="K4138" s="30">
        <f t="shared" si="193"/>
        <v>0</v>
      </c>
      <c r="L4138" s="26">
        <f t="shared" si="194"/>
        <v>0</v>
      </c>
      <c r="M4138" s="32"/>
    </row>
    <row r="4139" spans="1:13" ht="14.25" customHeight="1">
      <c r="A4139" s="25">
        <v>1931999</v>
      </c>
      <c r="B4139" s="26" t="s">
        <v>5427</v>
      </c>
      <c r="C4139" s="26" t="s">
        <v>13699</v>
      </c>
      <c r="D4139" s="26" t="s">
        <v>13696</v>
      </c>
      <c r="E4139" s="26" t="s">
        <v>5507</v>
      </c>
      <c r="F4139" s="27" t="s">
        <v>13700</v>
      </c>
      <c r="G4139" s="27">
        <v>1</v>
      </c>
      <c r="H4139" s="27">
        <v>0</v>
      </c>
      <c r="I4139" s="27">
        <v>1</v>
      </c>
      <c r="J4139" s="30">
        <f t="shared" si="192"/>
        <v>1</v>
      </c>
      <c r="K4139" s="30">
        <f t="shared" si="193"/>
        <v>0</v>
      </c>
      <c r="L4139" s="26">
        <f t="shared" si="194"/>
        <v>0</v>
      </c>
      <c r="M4139" s="32"/>
    </row>
    <row r="4140" spans="1:13" ht="14.25" customHeight="1">
      <c r="A4140" s="25" t="s">
        <v>13701</v>
      </c>
      <c r="B4140" s="26" t="s">
        <v>5427</v>
      </c>
      <c r="C4140" s="26" t="s">
        <v>13702</v>
      </c>
      <c r="D4140" s="26" t="s">
        <v>13696</v>
      </c>
      <c r="E4140" s="26" t="s">
        <v>5491</v>
      </c>
      <c r="F4140" s="27" t="s">
        <v>13703</v>
      </c>
      <c r="G4140" s="27">
        <v>0</v>
      </c>
      <c r="H4140" s="27">
        <v>0</v>
      </c>
      <c r="I4140" s="27">
        <v>0</v>
      </c>
      <c r="J4140" s="30">
        <f t="shared" ref="J4140:J4171" si="195">IF(G4140&gt;0,1,0)</f>
        <v>0</v>
      </c>
      <c r="K4140" s="30">
        <f t="shared" ref="K4140:K4171" si="196">IF(H4140&gt;0,1,0)</f>
        <v>0</v>
      </c>
      <c r="L4140" s="26">
        <f t="shared" ref="L4140:L4171" si="197">IF(G4140&gt;0,IF(H4140&gt;0,1,0),0)</f>
        <v>0</v>
      </c>
      <c r="M4140" s="32"/>
    </row>
    <row r="4141" spans="1:13" ht="14.25" customHeight="1">
      <c r="A4141" s="25" t="s">
        <v>13704</v>
      </c>
      <c r="B4141" s="26" t="s">
        <v>5423</v>
      </c>
      <c r="C4141" s="26" t="s">
        <v>13705</v>
      </c>
      <c r="D4141" s="26" t="s">
        <v>13706</v>
      </c>
      <c r="E4141" s="26" t="s">
        <v>5455</v>
      </c>
      <c r="F4141" s="27" t="s">
        <v>13707</v>
      </c>
      <c r="G4141" s="27">
        <v>0</v>
      </c>
      <c r="H4141" s="27">
        <v>1</v>
      </c>
      <c r="I4141" s="27">
        <v>1</v>
      </c>
      <c r="J4141" s="30">
        <f t="shared" si="195"/>
        <v>0</v>
      </c>
      <c r="K4141" s="30">
        <f t="shared" si="196"/>
        <v>1</v>
      </c>
      <c r="L4141" s="26">
        <f t="shared" si="197"/>
        <v>0</v>
      </c>
      <c r="M4141" s="32"/>
    </row>
    <row r="4142" spans="1:13" ht="14.25" customHeight="1">
      <c r="A4142" s="25" t="s">
        <v>13708</v>
      </c>
      <c r="B4142" s="26" t="s">
        <v>5423</v>
      </c>
      <c r="C4142" s="26" t="s">
        <v>13709</v>
      </c>
      <c r="D4142" s="26" t="s">
        <v>13710</v>
      </c>
      <c r="E4142" s="26" t="s">
        <v>5514</v>
      </c>
      <c r="F4142" s="27" t="s">
        <v>13711</v>
      </c>
      <c r="G4142" s="27">
        <v>1</v>
      </c>
      <c r="H4142" s="27">
        <v>0</v>
      </c>
      <c r="I4142" s="27">
        <v>1</v>
      </c>
      <c r="J4142" s="30">
        <f t="shared" si="195"/>
        <v>1</v>
      </c>
      <c r="K4142" s="30">
        <f t="shared" si="196"/>
        <v>0</v>
      </c>
      <c r="L4142" s="26">
        <f t="shared" si="197"/>
        <v>0</v>
      </c>
      <c r="M4142" s="32"/>
    </row>
    <row r="4143" spans="1:13" ht="14.25" customHeight="1">
      <c r="A4143" s="25" t="s">
        <v>13712</v>
      </c>
      <c r="B4143" s="26" t="s">
        <v>5427</v>
      </c>
      <c r="C4143" s="26" t="s">
        <v>13713</v>
      </c>
      <c r="D4143" s="26" t="s">
        <v>13710</v>
      </c>
      <c r="E4143" s="26" t="s">
        <v>5436</v>
      </c>
      <c r="F4143" s="27" t="s">
        <v>13714</v>
      </c>
      <c r="G4143" s="27">
        <v>1</v>
      </c>
      <c r="H4143" s="27">
        <v>0</v>
      </c>
      <c r="I4143" s="27">
        <v>1</v>
      </c>
      <c r="J4143" s="30">
        <f t="shared" si="195"/>
        <v>1</v>
      </c>
      <c r="K4143" s="30">
        <f t="shared" si="196"/>
        <v>0</v>
      </c>
      <c r="L4143" s="26">
        <f t="shared" si="197"/>
        <v>0</v>
      </c>
      <c r="M4143" s="32"/>
    </row>
    <row r="4144" spans="1:13" ht="14.25" customHeight="1">
      <c r="A4144" s="25" t="s">
        <v>13715</v>
      </c>
      <c r="B4144" s="26" t="s">
        <v>5427</v>
      </c>
      <c r="C4144" s="26" t="s">
        <v>13716</v>
      </c>
      <c r="D4144" s="26" t="s">
        <v>13710</v>
      </c>
      <c r="E4144" s="26" t="s">
        <v>5545</v>
      </c>
      <c r="F4144" s="27" t="s">
        <v>13717</v>
      </c>
      <c r="G4144" s="27">
        <v>0</v>
      </c>
      <c r="H4144" s="27">
        <v>0</v>
      </c>
      <c r="I4144" s="27">
        <v>0</v>
      </c>
      <c r="J4144" s="30">
        <f t="shared" si="195"/>
        <v>0</v>
      </c>
      <c r="K4144" s="30">
        <f t="shared" si="196"/>
        <v>0</v>
      </c>
      <c r="L4144" s="26">
        <f t="shared" si="197"/>
        <v>0</v>
      </c>
      <c r="M4144" s="32"/>
    </row>
    <row r="4145" spans="1:13" ht="14.25" customHeight="1">
      <c r="A4145" s="25" t="s">
        <v>13718</v>
      </c>
      <c r="B4145" s="26" t="s">
        <v>5427</v>
      </c>
      <c r="C4145" s="26" t="s">
        <v>13719</v>
      </c>
      <c r="D4145" s="26" t="s">
        <v>13710</v>
      </c>
      <c r="E4145" s="26" t="s">
        <v>5763</v>
      </c>
      <c r="F4145" s="27" t="s">
        <v>13720</v>
      </c>
      <c r="G4145" s="27">
        <v>0</v>
      </c>
      <c r="H4145" s="27">
        <v>0</v>
      </c>
      <c r="I4145" s="27">
        <v>0</v>
      </c>
      <c r="J4145" s="30">
        <f t="shared" si="195"/>
        <v>0</v>
      </c>
      <c r="K4145" s="30">
        <f t="shared" si="196"/>
        <v>0</v>
      </c>
      <c r="L4145" s="26">
        <f t="shared" si="197"/>
        <v>0</v>
      </c>
      <c r="M4145" s="32"/>
    </row>
    <row r="4146" spans="1:13" ht="14.25" customHeight="1">
      <c r="A4146" s="25" t="s">
        <v>13721</v>
      </c>
      <c r="B4146" s="26" t="s">
        <v>5423</v>
      </c>
      <c r="C4146" s="26" t="s">
        <v>13722</v>
      </c>
      <c r="D4146" s="26" t="s">
        <v>13710</v>
      </c>
      <c r="E4146" s="26" t="s">
        <v>5463</v>
      </c>
      <c r="F4146" s="27" t="s">
        <v>13723</v>
      </c>
      <c r="G4146" s="27">
        <v>1</v>
      </c>
      <c r="H4146" s="27">
        <v>1</v>
      </c>
      <c r="I4146" s="27">
        <v>1</v>
      </c>
      <c r="J4146" s="30">
        <f t="shared" si="195"/>
        <v>1</v>
      </c>
      <c r="K4146" s="30">
        <f t="shared" si="196"/>
        <v>1</v>
      </c>
      <c r="L4146" s="26">
        <f t="shared" si="197"/>
        <v>1</v>
      </c>
      <c r="M4146" s="32"/>
    </row>
    <row r="4147" spans="1:13" ht="14.25" customHeight="1">
      <c r="A4147" s="25" t="s">
        <v>13724</v>
      </c>
      <c r="B4147" s="26" t="s">
        <v>5423</v>
      </c>
      <c r="C4147" s="26" t="s">
        <v>13725</v>
      </c>
      <c r="D4147" s="26" t="s">
        <v>13726</v>
      </c>
      <c r="E4147" s="26" t="s">
        <v>5475</v>
      </c>
      <c r="F4147" s="27" t="s">
        <v>13727</v>
      </c>
      <c r="G4147" s="27">
        <v>1</v>
      </c>
      <c r="H4147" s="27">
        <v>1</v>
      </c>
      <c r="I4147" s="27">
        <v>1</v>
      </c>
      <c r="J4147" s="30">
        <f t="shared" si="195"/>
        <v>1</v>
      </c>
      <c r="K4147" s="30">
        <f t="shared" si="196"/>
        <v>1</v>
      </c>
      <c r="L4147" s="26">
        <f t="shared" si="197"/>
        <v>1</v>
      </c>
      <c r="M4147" s="32"/>
    </row>
    <row r="4148" spans="1:13" ht="14.25" customHeight="1">
      <c r="A4148" s="25" t="s">
        <v>13728</v>
      </c>
      <c r="B4148" s="26" t="s">
        <v>5423</v>
      </c>
      <c r="C4148" s="26" t="s">
        <v>13729</v>
      </c>
      <c r="D4148" s="26" t="s">
        <v>13730</v>
      </c>
      <c r="E4148" s="26" t="s">
        <v>5654</v>
      </c>
      <c r="F4148" s="27" t="s">
        <v>13731</v>
      </c>
      <c r="G4148" s="27">
        <v>1</v>
      </c>
      <c r="H4148" s="27">
        <v>0</v>
      </c>
      <c r="I4148" s="27">
        <v>1</v>
      </c>
      <c r="J4148" s="30">
        <f t="shared" si="195"/>
        <v>1</v>
      </c>
      <c r="K4148" s="30">
        <f t="shared" si="196"/>
        <v>0</v>
      </c>
      <c r="L4148" s="26">
        <f t="shared" si="197"/>
        <v>0</v>
      </c>
      <c r="M4148" s="32"/>
    </row>
    <row r="4149" spans="1:13" ht="14.25" customHeight="1">
      <c r="A4149" s="25" t="s">
        <v>13732</v>
      </c>
      <c r="B4149" s="26" t="s">
        <v>5423</v>
      </c>
      <c r="C4149" s="26" t="s">
        <v>13733</v>
      </c>
      <c r="D4149" s="26" t="s">
        <v>13730</v>
      </c>
      <c r="E4149" s="26" t="s">
        <v>5458</v>
      </c>
      <c r="F4149" s="27" t="s">
        <v>13734</v>
      </c>
      <c r="G4149" s="27">
        <v>0</v>
      </c>
      <c r="H4149" s="27">
        <v>0</v>
      </c>
      <c r="I4149" s="27">
        <v>0</v>
      </c>
      <c r="J4149" s="30">
        <f t="shared" si="195"/>
        <v>0</v>
      </c>
      <c r="K4149" s="30">
        <f t="shared" si="196"/>
        <v>0</v>
      </c>
      <c r="L4149" s="26">
        <f t="shared" si="197"/>
        <v>0</v>
      </c>
      <c r="M4149" s="32"/>
    </row>
    <row r="4150" spans="1:13" ht="14.25" customHeight="1">
      <c r="A4150" s="25" t="s">
        <v>13735</v>
      </c>
      <c r="B4150" s="26" t="s">
        <v>5427</v>
      </c>
      <c r="C4150" s="26" t="s">
        <v>13736</v>
      </c>
      <c r="D4150" s="26" t="s">
        <v>13730</v>
      </c>
      <c r="E4150" s="26" t="s">
        <v>5430</v>
      </c>
      <c r="F4150" s="27" t="s">
        <v>13737</v>
      </c>
      <c r="G4150" s="27">
        <v>0</v>
      </c>
      <c r="H4150" s="27">
        <v>0</v>
      </c>
      <c r="I4150" s="27">
        <v>0</v>
      </c>
      <c r="J4150" s="30">
        <f t="shared" si="195"/>
        <v>0</v>
      </c>
      <c r="K4150" s="30">
        <f t="shared" si="196"/>
        <v>0</v>
      </c>
      <c r="L4150" s="26">
        <f t="shared" si="197"/>
        <v>0</v>
      </c>
      <c r="M4150" s="32"/>
    </row>
    <row r="4151" spans="1:13" ht="14.25" customHeight="1">
      <c r="A4151" s="25" t="s">
        <v>13738</v>
      </c>
      <c r="B4151" s="26" t="s">
        <v>5423</v>
      </c>
      <c r="C4151" s="26" t="s">
        <v>13739</v>
      </c>
      <c r="D4151" s="26" t="s">
        <v>13730</v>
      </c>
      <c r="E4151" s="26" t="s">
        <v>5458</v>
      </c>
      <c r="F4151" s="27" t="s">
        <v>13740</v>
      </c>
      <c r="G4151" s="27">
        <v>2</v>
      </c>
      <c r="H4151" s="27">
        <v>0</v>
      </c>
      <c r="I4151" s="27">
        <v>1</v>
      </c>
      <c r="J4151" s="30">
        <f t="shared" si="195"/>
        <v>1</v>
      </c>
      <c r="K4151" s="30">
        <f t="shared" si="196"/>
        <v>0</v>
      </c>
      <c r="L4151" s="26">
        <f t="shared" si="197"/>
        <v>0</v>
      </c>
      <c r="M4151" s="32"/>
    </row>
    <row r="4152" spans="1:13" ht="14.25" customHeight="1">
      <c r="A4152" s="25" t="s">
        <v>13741</v>
      </c>
      <c r="B4152" s="26" t="s">
        <v>5427</v>
      </c>
      <c r="C4152" s="26" t="s">
        <v>13742</v>
      </c>
      <c r="D4152" s="26" t="s">
        <v>13730</v>
      </c>
      <c r="E4152" s="26" t="s">
        <v>5436</v>
      </c>
      <c r="F4152" s="27" t="s">
        <v>13743</v>
      </c>
      <c r="G4152" s="27">
        <v>1</v>
      </c>
      <c r="H4152" s="27">
        <v>0</v>
      </c>
      <c r="I4152" s="27">
        <v>1</v>
      </c>
      <c r="J4152" s="30">
        <f t="shared" si="195"/>
        <v>1</v>
      </c>
      <c r="K4152" s="30">
        <f t="shared" si="196"/>
        <v>0</v>
      </c>
      <c r="L4152" s="26">
        <f t="shared" si="197"/>
        <v>0</v>
      </c>
      <c r="M4152" s="32"/>
    </row>
    <row r="4153" spans="1:13" ht="14.25" customHeight="1">
      <c r="A4153" s="25" t="s">
        <v>13744</v>
      </c>
      <c r="B4153" s="26" t="s">
        <v>5423</v>
      </c>
      <c r="C4153" s="26" t="s">
        <v>13745</v>
      </c>
      <c r="D4153" s="26" t="s">
        <v>13730</v>
      </c>
      <c r="E4153" s="26" t="s">
        <v>5436</v>
      </c>
      <c r="F4153" s="27" t="s">
        <v>13746</v>
      </c>
      <c r="G4153" s="27">
        <v>2</v>
      </c>
      <c r="H4153" s="27">
        <v>0</v>
      </c>
      <c r="I4153" s="27">
        <v>1</v>
      </c>
      <c r="J4153" s="30">
        <f t="shared" si="195"/>
        <v>1</v>
      </c>
      <c r="K4153" s="30">
        <f t="shared" si="196"/>
        <v>0</v>
      </c>
      <c r="L4153" s="26">
        <f t="shared" si="197"/>
        <v>0</v>
      </c>
      <c r="M4153" s="32" t="s">
        <v>13747</v>
      </c>
    </row>
    <row r="4154" spans="1:13" ht="14.25" customHeight="1">
      <c r="A4154" s="25" t="s">
        <v>13748</v>
      </c>
      <c r="B4154" s="26" t="s">
        <v>5423</v>
      </c>
      <c r="C4154" s="26" t="s">
        <v>13749</v>
      </c>
      <c r="D4154" s="26" t="s">
        <v>13750</v>
      </c>
      <c r="E4154" s="26" t="s">
        <v>5442</v>
      </c>
      <c r="F4154" s="27" t="s">
        <v>13751</v>
      </c>
      <c r="G4154" s="27">
        <v>1</v>
      </c>
      <c r="H4154" s="27">
        <v>1</v>
      </c>
      <c r="I4154" s="27">
        <v>1</v>
      </c>
      <c r="J4154" s="30">
        <f t="shared" si="195"/>
        <v>1</v>
      </c>
      <c r="K4154" s="30">
        <f t="shared" si="196"/>
        <v>1</v>
      </c>
      <c r="L4154" s="26">
        <f t="shared" si="197"/>
        <v>1</v>
      </c>
      <c r="M4154" s="32"/>
    </row>
    <row r="4155" spans="1:13" ht="14.25" customHeight="1">
      <c r="A4155" s="25" t="s">
        <v>13752</v>
      </c>
      <c r="B4155" s="26" t="s">
        <v>5423</v>
      </c>
      <c r="C4155" s="26" t="s">
        <v>13753</v>
      </c>
      <c r="D4155" s="26" t="s">
        <v>13750</v>
      </c>
      <c r="E4155" s="26" t="s">
        <v>5683</v>
      </c>
      <c r="F4155" s="27" t="s">
        <v>13754</v>
      </c>
      <c r="G4155" s="27">
        <v>1</v>
      </c>
      <c r="H4155" s="27">
        <v>1</v>
      </c>
      <c r="I4155" s="27">
        <v>1</v>
      </c>
      <c r="J4155" s="30">
        <f t="shared" si="195"/>
        <v>1</v>
      </c>
      <c r="K4155" s="30">
        <f t="shared" si="196"/>
        <v>1</v>
      </c>
      <c r="L4155" s="26">
        <f t="shared" si="197"/>
        <v>1</v>
      </c>
      <c r="M4155" s="32"/>
    </row>
    <row r="4156" spans="1:13" ht="14.25" customHeight="1">
      <c r="A4156" s="25" t="s">
        <v>13755</v>
      </c>
      <c r="B4156" s="26" t="s">
        <v>5423</v>
      </c>
      <c r="C4156" s="26" t="s">
        <v>13756</v>
      </c>
      <c r="D4156" s="26" t="s">
        <v>13757</v>
      </c>
      <c r="E4156" s="26" t="s">
        <v>5436</v>
      </c>
      <c r="F4156" s="27" t="s">
        <v>13758</v>
      </c>
      <c r="G4156" s="27">
        <v>1</v>
      </c>
      <c r="H4156" s="27">
        <v>0</v>
      </c>
      <c r="I4156" s="27">
        <v>1</v>
      </c>
      <c r="J4156" s="30">
        <f t="shared" si="195"/>
        <v>1</v>
      </c>
      <c r="K4156" s="30">
        <f t="shared" si="196"/>
        <v>0</v>
      </c>
      <c r="L4156" s="26">
        <f t="shared" si="197"/>
        <v>0</v>
      </c>
      <c r="M4156" s="32"/>
    </row>
    <row r="4157" spans="1:13" ht="14.25" customHeight="1">
      <c r="A4157" s="25" t="s">
        <v>13759</v>
      </c>
      <c r="B4157" s="26" t="s">
        <v>5423</v>
      </c>
      <c r="C4157" s="26" t="s">
        <v>13760</v>
      </c>
      <c r="D4157" s="26" t="s">
        <v>13761</v>
      </c>
      <c r="E4157" s="26" t="s">
        <v>5439</v>
      </c>
      <c r="F4157" s="27" t="s">
        <v>13762</v>
      </c>
      <c r="G4157" s="27">
        <v>1</v>
      </c>
      <c r="H4157" s="27">
        <v>1</v>
      </c>
      <c r="I4157" s="27">
        <v>1</v>
      </c>
      <c r="J4157" s="30">
        <f t="shared" si="195"/>
        <v>1</v>
      </c>
      <c r="K4157" s="30">
        <f t="shared" si="196"/>
        <v>1</v>
      </c>
      <c r="L4157" s="26">
        <f t="shared" si="197"/>
        <v>1</v>
      </c>
      <c r="M4157" s="32"/>
    </row>
    <row r="4158" spans="1:13" ht="14.25" customHeight="1">
      <c r="A4158" s="25" t="s">
        <v>13763</v>
      </c>
      <c r="B4158" s="26" t="s">
        <v>5423</v>
      </c>
      <c r="C4158" s="26" t="s">
        <v>13764</v>
      </c>
      <c r="D4158" s="26" t="s">
        <v>13761</v>
      </c>
      <c r="E4158" s="26" t="s">
        <v>5535</v>
      </c>
      <c r="F4158" s="27" t="s">
        <v>13765</v>
      </c>
      <c r="G4158" s="27">
        <v>1</v>
      </c>
      <c r="H4158" s="27">
        <v>1</v>
      </c>
      <c r="I4158" s="27">
        <v>1</v>
      </c>
      <c r="J4158" s="30">
        <f t="shared" si="195"/>
        <v>1</v>
      </c>
      <c r="K4158" s="30">
        <f t="shared" si="196"/>
        <v>1</v>
      </c>
      <c r="L4158" s="26">
        <f t="shared" si="197"/>
        <v>1</v>
      </c>
      <c r="M4158" s="32"/>
    </row>
    <row r="4159" spans="1:13" ht="14.25" customHeight="1">
      <c r="A4159" s="25" t="s">
        <v>13766</v>
      </c>
      <c r="B4159" s="26" t="s">
        <v>5423</v>
      </c>
      <c r="C4159" s="26" t="s">
        <v>13767</v>
      </c>
      <c r="D4159" s="26" t="s">
        <v>13761</v>
      </c>
      <c r="E4159" s="26" t="s">
        <v>5517</v>
      </c>
      <c r="F4159" s="27" t="s">
        <v>13768</v>
      </c>
      <c r="G4159" s="27">
        <v>1</v>
      </c>
      <c r="H4159" s="27">
        <v>1</v>
      </c>
      <c r="I4159" s="27">
        <v>1</v>
      </c>
      <c r="J4159" s="30">
        <f t="shared" si="195"/>
        <v>1</v>
      </c>
      <c r="K4159" s="30">
        <f t="shared" si="196"/>
        <v>1</v>
      </c>
      <c r="L4159" s="26">
        <f t="shared" si="197"/>
        <v>1</v>
      </c>
      <c r="M4159" s="32"/>
    </row>
    <row r="4160" spans="1:13" ht="14.25" customHeight="1">
      <c r="A4160" s="25" t="s">
        <v>13769</v>
      </c>
      <c r="B4160" s="26" t="s">
        <v>5427</v>
      </c>
      <c r="C4160" s="26" t="s">
        <v>13770</v>
      </c>
      <c r="D4160" s="26" t="s">
        <v>13771</v>
      </c>
      <c r="E4160" s="26" t="s">
        <v>5504</v>
      </c>
      <c r="F4160" s="27" t="s">
        <v>13772</v>
      </c>
      <c r="G4160" s="27">
        <v>1</v>
      </c>
      <c r="H4160" s="27">
        <v>0</v>
      </c>
      <c r="I4160" s="27">
        <v>1</v>
      </c>
      <c r="J4160" s="30">
        <f t="shared" si="195"/>
        <v>1</v>
      </c>
      <c r="K4160" s="30">
        <f t="shared" si="196"/>
        <v>0</v>
      </c>
      <c r="L4160" s="26">
        <f t="shared" si="197"/>
        <v>0</v>
      </c>
      <c r="M4160" s="32"/>
    </row>
    <row r="4161" spans="1:13" ht="14.25" customHeight="1">
      <c r="A4161" s="25" t="s">
        <v>13773</v>
      </c>
      <c r="B4161" s="26" t="s">
        <v>5423</v>
      </c>
      <c r="C4161" s="26" t="s">
        <v>13774</v>
      </c>
      <c r="D4161" s="26" t="s">
        <v>13771</v>
      </c>
      <c r="E4161" s="26" t="s">
        <v>5603</v>
      </c>
      <c r="F4161" s="27" t="s">
        <v>13775</v>
      </c>
      <c r="G4161" s="27">
        <v>1</v>
      </c>
      <c r="H4161" s="27">
        <v>0</v>
      </c>
      <c r="I4161" s="27">
        <v>1</v>
      </c>
      <c r="J4161" s="30">
        <f t="shared" si="195"/>
        <v>1</v>
      </c>
      <c r="K4161" s="30">
        <f t="shared" si="196"/>
        <v>0</v>
      </c>
      <c r="L4161" s="26">
        <f t="shared" si="197"/>
        <v>0</v>
      </c>
      <c r="M4161" s="32"/>
    </row>
    <row r="4162" spans="1:13" ht="14.25" customHeight="1">
      <c r="A4162" s="25" t="s">
        <v>13776</v>
      </c>
      <c r="B4162" s="26" t="s">
        <v>5423</v>
      </c>
      <c r="C4162" s="26" t="s">
        <v>13777</v>
      </c>
      <c r="D4162" s="26" t="s">
        <v>13778</v>
      </c>
      <c r="E4162" s="26" t="s">
        <v>5436</v>
      </c>
      <c r="F4162" s="27" t="s">
        <v>13779</v>
      </c>
      <c r="G4162" s="27">
        <v>1</v>
      </c>
      <c r="H4162" s="27">
        <v>0</v>
      </c>
      <c r="I4162" s="27">
        <v>1</v>
      </c>
      <c r="J4162" s="30">
        <f t="shared" si="195"/>
        <v>1</v>
      </c>
      <c r="K4162" s="30">
        <f t="shared" si="196"/>
        <v>0</v>
      </c>
      <c r="L4162" s="26">
        <f t="shared" si="197"/>
        <v>0</v>
      </c>
      <c r="M4162" s="32"/>
    </row>
    <row r="4163" spans="1:13" ht="14.25" customHeight="1">
      <c r="A4163" s="25" t="s">
        <v>13780</v>
      </c>
      <c r="B4163" s="26" t="s">
        <v>5423</v>
      </c>
      <c r="C4163" s="26" t="s">
        <v>13781</v>
      </c>
      <c r="D4163" s="26" t="s">
        <v>13778</v>
      </c>
      <c r="E4163" s="26" t="s">
        <v>5442</v>
      </c>
      <c r="F4163" s="27" t="s">
        <v>13782</v>
      </c>
      <c r="G4163" s="27">
        <v>0</v>
      </c>
      <c r="H4163" s="27">
        <v>0</v>
      </c>
      <c r="I4163" s="27">
        <v>0</v>
      </c>
      <c r="J4163" s="30">
        <f t="shared" si="195"/>
        <v>0</v>
      </c>
      <c r="K4163" s="30">
        <f t="shared" si="196"/>
        <v>0</v>
      </c>
      <c r="L4163" s="26">
        <f t="shared" si="197"/>
        <v>0</v>
      </c>
      <c r="M4163" s="32"/>
    </row>
    <row r="4164" spans="1:13" ht="14.25" customHeight="1">
      <c r="A4164" s="25" t="s">
        <v>13783</v>
      </c>
      <c r="B4164" s="26" t="s">
        <v>5423</v>
      </c>
      <c r="C4164" s="26" t="s">
        <v>13784</v>
      </c>
      <c r="D4164" s="26" t="s">
        <v>13778</v>
      </c>
      <c r="E4164" s="26" t="s">
        <v>5458</v>
      </c>
      <c r="F4164" s="27" t="s">
        <v>13785</v>
      </c>
      <c r="G4164" s="27">
        <v>2</v>
      </c>
      <c r="H4164" s="27">
        <v>0</v>
      </c>
      <c r="I4164" s="27">
        <v>1</v>
      </c>
      <c r="J4164" s="30">
        <f t="shared" si="195"/>
        <v>1</v>
      </c>
      <c r="K4164" s="30">
        <f t="shared" si="196"/>
        <v>0</v>
      </c>
      <c r="L4164" s="26">
        <f t="shared" si="197"/>
        <v>0</v>
      </c>
      <c r="M4164" s="32"/>
    </row>
    <row r="4165" spans="1:13" ht="14.25" customHeight="1">
      <c r="A4165" s="25" t="s">
        <v>13786</v>
      </c>
      <c r="B4165" s="26" t="s">
        <v>5423</v>
      </c>
      <c r="C4165" s="26" t="s">
        <v>13787</v>
      </c>
      <c r="D4165" s="26" t="s">
        <v>13778</v>
      </c>
      <c r="E4165" s="26" t="s">
        <v>5455</v>
      </c>
      <c r="F4165" s="27" t="s">
        <v>13788</v>
      </c>
      <c r="G4165" s="27">
        <v>1</v>
      </c>
      <c r="H4165" s="27">
        <v>0</v>
      </c>
      <c r="I4165" s="27">
        <v>1</v>
      </c>
      <c r="J4165" s="30">
        <f t="shared" si="195"/>
        <v>1</v>
      </c>
      <c r="K4165" s="30">
        <f t="shared" si="196"/>
        <v>0</v>
      </c>
      <c r="L4165" s="26">
        <f t="shared" si="197"/>
        <v>0</v>
      </c>
      <c r="M4165" s="32"/>
    </row>
    <row r="4166" spans="1:13" ht="14.25" customHeight="1">
      <c r="A4166" s="25" t="s">
        <v>13789</v>
      </c>
      <c r="B4166" s="26" t="s">
        <v>5423</v>
      </c>
      <c r="C4166" s="26" t="s">
        <v>13790</v>
      </c>
      <c r="D4166" s="26" t="s">
        <v>13778</v>
      </c>
      <c r="E4166" s="26" t="s">
        <v>5452</v>
      </c>
      <c r="F4166" s="27" t="s">
        <v>13791</v>
      </c>
      <c r="G4166" s="27">
        <v>0</v>
      </c>
      <c r="H4166" s="27">
        <v>0</v>
      </c>
      <c r="I4166" s="27">
        <v>0</v>
      </c>
      <c r="J4166" s="30">
        <f t="shared" si="195"/>
        <v>0</v>
      </c>
      <c r="K4166" s="30">
        <f t="shared" si="196"/>
        <v>0</v>
      </c>
      <c r="L4166" s="26">
        <f t="shared" si="197"/>
        <v>0</v>
      </c>
      <c r="M4166" s="32"/>
    </row>
    <row r="4167" spans="1:13" ht="14.25" customHeight="1">
      <c r="A4167" s="25" t="s">
        <v>13792</v>
      </c>
      <c r="B4167" s="26" t="s">
        <v>5423</v>
      </c>
      <c r="C4167" s="26" t="s">
        <v>13793</v>
      </c>
      <c r="D4167" s="26" t="s">
        <v>13778</v>
      </c>
      <c r="E4167" s="26" t="s">
        <v>5517</v>
      </c>
      <c r="F4167" s="27" t="s">
        <v>13794</v>
      </c>
      <c r="G4167" s="27">
        <v>1</v>
      </c>
      <c r="H4167" s="27">
        <v>0</v>
      </c>
      <c r="I4167" s="27">
        <v>1</v>
      </c>
      <c r="J4167" s="30">
        <f t="shared" si="195"/>
        <v>1</v>
      </c>
      <c r="K4167" s="30">
        <f t="shared" si="196"/>
        <v>0</v>
      </c>
      <c r="L4167" s="26">
        <f t="shared" si="197"/>
        <v>0</v>
      </c>
      <c r="M4167" s="32"/>
    </row>
    <row r="4168" spans="1:13" ht="14.25" customHeight="1">
      <c r="A4168" s="25" t="s">
        <v>13795</v>
      </c>
      <c r="B4168" s="26" t="s">
        <v>5427</v>
      </c>
      <c r="C4168" s="26" t="s">
        <v>13796</v>
      </c>
      <c r="D4168" s="26" t="s">
        <v>13797</v>
      </c>
      <c r="E4168" s="26" t="s">
        <v>5455</v>
      </c>
      <c r="F4168" s="27" t="s">
        <v>13798</v>
      </c>
      <c r="G4168" s="27">
        <v>1</v>
      </c>
      <c r="H4168" s="27">
        <v>1</v>
      </c>
      <c r="I4168" s="27">
        <v>1</v>
      </c>
      <c r="J4168" s="30">
        <f t="shared" si="195"/>
        <v>1</v>
      </c>
      <c r="K4168" s="30">
        <f t="shared" si="196"/>
        <v>1</v>
      </c>
      <c r="L4168" s="26">
        <f t="shared" si="197"/>
        <v>1</v>
      </c>
      <c r="M4168" s="32"/>
    </row>
    <row r="4169" spans="1:13" ht="14.25" customHeight="1">
      <c r="A4169" s="25" t="s">
        <v>13799</v>
      </c>
      <c r="B4169" s="26" t="s">
        <v>5427</v>
      </c>
      <c r="C4169" s="26" t="s">
        <v>13800</v>
      </c>
      <c r="D4169" s="26" t="s">
        <v>13801</v>
      </c>
      <c r="E4169" s="26" t="s">
        <v>5455</v>
      </c>
      <c r="F4169" s="27" t="s">
        <v>13802</v>
      </c>
      <c r="G4169" s="27">
        <v>2</v>
      </c>
      <c r="H4169" s="27">
        <v>0</v>
      </c>
      <c r="I4169" s="27">
        <v>1</v>
      </c>
      <c r="J4169" s="30">
        <f t="shared" si="195"/>
        <v>1</v>
      </c>
      <c r="K4169" s="30">
        <f t="shared" si="196"/>
        <v>0</v>
      </c>
      <c r="L4169" s="26">
        <f t="shared" si="197"/>
        <v>0</v>
      </c>
      <c r="M4169" s="32" t="s">
        <v>13747</v>
      </c>
    </row>
    <row r="4170" spans="1:13" ht="14.25" customHeight="1">
      <c r="A4170" s="25" t="s">
        <v>13803</v>
      </c>
      <c r="B4170" s="26" t="s">
        <v>5423</v>
      </c>
      <c r="C4170" s="26" t="s">
        <v>13804</v>
      </c>
      <c r="D4170" s="26" t="s">
        <v>13801</v>
      </c>
      <c r="E4170" s="26" t="s">
        <v>5610</v>
      </c>
      <c r="F4170" s="27" t="s">
        <v>13805</v>
      </c>
      <c r="G4170" s="27">
        <v>1</v>
      </c>
      <c r="H4170" s="27">
        <v>1</v>
      </c>
      <c r="I4170" s="27">
        <v>1</v>
      </c>
      <c r="J4170" s="30">
        <f t="shared" si="195"/>
        <v>1</v>
      </c>
      <c r="K4170" s="30">
        <f t="shared" si="196"/>
        <v>1</v>
      </c>
      <c r="L4170" s="26">
        <f t="shared" si="197"/>
        <v>1</v>
      </c>
      <c r="M4170" s="32"/>
    </row>
    <row r="4171" spans="1:13" ht="14.25" customHeight="1">
      <c r="A4171" s="25" t="s">
        <v>13806</v>
      </c>
      <c r="B4171" s="26" t="s">
        <v>5427</v>
      </c>
      <c r="C4171" s="26" t="s">
        <v>13807</v>
      </c>
      <c r="D4171" s="26" t="s">
        <v>13801</v>
      </c>
      <c r="E4171" s="26" t="s">
        <v>5707</v>
      </c>
      <c r="F4171" s="27" t="s">
        <v>13808</v>
      </c>
      <c r="G4171" s="27">
        <v>1</v>
      </c>
      <c r="H4171" s="27">
        <v>1</v>
      </c>
      <c r="I4171" s="27">
        <v>1</v>
      </c>
      <c r="J4171" s="30">
        <f t="shared" si="195"/>
        <v>1</v>
      </c>
      <c r="K4171" s="30">
        <f t="shared" si="196"/>
        <v>1</v>
      </c>
      <c r="L4171" s="26">
        <f t="shared" si="197"/>
        <v>1</v>
      </c>
      <c r="M4171" s="32"/>
    </row>
    <row r="4172" spans="1:13" ht="14.25" customHeight="1">
      <c r="A4172" s="25" t="s">
        <v>13809</v>
      </c>
      <c r="B4172" s="26" t="s">
        <v>5427</v>
      </c>
      <c r="C4172" s="26" t="s">
        <v>13810</v>
      </c>
      <c r="D4172" s="26" t="s">
        <v>13801</v>
      </c>
      <c r="E4172" s="26" t="s">
        <v>5485</v>
      </c>
      <c r="F4172" s="27" t="s">
        <v>13811</v>
      </c>
      <c r="G4172" s="27">
        <v>0</v>
      </c>
      <c r="H4172" s="27">
        <v>0</v>
      </c>
      <c r="I4172" s="27">
        <v>0</v>
      </c>
      <c r="J4172" s="30">
        <f t="shared" ref="J4172:J4214" si="198">IF(G4172&gt;0,1,0)</f>
        <v>0</v>
      </c>
      <c r="K4172" s="30">
        <f t="shared" ref="K4172:K4214" si="199">IF(H4172&gt;0,1,0)</f>
        <v>0</v>
      </c>
      <c r="L4172" s="26">
        <f t="shared" ref="L4172:L4214" si="200">IF(G4172&gt;0,IF(H4172&gt;0,1,0),0)</f>
        <v>0</v>
      </c>
      <c r="M4172" s="32"/>
    </row>
    <row r="4173" spans="1:13" ht="14.25" customHeight="1">
      <c r="A4173" s="25" t="s">
        <v>13812</v>
      </c>
      <c r="B4173" s="26" t="s">
        <v>5423</v>
      </c>
      <c r="C4173" s="26" t="s">
        <v>13813</v>
      </c>
      <c r="D4173" s="26" t="s">
        <v>13801</v>
      </c>
      <c r="E4173" s="26" t="s">
        <v>5430</v>
      </c>
      <c r="F4173" s="27" t="s">
        <v>13814</v>
      </c>
      <c r="G4173" s="27">
        <v>1</v>
      </c>
      <c r="H4173" s="27">
        <v>0</v>
      </c>
      <c r="I4173" s="27">
        <v>1</v>
      </c>
      <c r="J4173" s="30">
        <f t="shared" si="198"/>
        <v>1</v>
      </c>
      <c r="K4173" s="30">
        <f t="shared" si="199"/>
        <v>0</v>
      </c>
      <c r="L4173" s="26">
        <f t="shared" si="200"/>
        <v>0</v>
      </c>
      <c r="M4173" s="32"/>
    </row>
    <row r="4174" spans="1:13" ht="14.25" customHeight="1">
      <c r="A4174" s="25" t="s">
        <v>13815</v>
      </c>
      <c r="B4174" s="26" t="s">
        <v>5427</v>
      </c>
      <c r="C4174" s="26" t="s">
        <v>13816</v>
      </c>
      <c r="D4174" s="26" t="s">
        <v>13801</v>
      </c>
      <c r="E4174" s="26" t="s">
        <v>5683</v>
      </c>
      <c r="F4174" s="27" t="s">
        <v>13817</v>
      </c>
      <c r="G4174" s="27">
        <v>0</v>
      </c>
      <c r="H4174" s="27">
        <v>0</v>
      </c>
      <c r="I4174" s="27">
        <v>0</v>
      </c>
      <c r="J4174" s="30">
        <f t="shared" si="198"/>
        <v>0</v>
      </c>
      <c r="K4174" s="30">
        <f t="shared" si="199"/>
        <v>0</v>
      </c>
      <c r="L4174" s="26">
        <f t="shared" si="200"/>
        <v>0</v>
      </c>
      <c r="M4174" s="32"/>
    </row>
    <row r="4175" spans="1:13" ht="14.25" customHeight="1">
      <c r="A4175" s="25" t="s">
        <v>13818</v>
      </c>
      <c r="B4175" s="26" t="s">
        <v>5423</v>
      </c>
      <c r="C4175" s="26" t="s">
        <v>13819</v>
      </c>
      <c r="D4175" s="26" t="s">
        <v>13801</v>
      </c>
      <c r="E4175" s="26" t="s">
        <v>5586</v>
      </c>
      <c r="F4175" s="27" t="s">
        <v>13820</v>
      </c>
      <c r="G4175" s="27">
        <v>1</v>
      </c>
      <c r="H4175" s="27">
        <v>0</v>
      </c>
      <c r="I4175" s="27">
        <v>1</v>
      </c>
      <c r="J4175" s="30">
        <f t="shared" si="198"/>
        <v>1</v>
      </c>
      <c r="K4175" s="30">
        <f t="shared" si="199"/>
        <v>0</v>
      </c>
      <c r="L4175" s="26">
        <f t="shared" si="200"/>
        <v>0</v>
      </c>
      <c r="M4175" s="32"/>
    </row>
    <row r="4176" spans="1:13" ht="14.25" customHeight="1">
      <c r="A4176" s="25" t="s">
        <v>13821</v>
      </c>
      <c r="B4176" s="26" t="s">
        <v>5423</v>
      </c>
      <c r="C4176" s="26" t="s">
        <v>13822</v>
      </c>
      <c r="D4176" s="26" t="s">
        <v>13823</v>
      </c>
      <c r="E4176" s="26" t="s">
        <v>5436</v>
      </c>
      <c r="F4176" s="27" t="s">
        <v>13824</v>
      </c>
      <c r="G4176" s="27">
        <v>1</v>
      </c>
      <c r="H4176" s="27">
        <v>0</v>
      </c>
      <c r="I4176" s="27">
        <v>1</v>
      </c>
      <c r="J4176" s="30">
        <f t="shared" si="198"/>
        <v>1</v>
      </c>
      <c r="K4176" s="30">
        <f t="shared" si="199"/>
        <v>0</v>
      </c>
      <c r="L4176" s="26">
        <f t="shared" si="200"/>
        <v>0</v>
      </c>
      <c r="M4176" s="32"/>
    </row>
    <row r="4177" spans="1:13" ht="14.25" customHeight="1">
      <c r="A4177" s="25" t="s">
        <v>13825</v>
      </c>
      <c r="B4177" s="26" t="s">
        <v>5423</v>
      </c>
      <c r="C4177" s="26" t="s">
        <v>13826</v>
      </c>
      <c r="D4177" s="26" t="s">
        <v>13823</v>
      </c>
      <c r="E4177" s="26" t="s">
        <v>5430</v>
      </c>
      <c r="F4177" s="27" t="s">
        <v>13827</v>
      </c>
      <c r="G4177" s="27">
        <v>1</v>
      </c>
      <c r="H4177" s="27">
        <v>0</v>
      </c>
      <c r="I4177" s="27">
        <v>1</v>
      </c>
      <c r="J4177" s="30">
        <f t="shared" si="198"/>
        <v>1</v>
      </c>
      <c r="K4177" s="30">
        <f t="shared" si="199"/>
        <v>0</v>
      </c>
      <c r="L4177" s="26">
        <f t="shared" si="200"/>
        <v>0</v>
      </c>
      <c r="M4177" s="32"/>
    </row>
    <row r="4178" spans="1:13" ht="14.25" customHeight="1">
      <c r="A4178" s="25" t="s">
        <v>13828</v>
      </c>
      <c r="B4178" s="26" t="s">
        <v>5423</v>
      </c>
      <c r="C4178" s="26" t="s">
        <v>13829</v>
      </c>
      <c r="D4178" s="26" t="s">
        <v>13823</v>
      </c>
      <c r="E4178" s="26" t="s">
        <v>5436</v>
      </c>
      <c r="F4178" s="27" t="s">
        <v>13830</v>
      </c>
      <c r="G4178" s="27">
        <v>2</v>
      </c>
      <c r="H4178" s="27">
        <v>0</v>
      </c>
      <c r="I4178" s="27">
        <v>1</v>
      </c>
      <c r="J4178" s="30">
        <f t="shared" si="198"/>
        <v>1</v>
      </c>
      <c r="K4178" s="30">
        <f t="shared" si="199"/>
        <v>0</v>
      </c>
      <c r="L4178" s="26">
        <f t="shared" si="200"/>
        <v>0</v>
      </c>
      <c r="M4178" s="32"/>
    </row>
    <row r="4179" spans="1:13" ht="14.25" customHeight="1">
      <c r="A4179" s="25" t="s">
        <v>13831</v>
      </c>
      <c r="B4179" s="26" t="s">
        <v>5423</v>
      </c>
      <c r="C4179" s="26" t="s">
        <v>13832</v>
      </c>
      <c r="D4179" s="26" t="s">
        <v>13823</v>
      </c>
      <c r="E4179" s="26" t="s">
        <v>5535</v>
      </c>
      <c r="F4179" s="27" t="s">
        <v>13833</v>
      </c>
      <c r="G4179" s="27">
        <v>1</v>
      </c>
      <c r="H4179" s="27">
        <v>0</v>
      </c>
      <c r="I4179" s="27">
        <v>1</v>
      </c>
      <c r="J4179" s="30">
        <f t="shared" si="198"/>
        <v>1</v>
      </c>
      <c r="K4179" s="30">
        <f t="shared" si="199"/>
        <v>0</v>
      </c>
      <c r="L4179" s="26">
        <f t="shared" si="200"/>
        <v>0</v>
      </c>
      <c r="M4179" s="32"/>
    </row>
    <row r="4180" spans="1:13" ht="14.25" customHeight="1">
      <c r="A4180" s="25" t="s">
        <v>13834</v>
      </c>
      <c r="B4180" s="26" t="s">
        <v>5427</v>
      </c>
      <c r="C4180" s="26" t="s">
        <v>13835</v>
      </c>
      <c r="D4180" s="26" t="s">
        <v>13836</v>
      </c>
      <c r="E4180" s="26" t="s">
        <v>5447</v>
      </c>
      <c r="F4180" s="27" t="s">
        <v>13837</v>
      </c>
      <c r="G4180" s="27">
        <v>1</v>
      </c>
      <c r="H4180" s="27">
        <v>0</v>
      </c>
      <c r="I4180" s="27">
        <v>1</v>
      </c>
      <c r="J4180" s="30">
        <f t="shared" si="198"/>
        <v>1</v>
      </c>
      <c r="K4180" s="30">
        <f t="shared" si="199"/>
        <v>0</v>
      </c>
      <c r="L4180" s="26">
        <f t="shared" si="200"/>
        <v>0</v>
      </c>
      <c r="M4180" s="32"/>
    </row>
    <row r="4181" spans="1:13" ht="14.25" customHeight="1">
      <c r="A4181" s="25" t="s">
        <v>13838</v>
      </c>
      <c r="B4181" s="26" t="s">
        <v>5427</v>
      </c>
      <c r="C4181" s="26" t="s">
        <v>13839</v>
      </c>
      <c r="D4181" s="26" t="s">
        <v>13836</v>
      </c>
      <c r="E4181" s="26" t="s">
        <v>6075</v>
      </c>
      <c r="F4181" s="27" t="s">
        <v>13840</v>
      </c>
      <c r="G4181" s="27">
        <v>1</v>
      </c>
      <c r="H4181" s="27">
        <v>0</v>
      </c>
      <c r="I4181" s="27">
        <v>1</v>
      </c>
      <c r="J4181" s="30">
        <f t="shared" si="198"/>
        <v>1</v>
      </c>
      <c r="K4181" s="30">
        <f t="shared" si="199"/>
        <v>0</v>
      </c>
      <c r="L4181" s="26">
        <f t="shared" si="200"/>
        <v>0</v>
      </c>
      <c r="M4181" s="32"/>
    </row>
    <row r="4182" spans="1:13" ht="14.25" customHeight="1">
      <c r="A4182" s="25" t="s">
        <v>13841</v>
      </c>
      <c r="B4182" s="26" t="s">
        <v>5427</v>
      </c>
      <c r="C4182" s="26" t="s">
        <v>13842</v>
      </c>
      <c r="D4182" s="26" t="s">
        <v>13843</v>
      </c>
      <c r="E4182" s="26" t="s">
        <v>5455</v>
      </c>
      <c r="F4182" s="27">
        <v>6596801</v>
      </c>
      <c r="G4182" s="27">
        <v>1</v>
      </c>
      <c r="H4182" s="27">
        <v>0</v>
      </c>
      <c r="I4182" s="27">
        <v>1</v>
      </c>
      <c r="J4182" s="30">
        <f t="shared" si="198"/>
        <v>1</v>
      </c>
      <c r="K4182" s="30">
        <f t="shared" si="199"/>
        <v>0</v>
      </c>
      <c r="L4182" s="26">
        <f t="shared" si="200"/>
        <v>0</v>
      </c>
      <c r="M4182" s="32"/>
    </row>
    <row r="4183" spans="1:13" ht="14.25" customHeight="1">
      <c r="A4183" s="25" t="s">
        <v>13844</v>
      </c>
      <c r="B4183" s="26" t="s">
        <v>5423</v>
      </c>
      <c r="C4183" s="26" t="s">
        <v>13845</v>
      </c>
      <c r="D4183" s="26" t="s">
        <v>13843</v>
      </c>
      <c r="E4183" s="26" t="s">
        <v>5488</v>
      </c>
      <c r="F4183" s="27" t="s">
        <v>13846</v>
      </c>
      <c r="G4183" s="27">
        <v>1</v>
      </c>
      <c r="H4183" s="27">
        <v>0</v>
      </c>
      <c r="I4183" s="27">
        <v>1</v>
      </c>
      <c r="J4183" s="30">
        <f t="shared" si="198"/>
        <v>1</v>
      </c>
      <c r="K4183" s="30">
        <f t="shared" si="199"/>
        <v>0</v>
      </c>
      <c r="L4183" s="26">
        <f t="shared" si="200"/>
        <v>0</v>
      </c>
      <c r="M4183" s="32"/>
    </row>
    <row r="4184" spans="1:13" ht="14.25" customHeight="1">
      <c r="A4184" s="25" t="s">
        <v>13847</v>
      </c>
      <c r="B4184" s="26" t="s">
        <v>5423</v>
      </c>
      <c r="C4184" s="26" t="s">
        <v>13848</v>
      </c>
      <c r="D4184" s="26" t="s">
        <v>13843</v>
      </c>
      <c r="E4184" s="26" t="s">
        <v>5603</v>
      </c>
      <c r="F4184" s="27" t="s">
        <v>13849</v>
      </c>
      <c r="G4184" s="27">
        <v>1</v>
      </c>
      <c r="H4184" s="27">
        <v>0</v>
      </c>
      <c r="I4184" s="27">
        <v>1</v>
      </c>
      <c r="J4184" s="30">
        <f t="shared" si="198"/>
        <v>1</v>
      </c>
      <c r="K4184" s="30">
        <f t="shared" si="199"/>
        <v>0</v>
      </c>
      <c r="L4184" s="26">
        <f t="shared" si="200"/>
        <v>0</v>
      </c>
      <c r="M4184" s="32"/>
    </row>
    <row r="4185" spans="1:13" ht="14.25" customHeight="1">
      <c r="A4185" s="25" t="s">
        <v>13850</v>
      </c>
      <c r="B4185" s="26" t="s">
        <v>5423</v>
      </c>
      <c r="C4185" s="26" t="s">
        <v>13851</v>
      </c>
      <c r="D4185" s="26" t="s">
        <v>13843</v>
      </c>
      <c r="E4185" s="26" t="s">
        <v>5540</v>
      </c>
      <c r="F4185" s="27" t="s">
        <v>13852</v>
      </c>
      <c r="G4185" s="27">
        <v>1</v>
      </c>
      <c r="H4185" s="27">
        <v>0</v>
      </c>
      <c r="I4185" s="27">
        <v>1</v>
      </c>
      <c r="J4185" s="30">
        <f t="shared" si="198"/>
        <v>1</v>
      </c>
      <c r="K4185" s="30">
        <f t="shared" si="199"/>
        <v>0</v>
      </c>
      <c r="L4185" s="26">
        <f t="shared" si="200"/>
        <v>0</v>
      </c>
      <c r="M4185" s="32"/>
    </row>
    <row r="4186" spans="1:13" ht="14.25" customHeight="1">
      <c r="A4186" s="25" t="s">
        <v>13853</v>
      </c>
      <c r="B4186" s="26" t="s">
        <v>5423</v>
      </c>
      <c r="C4186" s="26" t="s">
        <v>13854</v>
      </c>
      <c r="D4186" s="26" t="s">
        <v>13843</v>
      </c>
      <c r="E4186" s="26" t="s">
        <v>5504</v>
      </c>
      <c r="F4186" s="27" t="s">
        <v>13855</v>
      </c>
      <c r="G4186" s="27">
        <v>1</v>
      </c>
      <c r="H4186" s="27">
        <v>0</v>
      </c>
      <c r="I4186" s="27">
        <v>1</v>
      </c>
      <c r="J4186" s="30">
        <f t="shared" si="198"/>
        <v>1</v>
      </c>
      <c r="K4186" s="30">
        <f t="shared" si="199"/>
        <v>0</v>
      </c>
      <c r="L4186" s="26">
        <f t="shared" si="200"/>
        <v>0</v>
      </c>
      <c r="M4186" s="32"/>
    </row>
    <row r="4187" spans="1:13" ht="14.25" customHeight="1">
      <c r="A4187" s="25" t="s">
        <v>13856</v>
      </c>
      <c r="B4187" s="26" t="s">
        <v>5427</v>
      </c>
      <c r="C4187" s="26" t="s">
        <v>13857</v>
      </c>
      <c r="D4187" s="26" t="s">
        <v>13843</v>
      </c>
      <c r="E4187" s="26" t="s">
        <v>5504</v>
      </c>
      <c r="F4187" s="27" t="s">
        <v>13858</v>
      </c>
      <c r="G4187" s="27">
        <v>1</v>
      </c>
      <c r="H4187" s="27">
        <v>0</v>
      </c>
      <c r="I4187" s="27">
        <v>1</v>
      </c>
      <c r="J4187" s="30">
        <f t="shared" si="198"/>
        <v>1</v>
      </c>
      <c r="K4187" s="30">
        <f t="shared" si="199"/>
        <v>0</v>
      </c>
      <c r="L4187" s="26">
        <f t="shared" si="200"/>
        <v>0</v>
      </c>
      <c r="M4187" s="32"/>
    </row>
    <row r="4188" spans="1:13" ht="14.25" customHeight="1">
      <c r="A4188" s="25" t="s">
        <v>13859</v>
      </c>
      <c r="B4188" s="26" t="s">
        <v>5427</v>
      </c>
      <c r="C4188" s="26" t="s">
        <v>13860</v>
      </c>
      <c r="D4188" s="26" t="s">
        <v>13843</v>
      </c>
      <c r="E4188" s="26" t="s">
        <v>5575</v>
      </c>
      <c r="F4188" s="27" t="s">
        <v>13861</v>
      </c>
      <c r="G4188" s="27">
        <v>1</v>
      </c>
      <c r="H4188" s="27">
        <v>0</v>
      </c>
      <c r="I4188" s="27">
        <v>1</v>
      </c>
      <c r="J4188" s="30">
        <f t="shared" si="198"/>
        <v>1</v>
      </c>
      <c r="K4188" s="30">
        <f t="shared" si="199"/>
        <v>0</v>
      </c>
      <c r="L4188" s="26">
        <f t="shared" si="200"/>
        <v>0</v>
      </c>
      <c r="M4188" s="32"/>
    </row>
    <row r="4189" spans="1:13" ht="14.25" customHeight="1">
      <c r="A4189" s="25" t="s">
        <v>13862</v>
      </c>
      <c r="B4189" s="26" t="s">
        <v>5423</v>
      </c>
      <c r="C4189" s="26" t="s">
        <v>13863</v>
      </c>
      <c r="D4189" s="26" t="s">
        <v>13843</v>
      </c>
      <c r="E4189" s="26" t="s">
        <v>5442</v>
      </c>
      <c r="F4189" s="27" t="s">
        <v>13864</v>
      </c>
      <c r="G4189" s="27">
        <v>2</v>
      </c>
      <c r="H4189" s="27">
        <v>1</v>
      </c>
      <c r="I4189" s="27">
        <v>1</v>
      </c>
      <c r="J4189" s="30">
        <f t="shared" si="198"/>
        <v>1</v>
      </c>
      <c r="K4189" s="30">
        <f t="shared" si="199"/>
        <v>1</v>
      </c>
      <c r="L4189" s="26">
        <f t="shared" si="200"/>
        <v>1</v>
      </c>
      <c r="M4189" s="32"/>
    </row>
    <row r="4190" spans="1:13" ht="14.25" customHeight="1">
      <c r="A4190" s="25" t="s">
        <v>13865</v>
      </c>
      <c r="B4190" s="26" t="s">
        <v>5423</v>
      </c>
      <c r="C4190" s="26" t="s">
        <v>13866</v>
      </c>
      <c r="D4190" s="26" t="s">
        <v>13843</v>
      </c>
      <c r="E4190" s="26" t="s">
        <v>5545</v>
      </c>
      <c r="F4190" s="27" t="s">
        <v>13867</v>
      </c>
      <c r="G4190" s="27">
        <v>1</v>
      </c>
      <c r="H4190" s="27">
        <v>0</v>
      </c>
      <c r="I4190" s="27">
        <v>1</v>
      </c>
      <c r="J4190" s="30">
        <f t="shared" si="198"/>
        <v>1</v>
      </c>
      <c r="K4190" s="30">
        <f t="shared" si="199"/>
        <v>0</v>
      </c>
      <c r="L4190" s="26">
        <f t="shared" si="200"/>
        <v>0</v>
      </c>
      <c r="M4190" s="32"/>
    </row>
    <row r="4191" spans="1:13" ht="14.25" customHeight="1">
      <c r="A4191" s="25" t="s">
        <v>13868</v>
      </c>
      <c r="B4191" s="26" t="s">
        <v>5423</v>
      </c>
      <c r="C4191" s="26" t="s">
        <v>13869</v>
      </c>
      <c r="D4191" s="26" t="s">
        <v>13843</v>
      </c>
      <c r="E4191" s="26" t="s">
        <v>5458</v>
      </c>
      <c r="F4191" s="27" t="s">
        <v>13870</v>
      </c>
      <c r="G4191" s="27">
        <v>0</v>
      </c>
      <c r="H4191" s="27">
        <v>0</v>
      </c>
      <c r="I4191" s="27">
        <v>0</v>
      </c>
      <c r="J4191" s="30">
        <f t="shared" si="198"/>
        <v>0</v>
      </c>
      <c r="K4191" s="30">
        <f t="shared" si="199"/>
        <v>0</v>
      </c>
      <c r="L4191" s="26">
        <f t="shared" si="200"/>
        <v>0</v>
      </c>
      <c r="M4191" s="32"/>
    </row>
    <row r="4192" spans="1:13" ht="14.25" customHeight="1">
      <c r="A4192" s="25" t="s">
        <v>13871</v>
      </c>
      <c r="B4192" s="26" t="s">
        <v>5427</v>
      </c>
      <c r="C4192" s="26" t="s">
        <v>13872</v>
      </c>
      <c r="D4192" s="26" t="s">
        <v>13843</v>
      </c>
      <c r="E4192" s="26" t="s">
        <v>5455</v>
      </c>
      <c r="F4192" s="27">
        <v>6624947</v>
      </c>
      <c r="G4192" s="27">
        <v>1</v>
      </c>
      <c r="H4192" s="27">
        <v>1</v>
      </c>
      <c r="I4192" s="27">
        <v>1</v>
      </c>
      <c r="J4192" s="30">
        <f t="shared" si="198"/>
        <v>1</v>
      </c>
      <c r="K4192" s="30">
        <f t="shared" si="199"/>
        <v>1</v>
      </c>
      <c r="L4192" s="26">
        <f t="shared" si="200"/>
        <v>1</v>
      </c>
      <c r="M4192" s="32"/>
    </row>
    <row r="4193" spans="1:13" ht="14.25" customHeight="1">
      <c r="A4193" s="25" t="s">
        <v>13873</v>
      </c>
      <c r="B4193" s="26" t="s">
        <v>5427</v>
      </c>
      <c r="C4193" s="26" t="s">
        <v>13874</v>
      </c>
      <c r="D4193" s="26" t="s">
        <v>13875</v>
      </c>
      <c r="E4193" s="26" t="s">
        <v>5458</v>
      </c>
      <c r="F4193" s="27" t="s">
        <v>13876</v>
      </c>
      <c r="G4193" s="27">
        <v>1</v>
      </c>
      <c r="H4193" s="27">
        <v>1</v>
      </c>
      <c r="I4193" s="27">
        <v>1</v>
      </c>
      <c r="J4193" s="30">
        <f t="shared" si="198"/>
        <v>1</v>
      </c>
      <c r="K4193" s="30">
        <f t="shared" si="199"/>
        <v>1</v>
      </c>
      <c r="L4193" s="26">
        <f t="shared" si="200"/>
        <v>1</v>
      </c>
      <c r="M4193" s="32"/>
    </row>
    <row r="4194" spans="1:13" ht="14.25" customHeight="1">
      <c r="A4194" s="25" t="s">
        <v>13877</v>
      </c>
      <c r="B4194" s="26" t="s">
        <v>5423</v>
      </c>
      <c r="C4194" s="26" t="s">
        <v>13878</v>
      </c>
      <c r="D4194" s="26" t="s">
        <v>13875</v>
      </c>
      <c r="E4194" s="26" t="s">
        <v>5439</v>
      </c>
      <c r="F4194" s="27" t="s">
        <v>13879</v>
      </c>
      <c r="G4194" s="27">
        <v>1</v>
      </c>
      <c r="H4194" s="27">
        <v>0</v>
      </c>
      <c r="I4194" s="27">
        <v>1</v>
      </c>
      <c r="J4194" s="30">
        <f t="shared" si="198"/>
        <v>1</v>
      </c>
      <c r="K4194" s="30">
        <f t="shared" si="199"/>
        <v>0</v>
      </c>
      <c r="L4194" s="26">
        <f t="shared" si="200"/>
        <v>0</v>
      </c>
      <c r="M4194" s="32"/>
    </row>
    <row r="4195" spans="1:13" ht="14.25" customHeight="1">
      <c r="A4195" s="25" t="s">
        <v>13880</v>
      </c>
      <c r="B4195" s="26" t="s">
        <v>5423</v>
      </c>
      <c r="C4195" s="26" t="s">
        <v>13881</v>
      </c>
      <c r="D4195" s="26" t="s">
        <v>13882</v>
      </c>
      <c r="E4195" s="26" t="s">
        <v>5507</v>
      </c>
      <c r="F4195" s="27" t="s">
        <v>13883</v>
      </c>
      <c r="G4195" s="27">
        <v>1</v>
      </c>
      <c r="H4195" s="27">
        <v>1</v>
      </c>
      <c r="I4195" s="27">
        <v>1</v>
      </c>
      <c r="J4195" s="30">
        <f t="shared" si="198"/>
        <v>1</v>
      </c>
      <c r="K4195" s="30">
        <f t="shared" si="199"/>
        <v>1</v>
      </c>
      <c r="L4195" s="26">
        <f t="shared" si="200"/>
        <v>1</v>
      </c>
      <c r="M4195" s="32"/>
    </row>
    <row r="4196" spans="1:13" ht="14.25" customHeight="1">
      <c r="A4196" s="25" t="s">
        <v>13884</v>
      </c>
      <c r="B4196" s="26" t="s">
        <v>5423</v>
      </c>
      <c r="C4196" s="26" t="s">
        <v>13885</v>
      </c>
      <c r="D4196" s="26" t="s">
        <v>13882</v>
      </c>
      <c r="E4196" s="26" t="s">
        <v>5485</v>
      </c>
      <c r="F4196" s="27">
        <v>6145647</v>
      </c>
      <c r="G4196" s="27">
        <v>1</v>
      </c>
      <c r="H4196" s="27">
        <v>1</v>
      </c>
      <c r="I4196" s="27">
        <v>1</v>
      </c>
      <c r="J4196" s="30">
        <f t="shared" si="198"/>
        <v>1</v>
      </c>
      <c r="K4196" s="30">
        <f t="shared" si="199"/>
        <v>1</v>
      </c>
      <c r="L4196" s="26">
        <f t="shared" si="200"/>
        <v>1</v>
      </c>
      <c r="M4196" s="32"/>
    </row>
    <row r="4197" spans="1:13" ht="14.25" customHeight="1">
      <c r="A4197" s="25">
        <v>1937295</v>
      </c>
      <c r="B4197" s="26" t="s">
        <v>5427</v>
      </c>
      <c r="C4197" s="26" t="s">
        <v>13886</v>
      </c>
      <c r="D4197" s="26" t="s">
        <v>13887</v>
      </c>
      <c r="E4197" s="26" t="s">
        <v>5610</v>
      </c>
      <c r="F4197" s="27">
        <v>5611671</v>
      </c>
      <c r="G4197" s="27">
        <v>1</v>
      </c>
      <c r="H4197" s="27">
        <v>1</v>
      </c>
      <c r="I4197" s="27">
        <v>1</v>
      </c>
      <c r="J4197" s="30">
        <f t="shared" si="198"/>
        <v>1</v>
      </c>
      <c r="K4197" s="30">
        <f t="shared" si="199"/>
        <v>1</v>
      </c>
      <c r="L4197" s="26">
        <f t="shared" si="200"/>
        <v>1</v>
      </c>
      <c r="M4197" s="32"/>
    </row>
    <row r="4198" spans="1:13" ht="14.25" customHeight="1">
      <c r="A4198" s="25">
        <v>1937741</v>
      </c>
      <c r="B4198" s="26" t="s">
        <v>5423</v>
      </c>
      <c r="C4198" s="26" t="s">
        <v>13888</v>
      </c>
      <c r="D4198" s="26" t="s">
        <v>13887</v>
      </c>
      <c r="E4198" s="26" t="s">
        <v>5522</v>
      </c>
      <c r="F4198" s="27">
        <v>6598625</v>
      </c>
      <c r="G4198" s="27">
        <v>1</v>
      </c>
      <c r="H4198" s="27">
        <v>0</v>
      </c>
      <c r="I4198" s="27">
        <v>1</v>
      </c>
      <c r="J4198" s="30">
        <f t="shared" si="198"/>
        <v>1</v>
      </c>
      <c r="K4198" s="30">
        <f t="shared" si="199"/>
        <v>0</v>
      </c>
      <c r="L4198" s="26">
        <f t="shared" si="200"/>
        <v>0</v>
      </c>
      <c r="M4198" s="32"/>
    </row>
    <row r="4199" spans="1:13" ht="14.25" customHeight="1">
      <c r="A4199" s="25">
        <v>1938152</v>
      </c>
      <c r="B4199" s="26" t="s">
        <v>5427</v>
      </c>
      <c r="C4199" s="26" t="s">
        <v>13889</v>
      </c>
      <c r="D4199" s="26" t="s">
        <v>13887</v>
      </c>
      <c r="E4199" s="26" t="s">
        <v>5545</v>
      </c>
      <c r="F4199" s="27">
        <v>6129966</v>
      </c>
      <c r="G4199" s="27">
        <v>1</v>
      </c>
      <c r="H4199" s="27">
        <v>1</v>
      </c>
      <c r="I4199" s="27">
        <v>1</v>
      </c>
      <c r="J4199" s="30">
        <f t="shared" si="198"/>
        <v>1</v>
      </c>
      <c r="K4199" s="30">
        <f t="shared" si="199"/>
        <v>1</v>
      </c>
      <c r="L4199" s="26">
        <f t="shared" si="200"/>
        <v>1</v>
      </c>
      <c r="M4199" s="32"/>
    </row>
    <row r="4200" spans="1:13" ht="14.25" customHeight="1">
      <c r="A4200" s="25">
        <v>1938217</v>
      </c>
      <c r="B4200" s="26" t="s">
        <v>5423</v>
      </c>
      <c r="C4200" s="26" t="s">
        <v>13890</v>
      </c>
      <c r="D4200" s="26" t="s">
        <v>13887</v>
      </c>
      <c r="E4200" s="26" t="s">
        <v>5540</v>
      </c>
      <c r="F4200" s="27">
        <v>6571887</v>
      </c>
      <c r="G4200" s="27">
        <v>1</v>
      </c>
      <c r="H4200" s="27">
        <v>1</v>
      </c>
      <c r="I4200" s="27">
        <v>1</v>
      </c>
      <c r="J4200" s="30">
        <f t="shared" si="198"/>
        <v>1</v>
      </c>
      <c r="K4200" s="30">
        <f t="shared" si="199"/>
        <v>1</v>
      </c>
      <c r="L4200" s="26">
        <f t="shared" si="200"/>
        <v>1</v>
      </c>
      <c r="M4200" s="32"/>
    </row>
    <row r="4201" spans="1:13" ht="14.25" customHeight="1">
      <c r="A4201" s="25">
        <v>1939087</v>
      </c>
      <c r="B4201" s="26" t="s">
        <v>5423</v>
      </c>
      <c r="C4201" s="26" t="s">
        <v>13891</v>
      </c>
      <c r="D4201" s="26" t="s">
        <v>13887</v>
      </c>
      <c r="E4201" s="26" t="s">
        <v>5463</v>
      </c>
      <c r="F4201" s="27">
        <v>6627662</v>
      </c>
      <c r="G4201" s="27">
        <v>1</v>
      </c>
      <c r="H4201" s="27">
        <v>1</v>
      </c>
      <c r="I4201" s="27">
        <v>1</v>
      </c>
      <c r="J4201" s="30">
        <f t="shared" si="198"/>
        <v>1</v>
      </c>
      <c r="K4201" s="30">
        <f t="shared" si="199"/>
        <v>1</v>
      </c>
      <c r="L4201" s="26">
        <f t="shared" si="200"/>
        <v>1</v>
      </c>
      <c r="M4201" s="32"/>
    </row>
    <row r="4202" spans="1:13" ht="14.25" customHeight="1">
      <c r="A4202" s="25">
        <v>1924869</v>
      </c>
      <c r="B4202" s="26" t="s">
        <v>5427</v>
      </c>
      <c r="C4202" s="26" t="s">
        <v>13892</v>
      </c>
      <c r="D4202" s="26" t="s">
        <v>13893</v>
      </c>
      <c r="E4202" s="26" t="s">
        <v>5436</v>
      </c>
      <c r="F4202" s="27">
        <v>6609815</v>
      </c>
      <c r="G4202" s="27">
        <v>0</v>
      </c>
      <c r="H4202" s="27">
        <v>0</v>
      </c>
      <c r="I4202" s="27">
        <v>0</v>
      </c>
      <c r="J4202" s="30">
        <f t="shared" si="198"/>
        <v>0</v>
      </c>
      <c r="K4202" s="30">
        <f t="shared" si="199"/>
        <v>0</v>
      </c>
      <c r="L4202" s="26">
        <f t="shared" si="200"/>
        <v>0</v>
      </c>
      <c r="M4202" s="33" t="s">
        <v>5258</v>
      </c>
    </row>
    <row r="4203" spans="1:13" ht="14.25" customHeight="1">
      <c r="A4203" s="25">
        <v>1937909</v>
      </c>
      <c r="B4203" s="26" t="s">
        <v>5427</v>
      </c>
      <c r="C4203" s="26" t="s">
        <v>13894</v>
      </c>
      <c r="D4203" s="26" t="s">
        <v>13895</v>
      </c>
      <c r="E4203" s="26" t="s">
        <v>5603</v>
      </c>
      <c r="F4203" s="27">
        <v>6624958</v>
      </c>
      <c r="G4203" s="27">
        <v>1</v>
      </c>
      <c r="H4203" s="27">
        <v>1</v>
      </c>
      <c r="I4203" s="27">
        <v>1</v>
      </c>
      <c r="J4203" s="30">
        <f t="shared" si="198"/>
        <v>1</v>
      </c>
      <c r="K4203" s="30">
        <f t="shared" si="199"/>
        <v>1</v>
      </c>
      <c r="L4203" s="26">
        <f t="shared" si="200"/>
        <v>1</v>
      </c>
      <c r="M4203" s="32"/>
    </row>
    <row r="4204" spans="1:13" ht="14.25" customHeight="1">
      <c r="A4204" s="25">
        <v>1937943</v>
      </c>
      <c r="B4204" s="26" t="s">
        <v>5423</v>
      </c>
      <c r="C4204" s="26" t="s">
        <v>13896</v>
      </c>
      <c r="D4204" s="26" t="s">
        <v>13895</v>
      </c>
      <c r="E4204" s="26" t="s">
        <v>5463</v>
      </c>
      <c r="F4204" s="27">
        <v>6624959</v>
      </c>
      <c r="G4204" s="27">
        <v>1</v>
      </c>
      <c r="H4204" s="27">
        <v>1</v>
      </c>
      <c r="I4204" s="27">
        <v>1</v>
      </c>
      <c r="J4204" s="30">
        <f t="shared" si="198"/>
        <v>1</v>
      </c>
      <c r="K4204" s="30">
        <f t="shared" si="199"/>
        <v>1</v>
      </c>
      <c r="L4204" s="26">
        <f t="shared" si="200"/>
        <v>1</v>
      </c>
      <c r="M4204" s="32"/>
    </row>
    <row r="4205" spans="1:13" ht="14.25" customHeight="1">
      <c r="A4205" s="25">
        <v>1938035</v>
      </c>
      <c r="B4205" s="26" t="s">
        <v>5423</v>
      </c>
      <c r="C4205" s="26" t="s">
        <v>13897</v>
      </c>
      <c r="D4205" s="26" t="s">
        <v>13895</v>
      </c>
      <c r="E4205" s="26" t="s">
        <v>5507</v>
      </c>
      <c r="F4205" s="27">
        <v>6577351</v>
      </c>
      <c r="G4205" s="27">
        <v>1</v>
      </c>
      <c r="H4205" s="27">
        <v>1</v>
      </c>
      <c r="I4205" s="27">
        <v>1</v>
      </c>
      <c r="J4205" s="30">
        <f t="shared" si="198"/>
        <v>1</v>
      </c>
      <c r="K4205" s="30">
        <f t="shared" si="199"/>
        <v>1</v>
      </c>
      <c r="L4205" s="26">
        <f t="shared" si="200"/>
        <v>1</v>
      </c>
      <c r="M4205" s="32"/>
    </row>
    <row r="4206" spans="1:13" ht="14.25" customHeight="1">
      <c r="A4206" s="25">
        <v>1938521</v>
      </c>
      <c r="B4206" s="26" t="s">
        <v>5423</v>
      </c>
      <c r="C4206" s="26" t="s">
        <v>13898</v>
      </c>
      <c r="D4206" s="26" t="s">
        <v>13895</v>
      </c>
      <c r="E4206" s="26" t="s">
        <v>5475</v>
      </c>
      <c r="F4206" s="27">
        <v>6612698</v>
      </c>
      <c r="G4206" s="27">
        <v>1</v>
      </c>
      <c r="H4206" s="27">
        <v>0</v>
      </c>
      <c r="I4206" s="27">
        <v>1</v>
      </c>
      <c r="J4206" s="30">
        <f t="shared" si="198"/>
        <v>1</v>
      </c>
      <c r="K4206" s="30">
        <f t="shared" si="199"/>
        <v>0</v>
      </c>
      <c r="L4206" s="26">
        <f t="shared" si="200"/>
        <v>0</v>
      </c>
      <c r="M4206" s="32"/>
    </row>
    <row r="4207" spans="1:13" ht="14.25" customHeight="1">
      <c r="A4207" s="25">
        <v>1938711</v>
      </c>
      <c r="B4207" s="26" t="s">
        <v>5427</v>
      </c>
      <c r="C4207" s="26" t="s">
        <v>13899</v>
      </c>
      <c r="D4207" s="26" t="s">
        <v>13895</v>
      </c>
      <c r="E4207" s="26" t="s">
        <v>5586</v>
      </c>
      <c r="F4207" s="27">
        <v>6626577</v>
      </c>
      <c r="G4207" s="27">
        <v>0</v>
      </c>
      <c r="H4207" s="27">
        <v>0</v>
      </c>
      <c r="I4207" s="27">
        <v>0</v>
      </c>
      <c r="J4207" s="30">
        <f t="shared" si="198"/>
        <v>0</v>
      </c>
      <c r="K4207" s="30">
        <f t="shared" si="199"/>
        <v>0</v>
      </c>
      <c r="L4207" s="26">
        <f t="shared" si="200"/>
        <v>0</v>
      </c>
      <c r="M4207" s="32"/>
    </row>
    <row r="4208" spans="1:13" ht="14.25" customHeight="1">
      <c r="A4208" s="25">
        <v>1938792</v>
      </c>
      <c r="B4208" s="26" t="s">
        <v>5427</v>
      </c>
      <c r="C4208" s="26" t="s">
        <v>13900</v>
      </c>
      <c r="D4208" s="26" t="s">
        <v>13895</v>
      </c>
      <c r="E4208" s="26" t="s">
        <v>5488</v>
      </c>
      <c r="F4208" s="27">
        <v>6626835</v>
      </c>
      <c r="G4208" s="27">
        <v>0</v>
      </c>
      <c r="H4208" s="27">
        <v>0</v>
      </c>
      <c r="I4208" s="27">
        <v>0</v>
      </c>
      <c r="J4208" s="30">
        <f t="shared" si="198"/>
        <v>0</v>
      </c>
      <c r="K4208" s="30">
        <f t="shared" si="199"/>
        <v>0</v>
      </c>
      <c r="L4208" s="26">
        <f t="shared" si="200"/>
        <v>0</v>
      </c>
      <c r="M4208" s="32"/>
    </row>
    <row r="4209" spans="1:13" ht="14.25" customHeight="1">
      <c r="A4209" s="25">
        <v>1932463</v>
      </c>
      <c r="B4209" s="26" t="s">
        <v>5427</v>
      </c>
      <c r="C4209" s="26" t="s">
        <v>13901</v>
      </c>
      <c r="D4209" s="26" t="s">
        <v>13902</v>
      </c>
      <c r="E4209" s="26" t="s">
        <v>5514</v>
      </c>
      <c r="F4209" s="27">
        <v>6611749</v>
      </c>
      <c r="G4209" s="27">
        <v>0</v>
      </c>
      <c r="H4209" s="27">
        <v>0</v>
      </c>
      <c r="I4209" s="27">
        <v>0</v>
      </c>
      <c r="J4209" s="30">
        <f t="shared" si="198"/>
        <v>0</v>
      </c>
      <c r="K4209" s="30">
        <f t="shared" si="199"/>
        <v>0</v>
      </c>
      <c r="L4209" s="26">
        <f t="shared" si="200"/>
        <v>0</v>
      </c>
      <c r="M4209" s="32" t="s">
        <v>13903</v>
      </c>
    </row>
    <row r="4210" spans="1:13" ht="14.25" customHeight="1">
      <c r="A4210" s="25">
        <v>1938193</v>
      </c>
      <c r="B4210" s="26" t="s">
        <v>5423</v>
      </c>
      <c r="C4210" s="26" t="s">
        <v>13904</v>
      </c>
      <c r="D4210" s="26" t="s">
        <v>13902</v>
      </c>
      <c r="E4210" s="26" t="s">
        <v>5507</v>
      </c>
      <c r="F4210" s="27">
        <v>6627113</v>
      </c>
      <c r="G4210" s="27">
        <v>0</v>
      </c>
      <c r="H4210" s="27">
        <v>0</v>
      </c>
      <c r="I4210" s="27">
        <v>0</v>
      </c>
      <c r="J4210" s="30">
        <f t="shared" si="198"/>
        <v>0</v>
      </c>
      <c r="K4210" s="30">
        <f t="shared" si="199"/>
        <v>0</v>
      </c>
      <c r="L4210" s="26">
        <f t="shared" si="200"/>
        <v>0</v>
      </c>
      <c r="M4210" s="32"/>
    </row>
    <row r="4211" spans="1:13" ht="14.25" customHeight="1">
      <c r="A4211" s="25">
        <v>1938352</v>
      </c>
      <c r="B4211" s="26" t="s">
        <v>5423</v>
      </c>
      <c r="C4211" s="26" t="s">
        <v>13905</v>
      </c>
      <c r="D4211" s="26" t="s">
        <v>13902</v>
      </c>
      <c r="E4211" s="26" t="s">
        <v>5488</v>
      </c>
      <c r="F4211" s="27">
        <v>6626163</v>
      </c>
      <c r="G4211" s="27">
        <v>0</v>
      </c>
      <c r="H4211" s="27">
        <v>0</v>
      </c>
      <c r="I4211" s="27">
        <v>0</v>
      </c>
      <c r="J4211" s="30">
        <f t="shared" si="198"/>
        <v>0</v>
      </c>
      <c r="K4211" s="30">
        <f t="shared" si="199"/>
        <v>0</v>
      </c>
      <c r="L4211" s="26">
        <f t="shared" si="200"/>
        <v>0</v>
      </c>
      <c r="M4211" s="33" t="s">
        <v>5258</v>
      </c>
    </row>
    <row r="4212" spans="1:13" ht="14.25" customHeight="1">
      <c r="A4212" s="25">
        <v>1938572</v>
      </c>
      <c r="B4212" s="26" t="s">
        <v>5423</v>
      </c>
      <c r="C4212" s="26" t="s">
        <v>13906</v>
      </c>
      <c r="D4212" s="26" t="s">
        <v>13902</v>
      </c>
      <c r="E4212" s="26" t="s">
        <v>5452</v>
      </c>
      <c r="F4212" s="27">
        <v>6550597</v>
      </c>
      <c r="G4212" s="27">
        <v>1</v>
      </c>
      <c r="H4212" s="27">
        <v>1</v>
      </c>
      <c r="I4212" s="27">
        <v>1</v>
      </c>
      <c r="J4212" s="30">
        <f t="shared" si="198"/>
        <v>1</v>
      </c>
      <c r="K4212" s="30">
        <f t="shared" si="199"/>
        <v>1</v>
      </c>
      <c r="L4212" s="26">
        <f t="shared" si="200"/>
        <v>1</v>
      </c>
      <c r="M4212" s="32"/>
    </row>
    <row r="4213" spans="1:13" ht="14.25" customHeight="1">
      <c r="A4213" s="25">
        <v>1938771</v>
      </c>
      <c r="B4213" s="26" t="s">
        <v>5427</v>
      </c>
      <c r="C4213" s="26" t="s">
        <v>13907</v>
      </c>
      <c r="D4213" s="26" t="s">
        <v>13902</v>
      </c>
      <c r="E4213" s="26" t="s">
        <v>5491</v>
      </c>
      <c r="F4213" s="27">
        <v>6626729</v>
      </c>
      <c r="G4213" s="27">
        <v>0</v>
      </c>
      <c r="H4213" s="27">
        <v>0</v>
      </c>
      <c r="I4213" s="27">
        <v>0</v>
      </c>
      <c r="J4213" s="30">
        <f t="shared" si="198"/>
        <v>0</v>
      </c>
      <c r="K4213" s="30">
        <f t="shared" si="199"/>
        <v>0</v>
      </c>
      <c r="L4213" s="26">
        <f t="shared" si="200"/>
        <v>0</v>
      </c>
      <c r="M4213" s="32"/>
    </row>
    <row r="4214" spans="1:13" ht="14.25" customHeight="1">
      <c r="A4214" s="25">
        <v>1938903</v>
      </c>
      <c r="B4214" s="26" t="s">
        <v>5427</v>
      </c>
      <c r="C4214" s="26" t="s">
        <v>13908</v>
      </c>
      <c r="D4214" s="26" t="s">
        <v>13902</v>
      </c>
      <c r="E4214" s="26" t="s">
        <v>5707</v>
      </c>
      <c r="F4214" s="27">
        <v>6628535</v>
      </c>
      <c r="G4214" s="27">
        <v>0</v>
      </c>
      <c r="H4214" s="27">
        <v>0</v>
      </c>
      <c r="I4214" s="27">
        <v>0</v>
      </c>
      <c r="J4214" s="30">
        <f t="shared" si="198"/>
        <v>0</v>
      </c>
      <c r="K4214" s="30">
        <f t="shared" si="199"/>
        <v>0</v>
      </c>
      <c r="L4214" s="26">
        <f t="shared" si="200"/>
        <v>0</v>
      </c>
      <c r="M4214" s="32"/>
    </row>
    <row r="4215" spans="1:13" ht="14.25" customHeight="1">
      <c r="A4215" s="25">
        <v>1938948</v>
      </c>
      <c r="B4215" s="26" t="s">
        <v>5427</v>
      </c>
      <c r="C4215" s="26" t="s">
        <v>13909</v>
      </c>
      <c r="D4215" s="26" t="s">
        <v>13902</v>
      </c>
      <c r="E4215" s="26" t="s">
        <v>8392</v>
      </c>
      <c r="F4215" s="27">
        <v>6627407</v>
      </c>
      <c r="G4215" s="27">
        <v>0</v>
      </c>
      <c r="H4215" s="27">
        <v>0</v>
      </c>
      <c r="I4215" s="27">
        <v>0</v>
      </c>
      <c r="J4215" s="30">
        <f t="shared" ref="J4215:J4240" si="201">IF(G4215&gt;0,1,0)</f>
        <v>0</v>
      </c>
      <c r="K4215" s="30">
        <f t="shared" ref="K4215:K4240" si="202">IF(H4215&gt;0,1,0)</f>
        <v>0</v>
      </c>
      <c r="L4215" s="26">
        <f t="shared" ref="L4215:L4240" si="203">IF(G4215&gt;0,IF(H4215&gt;0,1,0),0)</f>
        <v>0</v>
      </c>
      <c r="M4215" s="32"/>
    </row>
    <row r="4216" spans="1:13" ht="14.25" customHeight="1">
      <c r="A4216" s="25">
        <v>1939022</v>
      </c>
      <c r="B4216" s="26" t="s">
        <v>5427</v>
      </c>
      <c r="C4216" s="26" t="s">
        <v>13910</v>
      </c>
      <c r="D4216" s="26" t="s">
        <v>13902</v>
      </c>
      <c r="E4216" s="26" t="s">
        <v>5763</v>
      </c>
      <c r="F4216" s="27">
        <v>6628519</v>
      </c>
      <c r="G4216" s="27">
        <v>0</v>
      </c>
      <c r="H4216" s="27">
        <v>0</v>
      </c>
      <c r="I4216" s="27">
        <v>0</v>
      </c>
      <c r="J4216" s="30">
        <f t="shared" si="201"/>
        <v>0</v>
      </c>
      <c r="K4216" s="30">
        <f t="shared" si="202"/>
        <v>0</v>
      </c>
      <c r="L4216" s="26">
        <f t="shared" si="203"/>
        <v>0</v>
      </c>
      <c r="M4216" s="32"/>
    </row>
    <row r="4217" spans="1:13" ht="14.25" customHeight="1">
      <c r="A4217" s="25">
        <v>1939092</v>
      </c>
      <c r="B4217" s="26" t="s">
        <v>5423</v>
      </c>
      <c r="C4217" s="26" t="s">
        <v>13911</v>
      </c>
      <c r="D4217" s="26" t="s">
        <v>13902</v>
      </c>
      <c r="E4217" s="26" t="s">
        <v>5452</v>
      </c>
      <c r="F4217" s="27">
        <v>6628518</v>
      </c>
      <c r="G4217" s="27">
        <v>0</v>
      </c>
      <c r="H4217" s="27">
        <v>0</v>
      </c>
      <c r="I4217" s="27">
        <v>0</v>
      </c>
      <c r="J4217" s="30">
        <f t="shared" si="201"/>
        <v>0</v>
      </c>
      <c r="K4217" s="30">
        <f t="shared" si="202"/>
        <v>0</v>
      </c>
      <c r="L4217" s="26">
        <f t="shared" si="203"/>
        <v>0</v>
      </c>
      <c r="M4217" s="32"/>
    </row>
    <row r="4218" spans="1:13" ht="14.25" customHeight="1">
      <c r="A4218" s="25">
        <v>1937733</v>
      </c>
      <c r="B4218" s="26" t="s">
        <v>5427</v>
      </c>
      <c r="C4218" s="26" t="s">
        <v>13912</v>
      </c>
      <c r="D4218" s="26" t="s">
        <v>13913</v>
      </c>
      <c r="E4218" s="26" t="s">
        <v>5433</v>
      </c>
      <c r="F4218" s="27">
        <v>6615722</v>
      </c>
      <c r="G4218" s="27">
        <v>1</v>
      </c>
      <c r="H4218" s="27">
        <v>0</v>
      </c>
      <c r="I4218" s="27">
        <v>1</v>
      </c>
      <c r="J4218" s="30">
        <f t="shared" si="201"/>
        <v>1</v>
      </c>
      <c r="K4218" s="30">
        <f t="shared" si="202"/>
        <v>0</v>
      </c>
      <c r="L4218" s="26">
        <f t="shared" si="203"/>
        <v>0</v>
      </c>
      <c r="M4218" s="32"/>
    </row>
    <row r="4219" spans="1:13" ht="14.25" customHeight="1">
      <c r="A4219" s="25">
        <v>1938395</v>
      </c>
      <c r="B4219" s="26" t="s">
        <v>5423</v>
      </c>
      <c r="C4219" s="26" t="s">
        <v>13914</v>
      </c>
      <c r="D4219" s="26" t="s">
        <v>13913</v>
      </c>
      <c r="E4219" s="26" t="s">
        <v>5436</v>
      </c>
      <c r="F4219" s="27">
        <v>6625835</v>
      </c>
      <c r="G4219" s="27">
        <v>1</v>
      </c>
      <c r="H4219" s="27">
        <v>0</v>
      </c>
      <c r="I4219" s="27">
        <v>1</v>
      </c>
      <c r="J4219" s="30">
        <f t="shared" si="201"/>
        <v>1</v>
      </c>
      <c r="K4219" s="30">
        <f t="shared" si="202"/>
        <v>0</v>
      </c>
      <c r="L4219" s="26">
        <f t="shared" si="203"/>
        <v>0</v>
      </c>
      <c r="M4219" s="32"/>
    </row>
    <row r="4220" spans="1:13" ht="14.25" customHeight="1">
      <c r="A4220" s="25">
        <v>1938537</v>
      </c>
      <c r="B4220" s="26" t="s">
        <v>5423</v>
      </c>
      <c r="C4220" s="26" t="s">
        <v>13915</v>
      </c>
      <c r="D4220" s="26" t="s">
        <v>13913</v>
      </c>
      <c r="E4220" s="26" t="s">
        <v>5439</v>
      </c>
      <c r="F4220" s="27">
        <v>5370130</v>
      </c>
      <c r="G4220" s="27">
        <v>1</v>
      </c>
      <c r="H4220" s="27">
        <v>0</v>
      </c>
      <c r="I4220" s="27">
        <v>1</v>
      </c>
      <c r="J4220" s="30">
        <f t="shared" si="201"/>
        <v>1</v>
      </c>
      <c r="K4220" s="30">
        <f t="shared" si="202"/>
        <v>0</v>
      </c>
      <c r="L4220" s="26">
        <f t="shared" si="203"/>
        <v>0</v>
      </c>
      <c r="M4220" s="32"/>
    </row>
    <row r="4221" spans="1:13" ht="14.25" customHeight="1">
      <c r="A4221" s="25">
        <v>1938912</v>
      </c>
      <c r="B4221" s="26" t="s">
        <v>5423</v>
      </c>
      <c r="C4221" s="26" t="s">
        <v>13916</v>
      </c>
      <c r="D4221" s="26" t="s">
        <v>13913</v>
      </c>
      <c r="E4221" s="26" t="s">
        <v>5455</v>
      </c>
      <c r="F4221" s="27">
        <v>6627680</v>
      </c>
      <c r="G4221" s="27">
        <v>0</v>
      </c>
      <c r="H4221" s="27">
        <v>0</v>
      </c>
      <c r="I4221" s="27">
        <v>0</v>
      </c>
      <c r="J4221" s="30">
        <f t="shared" si="201"/>
        <v>0</v>
      </c>
      <c r="K4221" s="30">
        <f t="shared" si="202"/>
        <v>0</v>
      </c>
      <c r="L4221" s="26">
        <f t="shared" si="203"/>
        <v>0</v>
      </c>
      <c r="M4221" s="32"/>
    </row>
    <row r="4222" spans="1:13" ht="14.25" customHeight="1">
      <c r="A4222" s="25">
        <v>1939000</v>
      </c>
      <c r="B4222" s="26" t="s">
        <v>5427</v>
      </c>
      <c r="C4222" s="26" t="s">
        <v>13917</v>
      </c>
      <c r="D4222" s="26" t="s">
        <v>13913</v>
      </c>
      <c r="E4222" s="26" t="s">
        <v>5532</v>
      </c>
      <c r="F4222" s="27">
        <v>6609073</v>
      </c>
      <c r="G4222" s="27">
        <v>1</v>
      </c>
      <c r="H4222" s="27">
        <v>0</v>
      </c>
      <c r="I4222" s="27">
        <v>1</v>
      </c>
      <c r="J4222" s="30">
        <f t="shared" si="201"/>
        <v>1</v>
      </c>
      <c r="K4222" s="30">
        <f t="shared" si="202"/>
        <v>0</v>
      </c>
      <c r="L4222" s="26">
        <f t="shared" si="203"/>
        <v>0</v>
      </c>
      <c r="M4222" s="32"/>
    </row>
    <row r="4223" spans="1:13" ht="14.25" customHeight="1">
      <c r="A4223" s="25">
        <v>1939076</v>
      </c>
      <c r="B4223" s="26" t="s">
        <v>5423</v>
      </c>
      <c r="C4223" s="26" t="s">
        <v>13918</v>
      </c>
      <c r="D4223" s="26" t="s">
        <v>13913</v>
      </c>
      <c r="E4223" s="26" t="s">
        <v>5455</v>
      </c>
      <c r="F4223" s="27">
        <v>6627696</v>
      </c>
      <c r="G4223" s="27">
        <v>0</v>
      </c>
      <c r="H4223" s="27">
        <v>0</v>
      </c>
      <c r="I4223" s="27">
        <v>0</v>
      </c>
      <c r="J4223" s="30">
        <f t="shared" si="201"/>
        <v>0</v>
      </c>
      <c r="K4223" s="30">
        <f t="shared" si="202"/>
        <v>0</v>
      </c>
      <c r="L4223" s="26">
        <f t="shared" si="203"/>
        <v>0</v>
      </c>
      <c r="M4223" s="32"/>
    </row>
    <row r="4224" spans="1:13" ht="14.25" customHeight="1">
      <c r="A4224" s="25">
        <v>1939523</v>
      </c>
      <c r="B4224" s="26" t="s">
        <v>5427</v>
      </c>
      <c r="C4224" s="26" t="s">
        <v>13919</v>
      </c>
      <c r="D4224" s="26" t="s">
        <v>13913</v>
      </c>
      <c r="E4224" s="26" t="s">
        <v>5540</v>
      </c>
      <c r="F4224" s="27">
        <v>6629090</v>
      </c>
      <c r="G4224" s="27">
        <v>1</v>
      </c>
      <c r="H4224" s="27">
        <v>0</v>
      </c>
      <c r="I4224" s="27">
        <v>1</v>
      </c>
      <c r="J4224" s="30">
        <f t="shared" si="201"/>
        <v>1</v>
      </c>
      <c r="K4224" s="30">
        <f t="shared" si="202"/>
        <v>0</v>
      </c>
      <c r="L4224" s="26">
        <f t="shared" si="203"/>
        <v>0</v>
      </c>
      <c r="M4224" s="32"/>
    </row>
    <row r="4225" spans="1:13" ht="14.25" customHeight="1">
      <c r="A4225" s="25">
        <v>1935619</v>
      </c>
      <c r="B4225" s="26" t="s">
        <v>5423</v>
      </c>
      <c r="C4225" s="26" t="s">
        <v>13920</v>
      </c>
      <c r="D4225" s="26" t="s">
        <v>13921</v>
      </c>
      <c r="E4225" s="26" t="s">
        <v>6021</v>
      </c>
      <c r="F4225" s="27">
        <v>6618947</v>
      </c>
      <c r="G4225" s="27">
        <v>1</v>
      </c>
      <c r="H4225" s="27">
        <v>1</v>
      </c>
      <c r="I4225" s="27">
        <v>1</v>
      </c>
      <c r="J4225" s="30">
        <f t="shared" si="201"/>
        <v>1</v>
      </c>
      <c r="K4225" s="30">
        <f t="shared" si="202"/>
        <v>1</v>
      </c>
      <c r="L4225" s="26">
        <f t="shared" si="203"/>
        <v>1</v>
      </c>
      <c r="M4225" s="32" t="s">
        <v>13922</v>
      </c>
    </row>
    <row r="4226" spans="1:13" ht="14.25" customHeight="1">
      <c r="A4226" s="25">
        <v>1939443</v>
      </c>
      <c r="B4226" s="26" t="s">
        <v>5427</v>
      </c>
      <c r="C4226" s="26" t="s">
        <v>13923</v>
      </c>
      <c r="D4226" s="26" t="s">
        <v>13924</v>
      </c>
      <c r="E4226" s="26" t="s">
        <v>5575</v>
      </c>
      <c r="F4226" s="27">
        <v>6618625</v>
      </c>
      <c r="G4226" s="27">
        <v>1</v>
      </c>
      <c r="H4226" s="27">
        <v>0</v>
      </c>
      <c r="I4226" s="27">
        <v>1</v>
      </c>
      <c r="J4226" s="30">
        <f t="shared" si="201"/>
        <v>1</v>
      </c>
      <c r="K4226" s="30">
        <f t="shared" si="202"/>
        <v>0</v>
      </c>
      <c r="L4226" s="26">
        <f t="shared" si="203"/>
        <v>0</v>
      </c>
      <c r="M4226" s="32"/>
    </row>
    <row r="4227" spans="1:13" ht="14.25" customHeight="1">
      <c r="A4227" s="25">
        <v>1940747</v>
      </c>
      <c r="B4227" s="26" t="s">
        <v>5423</v>
      </c>
      <c r="C4227" s="26" t="s">
        <v>13925</v>
      </c>
      <c r="D4227" s="26" t="s">
        <v>13924</v>
      </c>
      <c r="E4227" s="26" t="s">
        <v>5501</v>
      </c>
      <c r="F4227" s="27"/>
      <c r="G4227" s="27">
        <v>0</v>
      </c>
      <c r="H4227" s="27">
        <v>0</v>
      </c>
      <c r="I4227" s="27">
        <v>0</v>
      </c>
      <c r="J4227" s="30">
        <f t="shared" si="201"/>
        <v>0</v>
      </c>
      <c r="K4227" s="30">
        <f t="shared" si="202"/>
        <v>0</v>
      </c>
      <c r="L4227" s="26">
        <f t="shared" si="203"/>
        <v>0</v>
      </c>
      <c r="M4227" s="32" t="s">
        <v>13926</v>
      </c>
    </row>
    <row r="4228" spans="1:13" ht="14.25" customHeight="1">
      <c r="A4228" s="25">
        <v>1937719</v>
      </c>
      <c r="B4228" s="26" t="s">
        <v>5423</v>
      </c>
      <c r="C4228" s="26" t="s">
        <v>13927</v>
      </c>
      <c r="D4228" s="26" t="s">
        <v>13928</v>
      </c>
      <c r="E4228" s="26" t="s">
        <v>5433</v>
      </c>
      <c r="F4228" s="27">
        <v>6624083</v>
      </c>
      <c r="G4228" s="27">
        <v>0</v>
      </c>
      <c r="H4228" s="27">
        <v>1</v>
      </c>
      <c r="I4228" s="27">
        <v>1</v>
      </c>
      <c r="J4228" s="30">
        <f t="shared" si="201"/>
        <v>0</v>
      </c>
      <c r="K4228" s="30">
        <f t="shared" si="202"/>
        <v>1</v>
      </c>
      <c r="L4228" s="26">
        <f t="shared" si="203"/>
        <v>0</v>
      </c>
      <c r="M4228" s="32"/>
    </row>
    <row r="4229" spans="1:13" ht="14.25" customHeight="1">
      <c r="A4229" s="25">
        <v>1940084</v>
      </c>
      <c r="B4229" s="26" t="s">
        <v>5423</v>
      </c>
      <c r="C4229" s="26" t="s">
        <v>13929</v>
      </c>
      <c r="D4229" s="26" t="s">
        <v>13930</v>
      </c>
      <c r="E4229" s="26" t="s">
        <v>5504</v>
      </c>
      <c r="F4229" s="27">
        <v>6630478</v>
      </c>
      <c r="G4229" s="27">
        <v>0</v>
      </c>
      <c r="H4229" s="27">
        <v>0</v>
      </c>
      <c r="I4229" s="27">
        <v>0</v>
      </c>
      <c r="J4229" s="30">
        <f t="shared" si="201"/>
        <v>0</v>
      </c>
      <c r="K4229" s="30">
        <f t="shared" si="202"/>
        <v>0</v>
      </c>
      <c r="L4229" s="26">
        <f t="shared" si="203"/>
        <v>0</v>
      </c>
      <c r="M4229" s="33" t="s">
        <v>5258</v>
      </c>
    </row>
    <row r="4230" spans="1:13" ht="14.25" customHeight="1">
      <c r="A4230" s="25">
        <v>1940112</v>
      </c>
      <c r="B4230" s="26" t="s">
        <v>5427</v>
      </c>
      <c r="C4230" s="26" t="s">
        <v>13931</v>
      </c>
      <c r="D4230" s="26" t="s">
        <v>13930</v>
      </c>
      <c r="E4230" s="26" t="s">
        <v>5532</v>
      </c>
      <c r="F4230" s="27">
        <v>6631409</v>
      </c>
      <c r="G4230" s="27">
        <v>1</v>
      </c>
      <c r="H4230" s="27">
        <v>1</v>
      </c>
      <c r="I4230" s="27">
        <v>1</v>
      </c>
      <c r="J4230" s="30">
        <f t="shared" si="201"/>
        <v>1</v>
      </c>
      <c r="K4230" s="30">
        <f t="shared" si="202"/>
        <v>1</v>
      </c>
      <c r="L4230" s="26">
        <f t="shared" si="203"/>
        <v>1</v>
      </c>
      <c r="M4230" s="32" t="s">
        <v>13932</v>
      </c>
    </row>
    <row r="4231" spans="1:13" ht="14.25" customHeight="1">
      <c r="A4231" s="25">
        <v>1941457</v>
      </c>
      <c r="B4231" s="26" t="s">
        <v>5427</v>
      </c>
      <c r="C4231" s="26" t="s">
        <v>13933</v>
      </c>
      <c r="D4231" s="26" t="s">
        <v>13934</v>
      </c>
      <c r="E4231" s="26" t="s">
        <v>5475</v>
      </c>
      <c r="F4231" s="27">
        <v>6633434</v>
      </c>
      <c r="G4231" s="27">
        <v>1</v>
      </c>
      <c r="H4231" s="27">
        <v>1</v>
      </c>
      <c r="I4231" s="27">
        <v>1</v>
      </c>
      <c r="J4231" s="30">
        <f t="shared" si="201"/>
        <v>1</v>
      </c>
      <c r="K4231" s="30">
        <f t="shared" si="202"/>
        <v>1</v>
      </c>
      <c r="L4231" s="26">
        <f t="shared" si="203"/>
        <v>1</v>
      </c>
      <c r="M4231" s="32"/>
    </row>
    <row r="4232" spans="1:13" ht="14.25" customHeight="1">
      <c r="A4232" s="25">
        <v>1940080</v>
      </c>
      <c r="B4232" s="26" t="s">
        <v>5423</v>
      </c>
      <c r="C4232" s="26" t="s">
        <v>13935</v>
      </c>
      <c r="D4232" s="26" t="s">
        <v>13936</v>
      </c>
      <c r="E4232" s="26" t="s">
        <v>5452</v>
      </c>
      <c r="F4232" s="27">
        <v>6194075</v>
      </c>
      <c r="G4232" s="27">
        <v>1</v>
      </c>
      <c r="H4232" s="27">
        <v>1</v>
      </c>
      <c r="I4232" s="27">
        <v>1</v>
      </c>
      <c r="J4232" s="30">
        <f t="shared" si="201"/>
        <v>1</v>
      </c>
      <c r="K4232" s="30">
        <f t="shared" si="202"/>
        <v>1</v>
      </c>
      <c r="L4232" s="26">
        <f t="shared" si="203"/>
        <v>1</v>
      </c>
      <c r="M4232" s="32"/>
    </row>
    <row r="4233" spans="1:13" ht="14.25" customHeight="1">
      <c r="A4233" s="25">
        <v>1940123</v>
      </c>
      <c r="B4233" s="26" t="s">
        <v>5423</v>
      </c>
      <c r="C4233" s="26" t="s">
        <v>13937</v>
      </c>
      <c r="D4233" s="26" t="s">
        <v>13936</v>
      </c>
      <c r="E4233" s="26" t="s">
        <v>5436</v>
      </c>
      <c r="F4233" s="27">
        <v>6630472</v>
      </c>
      <c r="G4233" s="27">
        <v>1</v>
      </c>
      <c r="H4233" s="27">
        <v>1</v>
      </c>
      <c r="I4233" s="27">
        <v>1</v>
      </c>
      <c r="J4233" s="30">
        <f t="shared" si="201"/>
        <v>1</v>
      </c>
      <c r="K4233" s="30">
        <f t="shared" si="202"/>
        <v>1</v>
      </c>
      <c r="L4233" s="26">
        <f t="shared" si="203"/>
        <v>1</v>
      </c>
      <c r="M4233" s="32"/>
    </row>
    <row r="4234" spans="1:13" ht="14.25" customHeight="1">
      <c r="A4234" s="25">
        <v>1940199</v>
      </c>
      <c r="B4234" s="26" t="s">
        <v>5427</v>
      </c>
      <c r="C4234" s="26" t="s">
        <v>13938</v>
      </c>
      <c r="D4234" s="26" t="s">
        <v>13936</v>
      </c>
      <c r="E4234" s="26" t="s">
        <v>5447</v>
      </c>
      <c r="F4234" s="27">
        <v>6589962</v>
      </c>
      <c r="G4234" s="27">
        <v>1</v>
      </c>
      <c r="H4234" s="27">
        <v>1</v>
      </c>
      <c r="I4234" s="27">
        <v>1</v>
      </c>
      <c r="J4234" s="30">
        <f t="shared" si="201"/>
        <v>1</v>
      </c>
      <c r="K4234" s="30">
        <f t="shared" si="202"/>
        <v>1</v>
      </c>
      <c r="L4234" s="26">
        <f t="shared" si="203"/>
        <v>1</v>
      </c>
      <c r="M4234" s="32"/>
    </row>
    <row r="4235" spans="1:13" ht="14.25" customHeight="1">
      <c r="A4235" s="25">
        <v>1940586</v>
      </c>
      <c r="B4235" s="26" t="s">
        <v>5423</v>
      </c>
      <c r="C4235" s="26" t="s">
        <v>13939</v>
      </c>
      <c r="D4235" s="26" t="s">
        <v>13936</v>
      </c>
      <c r="E4235" s="26" t="s">
        <v>5491</v>
      </c>
      <c r="F4235" s="27">
        <v>5178206</v>
      </c>
      <c r="G4235" s="27">
        <v>1</v>
      </c>
      <c r="H4235" s="27">
        <v>1</v>
      </c>
      <c r="I4235" s="27">
        <v>1</v>
      </c>
      <c r="J4235" s="30">
        <f t="shared" si="201"/>
        <v>1</v>
      </c>
      <c r="K4235" s="30">
        <f t="shared" si="202"/>
        <v>1</v>
      </c>
      <c r="L4235" s="26">
        <f t="shared" si="203"/>
        <v>1</v>
      </c>
      <c r="M4235" s="32"/>
    </row>
    <row r="4236" spans="1:13" ht="14.25" customHeight="1">
      <c r="A4236" s="25">
        <v>1935669</v>
      </c>
      <c r="B4236" s="26" t="s">
        <v>5423</v>
      </c>
      <c r="C4236" s="26" t="s">
        <v>13940</v>
      </c>
      <c r="D4236" s="26" t="s">
        <v>13941</v>
      </c>
      <c r="E4236" s="26" t="s">
        <v>5455</v>
      </c>
      <c r="F4236" s="27">
        <v>5686173</v>
      </c>
      <c r="G4236" s="27">
        <v>1</v>
      </c>
      <c r="H4236" s="27">
        <v>1</v>
      </c>
      <c r="I4236" s="27">
        <v>1</v>
      </c>
      <c r="J4236" s="30">
        <f t="shared" si="201"/>
        <v>1</v>
      </c>
      <c r="K4236" s="30">
        <f t="shared" si="202"/>
        <v>1</v>
      </c>
      <c r="L4236" s="26">
        <f t="shared" si="203"/>
        <v>1</v>
      </c>
      <c r="M4236" s="32"/>
    </row>
    <row r="4237" spans="1:13" ht="14.25" customHeight="1">
      <c r="A4237" s="25">
        <v>1941419</v>
      </c>
      <c r="B4237" s="26" t="s">
        <v>5423</v>
      </c>
      <c r="C4237" s="26" t="s">
        <v>13942</v>
      </c>
      <c r="D4237" s="26" t="s">
        <v>13941</v>
      </c>
      <c r="E4237" s="26" t="s">
        <v>5968</v>
      </c>
      <c r="F4237" s="27">
        <v>6635483</v>
      </c>
      <c r="G4237" s="27">
        <v>0</v>
      </c>
      <c r="H4237" s="27">
        <v>0</v>
      </c>
      <c r="I4237" s="27">
        <v>0</v>
      </c>
      <c r="J4237" s="30">
        <f t="shared" si="201"/>
        <v>0</v>
      </c>
      <c r="K4237" s="30">
        <f t="shared" si="202"/>
        <v>0</v>
      </c>
      <c r="L4237" s="26">
        <f t="shared" si="203"/>
        <v>0</v>
      </c>
      <c r="M4237" s="32"/>
    </row>
    <row r="4238" spans="1:13" ht="14.25" customHeight="1">
      <c r="A4238" s="25">
        <v>1938460</v>
      </c>
      <c r="B4238" s="26" t="s">
        <v>5423</v>
      </c>
      <c r="C4238" s="26" t="s">
        <v>13943</v>
      </c>
      <c r="D4238" s="26" t="s">
        <v>13944</v>
      </c>
      <c r="E4238" s="26" t="s">
        <v>5452</v>
      </c>
      <c r="F4238" s="27">
        <v>6243400</v>
      </c>
      <c r="G4238" s="27">
        <v>1</v>
      </c>
      <c r="H4238" s="27">
        <v>0</v>
      </c>
      <c r="I4238" s="27">
        <v>1</v>
      </c>
      <c r="J4238" s="30">
        <f t="shared" si="201"/>
        <v>1</v>
      </c>
      <c r="K4238" s="30">
        <f t="shared" si="202"/>
        <v>0</v>
      </c>
      <c r="L4238" s="26">
        <f t="shared" si="203"/>
        <v>0</v>
      </c>
      <c r="M4238" s="32"/>
    </row>
    <row r="4239" spans="1:13" ht="14.25" customHeight="1">
      <c r="A4239" s="25">
        <v>1938584</v>
      </c>
      <c r="B4239" s="26" t="s">
        <v>5427</v>
      </c>
      <c r="C4239" s="26" t="s">
        <v>13945</v>
      </c>
      <c r="D4239" s="26" t="s">
        <v>13944</v>
      </c>
      <c r="E4239" s="26" t="s">
        <v>5891</v>
      </c>
      <c r="F4239" s="27">
        <v>6436421</v>
      </c>
      <c r="G4239" s="27">
        <v>1</v>
      </c>
      <c r="H4239" s="27">
        <v>0</v>
      </c>
      <c r="I4239" s="27">
        <v>1</v>
      </c>
      <c r="J4239" s="30">
        <f t="shared" si="201"/>
        <v>1</v>
      </c>
      <c r="K4239" s="30">
        <f t="shared" si="202"/>
        <v>0</v>
      </c>
      <c r="L4239" s="26">
        <f t="shared" si="203"/>
        <v>0</v>
      </c>
      <c r="M4239" s="32"/>
    </row>
    <row r="4240" spans="1:13" ht="14.25" customHeight="1">
      <c r="A4240" s="25">
        <v>1941022</v>
      </c>
      <c r="B4240" s="26" t="s">
        <v>5423</v>
      </c>
      <c r="C4240" s="26" t="s">
        <v>13946</v>
      </c>
      <c r="D4240" s="26" t="s">
        <v>13944</v>
      </c>
      <c r="E4240" s="26" t="s">
        <v>5455</v>
      </c>
      <c r="F4240" s="27">
        <v>6633373</v>
      </c>
      <c r="G4240" s="27">
        <v>1</v>
      </c>
      <c r="H4240" s="27">
        <v>1</v>
      </c>
      <c r="I4240" s="27">
        <v>1</v>
      </c>
      <c r="J4240" s="30">
        <f t="shared" si="201"/>
        <v>1</v>
      </c>
      <c r="K4240" s="30">
        <f t="shared" si="202"/>
        <v>1</v>
      </c>
      <c r="L4240" s="26">
        <f t="shared" si="203"/>
        <v>1</v>
      </c>
      <c r="M4240" s="32"/>
    </row>
    <row r="4241" spans="1:13" ht="14.25" customHeight="1">
      <c r="A4241" s="25">
        <v>1941131</v>
      </c>
      <c r="B4241" s="26" t="s">
        <v>5423</v>
      </c>
      <c r="C4241" s="26" t="s">
        <v>13947</v>
      </c>
      <c r="D4241" s="26" t="s">
        <v>13944</v>
      </c>
      <c r="E4241" s="26" t="s">
        <v>5468</v>
      </c>
      <c r="F4241" s="27">
        <v>6154584</v>
      </c>
      <c r="G4241" s="27">
        <v>1</v>
      </c>
      <c r="H4241" s="27">
        <v>1</v>
      </c>
      <c r="I4241" s="27">
        <v>1</v>
      </c>
      <c r="J4241" s="30">
        <f t="shared" ref="J4241:J4272" si="204">IF(G4241&gt;0,1,0)</f>
        <v>1</v>
      </c>
      <c r="K4241" s="30">
        <f t="shared" ref="K4241:K4272" si="205">IF(H4241&gt;0,1,0)</f>
        <v>1</v>
      </c>
      <c r="L4241" s="26">
        <f t="shared" ref="L4241:L4272" si="206">IF(G4241&gt;0,IF(H4241&gt;0,1,0),0)</f>
        <v>1</v>
      </c>
      <c r="M4241" s="32"/>
    </row>
    <row r="4242" spans="1:13" ht="14.25" customHeight="1">
      <c r="A4242" s="25">
        <v>1941356</v>
      </c>
      <c r="B4242" s="26" t="s">
        <v>5423</v>
      </c>
      <c r="C4242" s="26" t="s">
        <v>13948</v>
      </c>
      <c r="D4242" s="26" t="s">
        <v>13944</v>
      </c>
      <c r="E4242" s="26" t="s">
        <v>5535</v>
      </c>
      <c r="F4242" s="27">
        <v>6633380</v>
      </c>
      <c r="G4242" s="27">
        <v>1</v>
      </c>
      <c r="H4242" s="27">
        <v>1</v>
      </c>
      <c r="I4242" s="27">
        <v>1</v>
      </c>
      <c r="J4242" s="30">
        <f t="shared" si="204"/>
        <v>1</v>
      </c>
      <c r="K4242" s="30">
        <f t="shared" si="205"/>
        <v>1</v>
      </c>
      <c r="L4242" s="26">
        <f t="shared" si="206"/>
        <v>1</v>
      </c>
      <c r="M4242" s="32"/>
    </row>
    <row r="4243" spans="1:13" ht="14.25" customHeight="1">
      <c r="A4243" s="25">
        <v>1941563</v>
      </c>
      <c r="B4243" s="26" t="s">
        <v>5423</v>
      </c>
      <c r="C4243" s="26" t="s">
        <v>13949</v>
      </c>
      <c r="D4243" s="26" t="s">
        <v>13944</v>
      </c>
      <c r="E4243" s="26" t="s">
        <v>5504</v>
      </c>
      <c r="F4243" s="27">
        <v>6633696</v>
      </c>
      <c r="G4243" s="27">
        <v>1</v>
      </c>
      <c r="H4243" s="27">
        <v>0</v>
      </c>
      <c r="I4243" s="27">
        <v>1</v>
      </c>
      <c r="J4243" s="30">
        <f t="shared" si="204"/>
        <v>1</v>
      </c>
      <c r="K4243" s="30">
        <f t="shared" si="205"/>
        <v>0</v>
      </c>
      <c r="L4243" s="26">
        <f t="shared" si="206"/>
        <v>0</v>
      </c>
      <c r="M4243" s="32"/>
    </row>
    <row r="4244" spans="1:13" ht="14.25" customHeight="1">
      <c r="A4244" s="25">
        <v>1941769</v>
      </c>
      <c r="B4244" s="26" t="s">
        <v>5423</v>
      </c>
      <c r="C4244" s="26" t="s">
        <v>13950</v>
      </c>
      <c r="D4244" s="26" t="s">
        <v>13944</v>
      </c>
      <c r="E4244" s="26" t="s">
        <v>5436</v>
      </c>
      <c r="F4244" s="27">
        <v>6635490</v>
      </c>
      <c r="G4244" s="27">
        <v>0</v>
      </c>
      <c r="H4244" s="27">
        <v>0</v>
      </c>
      <c r="I4244" s="27">
        <v>0</v>
      </c>
      <c r="J4244" s="30">
        <f t="shared" si="204"/>
        <v>0</v>
      </c>
      <c r="K4244" s="30">
        <f t="shared" si="205"/>
        <v>0</v>
      </c>
      <c r="L4244" s="26">
        <f t="shared" si="206"/>
        <v>0</v>
      </c>
      <c r="M4244" s="32"/>
    </row>
    <row r="4245" spans="1:13" ht="14.25" customHeight="1">
      <c r="A4245" s="25">
        <v>1942249</v>
      </c>
      <c r="B4245" s="26" t="s">
        <v>5427</v>
      </c>
      <c r="C4245" s="26" t="s">
        <v>13951</v>
      </c>
      <c r="D4245" s="26" t="s">
        <v>13952</v>
      </c>
      <c r="E4245" s="26" t="s">
        <v>5718</v>
      </c>
      <c r="F4245" s="27">
        <v>6636708</v>
      </c>
      <c r="G4245" s="27">
        <v>0</v>
      </c>
      <c r="H4245" s="27">
        <v>0</v>
      </c>
      <c r="I4245" s="27">
        <v>0</v>
      </c>
      <c r="J4245" s="30">
        <f t="shared" si="204"/>
        <v>0</v>
      </c>
      <c r="K4245" s="30">
        <f t="shared" si="205"/>
        <v>0</v>
      </c>
      <c r="L4245" s="26">
        <f t="shared" si="206"/>
        <v>0</v>
      </c>
      <c r="M4245" s="32"/>
    </row>
    <row r="4246" spans="1:13" ht="14.25" customHeight="1">
      <c r="A4246" s="25">
        <v>1942400</v>
      </c>
      <c r="B4246" s="26" t="s">
        <v>5423</v>
      </c>
      <c r="C4246" s="26" t="s">
        <v>13953</v>
      </c>
      <c r="D4246" s="26" t="s">
        <v>13952</v>
      </c>
      <c r="E4246" s="26" t="s">
        <v>5517</v>
      </c>
      <c r="F4246" s="27">
        <v>6636044</v>
      </c>
      <c r="G4246" s="27">
        <v>0</v>
      </c>
      <c r="H4246" s="27">
        <v>0</v>
      </c>
      <c r="I4246" s="27">
        <v>0</v>
      </c>
      <c r="J4246" s="30">
        <f t="shared" si="204"/>
        <v>0</v>
      </c>
      <c r="K4246" s="30">
        <f t="shared" si="205"/>
        <v>0</v>
      </c>
      <c r="L4246" s="26">
        <f t="shared" si="206"/>
        <v>0</v>
      </c>
      <c r="M4246" s="32"/>
    </row>
    <row r="4247" spans="1:13" ht="14.25" customHeight="1">
      <c r="A4247" s="25">
        <v>1942418</v>
      </c>
      <c r="B4247" s="26" t="s">
        <v>5423</v>
      </c>
      <c r="C4247" s="26" t="s">
        <v>13954</v>
      </c>
      <c r="D4247" s="26" t="s">
        <v>13952</v>
      </c>
      <c r="E4247" s="26" t="s">
        <v>5439</v>
      </c>
      <c r="F4247" s="27">
        <v>6636039</v>
      </c>
      <c r="G4247" s="27">
        <v>0</v>
      </c>
      <c r="H4247" s="27">
        <v>0</v>
      </c>
      <c r="I4247" s="27">
        <v>0</v>
      </c>
      <c r="J4247" s="30">
        <f t="shared" si="204"/>
        <v>0</v>
      </c>
      <c r="K4247" s="30">
        <f t="shared" si="205"/>
        <v>0</v>
      </c>
      <c r="L4247" s="26">
        <f t="shared" si="206"/>
        <v>0</v>
      </c>
      <c r="M4247" s="32"/>
    </row>
    <row r="4248" spans="1:13" ht="14.25" customHeight="1">
      <c r="A4248" s="25">
        <v>1943330</v>
      </c>
      <c r="B4248" s="26" t="s">
        <v>5423</v>
      </c>
      <c r="C4248" s="26" t="s">
        <v>13955</v>
      </c>
      <c r="D4248" s="26" t="s">
        <v>13956</v>
      </c>
      <c r="E4248" s="26" t="s">
        <v>5436</v>
      </c>
      <c r="F4248" s="27">
        <v>6469513</v>
      </c>
      <c r="G4248" s="27">
        <v>1</v>
      </c>
      <c r="H4248" s="27">
        <v>1</v>
      </c>
      <c r="I4248" s="27">
        <v>1</v>
      </c>
      <c r="J4248" s="30">
        <f t="shared" si="204"/>
        <v>1</v>
      </c>
      <c r="K4248" s="30">
        <f t="shared" si="205"/>
        <v>1</v>
      </c>
      <c r="L4248" s="26">
        <f t="shared" si="206"/>
        <v>1</v>
      </c>
      <c r="M4248" s="33" t="s">
        <v>5118</v>
      </c>
    </row>
    <row r="4249" spans="1:13" ht="14.25" customHeight="1">
      <c r="A4249" s="25">
        <v>1941500</v>
      </c>
      <c r="B4249" s="26" t="s">
        <v>5423</v>
      </c>
      <c r="C4249" s="26" t="s">
        <v>13957</v>
      </c>
      <c r="D4249" s="26" t="s">
        <v>13958</v>
      </c>
      <c r="E4249" s="26" t="s">
        <v>5540</v>
      </c>
      <c r="F4249" s="27">
        <v>6633519</v>
      </c>
      <c r="G4249" s="27">
        <v>1</v>
      </c>
      <c r="H4249" s="27">
        <v>0</v>
      </c>
      <c r="I4249" s="27">
        <v>1</v>
      </c>
      <c r="J4249" s="30">
        <f t="shared" si="204"/>
        <v>1</v>
      </c>
      <c r="K4249" s="30">
        <f t="shared" si="205"/>
        <v>0</v>
      </c>
      <c r="L4249" s="26">
        <f t="shared" si="206"/>
        <v>0</v>
      </c>
      <c r="M4249" s="32"/>
    </row>
    <row r="4250" spans="1:13" ht="14.25" customHeight="1">
      <c r="A4250" s="25">
        <v>1942735</v>
      </c>
      <c r="B4250" s="26" t="s">
        <v>5423</v>
      </c>
      <c r="C4250" s="26" t="s">
        <v>13959</v>
      </c>
      <c r="D4250" s="26" t="s">
        <v>13958</v>
      </c>
      <c r="E4250" s="26" t="s">
        <v>5452</v>
      </c>
      <c r="F4250" s="27">
        <v>6261846</v>
      </c>
      <c r="G4250" s="27">
        <v>1</v>
      </c>
      <c r="H4250" s="27">
        <v>1</v>
      </c>
      <c r="I4250" s="27">
        <v>1</v>
      </c>
      <c r="J4250" s="30">
        <f t="shared" si="204"/>
        <v>1</v>
      </c>
      <c r="K4250" s="30">
        <f t="shared" si="205"/>
        <v>1</v>
      </c>
      <c r="L4250" s="26">
        <f t="shared" si="206"/>
        <v>1</v>
      </c>
      <c r="M4250" s="32"/>
    </row>
    <row r="4251" spans="1:13" ht="14.25" customHeight="1">
      <c r="A4251" s="25">
        <v>1943546</v>
      </c>
      <c r="B4251" s="26" t="s">
        <v>5427</v>
      </c>
      <c r="C4251" s="26" t="s">
        <v>13960</v>
      </c>
      <c r="D4251" s="26" t="s">
        <v>13961</v>
      </c>
      <c r="E4251" s="26" t="s">
        <v>5550</v>
      </c>
      <c r="F4251" s="27">
        <v>6624378</v>
      </c>
      <c r="G4251" s="27">
        <v>1</v>
      </c>
      <c r="H4251" s="27">
        <v>0</v>
      </c>
      <c r="I4251" s="27">
        <v>1</v>
      </c>
      <c r="J4251" s="30">
        <f t="shared" si="204"/>
        <v>1</v>
      </c>
      <c r="K4251" s="30">
        <f t="shared" si="205"/>
        <v>0</v>
      </c>
      <c r="L4251" s="26">
        <f t="shared" si="206"/>
        <v>0</v>
      </c>
      <c r="M4251" s="32"/>
    </row>
    <row r="4252" spans="1:13" ht="14.25" customHeight="1">
      <c r="A4252" s="25">
        <v>1943607</v>
      </c>
      <c r="B4252" s="26" t="s">
        <v>5423</v>
      </c>
      <c r="C4252" s="26" t="s">
        <v>13962</v>
      </c>
      <c r="D4252" s="26" t="s">
        <v>13961</v>
      </c>
      <c r="E4252" s="26" t="s">
        <v>5683</v>
      </c>
      <c r="F4252" s="27">
        <v>6622984</v>
      </c>
      <c r="G4252" s="27">
        <v>1</v>
      </c>
      <c r="H4252" s="27">
        <v>0</v>
      </c>
      <c r="I4252" s="27">
        <v>1</v>
      </c>
      <c r="J4252" s="30">
        <f t="shared" si="204"/>
        <v>1</v>
      </c>
      <c r="K4252" s="30">
        <f t="shared" si="205"/>
        <v>0</v>
      </c>
      <c r="L4252" s="26">
        <f t="shared" si="206"/>
        <v>0</v>
      </c>
      <c r="M4252" s="32"/>
    </row>
    <row r="4253" spans="1:13" ht="14.25" customHeight="1">
      <c r="A4253" s="25">
        <v>1940462</v>
      </c>
      <c r="B4253" s="26" t="s">
        <v>5423</v>
      </c>
      <c r="C4253" s="26" t="s">
        <v>13963</v>
      </c>
      <c r="D4253" s="26" t="s">
        <v>13964</v>
      </c>
      <c r="E4253" s="26" t="s">
        <v>5683</v>
      </c>
      <c r="F4253" s="27">
        <v>4766330</v>
      </c>
      <c r="G4253" s="27">
        <v>1</v>
      </c>
      <c r="H4253" s="27">
        <v>1</v>
      </c>
      <c r="I4253" s="27">
        <v>1</v>
      </c>
      <c r="J4253" s="30">
        <f t="shared" si="204"/>
        <v>1</v>
      </c>
      <c r="K4253" s="30">
        <f t="shared" si="205"/>
        <v>1</v>
      </c>
      <c r="L4253" s="26">
        <f t="shared" si="206"/>
        <v>1</v>
      </c>
      <c r="M4253" s="32"/>
    </row>
    <row r="4254" spans="1:13" ht="14.25" customHeight="1">
      <c r="A4254" s="25">
        <v>1943162</v>
      </c>
      <c r="B4254" s="26" t="s">
        <v>5423</v>
      </c>
      <c r="C4254" s="26" t="s">
        <v>13965</v>
      </c>
      <c r="D4254" s="26" t="s">
        <v>13964</v>
      </c>
      <c r="E4254" s="26" t="s">
        <v>5514</v>
      </c>
      <c r="F4254" s="27">
        <v>6589105</v>
      </c>
      <c r="G4254" s="27">
        <v>1</v>
      </c>
      <c r="H4254" s="27">
        <v>1</v>
      </c>
      <c r="I4254" s="27">
        <v>1</v>
      </c>
      <c r="J4254" s="30">
        <f t="shared" si="204"/>
        <v>1</v>
      </c>
      <c r="K4254" s="30">
        <f t="shared" si="205"/>
        <v>1</v>
      </c>
      <c r="L4254" s="26">
        <f t="shared" si="206"/>
        <v>1</v>
      </c>
      <c r="M4254" s="32"/>
    </row>
    <row r="4255" spans="1:13" ht="14.25" customHeight="1">
      <c r="A4255" s="25">
        <v>1943475</v>
      </c>
      <c r="B4255" s="26" t="s">
        <v>5427</v>
      </c>
      <c r="C4255" s="26" t="s">
        <v>13966</v>
      </c>
      <c r="D4255" s="26" t="s">
        <v>13964</v>
      </c>
      <c r="E4255" s="26" t="s">
        <v>5494</v>
      </c>
      <c r="F4255" s="27">
        <v>6638705</v>
      </c>
      <c r="G4255" s="27">
        <v>1</v>
      </c>
      <c r="H4255" s="27">
        <v>0</v>
      </c>
      <c r="I4255" s="27">
        <v>1</v>
      </c>
      <c r="J4255" s="30">
        <f t="shared" si="204"/>
        <v>1</v>
      </c>
      <c r="K4255" s="30">
        <f t="shared" si="205"/>
        <v>0</v>
      </c>
      <c r="L4255" s="26">
        <f t="shared" si="206"/>
        <v>0</v>
      </c>
      <c r="M4255" s="32"/>
    </row>
    <row r="4256" spans="1:13" ht="14.25" customHeight="1">
      <c r="A4256" s="25">
        <v>1943549</v>
      </c>
      <c r="B4256" s="26" t="s">
        <v>5423</v>
      </c>
      <c r="C4256" s="26" t="s">
        <v>13967</v>
      </c>
      <c r="D4256" s="26" t="s">
        <v>13964</v>
      </c>
      <c r="E4256" s="26" t="s">
        <v>5468</v>
      </c>
      <c r="F4256" s="27">
        <v>6638909</v>
      </c>
      <c r="G4256" s="27">
        <v>1</v>
      </c>
      <c r="H4256" s="27">
        <v>0</v>
      </c>
      <c r="I4256" s="27">
        <v>1</v>
      </c>
      <c r="J4256" s="30">
        <f t="shared" si="204"/>
        <v>1</v>
      </c>
      <c r="K4256" s="30">
        <f t="shared" si="205"/>
        <v>0</v>
      </c>
      <c r="L4256" s="26">
        <f t="shared" si="206"/>
        <v>0</v>
      </c>
      <c r="M4256" s="32"/>
    </row>
    <row r="4257" spans="1:13" ht="14.25" customHeight="1">
      <c r="A4257" s="25">
        <v>1944148</v>
      </c>
      <c r="B4257" s="26" t="s">
        <v>5423</v>
      </c>
      <c r="C4257" s="26" t="s">
        <v>13968</v>
      </c>
      <c r="D4257" s="26" t="s">
        <v>13964</v>
      </c>
      <c r="E4257" s="26" t="s">
        <v>5683</v>
      </c>
      <c r="F4257" s="27">
        <v>6630112</v>
      </c>
      <c r="G4257" s="27">
        <v>1</v>
      </c>
      <c r="H4257" s="27">
        <v>0</v>
      </c>
      <c r="I4257" s="27">
        <v>1</v>
      </c>
      <c r="J4257" s="30">
        <f t="shared" si="204"/>
        <v>1</v>
      </c>
      <c r="K4257" s="30">
        <f t="shared" si="205"/>
        <v>0</v>
      </c>
      <c r="L4257" s="26">
        <f t="shared" si="206"/>
        <v>0</v>
      </c>
      <c r="M4257" s="32"/>
    </row>
    <row r="4258" spans="1:13" ht="14.25" customHeight="1">
      <c r="A4258" s="25">
        <v>1941616</v>
      </c>
      <c r="B4258" s="26" t="s">
        <v>5423</v>
      </c>
      <c r="C4258" s="26" t="s">
        <v>13969</v>
      </c>
      <c r="D4258" s="26" t="s">
        <v>13970</v>
      </c>
      <c r="E4258" s="26" t="s">
        <v>5463</v>
      </c>
      <c r="F4258" s="27">
        <v>6633854</v>
      </c>
      <c r="G4258" s="27">
        <v>1</v>
      </c>
      <c r="H4258" s="27">
        <v>1</v>
      </c>
      <c r="I4258" s="27">
        <v>1</v>
      </c>
      <c r="J4258" s="30">
        <f t="shared" si="204"/>
        <v>1</v>
      </c>
      <c r="K4258" s="30">
        <f t="shared" si="205"/>
        <v>1</v>
      </c>
      <c r="L4258" s="26">
        <f t="shared" si="206"/>
        <v>1</v>
      </c>
      <c r="M4258" s="32"/>
    </row>
    <row r="4259" spans="1:13" ht="14.25" customHeight="1">
      <c r="A4259" s="25">
        <v>1941240</v>
      </c>
      <c r="B4259" s="26" t="s">
        <v>5427</v>
      </c>
      <c r="C4259" s="26" t="s">
        <v>13971</v>
      </c>
      <c r="D4259" s="26" t="s">
        <v>13972</v>
      </c>
      <c r="E4259" s="26" t="s">
        <v>5968</v>
      </c>
      <c r="F4259" s="27">
        <v>6632867</v>
      </c>
      <c r="G4259" s="27">
        <v>1</v>
      </c>
      <c r="H4259" s="27">
        <v>0</v>
      </c>
      <c r="I4259" s="27">
        <v>1</v>
      </c>
      <c r="J4259" s="30">
        <f t="shared" si="204"/>
        <v>1</v>
      </c>
      <c r="K4259" s="30">
        <f t="shared" si="205"/>
        <v>0</v>
      </c>
      <c r="L4259" s="26">
        <f t="shared" si="206"/>
        <v>0</v>
      </c>
      <c r="M4259" s="32"/>
    </row>
    <row r="4260" spans="1:13" ht="14.25" customHeight="1">
      <c r="A4260" s="25" t="s">
        <v>13973</v>
      </c>
      <c r="B4260" s="26" t="s">
        <v>5427</v>
      </c>
      <c r="C4260" s="26" t="s">
        <v>13974</v>
      </c>
      <c r="D4260" s="26" t="s">
        <v>13972</v>
      </c>
      <c r="E4260" s="26" t="s">
        <v>5586</v>
      </c>
      <c r="F4260" s="27"/>
      <c r="G4260" s="27">
        <v>0</v>
      </c>
      <c r="H4260" s="27">
        <v>0</v>
      </c>
      <c r="I4260" s="27">
        <v>0</v>
      </c>
      <c r="J4260" s="30">
        <f t="shared" si="204"/>
        <v>0</v>
      </c>
      <c r="K4260" s="30">
        <f t="shared" si="205"/>
        <v>0</v>
      </c>
      <c r="L4260" s="26">
        <f t="shared" si="206"/>
        <v>0</v>
      </c>
      <c r="M4260" s="33" t="s">
        <v>5258</v>
      </c>
    </row>
    <row r="4261" spans="1:13" ht="14.25" customHeight="1">
      <c r="A4261" s="25">
        <v>1944119</v>
      </c>
      <c r="B4261" s="26" t="s">
        <v>5423</v>
      </c>
      <c r="C4261" s="26" t="s">
        <v>13975</v>
      </c>
      <c r="D4261" s="26" t="s">
        <v>13972</v>
      </c>
      <c r="E4261" s="26" t="s">
        <v>5436</v>
      </c>
      <c r="F4261" s="27">
        <v>6639998</v>
      </c>
      <c r="G4261" s="27">
        <v>1</v>
      </c>
      <c r="H4261" s="27">
        <v>1</v>
      </c>
      <c r="I4261" s="27">
        <v>1</v>
      </c>
      <c r="J4261" s="30">
        <f t="shared" si="204"/>
        <v>1</v>
      </c>
      <c r="K4261" s="30">
        <f t="shared" si="205"/>
        <v>1</v>
      </c>
      <c r="L4261" s="26">
        <f t="shared" si="206"/>
        <v>1</v>
      </c>
      <c r="M4261" s="32"/>
    </row>
    <row r="4262" spans="1:13" ht="14.25" customHeight="1">
      <c r="A4262" s="25">
        <v>1944568</v>
      </c>
      <c r="B4262" s="26" t="s">
        <v>5423</v>
      </c>
      <c r="C4262" s="26" t="s">
        <v>13976</v>
      </c>
      <c r="D4262" s="26" t="s">
        <v>13972</v>
      </c>
      <c r="E4262" s="26" t="s">
        <v>5532</v>
      </c>
      <c r="F4262" s="27"/>
      <c r="G4262" s="27">
        <v>0</v>
      </c>
      <c r="H4262" s="27">
        <v>0</v>
      </c>
      <c r="I4262" s="27">
        <v>0</v>
      </c>
      <c r="J4262" s="30">
        <f t="shared" si="204"/>
        <v>0</v>
      </c>
      <c r="K4262" s="30">
        <f t="shared" si="205"/>
        <v>0</v>
      </c>
      <c r="L4262" s="26">
        <f t="shared" si="206"/>
        <v>0</v>
      </c>
      <c r="M4262" s="32" t="s">
        <v>13977</v>
      </c>
    </row>
    <row r="4263" spans="1:13" ht="14.25" customHeight="1">
      <c r="A4263" s="25">
        <v>1941017</v>
      </c>
      <c r="B4263" s="26" t="s">
        <v>5423</v>
      </c>
      <c r="C4263" s="26" t="s">
        <v>13978</v>
      </c>
      <c r="D4263" s="26" t="s">
        <v>13979</v>
      </c>
      <c r="E4263" s="26" t="s">
        <v>5447</v>
      </c>
      <c r="F4263" s="27">
        <v>6632193</v>
      </c>
      <c r="G4263" s="27">
        <v>1</v>
      </c>
      <c r="H4263" s="27">
        <v>0</v>
      </c>
      <c r="I4263" s="27">
        <v>1</v>
      </c>
      <c r="J4263" s="30">
        <f t="shared" si="204"/>
        <v>1</v>
      </c>
      <c r="K4263" s="30">
        <f t="shared" si="205"/>
        <v>0</v>
      </c>
      <c r="L4263" s="26">
        <f t="shared" si="206"/>
        <v>0</v>
      </c>
      <c r="M4263" s="32"/>
    </row>
    <row r="4264" spans="1:13" ht="14.25" customHeight="1">
      <c r="A4264" s="25">
        <v>1928059</v>
      </c>
      <c r="B4264" s="26" t="s">
        <v>5427</v>
      </c>
      <c r="C4264" s="26" t="s">
        <v>13980</v>
      </c>
      <c r="D4264" s="26" t="s">
        <v>13981</v>
      </c>
      <c r="E4264" s="26" t="s">
        <v>5475</v>
      </c>
      <c r="F4264" s="27">
        <v>6630519</v>
      </c>
      <c r="G4264" s="27">
        <v>1</v>
      </c>
      <c r="H4264" s="27">
        <v>0</v>
      </c>
      <c r="I4264" s="27">
        <v>1</v>
      </c>
      <c r="J4264" s="30">
        <f t="shared" si="204"/>
        <v>1</v>
      </c>
      <c r="K4264" s="30">
        <f t="shared" si="205"/>
        <v>0</v>
      </c>
      <c r="L4264" s="26">
        <f t="shared" si="206"/>
        <v>0</v>
      </c>
      <c r="M4264" s="32"/>
    </row>
    <row r="4265" spans="1:13" ht="14.25" customHeight="1">
      <c r="A4265" s="25">
        <v>1941108</v>
      </c>
      <c r="B4265" s="26" t="s">
        <v>5423</v>
      </c>
      <c r="C4265" s="26" t="s">
        <v>13982</v>
      </c>
      <c r="D4265" s="26" t="s">
        <v>13981</v>
      </c>
      <c r="E4265" s="26" t="s">
        <v>5603</v>
      </c>
      <c r="F4265" s="27">
        <v>5157754</v>
      </c>
      <c r="G4265" s="27">
        <v>1</v>
      </c>
      <c r="H4265" s="27">
        <v>1</v>
      </c>
      <c r="I4265" s="27">
        <v>1</v>
      </c>
      <c r="J4265" s="30">
        <f t="shared" si="204"/>
        <v>1</v>
      </c>
      <c r="K4265" s="30">
        <f t="shared" si="205"/>
        <v>1</v>
      </c>
      <c r="L4265" s="26">
        <f t="shared" si="206"/>
        <v>1</v>
      </c>
      <c r="M4265" s="32"/>
    </row>
    <row r="4266" spans="1:13" ht="14.25" customHeight="1">
      <c r="A4266" s="25">
        <v>1943066</v>
      </c>
      <c r="B4266" s="26" t="s">
        <v>5427</v>
      </c>
      <c r="C4266" s="26" t="s">
        <v>13983</v>
      </c>
      <c r="D4266" s="26" t="s">
        <v>13981</v>
      </c>
      <c r="E4266" s="26" t="s">
        <v>6075</v>
      </c>
      <c r="F4266" s="27">
        <v>6638213</v>
      </c>
      <c r="G4266" s="27">
        <v>1</v>
      </c>
      <c r="H4266" s="27">
        <v>1</v>
      </c>
      <c r="I4266" s="27">
        <v>1</v>
      </c>
      <c r="J4266" s="30">
        <f t="shared" si="204"/>
        <v>1</v>
      </c>
      <c r="K4266" s="30">
        <f t="shared" si="205"/>
        <v>1</v>
      </c>
      <c r="L4266" s="26">
        <f t="shared" si="206"/>
        <v>1</v>
      </c>
      <c r="M4266" s="32"/>
    </row>
    <row r="4267" spans="1:13" ht="14.25" customHeight="1">
      <c r="A4267" s="25">
        <v>1945006</v>
      </c>
      <c r="B4267" s="26" t="s">
        <v>5427</v>
      </c>
      <c r="C4267" s="26" t="s">
        <v>13984</v>
      </c>
      <c r="D4267" s="26" t="s">
        <v>13985</v>
      </c>
      <c r="E4267" s="26" t="s">
        <v>5522</v>
      </c>
      <c r="F4267" s="27">
        <v>6642255</v>
      </c>
      <c r="G4267" s="27">
        <v>1</v>
      </c>
      <c r="H4267" s="27">
        <v>0</v>
      </c>
      <c r="I4267" s="27">
        <v>1</v>
      </c>
      <c r="J4267" s="30">
        <f t="shared" si="204"/>
        <v>1</v>
      </c>
      <c r="K4267" s="30">
        <f t="shared" si="205"/>
        <v>0</v>
      </c>
      <c r="L4267" s="26">
        <f t="shared" si="206"/>
        <v>0</v>
      </c>
      <c r="M4267" s="32"/>
    </row>
    <row r="4268" spans="1:13" ht="14.25" customHeight="1">
      <c r="A4268" s="25">
        <v>1945067</v>
      </c>
      <c r="B4268" s="26" t="s">
        <v>5423</v>
      </c>
      <c r="C4268" s="26" t="s">
        <v>13986</v>
      </c>
      <c r="D4268" s="26" t="s">
        <v>13985</v>
      </c>
      <c r="E4268" s="26" t="s">
        <v>5458</v>
      </c>
      <c r="F4268" s="27">
        <v>6605632</v>
      </c>
      <c r="G4268" s="27">
        <v>1</v>
      </c>
      <c r="H4268" s="27">
        <v>0</v>
      </c>
      <c r="I4268" s="27">
        <v>1</v>
      </c>
      <c r="J4268" s="30">
        <f t="shared" si="204"/>
        <v>1</v>
      </c>
      <c r="K4268" s="30">
        <f t="shared" si="205"/>
        <v>0</v>
      </c>
      <c r="L4268" s="26">
        <f t="shared" si="206"/>
        <v>0</v>
      </c>
      <c r="M4268" s="32"/>
    </row>
    <row r="4269" spans="1:13" ht="14.25" customHeight="1">
      <c r="A4269" s="25">
        <v>1945099</v>
      </c>
      <c r="B4269" s="26" t="s">
        <v>5423</v>
      </c>
      <c r="C4269" s="26" t="s">
        <v>13987</v>
      </c>
      <c r="D4269" s="26" t="s">
        <v>13985</v>
      </c>
      <c r="E4269" s="26" t="s">
        <v>5436</v>
      </c>
      <c r="F4269" s="27">
        <v>6642918</v>
      </c>
      <c r="G4269" s="27">
        <v>0</v>
      </c>
      <c r="H4269" s="27">
        <v>0</v>
      </c>
      <c r="I4269" s="27">
        <v>0</v>
      </c>
      <c r="J4269" s="30">
        <f t="shared" si="204"/>
        <v>0</v>
      </c>
      <c r="K4269" s="30">
        <f t="shared" si="205"/>
        <v>0</v>
      </c>
      <c r="L4269" s="26">
        <f t="shared" si="206"/>
        <v>0</v>
      </c>
      <c r="M4269" s="32"/>
    </row>
    <row r="4270" spans="1:13" ht="14.25" customHeight="1">
      <c r="A4270" s="25">
        <v>1945160</v>
      </c>
      <c r="B4270" s="26" t="s">
        <v>5423</v>
      </c>
      <c r="C4270" s="26" t="s">
        <v>13988</v>
      </c>
      <c r="D4270" s="26" t="s">
        <v>13985</v>
      </c>
      <c r="E4270" s="26" t="s">
        <v>5436</v>
      </c>
      <c r="F4270" s="27">
        <v>6642593</v>
      </c>
      <c r="G4270" s="27">
        <v>1</v>
      </c>
      <c r="H4270" s="27">
        <v>1</v>
      </c>
      <c r="I4270" s="27">
        <v>1</v>
      </c>
      <c r="J4270" s="30">
        <f t="shared" si="204"/>
        <v>1</v>
      </c>
      <c r="K4270" s="30">
        <f t="shared" si="205"/>
        <v>1</v>
      </c>
      <c r="L4270" s="26">
        <f t="shared" si="206"/>
        <v>1</v>
      </c>
      <c r="M4270" s="32"/>
    </row>
    <row r="4271" spans="1:13" ht="14.25" customHeight="1">
      <c r="A4271" s="25">
        <v>1944364</v>
      </c>
      <c r="B4271" s="26" t="s">
        <v>5427</v>
      </c>
      <c r="C4271" s="26" t="s">
        <v>13989</v>
      </c>
      <c r="D4271" s="26" t="s">
        <v>13990</v>
      </c>
      <c r="E4271" s="26" t="s">
        <v>5433</v>
      </c>
      <c r="F4271" s="27">
        <v>6641612</v>
      </c>
      <c r="G4271" s="27">
        <v>1</v>
      </c>
      <c r="H4271" s="27">
        <v>1</v>
      </c>
      <c r="I4271" s="27">
        <v>1</v>
      </c>
      <c r="J4271" s="30">
        <f t="shared" si="204"/>
        <v>1</v>
      </c>
      <c r="K4271" s="30">
        <f t="shared" si="205"/>
        <v>1</v>
      </c>
      <c r="L4271" s="26">
        <f t="shared" si="206"/>
        <v>1</v>
      </c>
      <c r="M4271" s="32"/>
    </row>
    <row r="4272" spans="1:13" ht="14.25" customHeight="1">
      <c r="A4272" s="25">
        <v>1944157</v>
      </c>
      <c r="B4272" s="26" t="s">
        <v>5427</v>
      </c>
      <c r="C4272" s="26" t="s">
        <v>13991</v>
      </c>
      <c r="D4272" s="26" t="s">
        <v>13992</v>
      </c>
      <c r="E4272" s="26" t="s">
        <v>5891</v>
      </c>
      <c r="F4272" s="27">
        <v>6640264</v>
      </c>
      <c r="G4272" s="27">
        <v>1</v>
      </c>
      <c r="H4272" s="27">
        <v>1</v>
      </c>
      <c r="I4272" s="27">
        <v>1</v>
      </c>
      <c r="J4272" s="30">
        <f t="shared" si="204"/>
        <v>1</v>
      </c>
      <c r="K4272" s="30">
        <f t="shared" si="205"/>
        <v>1</v>
      </c>
      <c r="L4272" s="26">
        <f t="shared" si="206"/>
        <v>1</v>
      </c>
      <c r="M4272" s="32"/>
    </row>
    <row r="4273" spans="1:13" ht="14.25" customHeight="1">
      <c r="A4273" s="25">
        <v>1945689</v>
      </c>
      <c r="B4273" s="26" t="s">
        <v>5423</v>
      </c>
      <c r="C4273" s="26" t="s">
        <v>13993</v>
      </c>
      <c r="D4273" s="26" t="s">
        <v>13992</v>
      </c>
      <c r="E4273" s="26" t="s">
        <v>5485</v>
      </c>
      <c r="F4273" s="27">
        <v>6638341</v>
      </c>
      <c r="G4273" s="27">
        <v>1</v>
      </c>
      <c r="H4273" s="27">
        <v>1</v>
      </c>
      <c r="I4273" s="27">
        <v>1</v>
      </c>
      <c r="J4273" s="30">
        <f t="shared" ref="J4273:J4304" si="207">IF(G4273&gt;0,1,0)</f>
        <v>1</v>
      </c>
      <c r="K4273" s="30">
        <f t="shared" ref="K4273:K4304" si="208">IF(H4273&gt;0,1,0)</f>
        <v>1</v>
      </c>
      <c r="L4273" s="26">
        <f t="shared" ref="L4273:L4304" si="209">IF(G4273&gt;0,IF(H4273&gt;0,1,0),0)</f>
        <v>1</v>
      </c>
      <c r="M4273" s="32"/>
    </row>
    <row r="4274" spans="1:13" ht="14.25" customHeight="1">
      <c r="A4274" s="25">
        <v>1945699</v>
      </c>
      <c r="B4274" s="26" t="s">
        <v>5423</v>
      </c>
      <c r="C4274" s="26" t="s">
        <v>13994</v>
      </c>
      <c r="D4274" s="26" t="s">
        <v>13992</v>
      </c>
      <c r="E4274" s="26" t="s">
        <v>5458</v>
      </c>
      <c r="F4274" s="27">
        <v>6644925</v>
      </c>
      <c r="G4274" s="27">
        <v>0</v>
      </c>
      <c r="H4274" s="27">
        <v>0</v>
      </c>
      <c r="I4274" s="27">
        <v>0</v>
      </c>
      <c r="J4274" s="30">
        <f t="shared" si="207"/>
        <v>0</v>
      </c>
      <c r="K4274" s="30">
        <f t="shared" si="208"/>
        <v>0</v>
      </c>
      <c r="L4274" s="26">
        <f t="shared" si="209"/>
        <v>0</v>
      </c>
      <c r="M4274" s="32"/>
    </row>
    <row r="4275" spans="1:13" ht="14.25" customHeight="1">
      <c r="A4275" s="25">
        <v>1945766</v>
      </c>
      <c r="B4275" s="26" t="s">
        <v>5423</v>
      </c>
      <c r="C4275" s="26" t="s">
        <v>13995</v>
      </c>
      <c r="D4275" s="26" t="s">
        <v>13992</v>
      </c>
      <c r="E4275" s="26" t="s">
        <v>5452</v>
      </c>
      <c r="F4275" s="27">
        <v>6644314</v>
      </c>
      <c r="G4275" s="27">
        <v>0</v>
      </c>
      <c r="H4275" s="27">
        <v>0</v>
      </c>
      <c r="I4275" s="27">
        <v>0</v>
      </c>
      <c r="J4275" s="30">
        <f t="shared" si="207"/>
        <v>0</v>
      </c>
      <c r="K4275" s="30">
        <f t="shared" si="208"/>
        <v>0</v>
      </c>
      <c r="L4275" s="26">
        <f t="shared" si="209"/>
        <v>0</v>
      </c>
      <c r="M4275" s="32"/>
    </row>
    <row r="4276" spans="1:13" ht="14.25" customHeight="1">
      <c r="A4276" s="25">
        <v>1946346</v>
      </c>
      <c r="B4276" s="26" t="s">
        <v>5423</v>
      </c>
      <c r="C4276" s="26" t="s">
        <v>13996</v>
      </c>
      <c r="D4276" s="26" t="s">
        <v>13997</v>
      </c>
      <c r="E4276" s="26" t="s">
        <v>5586</v>
      </c>
      <c r="F4276" s="27">
        <v>6623450</v>
      </c>
      <c r="G4276" s="27">
        <v>1</v>
      </c>
      <c r="H4276" s="27">
        <v>0</v>
      </c>
      <c r="I4276" s="27">
        <v>1</v>
      </c>
      <c r="J4276" s="30">
        <f t="shared" si="207"/>
        <v>1</v>
      </c>
      <c r="K4276" s="30">
        <f t="shared" si="208"/>
        <v>0</v>
      </c>
      <c r="L4276" s="26">
        <f t="shared" si="209"/>
        <v>0</v>
      </c>
      <c r="M4276" s="32"/>
    </row>
    <row r="4277" spans="1:13" ht="14.25" customHeight="1">
      <c r="A4277" s="25">
        <v>1946465</v>
      </c>
      <c r="B4277" s="26" t="s">
        <v>5427</v>
      </c>
      <c r="C4277" s="26" t="s">
        <v>13998</v>
      </c>
      <c r="D4277" s="26" t="s">
        <v>13997</v>
      </c>
      <c r="E4277" s="26" t="s">
        <v>5455</v>
      </c>
      <c r="F4277" s="27">
        <v>6640326</v>
      </c>
      <c r="G4277" s="27">
        <v>1</v>
      </c>
      <c r="H4277" s="27">
        <v>0</v>
      </c>
      <c r="I4277" s="27">
        <v>1</v>
      </c>
      <c r="J4277" s="30">
        <f t="shared" si="207"/>
        <v>1</v>
      </c>
      <c r="K4277" s="30">
        <f t="shared" si="208"/>
        <v>0</v>
      </c>
      <c r="L4277" s="26">
        <f t="shared" si="209"/>
        <v>0</v>
      </c>
      <c r="M4277" s="32"/>
    </row>
    <row r="4278" spans="1:13" ht="14.25" customHeight="1">
      <c r="A4278" s="25">
        <v>1946175</v>
      </c>
      <c r="B4278" s="26" t="s">
        <v>5423</v>
      </c>
      <c r="C4278" s="26" t="s">
        <v>13999</v>
      </c>
      <c r="D4278" s="26" t="s">
        <v>14000</v>
      </c>
      <c r="E4278" s="26" t="s">
        <v>5517</v>
      </c>
      <c r="F4278" s="27">
        <v>6645421</v>
      </c>
      <c r="G4278" s="27">
        <v>0</v>
      </c>
      <c r="H4278" s="27">
        <v>0</v>
      </c>
      <c r="I4278" s="27">
        <v>0</v>
      </c>
      <c r="J4278" s="30">
        <f t="shared" si="207"/>
        <v>0</v>
      </c>
      <c r="K4278" s="30">
        <f t="shared" si="208"/>
        <v>0</v>
      </c>
      <c r="L4278" s="26">
        <f t="shared" si="209"/>
        <v>0</v>
      </c>
      <c r="M4278" s="32"/>
    </row>
    <row r="4279" spans="1:13" ht="14.25" customHeight="1">
      <c r="A4279" s="25">
        <v>1925538</v>
      </c>
      <c r="B4279" s="26" t="s">
        <v>5427</v>
      </c>
      <c r="C4279" s="26" t="s">
        <v>14001</v>
      </c>
      <c r="D4279" s="26" t="s">
        <v>14002</v>
      </c>
      <c r="E4279" s="26" t="s">
        <v>5560</v>
      </c>
      <c r="F4279" s="27">
        <v>6595300</v>
      </c>
      <c r="G4279" s="27">
        <v>0</v>
      </c>
      <c r="H4279" s="27">
        <v>0</v>
      </c>
      <c r="I4279" s="27">
        <v>0</v>
      </c>
      <c r="J4279" s="30">
        <f t="shared" si="207"/>
        <v>0</v>
      </c>
      <c r="K4279" s="30">
        <f t="shared" si="208"/>
        <v>0</v>
      </c>
      <c r="L4279" s="26">
        <f t="shared" si="209"/>
        <v>0</v>
      </c>
      <c r="M4279" s="32"/>
    </row>
    <row r="4280" spans="1:13" ht="14.25" customHeight="1">
      <c r="A4280" s="25">
        <v>1944981</v>
      </c>
      <c r="B4280" s="26" t="s">
        <v>5427</v>
      </c>
      <c r="C4280" s="26" t="s">
        <v>14003</v>
      </c>
      <c r="D4280" s="26" t="s">
        <v>14002</v>
      </c>
      <c r="E4280" s="26" t="s">
        <v>5442</v>
      </c>
      <c r="F4280" s="27">
        <v>6642180</v>
      </c>
      <c r="G4280" s="27">
        <v>0</v>
      </c>
      <c r="H4280" s="27">
        <v>0</v>
      </c>
      <c r="I4280" s="27">
        <v>0</v>
      </c>
      <c r="J4280" s="30">
        <f t="shared" si="207"/>
        <v>0</v>
      </c>
      <c r="K4280" s="30">
        <f t="shared" si="208"/>
        <v>0</v>
      </c>
      <c r="L4280" s="26">
        <f t="shared" si="209"/>
        <v>0</v>
      </c>
      <c r="M4280" s="33" t="s">
        <v>5258</v>
      </c>
    </row>
    <row r="4281" spans="1:13" ht="14.25" customHeight="1">
      <c r="A4281" s="25">
        <v>1946488</v>
      </c>
      <c r="B4281" s="26" t="s">
        <v>5423</v>
      </c>
      <c r="C4281" s="26" t="s">
        <v>14004</v>
      </c>
      <c r="D4281" s="26" t="s">
        <v>14002</v>
      </c>
      <c r="E4281" s="26" t="s">
        <v>5439</v>
      </c>
      <c r="F4281" s="27">
        <v>6645651</v>
      </c>
      <c r="G4281" s="27">
        <v>1</v>
      </c>
      <c r="H4281" s="27">
        <v>1</v>
      </c>
      <c r="I4281" s="27">
        <v>1</v>
      </c>
      <c r="J4281" s="30">
        <f t="shared" si="207"/>
        <v>1</v>
      </c>
      <c r="K4281" s="30">
        <f t="shared" si="208"/>
        <v>1</v>
      </c>
      <c r="L4281" s="26">
        <f t="shared" si="209"/>
        <v>1</v>
      </c>
      <c r="M4281" s="32"/>
    </row>
    <row r="4282" spans="1:13" ht="14.25" customHeight="1">
      <c r="A4282" s="25">
        <v>1947271</v>
      </c>
      <c r="B4282" s="26" t="s">
        <v>5427</v>
      </c>
      <c r="C4282" s="26" t="s">
        <v>14005</v>
      </c>
      <c r="D4282" s="26" t="s">
        <v>14002</v>
      </c>
      <c r="E4282" s="26" t="s">
        <v>5488</v>
      </c>
      <c r="F4282" s="27">
        <v>6635276</v>
      </c>
      <c r="G4282" s="27">
        <v>1</v>
      </c>
      <c r="H4282" s="27">
        <v>0</v>
      </c>
      <c r="I4282" s="27">
        <v>1</v>
      </c>
      <c r="J4282" s="30">
        <f t="shared" si="207"/>
        <v>1</v>
      </c>
      <c r="K4282" s="30">
        <f t="shared" si="208"/>
        <v>0</v>
      </c>
      <c r="L4282" s="26">
        <f t="shared" si="209"/>
        <v>0</v>
      </c>
      <c r="M4282" s="32"/>
    </row>
    <row r="4283" spans="1:13" ht="14.25" customHeight="1">
      <c r="A4283" s="25">
        <v>1947346</v>
      </c>
      <c r="B4283" s="26" t="s">
        <v>5427</v>
      </c>
      <c r="C4283" s="26" t="s">
        <v>14006</v>
      </c>
      <c r="D4283" s="26" t="s">
        <v>14002</v>
      </c>
      <c r="E4283" s="26" t="s">
        <v>5654</v>
      </c>
      <c r="F4283" s="27">
        <v>6648005</v>
      </c>
      <c r="G4283" s="27">
        <v>1</v>
      </c>
      <c r="H4283" s="27">
        <v>0</v>
      </c>
      <c r="I4283" s="27">
        <v>1</v>
      </c>
      <c r="J4283" s="30">
        <f t="shared" si="207"/>
        <v>1</v>
      </c>
      <c r="K4283" s="30">
        <f t="shared" si="208"/>
        <v>0</v>
      </c>
      <c r="L4283" s="26">
        <f t="shared" si="209"/>
        <v>0</v>
      </c>
      <c r="M4283" s="32"/>
    </row>
    <row r="4284" spans="1:13" ht="14.25" customHeight="1">
      <c r="A4284" s="25">
        <v>1947459</v>
      </c>
      <c r="B4284" s="26" t="s">
        <v>5423</v>
      </c>
      <c r="C4284" s="26" t="s">
        <v>14007</v>
      </c>
      <c r="D4284" s="26" t="s">
        <v>14002</v>
      </c>
      <c r="E4284" s="26" t="s">
        <v>5504</v>
      </c>
      <c r="F4284" s="27">
        <v>6634042</v>
      </c>
      <c r="G4284" s="27">
        <v>1</v>
      </c>
      <c r="H4284" s="27">
        <v>0</v>
      </c>
      <c r="I4284" s="27">
        <v>1</v>
      </c>
      <c r="J4284" s="30">
        <f t="shared" si="207"/>
        <v>1</v>
      </c>
      <c r="K4284" s="30">
        <f t="shared" si="208"/>
        <v>0</v>
      </c>
      <c r="L4284" s="26">
        <f t="shared" si="209"/>
        <v>0</v>
      </c>
      <c r="M4284" s="32"/>
    </row>
    <row r="4285" spans="1:13" ht="14.25" customHeight="1">
      <c r="A4285" s="25">
        <v>1947495</v>
      </c>
      <c r="B4285" s="26" t="s">
        <v>5427</v>
      </c>
      <c r="C4285" s="26" t="s">
        <v>14008</v>
      </c>
      <c r="D4285" s="26" t="s">
        <v>14002</v>
      </c>
      <c r="E4285" s="26" t="s">
        <v>5442</v>
      </c>
      <c r="F4285" s="27">
        <v>6648233</v>
      </c>
      <c r="G4285" s="27">
        <v>0</v>
      </c>
      <c r="H4285" s="27">
        <v>0</v>
      </c>
      <c r="I4285" s="27">
        <v>0</v>
      </c>
      <c r="J4285" s="30">
        <f t="shared" si="207"/>
        <v>0</v>
      </c>
      <c r="K4285" s="30">
        <f t="shared" si="208"/>
        <v>0</v>
      </c>
      <c r="L4285" s="26">
        <f t="shared" si="209"/>
        <v>0</v>
      </c>
      <c r="M4285" s="32"/>
    </row>
    <row r="4286" spans="1:13" ht="14.25" customHeight="1">
      <c r="A4286" s="25">
        <v>1945869</v>
      </c>
      <c r="B4286" s="26" t="s">
        <v>5423</v>
      </c>
      <c r="C4286" s="26" t="s">
        <v>14009</v>
      </c>
      <c r="D4286" s="26" t="s">
        <v>14010</v>
      </c>
      <c r="E4286" s="26" t="s">
        <v>5463</v>
      </c>
      <c r="F4286" s="27">
        <v>6641487</v>
      </c>
      <c r="G4286" s="27">
        <v>1</v>
      </c>
      <c r="H4286" s="27">
        <v>1</v>
      </c>
      <c r="I4286" s="27">
        <v>1</v>
      </c>
      <c r="J4286" s="30">
        <f t="shared" si="207"/>
        <v>1</v>
      </c>
      <c r="K4286" s="30">
        <f t="shared" si="208"/>
        <v>1</v>
      </c>
      <c r="L4286" s="26">
        <f t="shared" si="209"/>
        <v>1</v>
      </c>
      <c r="M4286" s="32"/>
    </row>
    <row r="4287" spans="1:13" ht="14.25" customHeight="1">
      <c r="A4287" s="25">
        <v>1946862</v>
      </c>
      <c r="B4287" s="26" t="s">
        <v>5427</v>
      </c>
      <c r="C4287" s="26" t="s">
        <v>14011</v>
      </c>
      <c r="D4287" s="26" t="s">
        <v>14010</v>
      </c>
      <c r="E4287" s="26" t="s">
        <v>6075</v>
      </c>
      <c r="F4287" s="27">
        <v>6646761</v>
      </c>
      <c r="G4287" s="27">
        <v>0</v>
      </c>
      <c r="H4287" s="27">
        <v>0</v>
      </c>
      <c r="I4287" s="27">
        <v>0</v>
      </c>
      <c r="J4287" s="30">
        <f t="shared" si="207"/>
        <v>0</v>
      </c>
      <c r="K4287" s="30">
        <f t="shared" si="208"/>
        <v>0</v>
      </c>
      <c r="L4287" s="26">
        <f t="shared" si="209"/>
        <v>0</v>
      </c>
      <c r="M4287" s="32"/>
    </row>
    <row r="4288" spans="1:13" ht="14.25" customHeight="1">
      <c r="A4288" s="25">
        <v>1947474</v>
      </c>
      <c r="B4288" s="26" t="s">
        <v>5423</v>
      </c>
      <c r="C4288" s="26" t="s">
        <v>14012</v>
      </c>
      <c r="D4288" s="26" t="s">
        <v>14010</v>
      </c>
      <c r="E4288" s="26" t="s">
        <v>5586</v>
      </c>
      <c r="F4288" s="27">
        <v>6648155</v>
      </c>
      <c r="G4288" s="27">
        <v>1</v>
      </c>
      <c r="H4288" s="27">
        <v>1</v>
      </c>
      <c r="I4288" s="27">
        <v>1</v>
      </c>
      <c r="J4288" s="30">
        <f t="shared" si="207"/>
        <v>1</v>
      </c>
      <c r="K4288" s="30">
        <f t="shared" si="208"/>
        <v>1</v>
      </c>
      <c r="L4288" s="26">
        <f t="shared" si="209"/>
        <v>1</v>
      </c>
      <c r="M4288" s="32"/>
    </row>
    <row r="4289" spans="1:13" ht="14.25" customHeight="1">
      <c r="A4289" s="25">
        <v>1947953</v>
      </c>
      <c r="B4289" s="26" t="s">
        <v>5423</v>
      </c>
      <c r="C4289" s="26" t="s">
        <v>14013</v>
      </c>
      <c r="D4289" s="26" t="s">
        <v>14010</v>
      </c>
      <c r="E4289" s="26" t="s">
        <v>5433</v>
      </c>
      <c r="F4289" s="27">
        <v>6549358</v>
      </c>
      <c r="G4289" s="27">
        <v>2</v>
      </c>
      <c r="H4289" s="27">
        <v>0</v>
      </c>
      <c r="I4289" s="27">
        <v>1</v>
      </c>
      <c r="J4289" s="30">
        <f t="shared" si="207"/>
        <v>1</v>
      </c>
      <c r="K4289" s="30">
        <f t="shared" si="208"/>
        <v>0</v>
      </c>
      <c r="L4289" s="26">
        <f t="shared" si="209"/>
        <v>0</v>
      </c>
      <c r="M4289" s="32"/>
    </row>
    <row r="4290" spans="1:13" ht="14.25" customHeight="1">
      <c r="A4290" s="25">
        <v>1948439</v>
      </c>
      <c r="B4290" s="26" t="s">
        <v>5423</v>
      </c>
      <c r="C4290" s="26" t="s">
        <v>14014</v>
      </c>
      <c r="D4290" s="26" t="s">
        <v>14010</v>
      </c>
      <c r="E4290" s="26" t="s">
        <v>5433</v>
      </c>
      <c r="F4290" s="27">
        <v>6243870</v>
      </c>
      <c r="G4290" s="27">
        <v>1</v>
      </c>
      <c r="H4290" s="27">
        <v>1</v>
      </c>
      <c r="I4290" s="27">
        <v>1</v>
      </c>
      <c r="J4290" s="30">
        <f t="shared" si="207"/>
        <v>1</v>
      </c>
      <c r="K4290" s="30">
        <f t="shared" si="208"/>
        <v>1</v>
      </c>
      <c r="L4290" s="26">
        <f t="shared" si="209"/>
        <v>1</v>
      </c>
      <c r="M4290" s="32"/>
    </row>
    <row r="4291" spans="1:13" ht="14.25" customHeight="1">
      <c r="A4291" s="25">
        <v>1946864</v>
      </c>
      <c r="B4291" s="26" t="s">
        <v>5423</v>
      </c>
      <c r="C4291" s="26" t="s">
        <v>14015</v>
      </c>
      <c r="D4291" s="26" t="s">
        <v>14016</v>
      </c>
      <c r="E4291" s="26" t="s">
        <v>5455</v>
      </c>
      <c r="F4291" s="27">
        <v>6647462</v>
      </c>
      <c r="G4291" s="27">
        <v>1</v>
      </c>
      <c r="H4291" s="27">
        <v>0</v>
      </c>
      <c r="I4291" s="27">
        <v>1</v>
      </c>
      <c r="J4291" s="30">
        <f t="shared" si="207"/>
        <v>1</v>
      </c>
      <c r="K4291" s="30">
        <f t="shared" si="208"/>
        <v>0</v>
      </c>
      <c r="L4291" s="26">
        <f t="shared" si="209"/>
        <v>0</v>
      </c>
      <c r="M4291" s="32"/>
    </row>
    <row r="4292" spans="1:13" ht="14.25" customHeight="1">
      <c r="A4292" s="25">
        <v>1947017</v>
      </c>
      <c r="B4292" s="26" t="s">
        <v>5423</v>
      </c>
      <c r="C4292" s="26" t="s">
        <v>14017</v>
      </c>
      <c r="D4292" s="26" t="s">
        <v>14016</v>
      </c>
      <c r="E4292" s="26" t="s">
        <v>5430</v>
      </c>
      <c r="F4292" s="27">
        <v>6646870</v>
      </c>
      <c r="G4292" s="27">
        <v>1</v>
      </c>
      <c r="H4292" s="27">
        <v>1</v>
      </c>
      <c r="I4292" s="27">
        <v>1</v>
      </c>
      <c r="J4292" s="30">
        <f t="shared" si="207"/>
        <v>1</v>
      </c>
      <c r="K4292" s="30">
        <f t="shared" si="208"/>
        <v>1</v>
      </c>
      <c r="L4292" s="26">
        <f t="shared" si="209"/>
        <v>1</v>
      </c>
      <c r="M4292" s="32"/>
    </row>
    <row r="4293" spans="1:13" ht="14.25" customHeight="1">
      <c r="A4293" s="25">
        <v>1946124</v>
      </c>
      <c r="B4293" s="26" t="s">
        <v>5423</v>
      </c>
      <c r="C4293" s="26" t="s">
        <v>14018</v>
      </c>
      <c r="D4293" s="26" t="s">
        <v>14019</v>
      </c>
      <c r="E4293" s="26" t="s">
        <v>5436</v>
      </c>
      <c r="F4293" s="27">
        <v>4918163</v>
      </c>
      <c r="G4293" s="27">
        <v>1</v>
      </c>
      <c r="H4293" s="27">
        <v>1</v>
      </c>
      <c r="I4293" s="27">
        <v>1</v>
      </c>
      <c r="J4293" s="30">
        <f t="shared" si="207"/>
        <v>1</v>
      </c>
      <c r="K4293" s="30">
        <f t="shared" si="208"/>
        <v>1</v>
      </c>
      <c r="L4293" s="26">
        <f t="shared" si="209"/>
        <v>1</v>
      </c>
      <c r="M4293" s="32"/>
    </row>
    <row r="4294" spans="1:13" ht="14.25" customHeight="1">
      <c r="A4294" s="25">
        <v>1946634</v>
      </c>
      <c r="B4294" s="26" t="s">
        <v>5423</v>
      </c>
      <c r="C4294" s="26" t="s">
        <v>14020</v>
      </c>
      <c r="D4294" s="26" t="s">
        <v>14019</v>
      </c>
      <c r="E4294" s="26" t="s">
        <v>5463</v>
      </c>
      <c r="F4294" s="27">
        <v>6646491</v>
      </c>
      <c r="G4294" s="27">
        <v>1</v>
      </c>
      <c r="H4294" s="27">
        <v>1</v>
      </c>
      <c r="I4294" s="27">
        <v>1</v>
      </c>
      <c r="J4294" s="30">
        <f t="shared" si="207"/>
        <v>1</v>
      </c>
      <c r="K4294" s="30">
        <f t="shared" si="208"/>
        <v>1</v>
      </c>
      <c r="L4294" s="26">
        <f t="shared" si="209"/>
        <v>1</v>
      </c>
      <c r="M4294" s="32"/>
    </row>
    <row r="4295" spans="1:13" ht="14.25" customHeight="1">
      <c r="A4295" s="25">
        <v>1946899</v>
      </c>
      <c r="B4295" s="26" t="s">
        <v>5423</v>
      </c>
      <c r="C4295" s="26" t="s">
        <v>14021</v>
      </c>
      <c r="D4295" s="26" t="s">
        <v>14019</v>
      </c>
      <c r="E4295" s="26" t="s">
        <v>5514</v>
      </c>
      <c r="F4295" s="27">
        <v>6646778</v>
      </c>
      <c r="G4295" s="27">
        <v>1</v>
      </c>
      <c r="H4295" s="27">
        <v>1</v>
      </c>
      <c r="I4295" s="27">
        <v>1</v>
      </c>
      <c r="J4295" s="30">
        <f t="shared" si="207"/>
        <v>1</v>
      </c>
      <c r="K4295" s="30">
        <f t="shared" si="208"/>
        <v>1</v>
      </c>
      <c r="L4295" s="26">
        <f t="shared" si="209"/>
        <v>1</v>
      </c>
      <c r="M4295" s="32"/>
    </row>
    <row r="4296" spans="1:13" ht="14.25" customHeight="1">
      <c r="A4296" s="25">
        <v>1947901</v>
      </c>
      <c r="B4296" s="26" t="s">
        <v>5423</v>
      </c>
      <c r="C4296" s="26" t="s">
        <v>14022</v>
      </c>
      <c r="D4296" s="26" t="s">
        <v>14019</v>
      </c>
      <c r="E4296" s="26" t="s">
        <v>5522</v>
      </c>
      <c r="F4296" s="27">
        <v>6526003</v>
      </c>
      <c r="G4296" s="27">
        <v>1</v>
      </c>
      <c r="H4296" s="27">
        <v>0</v>
      </c>
      <c r="I4296" s="27">
        <v>1</v>
      </c>
      <c r="J4296" s="30">
        <f t="shared" si="207"/>
        <v>1</v>
      </c>
      <c r="K4296" s="30">
        <f t="shared" si="208"/>
        <v>0</v>
      </c>
      <c r="L4296" s="26">
        <f t="shared" si="209"/>
        <v>0</v>
      </c>
      <c r="M4296" s="32"/>
    </row>
    <row r="4297" spans="1:13" ht="14.25" customHeight="1">
      <c r="A4297" s="25">
        <v>1948286</v>
      </c>
      <c r="B4297" s="26" t="s">
        <v>5427</v>
      </c>
      <c r="C4297" s="26" t="s">
        <v>14023</v>
      </c>
      <c r="D4297" s="26" t="s">
        <v>14019</v>
      </c>
      <c r="E4297" s="26" t="s">
        <v>5610</v>
      </c>
      <c r="F4297" s="27">
        <v>6650094</v>
      </c>
      <c r="G4297" s="27">
        <v>0</v>
      </c>
      <c r="H4297" s="27">
        <v>0</v>
      </c>
      <c r="I4297" s="27">
        <v>0</v>
      </c>
      <c r="J4297" s="30">
        <f t="shared" si="207"/>
        <v>0</v>
      </c>
      <c r="K4297" s="30">
        <f t="shared" si="208"/>
        <v>0</v>
      </c>
      <c r="L4297" s="26">
        <f t="shared" si="209"/>
        <v>0</v>
      </c>
      <c r="M4297" s="32"/>
    </row>
    <row r="4298" spans="1:13" ht="14.25" customHeight="1">
      <c r="A4298" s="25">
        <v>1947527</v>
      </c>
      <c r="B4298" s="26" t="s">
        <v>5423</v>
      </c>
      <c r="C4298" s="26" t="s">
        <v>14024</v>
      </c>
      <c r="D4298" s="26" t="s">
        <v>14025</v>
      </c>
      <c r="E4298" s="26" t="s">
        <v>5514</v>
      </c>
      <c r="F4298" s="27">
        <v>5103732</v>
      </c>
      <c r="G4298" s="27">
        <v>1</v>
      </c>
      <c r="H4298" s="27">
        <v>1</v>
      </c>
      <c r="I4298" s="27">
        <v>1</v>
      </c>
      <c r="J4298" s="30">
        <f t="shared" si="207"/>
        <v>1</v>
      </c>
      <c r="K4298" s="30">
        <f t="shared" si="208"/>
        <v>1</v>
      </c>
      <c r="L4298" s="26">
        <f t="shared" si="209"/>
        <v>1</v>
      </c>
      <c r="M4298" s="32" t="s">
        <v>13932</v>
      </c>
    </row>
    <row r="4299" spans="1:13" ht="14.25" customHeight="1">
      <c r="A4299" s="25">
        <v>1948171</v>
      </c>
      <c r="B4299" s="26" t="s">
        <v>5427</v>
      </c>
      <c r="C4299" s="26" t="s">
        <v>14026</v>
      </c>
      <c r="D4299" s="26" t="s">
        <v>14025</v>
      </c>
      <c r="E4299" s="26" t="s">
        <v>5781</v>
      </c>
      <c r="F4299" s="27">
        <v>6649658</v>
      </c>
      <c r="G4299" s="27">
        <v>1</v>
      </c>
      <c r="H4299" s="27">
        <v>0</v>
      </c>
      <c r="I4299" s="27">
        <v>1</v>
      </c>
      <c r="J4299" s="30">
        <f t="shared" si="207"/>
        <v>1</v>
      </c>
      <c r="K4299" s="30">
        <f t="shared" si="208"/>
        <v>0</v>
      </c>
      <c r="L4299" s="26">
        <f t="shared" si="209"/>
        <v>0</v>
      </c>
      <c r="M4299" s="32"/>
    </row>
    <row r="4300" spans="1:13" ht="14.25" customHeight="1">
      <c r="A4300" s="25">
        <v>1948730</v>
      </c>
      <c r="B4300" s="26" t="s">
        <v>5423</v>
      </c>
      <c r="C4300" s="26" t="s">
        <v>14027</v>
      </c>
      <c r="D4300" s="26" t="s">
        <v>14025</v>
      </c>
      <c r="E4300" s="26" t="s">
        <v>5535</v>
      </c>
      <c r="F4300" s="27">
        <v>4434509</v>
      </c>
      <c r="G4300" s="27">
        <v>1</v>
      </c>
      <c r="H4300" s="27">
        <v>0</v>
      </c>
      <c r="I4300" s="27">
        <v>1</v>
      </c>
      <c r="J4300" s="30">
        <f t="shared" si="207"/>
        <v>1</v>
      </c>
      <c r="K4300" s="30">
        <f t="shared" si="208"/>
        <v>0</v>
      </c>
      <c r="L4300" s="26">
        <f t="shared" si="209"/>
        <v>0</v>
      </c>
      <c r="M4300" s="32"/>
    </row>
    <row r="4301" spans="1:13" ht="14.25" customHeight="1">
      <c r="A4301" s="25">
        <v>1941763</v>
      </c>
      <c r="B4301" s="26" t="s">
        <v>5423</v>
      </c>
      <c r="C4301" s="26" t="s">
        <v>14028</v>
      </c>
      <c r="D4301" s="26" t="s">
        <v>14029</v>
      </c>
      <c r="E4301" s="26" t="s">
        <v>5603</v>
      </c>
      <c r="F4301" s="27">
        <v>6633881</v>
      </c>
      <c r="G4301" s="27">
        <v>1</v>
      </c>
      <c r="H4301" s="27">
        <v>1</v>
      </c>
      <c r="I4301" s="27">
        <v>1</v>
      </c>
      <c r="J4301" s="30">
        <f t="shared" si="207"/>
        <v>1</v>
      </c>
      <c r="K4301" s="30">
        <f t="shared" si="208"/>
        <v>1</v>
      </c>
      <c r="L4301" s="26">
        <f t="shared" si="209"/>
        <v>1</v>
      </c>
      <c r="M4301" s="32"/>
    </row>
    <row r="4302" spans="1:13" ht="14.25" customHeight="1">
      <c r="A4302" s="25" t="s">
        <v>14030</v>
      </c>
      <c r="B4302" s="26" t="s">
        <v>5427</v>
      </c>
      <c r="C4302" s="26" t="s">
        <v>14031</v>
      </c>
      <c r="D4302" s="26" t="s">
        <v>14029</v>
      </c>
      <c r="E4302" s="26" t="s">
        <v>5468</v>
      </c>
      <c r="F4302" s="27"/>
      <c r="G4302" s="27">
        <v>0</v>
      </c>
      <c r="H4302" s="27">
        <v>0</v>
      </c>
      <c r="I4302" s="27">
        <v>0</v>
      </c>
      <c r="J4302" s="30">
        <f t="shared" si="207"/>
        <v>0</v>
      </c>
      <c r="K4302" s="30">
        <f t="shared" si="208"/>
        <v>0</v>
      </c>
      <c r="L4302" s="26">
        <f t="shared" si="209"/>
        <v>0</v>
      </c>
      <c r="M4302" s="33" t="s">
        <v>5258</v>
      </c>
    </row>
    <row r="4303" spans="1:13" ht="14.25" customHeight="1">
      <c r="A4303" s="25">
        <v>1948759</v>
      </c>
      <c r="B4303" s="26" t="s">
        <v>5423</v>
      </c>
      <c r="C4303" s="26" t="s">
        <v>14032</v>
      </c>
      <c r="D4303" s="26" t="s">
        <v>14029</v>
      </c>
      <c r="E4303" s="26" t="s">
        <v>5447</v>
      </c>
      <c r="F4303" s="27">
        <v>6651178</v>
      </c>
      <c r="G4303" s="27">
        <v>1</v>
      </c>
      <c r="H4303" s="27">
        <v>1</v>
      </c>
      <c r="I4303" s="27">
        <v>1</v>
      </c>
      <c r="J4303" s="30">
        <f t="shared" si="207"/>
        <v>1</v>
      </c>
      <c r="K4303" s="30">
        <f t="shared" si="208"/>
        <v>1</v>
      </c>
      <c r="L4303" s="26">
        <f t="shared" si="209"/>
        <v>1</v>
      </c>
      <c r="M4303" s="32" t="s">
        <v>5165</v>
      </c>
    </row>
    <row r="4304" spans="1:13" ht="14.25" customHeight="1">
      <c r="A4304" s="25">
        <v>1948580</v>
      </c>
      <c r="B4304" s="26" t="s">
        <v>5427</v>
      </c>
      <c r="C4304" s="26" t="s">
        <v>14033</v>
      </c>
      <c r="D4304" s="26" t="s">
        <v>14034</v>
      </c>
      <c r="E4304" s="26" t="s">
        <v>5475</v>
      </c>
      <c r="F4304" s="27">
        <v>6651999</v>
      </c>
      <c r="G4304" s="27">
        <v>0</v>
      </c>
      <c r="H4304" s="27">
        <v>0</v>
      </c>
      <c r="I4304" s="27">
        <v>0</v>
      </c>
      <c r="J4304" s="30">
        <f t="shared" si="207"/>
        <v>0</v>
      </c>
      <c r="K4304" s="30">
        <f t="shared" si="208"/>
        <v>0</v>
      </c>
      <c r="L4304" s="26">
        <f t="shared" si="209"/>
        <v>0</v>
      </c>
      <c r="M4304" s="33" t="s">
        <v>5258</v>
      </c>
    </row>
    <row r="4305" spans="1:13" ht="14.25" customHeight="1">
      <c r="A4305" s="25">
        <v>1948583</v>
      </c>
      <c r="B4305" s="26" t="s">
        <v>5427</v>
      </c>
      <c r="C4305" s="26" t="s">
        <v>14035</v>
      </c>
      <c r="D4305" s="26" t="s">
        <v>14034</v>
      </c>
      <c r="E4305" s="26" t="s">
        <v>5707</v>
      </c>
      <c r="F4305" s="27">
        <v>6636963</v>
      </c>
      <c r="G4305" s="27">
        <v>1</v>
      </c>
      <c r="H4305" s="27">
        <v>0</v>
      </c>
      <c r="I4305" s="27">
        <v>1</v>
      </c>
      <c r="J4305" s="30">
        <f t="shared" ref="J4305:J4336" si="210">IF(G4305&gt;0,1,0)</f>
        <v>1</v>
      </c>
      <c r="K4305" s="30">
        <f t="shared" ref="K4305:K4336" si="211">IF(H4305&gt;0,1,0)</f>
        <v>0</v>
      </c>
      <c r="L4305" s="26">
        <f t="shared" ref="L4305:L4336" si="212">IF(G4305&gt;0,IF(H4305&gt;0,1,0),0)</f>
        <v>0</v>
      </c>
      <c r="M4305" s="32"/>
    </row>
    <row r="4306" spans="1:13" ht="14.25" customHeight="1">
      <c r="A4306" s="25">
        <v>1948604</v>
      </c>
      <c r="B4306" s="26" t="s">
        <v>5423</v>
      </c>
      <c r="C4306" s="26" t="s">
        <v>14036</v>
      </c>
      <c r="D4306" s="26" t="s">
        <v>14034</v>
      </c>
      <c r="E4306" s="26" t="s">
        <v>5463</v>
      </c>
      <c r="F4306" s="27">
        <v>6650789</v>
      </c>
      <c r="G4306" s="27">
        <v>0</v>
      </c>
      <c r="H4306" s="27">
        <v>0</v>
      </c>
      <c r="I4306" s="27">
        <v>0</v>
      </c>
      <c r="J4306" s="30">
        <f t="shared" si="210"/>
        <v>0</v>
      </c>
      <c r="K4306" s="30">
        <f t="shared" si="211"/>
        <v>0</v>
      </c>
      <c r="L4306" s="26">
        <f t="shared" si="212"/>
        <v>0</v>
      </c>
      <c r="M4306" s="32" t="s">
        <v>14037</v>
      </c>
    </row>
    <row r="4307" spans="1:13" ht="14.25" customHeight="1">
      <c r="A4307" s="25">
        <v>1948877</v>
      </c>
      <c r="B4307" s="26" t="s">
        <v>5427</v>
      </c>
      <c r="C4307" s="26" t="s">
        <v>14038</v>
      </c>
      <c r="D4307" s="26" t="s">
        <v>14034</v>
      </c>
      <c r="E4307" s="26" t="s">
        <v>5683</v>
      </c>
      <c r="F4307" s="27">
        <v>6630740</v>
      </c>
      <c r="G4307" s="27">
        <v>1</v>
      </c>
      <c r="H4307" s="27">
        <v>0</v>
      </c>
      <c r="I4307" s="27">
        <v>1</v>
      </c>
      <c r="J4307" s="30">
        <f t="shared" si="210"/>
        <v>1</v>
      </c>
      <c r="K4307" s="30">
        <f t="shared" si="211"/>
        <v>0</v>
      </c>
      <c r="L4307" s="26">
        <f t="shared" si="212"/>
        <v>0</v>
      </c>
      <c r="M4307" s="32"/>
    </row>
    <row r="4308" spans="1:13" ht="14.25" customHeight="1">
      <c r="A4308" s="25">
        <v>1948905</v>
      </c>
      <c r="B4308" s="26" t="s">
        <v>5423</v>
      </c>
      <c r="C4308" s="26" t="s">
        <v>14039</v>
      </c>
      <c r="D4308" s="26" t="s">
        <v>14034</v>
      </c>
      <c r="E4308" s="26" t="s">
        <v>5433</v>
      </c>
      <c r="F4308" s="27">
        <v>6652270</v>
      </c>
      <c r="G4308" s="27">
        <v>0</v>
      </c>
      <c r="H4308" s="27">
        <v>0</v>
      </c>
      <c r="I4308" s="27">
        <v>0</v>
      </c>
      <c r="J4308" s="30">
        <f t="shared" si="210"/>
        <v>0</v>
      </c>
      <c r="K4308" s="30">
        <f t="shared" si="211"/>
        <v>0</v>
      </c>
      <c r="L4308" s="26">
        <f t="shared" si="212"/>
        <v>0</v>
      </c>
      <c r="M4308" s="32"/>
    </row>
    <row r="4309" spans="1:13" ht="14.25" customHeight="1">
      <c r="A4309" s="25">
        <v>1948539</v>
      </c>
      <c r="B4309" s="26" t="s">
        <v>5427</v>
      </c>
      <c r="C4309" s="26" t="s">
        <v>14040</v>
      </c>
      <c r="D4309" s="26" t="s">
        <v>14041</v>
      </c>
      <c r="E4309" s="26" t="s">
        <v>5485</v>
      </c>
      <c r="F4309" s="27">
        <v>6651453</v>
      </c>
      <c r="G4309" s="27">
        <v>0</v>
      </c>
      <c r="H4309" s="27">
        <v>0</v>
      </c>
      <c r="I4309" s="27">
        <v>0</v>
      </c>
      <c r="J4309" s="30">
        <f t="shared" si="210"/>
        <v>0</v>
      </c>
      <c r="K4309" s="30">
        <f t="shared" si="211"/>
        <v>0</v>
      </c>
      <c r="L4309" s="26">
        <f t="shared" si="212"/>
        <v>0</v>
      </c>
      <c r="M4309" s="32"/>
    </row>
    <row r="4310" spans="1:13" ht="14.25" customHeight="1">
      <c r="A4310" s="25">
        <v>1948857</v>
      </c>
      <c r="B4310" s="26" t="s">
        <v>5423</v>
      </c>
      <c r="C4310" s="26" t="s">
        <v>14042</v>
      </c>
      <c r="D4310" s="26" t="s">
        <v>14043</v>
      </c>
      <c r="E4310" s="26" t="s">
        <v>5439</v>
      </c>
      <c r="F4310" s="27">
        <v>6652630</v>
      </c>
      <c r="G4310" s="27">
        <v>0</v>
      </c>
      <c r="H4310" s="27">
        <v>0</v>
      </c>
      <c r="I4310" s="27">
        <v>0</v>
      </c>
      <c r="J4310" s="30">
        <f t="shared" si="210"/>
        <v>0</v>
      </c>
      <c r="K4310" s="30">
        <f t="shared" si="211"/>
        <v>0</v>
      </c>
      <c r="L4310" s="26">
        <f t="shared" si="212"/>
        <v>0</v>
      </c>
      <c r="M4310" s="32"/>
    </row>
    <row r="4311" spans="1:13" ht="14.25" customHeight="1">
      <c r="A4311" s="25" t="s">
        <v>14044</v>
      </c>
      <c r="B4311" s="26" t="s">
        <v>5423</v>
      </c>
      <c r="C4311" s="26" t="s">
        <v>14045</v>
      </c>
      <c r="D4311" s="26" t="s">
        <v>14043</v>
      </c>
      <c r="E4311" s="26" t="s">
        <v>5426</v>
      </c>
      <c r="F4311" s="27">
        <v>6653181</v>
      </c>
      <c r="G4311" s="27">
        <v>0</v>
      </c>
      <c r="H4311" s="27">
        <v>0</v>
      </c>
      <c r="I4311" s="27">
        <v>0</v>
      </c>
      <c r="J4311" s="30">
        <f t="shared" si="210"/>
        <v>0</v>
      </c>
      <c r="K4311" s="30">
        <f t="shared" si="211"/>
        <v>0</v>
      </c>
      <c r="L4311" s="26">
        <f t="shared" si="212"/>
        <v>0</v>
      </c>
      <c r="M4311" s="32"/>
    </row>
    <row r="4312" spans="1:13" ht="14.25" customHeight="1">
      <c r="A4312" s="25">
        <v>1949444</v>
      </c>
      <c r="B4312" s="26" t="s">
        <v>5423</v>
      </c>
      <c r="C4312" s="26" t="s">
        <v>14046</v>
      </c>
      <c r="D4312" s="26" t="s">
        <v>14043</v>
      </c>
      <c r="E4312" s="26" t="s">
        <v>5891</v>
      </c>
      <c r="F4312" s="27">
        <v>6504915</v>
      </c>
      <c r="G4312" s="27">
        <v>1</v>
      </c>
      <c r="H4312" s="27">
        <v>0</v>
      </c>
      <c r="I4312" s="27">
        <v>1</v>
      </c>
      <c r="J4312" s="30">
        <f t="shared" si="210"/>
        <v>1</v>
      </c>
      <c r="K4312" s="30">
        <f t="shared" si="211"/>
        <v>0</v>
      </c>
      <c r="L4312" s="26">
        <f t="shared" si="212"/>
        <v>0</v>
      </c>
      <c r="M4312" s="32"/>
    </row>
    <row r="4313" spans="1:13" ht="14.25" customHeight="1">
      <c r="A4313" s="25">
        <v>1949026</v>
      </c>
      <c r="B4313" s="26" t="s">
        <v>5427</v>
      </c>
      <c r="C4313" s="26" t="s">
        <v>14047</v>
      </c>
      <c r="D4313" s="26" t="s">
        <v>14048</v>
      </c>
      <c r="E4313" s="26" t="s">
        <v>5763</v>
      </c>
      <c r="F4313" s="27">
        <v>5698568</v>
      </c>
      <c r="G4313" s="27">
        <v>1</v>
      </c>
      <c r="H4313" s="27">
        <v>0</v>
      </c>
      <c r="I4313" s="27">
        <v>1</v>
      </c>
      <c r="J4313" s="30">
        <f t="shared" si="210"/>
        <v>1</v>
      </c>
      <c r="K4313" s="30">
        <f t="shared" si="211"/>
        <v>0</v>
      </c>
      <c r="L4313" s="26">
        <f t="shared" si="212"/>
        <v>0</v>
      </c>
      <c r="M4313" s="32"/>
    </row>
    <row r="4314" spans="1:13" ht="14.25" customHeight="1">
      <c r="A4314" s="25" t="s">
        <v>14049</v>
      </c>
      <c r="B4314" s="26" t="s">
        <v>5423</v>
      </c>
      <c r="C4314" s="26" t="s">
        <v>14050</v>
      </c>
      <c r="D4314" s="26" t="s">
        <v>14048</v>
      </c>
      <c r="E4314" s="26" t="s">
        <v>5550</v>
      </c>
      <c r="F4314" s="27">
        <v>6652801</v>
      </c>
      <c r="G4314" s="27">
        <v>0</v>
      </c>
      <c r="H4314" s="27">
        <v>0</v>
      </c>
      <c r="I4314" s="27">
        <v>0</v>
      </c>
      <c r="J4314" s="30">
        <f t="shared" si="210"/>
        <v>0</v>
      </c>
      <c r="K4314" s="30">
        <f t="shared" si="211"/>
        <v>0</v>
      </c>
      <c r="L4314" s="26">
        <f t="shared" si="212"/>
        <v>0</v>
      </c>
      <c r="M4314" s="32"/>
    </row>
    <row r="4315" spans="1:13" ht="14.25" customHeight="1">
      <c r="A4315" s="25">
        <v>1949789</v>
      </c>
      <c r="B4315" s="26" t="s">
        <v>5423</v>
      </c>
      <c r="C4315" s="26" t="s">
        <v>14051</v>
      </c>
      <c r="D4315" s="26" t="s">
        <v>14048</v>
      </c>
      <c r="E4315" s="26" t="s">
        <v>5532</v>
      </c>
      <c r="F4315" s="27">
        <v>5971829</v>
      </c>
      <c r="G4315" s="27">
        <v>2</v>
      </c>
      <c r="H4315" s="27">
        <v>0</v>
      </c>
      <c r="I4315" s="27">
        <v>1</v>
      </c>
      <c r="J4315" s="30">
        <f t="shared" si="210"/>
        <v>1</v>
      </c>
      <c r="K4315" s="30">
        <f t="shared" si="211"/>
        <v>0</v>
      </c>
      <c r="L4315" s="26">
        <f t="shared" si="212"/>
        <v>0</v>
      </c>
      <c r="M4315" s="32"/>
    </row>
    <row r="4316" spans="1:13" ht="14.25" customHeight="1">
      <c r="A4316" s="25" t="s">
        <v>14052</v>
      </c>
      <c r="B4316" s="26" t="s">
        <v>5423</v>
      </c>
      <c r="C4316" s="26" t="s">
        <v>14053</v>
      </c>
      <c r="D4316" s="26" t="s">
        <v>14054</v>
      </c>
      <c r="E4316" s="26" t="s">
        <v>5535</v>
      </c>
      <c r="F4316" s="27">
        <v>6653182</v>
      </c>
      <c r="G4316" s="27">
        <v>0</v>
      </c>
      <c r="H4316" s="27">
        <v>0</v>
      </c>
      <c r="I4316" s="27">
        <v>0</v>
      </c>
      <c r="J4316" s="30">
        <f t="shared" si="210"/>
        <v>0</v>
      </c>
      <c r="K4316" s="30">
        <f t="shared" si="211"/>
        <v>0</v>
      </c>
      <c r="L4316" s="26">
        <f t="shared" si="212"/>
        <v>0</v>
      </c>
      <c r="M4316" s="32"/>
    </row>
    <row r="4317" spans="1:13" ht="14.25" customHeight="1">
      <c r="A4317" s="25">
        <v>1949137</v>
      </c>
      <c r="B4317" s="26" t="s">
        <v>5427</v>
      </c>
      <c r="C4317" s="26" t="s">
        <v>14055</v>
      </c>
      <c r="D4317" s="26" t="s">
        <v>14056</v>
      </c>
      <c r="E4317" s="26" t="s">
        <v>5468</v>
      </c>
      <c r="F4317" s="27">
        <v>6228234</v>
      </c>
      <c r="G4317" s="27">
        <v>1</v>
      </c>
      <c r="H4317" s="27">
        <v>0</v>
      </c>
      <c r="I4317" s="27">
        <v>1</v>
      </c>
      <c r="J4317" s="30">
        <f t="shared" si="210"/>
        <v>1</v>
      </c>
      <c r="K4317" s="30">
        <f t="shared" si="211"/>
        <v>0</v>
      </c>
      <c r="L4317" s="26">
        <f t="shared" si="212"/>
        <v>0</v>
      </c>
      <c r="M4317" s="32"/>
    </row>
    <row r="4318" spans="1:13" ht="14.25" customHeight="1">
      <c r="A4318" s="25" t="s">
        <v>14057</v>
      </c>
      <c r="B4318" s="26" t="s">
        <v>5423</v>
      </c>
      <c r="C4318" s="26" t="s">
        <v>14058</v>
      </c>
      <c r="D4318" s="26" t="s">
        <v>14056</v>
      </c>
      <c r="E4318" s="26" t="s">
        <v>5491</v>
      </c>
      <c r="F4318" s="27">
        <v>6654525</v>
      </c>
      <c r="G4318" s="27">
        <v>0</v>
      </c>
      <c r="H4318" s="27">
        <v>0</v>
      </c>
      <c r="I4318" s="27">
        <v>0</v>
      </c>
      <c r="J4318" s="30">
        <f t="shared" si="210"/>
        <v>0</v>
      </c>
      <c r="K4318" s="30">
        <f t="shared" si="211"/>
        <v>0</v>
      </c>
      <c r="L4318" s="26">
        <f t="shared" si="212"/>
        <v>0</v>
      </c>
      <c r="M4318" s="32"/>
    </row>
    <row r="4319" spans="1:13" ht="14.25" customHeight="1">
      <c r="A4319" s="25" t="s">
        <v>14059</v>
      </c>
      <c r="B4319" s="26" t="s">
        <v>5427</v>
      </c>
      <c r="C4319" s="26" t="s">
        <v>14060</v>
      </c>
      <c r="D4319" s="26" t="s">
        <v>14056</v>
      </c>
      <c r="E4319" s="26" t="s">
        <v>5442</v>
      </c>
      <c r="F4319" s="27">
        <v>6654524</v>
      </c>
      <c r="G4319" s="27">
        <v>0</v>
      </c>
      <c r="H4319" s="27">
        <v>0</v>
      </c>
      <c r="I4319" s="27">
        <v>0</v>
      </c>
      <c r="J4319" s="30">
        <f t="shared" si="210"/>
        <v>0</v>
      </c>
      <c r="K4319" s="30">
        <f t="shared" si="211"/>
        <v>0</v>
      </c>
      <c r="L4319" s="26">
        <f t="shared" si="212"/>
        <v>0</v>
      </c>
      <c r="M4319" s="32"/>
    </row>
    <row r="4320" spans="1:13" ht="14.25" customHeight="1">
      <c r="A4320" s="25">
        <v>1950475</v>
      </c>
      <c r="B4320" s="26" t="s">
        <v>5423</v>
      </c>
      <c r="C4320" s="26" t="s">
        <v>14061</v>
      </c>
      <c r="D4320" s="26" t="s">
        <v>14056</v>
      </c>
      <c r="E4320" s="26" t="s">
        <v>5532</v>
      </c>
      <c r="F4320" s="27">
        <v>6655411</v>
      </c>
      <c r="G4320" s="27">
        <v>1</v>
      </c>
      <c r="H4320" s="27">
        <v>0</v>
      </c>
      <c r="I4320" s="27">
        <v>1</v>
      </c>
      <c r="J4320" s="30">
        <f t="shared" si="210"/>
        <v>1</v>
      </c>
      <c r="K4320" s="30">
        <f t="shared" si="211"/>
        <v>0</v>
      </c>
      <c r="L4320" s="26">
        <f t="shared" si="212"/>
        <v>0</v>
      </c>
      <c r="M4320" s="32"/>
    </row>
    <row r="4321" spans="1:13" ht="14.25" customHeight="1">
      <c r="A4321" s="25">
        <v>1950293</v>
      </c>
      <c r="B4321" s="26" t="s">
        <v>5423</v>
      </c>
      <c r="C4321" s="26" t="s">
        <v>14062</v>
      </c>
      <c r="D4321" s="26" t="s">
        <v>14063</v>
      </c>
      <c r="E4321" s="26" t="s">
        <v>5522</v>
      </c>
      <c r="F4321" s="27">
        <v>6642295</v>
      </c>
      <c r="G4321" s="27">
        <v>1</v>
      </c>
      <c r="H4321" s="27">
        <v>0</v>
      </c>
      <c r="I4321" s="27">
        <v>1</v>
      </c>
      <c r="J4321" s="30">
        <f t="shared" si="210"/>
        <v>1</v>
      </c>
      <c r="K4321" s="30">
        <f t="shared" si="211"/>
        <v>0</v>
      </c>
      <c r="L4321" s="26">
        <f t="shared" si="212"/>
        <v>0</v>
      </c>
      <c r="M4321" s="32"/>
    </row>
    <row r="4322" spans="1:13" ht="14.25" customHeight="1">
      <c r="A4322" s="25">
        <v>1949612</v>
      </c>
      <c r="B4322" s="26" t="s">
        <v>5427</v>
      </c>
      <c r="C4322" s="26" t="s">
        <v>14064</v>
      </c>
      <c r="D4322" s="26" t="s">
        <v>14065</v>
      </c>
      <c r="E4322" s="26" t="s">
        <v>5529</v>
      </c>
      <c r="F4322" s="27">
        <v>6650768</v>
      </c>
      <c r="G4322" s="27">
        <v>1</v>
      </c>
      <c r="H4322" s="27">
        <v>1</v>
      </c>
      <c r="I4322" s="27">
        <v>1</v>
      </c>
      <c r="J4322" s="30">
        <f t="shared" si="210"/>
        <v>1</v>
      </c>
      <c r="K4322" s="30">
        <f t="shared" si="211"/>
        <v>1</v>
      </c>
      <c r="L4322" s="26">
        <f t="shared" si="212"/>
        <v>1</v>
      </c>
      <c r="M4322" s="32"/>
    </row>
    <row r="4323" spans="1:13" ht="14.25" customHeight="1">
      <c r="A4323" s="25">
        <v>1950873</v>
      </c>
      <c r="B4323" s="26" t="s">
        <v>5427</v>
      </c>
      <c r="C4323" s="26" t="s">
        <v>14066</v>
      </c>
      <c r="D4323" s="26" t="s">
        <v>14065</v>
      </c>
      <c r="E4323" s="26" t="s">
        <v>5654</v>
      </c>
      <c r="F4323" s="27">
        <v>6656282</v>
      </c>
      <c r="G4323" s="27">
        <v>1</v>
      </c>
      <c r="H4323" s="27">
        <v>0</v>
      </c>
      <c r="I4323" s="27">
        <v>1</v>
      </c>
      <c r="J4323" s="30">
        <f t="shared" si="210"/>
        <v>1</v>
      </c>
      <c r="K4323" s="30">
        <f t="shared" si="211"/>
        <v>0</v>
      </c>
      <c r="L4323" s="26">
        <f t="shared" si="212"/>
        <v>0</v>
      </c>
      <c r="M4323" s="32"/>
    </row>
    <row r="4324" spans="1:13" ht="14.25" customHeight="1">
      <c r="A4324" s="25">
        <v>1949706</v>
      </c>
      <c r="B4324" s="26" t="s">
        <v>5423</v>
      </c>
      <c r="C4324" s="26" t="s">
        <v>14067</v>
      </c>
      <c r="D4324" s="26" t="s">
        <v>14068</v>
      </c>
      <c r="E4324" s="26" t="s">
        <v>5455</v>
      </c>
      <c r="F4324" s="27">
        <v>6654058</v>
      </c>
      <c r="G4324" s="27">
        <v>1</v>
      </c>
      <c r="H4324" s="27">
        <v>1</v>
      </c>
      <c r="I4324" s="27">
        <v>1</v>
      </c>
      <c r="J4324" s="30">
        <f t="shared" si="210"/>
        <v>1</v>
      </c>
      <c r="K4324" s="30">
        <f t="shared" si="211"/>
        <v>1</v>
      </c>
      <c r="L4324" s="26">
        <f t="shared" si="212"/>
        <v>1</v>
      </c>
      <c r="M4324" s="32"/>
    </row>
    <row r="4325" spans="1:13" ht="14.25" customHeight="1">
      <c r="A4325" s="25" t="s">
        <v>14069</v>
      </c>
      <c r="B4325" s="26" t="s">
        <v>5423</v>
      </c>
      <c r="C4325" s="26" t="s">
        <v>14070</v>
      </c>
      <c r="D4325" s="26" t="s">
        <v>14068</v>
      </c>
      <c r="E4325" s="26" t="s">
        <v>5458</v>
      </c>
      <c r="F4325" s="27">
        <v>6416388</v>
      </c>
      <c r="G4325" s="27">
        <v>0</v>
      </c>
      <c r="H4325" s="27">
        <v>0</v>
      </c>
      <c r="I4325" s="27">
        <v>0</v>
      </c>
      <c r="J4325" s="30">
        <f t="shared" si="210"/>
        <v>0</v>
      </c>
      <c r="K4325" s="30">
        <f t="shared" si="211"/>
        <v>0</v>
      </c>
      <c r="L4325" s="26">
        <f t="shared" si="212"/>
        <v>0</v>
      </c>
      <c r="M4325" s="33" t="s">
        <v>5258</v>
      </c>
    </row>
    <row r="4326" spans="1:13" ht="14.25" customHeight="1">
      <c r="A4326" s="25">
        <v>1950459</v>
      </c>
      <c r="B4326" s="26" t="s">
        <v>5427</v>
      </c>
      <c r="C4326" s="26" t="s">
        <v>14071</v>
      </c>
      <c r="D4326" s="26" t="s">
        <v>14068</v>
      </c>
      <c r="E4326" s="26" t="s">
        <v>5488</v>
      </c>
      <c r="F4326" s="27">
        <v>6638064</v>
      </c>
      <c r="G4326" s="27">
        <v>0</v>
      </c>
      <c r="H4326" s="27">
        <v>1</v>
      </c>
      <c r="I4326" s="27">
        <v>1</v>
      </c>
      <c r="J4326" s="30">
        <f t="shared" si="210"/>
        <v>0</v>
      </c>
      <c r="K4326" s="30">
        <f t="shared" si="211"/>
        <v>1</v>
      </c>
      <c r="L4326" s="26">
        <f t="shared" si="212"/>
        <v>0</v>
      </c>
      <c r="M4326" s="32"/>
    </row>
    <row r="4327" spans="1:13" ht="14.25" customHeight="1">
      <c r="A4327" s="25">
        <v>1951080</v>
      </c>
      <c r="B4327" s="26" t="s">
        <v>5427</v>
      </c>
      <c r="C4327" s="26" t="s">
        <v>14072</v>
      </c>
      <c r="D4327" s="26" t="s">
        <v>14068</v>
      </c>
      <c r="E4327" s="26" t="s">
        <v>5891</v>
      </c>
      <c r="F4327" s="27">
        <v>6656939</v>
      </c>
      <c r="G4327" s="27">
        <v>1</v>
      </c>
      <c r="H4327" s="27">
        <v>0</v>
      </c>
      <c r="I4327" s="27">
        <v>1</v>
      </c>
      <c r="J4327" s="30">
        <f t="shared" si="210"/>
        <v>1</v>
      </c>
      <c r="K4327" s="30">
        <f t="shared" si="211"/>
        <v>0</v>
      </c>
      <c r="L4327" s="26">
        <f t="shared" si="212"/>
        <v>0</v>
      </c>
      <c r="M4327" s="32"/>
    </row>
    <row r="4328" spans="1:13" ht="14.25" customHeight="1">
      <c r="A4328" s="25">
        <v>1951170</v>
      </c>
      <c r="B4328" s="26" t="s">
        <v>5423</v>
      </c>
      <c r="C4328" s="26" t="s">
        <v>14073</v>
      </c>
      <c r="D4328" s="26" t="s">
        <v>14074</v>
      </c>
      <c r="E4328" s="26" t="s">
        <v>5763</v>
      </c>
      <c r="F4328" s="27">
        <v>6656965</v>
      </c>
      <c r="G4328" s="27">
        <v>1</v>
      </c>
      <c r="H4328" s="27">
        <v>0</v>
      </c>
      <c r="I4328" s="27">
        <v>1</v>
      </c>
      <c r="J4328" s="30">
        <f t="shared" si="210"/>
        <v>1</v>
      </c>
      <c r="K4328" s="30">
        <f t="shared" si="211"/>
        <v>0</v>
      </c>
      <c r="L4328" s="26">
        <f t="shared" si="212"/>
        <v>0</v>
      </c>
      <c r="M4328" s="32"/>
    </row>
    <row r="4329" spans="1:13" ht="14.25" customHeight="1">
      <c r="A4329" s="25" t="s">
        <v>14075</v>
      </c>
      <c r="B4329" s="26" t="s">
        <v>5427</v>
      </c>
      <c r="C4329" s="26" t="s">
        <v>14076</v>
      </c>
      <c r="D4329" s="26" t="s">
        <v>14074</v>
      </c>
      <c r="E4329" s="26" t="s">
        <v>5480</v>
      </c>
      <c r="F4329" s="27">
        <v>6659208</v>
      </c>
      <c r="G4329" s="27">
        <v>0</v>
      </c>
      <c r="H4329" s="27">
        <v>0</v>
      </c>
      <c r="I4329" s="27">
        <v>0</v>
      </c>
      <c r="J4329" s="30">
        <f t="shared" si="210"/>
        <v>0</v>
      </c>
      <c r="K4329" s="30">
        <f t="shared" si="211"/>
        <v>0</v>
      </c>
      <c r="L4329" s="26">
        <f t="shared" si="212"/>
        <v>0</v>
      </c>
      <c r="M4329" s="32"/>
    </row>
    <row r="4330" spans="1:13" ht="14.25" customHeight="1">
      <c r="A4330" s="25">
        <v>1951562</v>
      </c>
      <c r="B4330" s="26" t="s">
        <v>5423</v>
      </c>
      <c r="C4330" s="26" t="s">
        <v>14077</v>
      </c>
      <c r="D4330" s="26" t="s">
        <v>14074</v>
      </c>
      <c r="E4330" s="26" t="s">
        <v>5504</v>
      </c>
      <c r="F4330" s="27">
        <v>6650954</v>
      </c>
      <c r="G4330" s="27">
        <v>1</v>
      </c>
      <c r="H4330" s="27">
        <v>0</v>
      </c>
      <c r="I4330" s="27">
        <v>1</v>
      </c>
      <c r="J4330" s="30">
        <f t="shared" si="210"/>
        <v>1</v>
      </c>
      <c r="K4330" s="30">
        <f t="shared" si="211"/>
        <v>0</v>
      </c>
      <c r="L4330" s="26">
        <f t="shared" si="212"/>
        <v>0</v>
      </c>
      <c r="M4330" s="32"/>
    </row>
    <row r="4331" spans="1:13" ht="14.25" customHeight="1">
      <c r="A4331" s="25">
        <v>1952164</v>
      </c>
      <c r="B4331" s="26" t="s">
        <v>5427</v>
      </c>
      <c r="C4331" s="26" t="s">
        <v>14078</v>
      </c>
      <c r="D4331" s="26" t="s">
        <v>14079</v>
      </c>
      <c r="E4331" s="26" t="s">
        <v>5430</v>
      </c>
      <c r="F4331" s="27">
        <v>6643003</v>
      </c>
      <c r="G4331" s="27">
        <v>1</v>
      </c>
      <c r="H4331" s="27">
        <v>0</v>
      </c>
      <c r="I4331" s="27">
        <v>1</v>
      </c>
      <c r="J4331" s="30">
        <f t="shared" si="210"/>
        <v>1</v>
      </c>
      <c r="K4331" s="30">
        <f t="shared" si="211"/>
        <v>0</v>
      </c>
      <c r="L4331" s="26">
        <f t="shared" si="212"/>
        <v>0</v>
      </c>
      <c r="M4331" s="32"/>
    </row>
    <row r="4332" spans="1:13" ht="14.25" customHeight="1">
      <c r="A4332" s="25">
        <v>1949835</v>
      </c>
      <c r="B4332" s="26" t="s">
        <v>5423</v>
      </c>
      <c r="C4332" s="26" t="s">
        <v>14080</v>
      </c>
      <c r="D4332" s="26" t="s">
        <v>14081</v>
      </c>
      <c r="E4332" s="26" t="s">
        <v>5452</v>
      </c>
      <c r="F4332" s="27">
        <v>6654574</v>
      </c>
      <c r="G4332" s="27">
        <v>1</v>
      </c>
      <c r="H4332" s="27">
        <v>1</v>
      </c>
      <c r="I4332" s="27">
        <v>1</v>
      </c>
      <c r="J4332" s="30">
        <f t="shared" si="210"/>
        <v>1</v>
      </c>
      <c r="K4332" s="30">
        <f t="shared" si="211"/>
        <v>1</v>
      </c>
      <c r="L4332" s="26">
        <f t="shared" si="212"/>
        <v>1</v>
      </c>
      <c r="M4332" s="32"/>
    </row>
    <row r="4333" spans="1:13" ht="14.25" customHeight="1">
      <c r="A4333" s="25" t="s">
        <v>14082</v>
      </c>
      <c r="B4333" s="26" t="s">
        <v>5423</v>
      </c>
      <c r="C4333" s="26" t="s">
        <v>14083</v>
      </c>
      <c r="D4333" s="26" t="s">
        <v>14084</v>
      </c>
      <c r="E4333" s="26" t="s">
        <v>5439</v>
      </c>
      <c r="F4333" s="27">
        <v>6654520</v>
      </c>
      <c r="G4333" s="27">
        <v>0</v>
      </c>
      <c r="H4333" s="27">
        <v>0</v>
      </c>
      <c r="I4333" s="27">
        <v>0</v>
      </c>
      <c r="J4333" s="30">
        <f t="shared" si="210"/>
        <v>0</v>
      </c>
      <c r="K4333" s="30">
        <f t="shared" si="211"/>
        <v>0</v>
      </c>
      <c r="L4333" s="26">
        <f t="shared" si="212"/>
        <v>0</v>
      </c>
      <c r="M4333" s="33" t="s">
        <v>5258</v>
      </c>
    </row>
    <row r="4334" spans="1:13" ht="14.25" customHeight="1">
      <c r="A4334" s="25" t="s">
        <v>14085</v>
      </c>
      <c r="B4334" s="26" t="s">
        <v>5423</v>
      </c>
      <c r="C4334" s="26" t="s">
        <v>14086</v>
      </c>
      <c r="D4334" s="26" t="s">
        <v>14084</v>
      </c>
      <c r="E4334" s="26" t="s">
        <v>5532</v>
      </c>
      <c r="F4334" s="27">
        <v>6657150</v>
      </c>
      <c r="G4334" s="27">
        <v>0</v>
      </c>
      <c r="H4334" s="27">
        <v>0</v>
      </c>
      <c r="I4334" s="27">
        <v>0</v>
      </c>
      <c r="J4334" s="30">
        <f t="shared" si="210"/>
        <v>0</v>
      </c>
      <c r="K4334" s="30">
        <f t="shared" si="211"/>
        <v>0</v>
      </c>
      <c r="L4334" s="26">
        <f t="shared" si="212"/>
        <v>0</v>
      </c>
      <c r="M4334" s="33" t="s">
        <v>5258</v>
      </c>
    </row>
    <row r="4335" spans="1:13" ht="14.25" customHeight="1">
      <c r="A4335" s="25" t="s">
        <v>14087</v>
      </c>
      <c r="B4335" s="26" t="s">
        <v>5423</v>
      </c>
      <c r="C4335" s="26" t="s">
        <v>14088</v>
      </c>
      <c r="D4335" s="26" t="s">
        <v>14084</v>
      </c>
      <c r="E4335" s="26" t="s">
        <v>8392</v>
      </c>
      <c r="F4335" s="27">
        <v>6657151</v>
      </c>
      <c r="G4335" s="27">
        <v>0</v>
      </c>
      <c r="H4335" s="27">
        <v>0</v>
      </c>
      <c r="I4335" s="27">
        <v>0</v>
      </c>
      <c r="J4335" s="30">
        <f t="shared" si="210"/>
        <v>0</v>
      </c>
      <c r="K4335" s="30">
        <f t="shared" si="211"/>
        <v>0</v>
      </c>
      <c r="L4335" s="26">
        <f t="shared" si="212"/>
        <v>0</v>
      </c>
      <c r="M4335" s="33" t="s">
        <v>5258</v>
      </c>
    </row>
    <row r="4336" spans="1:13" ht="14.25" customHeight="1">
      <c r="A4336" s="25">
        <v>1951350</v>
      </c>
      <c r="B4336" s="26" t="s">
        <v>5423</v>
      </c>
      <c r="C4336" s="26" t="s">
        <v>14089</v>
      </c>
      <c r="D4336" s="26" t="s">
        <v>14090</v>
      </c>
      <c r="E4336" s="26" t="s">
        <v>5452</v>
      </c>
      <c r="F4336" s="27">
        <v>6657468</v>
      </c>
      <c r="G4336" s="27">
        <v>1</v>
      </c>
      <c r="H4336" s="27">
        <v>0</v>
      </c>
      <c r="I4336" s="27">
        <v>1</v>
      </c>
      <c r="J4336" s="30">
        <f t="shared" si="210"/>
        <v>1</v>
      </c>
      <c r="K4336" s="30">
        <f t="shared" si="211"/>
        <v>0</v>
      </c>
      <c r="L4336" s="26">
        <f t="shared" si="212"/>
        <v>0</v>
      </c>
      <c r="M4336" s="32"/>
    </row>
    <row r="4337" spans="1:13" ht="14.25" customHeight="1">
      <c r="A4337" s="25">
        <v>1952479</v>
      </c>
      <c r="B4337" s="26" t="s">
        <v>5427</v>
      </c>
      <c r="C4337" s="26" t="s">
        <v>14091</v>
      </c>
      <c r="D4337" s="26" t="s">
        <v>14090</v>
      </c>
      <c r="E4337" s="26" t="s">
        <v>5707</v>
      </c>
      <c r="F4337" s="27">
        <v>6660662</v>
      </c>
      <c r="G4337" s="27">
        <v>1</v>
      </c>
      <c r="H4337" s="27">
        <v>0</v>
      </c>
      <c r="I4337" s="27">
        <v>1</v>
      </c>
      <c r="J4337" s="30">
        <f t="shared" ref="J4337:J4368" si="213">IF(G4337&gt;0,1,0)</f>
        <v>1</v>
      </c>
      <c r="K4337" s="30">
        <f t="shared" ref="K4337:K4368" si="214">IF(H4337&gt;0,1,0)</f>
        <v>0</v>
      </c>
      <c r="L4337" s="26">
        <f t="shared" ref="L4337:L4368" si="215">IF(G4337&gt;0,IF(H4337&gt;0,1,0),0)</f>
        <v>0</v>
      </c>
      <c r="M4337" s="32"/>
    </row>
    <row r="4338" spans="1:13" ht="14.25" customHeight="1">
      <c r="A4338" s="25" t="s">
        <v>14092</v>
      </c>
      <c r="B4338" s="26" t="s">
        <v>5423</v>
      </c>
      <c r="C4338" s="26" t="s">
        <v>14093</v>
      </c>
      <c r="D4338" s="26" t="s">
        <v>14090</v>
      </c>
      <c r="E4338" s="26" t="s">
        <v>5458</v>
      </c>
      <c r="F4338" s="27">
        <v>6661027</v>
      </c>
      <c r="G4338" s="27">
        <v>0</v>
      </c>
      <c r="H4338" s="27">
        <v>0</v>
      </c>
      <c r="I4338" s="27">
        <v>0</v>
      </c>
      <c r="J4338" s="30">
        <f t="shared" si="213"/>
        <v>0</v>
      </c>
      <c r="K4338" s="30">
        <f t="shared" si="214"/>
        <v>0</v>
      </c>
      <c r="L4338" s="26">
        <f t="shared" si="215"/>
        <v>0</v>
      </c>
      <c r="M4338" s="32"/>
    </row>
    <row r="4339" spans="1:13" ht="14.25" customHeight="1">
      <c r="A4339" s="25" t="s">
        <v>14094</v>
      </c>
      <c r="B4339" s="26" t="s">
        <v>5427</v>
      </c>
      <c r="C4339" s="26" t="s">
        <v>14095</v>
      </c>
      <c r="D4339" s="26" t="s">
        <v>14090</v>
      </c>
      <c r="E4339" s="26" t="s">
        <v>5485</v>
      </c>
      <c r="F4339" s="27">
        <v>6660942</v>
      </c>
      <c r="G4339" s="27">
        <v>0</v>
      </c>
      <c r="H4339" s="27">
        <v>0</v>
      </c>
      <c r="I4339" s="27">
        <v>0</v>
      </c>
      <c r="J4339" s="30">
        <f t="shared" si="213"/>
        <v>0</v>
      </c>
      <c r="K4339" s="30">
        <f t="shared" si="214"/>
        <v>0</v>
      </c>
      <c r="L4339" s="26">
        <f t="shared" si="215"/>
        <v>0</v>
      </c>
      <c r="M4339" s="32"/>
    </row>
    <row r="4340" spans="1:13" ht="14.25" customHeight="1">
      <c r="A4340" s="25" t="s">
        <v>14096</v>
      </c>
      <c r="B4340" s="26" t="s">
        <v>5423</v>
      </c>
      <c r="C4340" s="26" t="s">
        <v>14097</v>
      </c>
      <c r="D4340" s="26" t="s">
        <v>14090</v>
      </c>
      <c r="E4340" s="26" t="s">
        <v>5433</v>
      </c>
      <c r="F4340" s="27">
        <v>6661756</v>
      </c>
      <c r="G4340" s="27">
        <v>0</v>
      </c>
      <c r="H4340" s="27">
        <v>0</v>
      </c>
      <c r="I4340" s="27">
        <v>0</v>
      </c>
      <c r="J4340" s="30">
        <f t="shared" si="213"/>
        <v>0</v>
      </c>
      <c r="K4340" s="30">
        <f t="shared" si="214"/>
        <v>0</v>
      </c>
      <c r="L4340" s="26">
        <f t="shared" si="215"/>
        <v>0</v>
      </c>
      <c r="M4340" s="32"/>
    </row>
    <row r="4341" spans="1:13" ht="14.25" customHeight="1">
      <c r="A4341" s="25">
        <v>1952918</v>
      </c>
      <c r="B4341" s="26" t="s">
        <v>5423</v>
      </c>
      <c r="C4341" s="26" t="s">
        <v>14098</v>
      </c>
      <c r="D4341" s="26" t="s">
        <v>14090</v>
      </c>
      <c r="E4341" s="26" t="s">
        <v>5433</v>
      </c>
      <c r="F4341" s="27">
        <v>5999132</v>
      </c>
      <c r="G4341" s="27">
        <v>2</v>
      </c>
      <c r="H4341" s="27">
        <v>1</v>
      </c>
      <c r="I4341" s="27">
        <v>1</v>
      </c>
      <c r="J4341" s="30">
        <f t="shared" si="213"/>
        <v>1</v>
      </c>
      <c r="K4341" s="30">
        <f t="shared" si="214"/>
        <v>1</v>
      </c>
      <c r="L4341" s="26">
        <f t="shared" si="215"/>
        <v>1</v>
      </c>
      <c r="M4341" s="32" t="s">
        <v>14099</v>
      </c>
    </row>
    <row r="4342" spans="1:13" ht="14.25" customHeight="1">
      <c r="A4342" s="25">
        <v>1953267</v>
      </c>
      <c r="B4342" s="26" t="s">
        <v>5427</v>
      </c>
      <c r="C4342" s="26" t="s">
        <v>14100</v>
      </c>
      <c r="D4342" s="26" t="s">
        <v>14090</v>
      </c>
      <c r="E4342" s="26" t="s">
        <v>8392</v>
      </c>
      <c r="F4342" s="27">
        <v>6626588</v>
      </c>
      <c r="G4342" s="27">
        <v>1</v>
      </c>
      <c r="H4342" s="27">
        <v>0</v>
      </c>
      <c r="I4342" s="27">
        <v>1</v>
      </c>
      <c r="J4342" s="30">
        <f t="shared" si="213"/>
        <v>1</v>
      </c>
      <c r="K4342" s="30">
        <f t="shared" si="214"/>
        <v>0</v>
      </c>
      <c r="L4342" s="26">
        <f t="shared" si="215"/>
        <v>0</v>
      </c>
      <c r="M4342" s="32"/>
    </row>
    <row r="4343" spans="1:13" ht="14.25" customHeight="1">
      <c r="A4343" s="25">
        <v>1952507</v>
      </c>
      <c r="B4343" s="26" t="s">
        <v>5423</v>
      </c>
      <c r="C4343" s="26" t="s">
        <v>14101</v>
      </c>
      <c r="D4343" s="26" t="s">
        <v>14102</v>
      </c>
      <c r="E4343" s="26" t="s">
        <v>5430</v>
      </c>
      <c r="F4343" s="27">
        <v>5734996</v>
      </c>
      <c r="G4343" s="27">
        <v>1</v>
      </c>
      <c r="H4343" s="27">
        <v>0</v>
      </c>
      <c r="I4343" s="27">
        <v>1</v>
      </c>
      <c r="J4343" s="30">
        <f t="shared" si="213"/>
        <v>1</v>
      </c>
      <c r="K4343" s="30">
        <f t="shared" si="214"/>
        <v>0</v>
      </c>
      <c r="L4343" s="26">
        <f t="shared" si="215"/>
        <v>0</v>
      </c>
      <c r="M4343" s="32"/>
    </row>
    <row r="4344" spans="1:13" ht="14.25" customHeight="1">
      <c r="A4344" s="25">
        <v>1953913</v>
      </c>
      <c r="B4344" s="26" t="s">
        <v>5423</v>
      </c>
      <c r="C4344" s="26" t="s">
        <v>14103</v>
      </c>
      <c r="D4344" s="26" t="s">
        <v>14104</v>
      </c>
      <c r="E4344" s="26" t="s">
        <v>5603</v>
      </c>
      <c r="F4344" s="27">
        <v>6588856</v>
      </c>
      <c r="G4344" s="27">
        <v>2</v>
      </c>
      <c r="H4344" s="27">
        <v>1</v>
      </c>
      <c r="I4344" s="27">
        <v>1</v>
      </c>
      <c r="J4344" s="30">
        <f t="shared" si="213"/>
        <v>1</v>
      </c>
      <c r="K4344" s="30">
        <f t="shared" si="214"/>
        <v>1</v>
      </c>
      <c r="L4344" s="26">
        <f t="shared" si="215"/>
        <v>1</v>
      </c>
      <c r="M4344" s="32"/>
    </row>
    <row r="4345" spans="1:13" ht="14.25" customHeight="1">
      <c r="A4345" s="25">
        <v>1952291</v>
      </c>
      <c r="B4345" s="26" t="s">
        <v>5423</v>
      </c>
      <c r="C4345" s="26" t="s">
        <v>14105</v>
      </c>
      <c r="D4345" s="26" t="s">
        <v>14106</v>
      </c>
      <c r="E4345" s="26" t="s">
        <v>5522</v>
      </c>
      <c r="F4345" s="27">
        <v>6659754</v>
      </c>
      <c r="G4345" s="27">
        <v>1</v>
      </c>
      <c r="H4345" s="27">
        <v>0</v>
      </c>
      <c r="I4345" s="27">
        <v>1</v>
      </c>
      <c r="J4345" s="30">
        <f t="shared" si="213"/>
        <v>1</v>
      </c>
      <c r="K4345" s="30">
        <f t="shared" si="214"/>
        <v>0</v>
      </c>
      <c r="L4345" s="26">
        <f t="shared" si="215"/>
        <v>0</v>
      </c>
      <c r="M4345" s="32"/>
    </row>
    <row r="4346" spans="1:13" ht="14.25" customHeight="1">
      <c r="A4346" s="25">
        <v>1953678</v>
      </c>
      <c r="B4346" s="26" t="s">
        <v>5427</v>
      </c>
      <c r="C4346" s="26" t="s">
        <v>14107</v>
      </c>
      <c r="D4346" s="26" t="s">
        <v>14106</v>
      </c>
      <c r="E4346" s="26" t="s">
        <v>5463</v>
      </c>
      <c r="F4346" s="27">
        <v>6663566</v>
      </c>
      <c r="G4346" s="27">
        <v>1</v>
      </c>
      <c r="H4346" s="27">
        <v>0</v>
      </c>
      <c r="I4346" s="27">
        <v>1</v>
      </c>
      <c r="J4346" s="30">
        <f t="shared" si="213"/>
        <v>1</v>
      </c>
      <c r="K4346" s="30">
        <f t="shared" si="214"/>
        <v>0</v>
      </c>
      <c r="L4346" s="26">
        <f t="shared" si="215"/>
        <v>0</v>
      </c>
      <c r="M4346" s="32"/>
    </row>
    <row r="4347" spans="1:13" ht="14.25" customHeight="1">
      <c r="A4347" s="25">
        <v>1953803</v>
      </c>
      <c r="B4347" s="26" t="s">
        <v>5427</v>
      </c>
      <c r="C4347" s="26" t="s">
        <v>14108</v>
      </c>
      <c r="D4347" s="26" t="s">
        <v>14106</v>
      </c>
      <c r="E4347" s="26" t="s">
        <v>5488</v>
      </c>
      <c r="F4347" s="27">
        <v>6633563</v>
      </c>
      <c r="G4347" s="27">
        <v>1</v>
      </c>
      <c r="H4347" s="27">
        <v>0</v>
      </c>
      <c r="I4347" s="27">
        <v>1</v>
      </c>
      <c r="J4347" s="30">
        <f t="shared" si="213"/>
        <v>1</v>
      </c>
      <c r="K4347" s="30">
        <f t="shared" si="214"/>
        <v>0</v>
      </c>
      <c r="L4347" s="26">
        <f t="shared" si="215"/>
        <v>0</v>
      </c>
      <c r="M4347" s="32" t="s">
        <v>14109</v>
      </c>
    </row>
    <row r="4348" spans="1:13" ht="14.25" customHeight="1">
      <c r="A4348" s="25">
        <v>1952564</v>
      </c>
      <c r="B4348" s="26" t="s">
        <v>5423</v>
      </c>
      <c r="C4348" s="26" t="s">
        <v>14110</v>
      </c>
      <c r="D4348" s="26" t="s">
        <v>14111</v>
      </c>
      <c r="E4348" s="26" t="s">
        <v>5439</v>
      </c>
      <c r="F4348" s="27">
        <v>6660653</v>
      </c>
      <c r="G4348" s="27">
        <v>1</v>
      </c>
      <c r="H4348" s="27">
        <v>1</v>
      </c>
      <c r="I4348" s="27">
        <v>1</v>
      </c>
      <c r="J4348" s="30">
        <f t="shared" si="213"/>
        <v>1</v>
      </c>
      <c r="K4348" s="30">
        <f t="shared" si="214"/>
        <v>1</v>
      </c>
      <c r="L4348" s="26">
        <f t="shared" si="215"/>
        <v>1</v>
      </c>
      <c r="M4348" s="32"/>
    </row>
    <row r="4349" spans="1:13" ht="14.25" customHeight="1">
      <c r="A4349" s="25">
        <v>1952708</v>
      </c>
      <c r="B4349" s="26" t="s">
        <v>5423</v>
      </c>
      <c r="C4349" s="26" t="s">
        <v>14112</v>
      </c>
      <c r="D4349" s="26" t="s">
        <v>14111</v>
      </c>
      <c r="E4349" s="26" t="s">
        <v>5455</v>
      </c>
      <c r="F4349" s="27">
        <v>6660761</v>
      </c>
      <c r="G4349" s="27">
        <v>0</v>
      </c>
      <c r="H4349" s="27">
        <v>0</v>
      </c>
      <c r="I4349" s="27">
        <v>0</v>
      </c>
      <c r="J4349" s="30">
        <f t="shared" si="213"/>
        <v>0</v>
      </c>
      <c r="K4349" s="30">
        <f t="shared" si="214"/>
        <v>0</v>
      </c>
      <c r="L4349" s="26">
        <f t="shared" si="215"/>
        <v>0</v>
      </c>
      <c r="M4349" s="33" t="s">
        <v>5258</v>
      </c>
    </row>
    <row r="4350" spans="1:13" ht="14.25" customHeight="1">
      <c r="A4350" s="25">
        <v>1953064</v>
      </c>
      <c r="B4350" s="26" t="s">
        <v>5423</v>
      </c>
      <c r="C4350" s="26" t="s">
        <v>14113</v>
      </c>
      <c r="D4350" s="26" t="s">
        <v>14111</v>
      </c>
      <c r="E4350" s="26" t="s">
        <v>5463</v>
      </c>
      <c r="F4350" s="27">
        <v>6662139</v>
      </c>
      <c r="G4350" s="27">
        <v>1</v>
      </c>
      <c r="H4350" s="27">
        <v>1</v>
      </c>
      <c r="I4350" s="27">
        <v>1</v>
      </c>
      <c r="J4350" s="30">
        <f t="shared" si="213"/>
        <v>1</v>
      </c>
      <c r="K4350" s="30">
        <f t="shared" si="214"/>
        <v>1</v>
      </c>
      <c r="L4350" s="26">
        <f t="shared" si="215"/>
        <v>1</v>
      </c>
      <c r="M4350" s="32"/>
    </row>
    <row r="4351" spans="1:13" ht="14.25" customHeight="1">
      <c r="A4351" s="25">
        <v>1954101</v>
      </c>
      <c r="B4351" s="26" t="s">
        <v>5423</v>
      </c>
      <c r="C4351" s="26" t="s">
        <v>14114</v>
      </c>
      <c r="D4351" s="26" t="s">
        <v>14111</v>
      </c>
      <c r="E4351" s="26" t="s">
        <v>5436</v>
      </c>
      <c r="F4351" s="27">
        <v>6664223</v>
      </c>
      <c r="G4351" s="27">
        <v>1</v>
      </c>
      <c r="H4351" s="27">
        <v>0</v>
      </c>
      <c r="I4351" s="27">
        <v>1</v>
      </c>
      <c r="J4351" s="30">
        <f t="shared" si="213"/>
        <v>1</v>
      </c>
      <c r="K4351" s="30">
        <f t="shared" si="214"/>
        <v>0</v>
      </c>
      <c r="L4351" s="26">
        <f t="shared" si="215"/>
        <v>0</v>
      </c>
      <c r="M4351" s="32"/>
    </row>
    <row r="4352" spans="1:13" ht="14.25" customHeight="1">
      <c r="A4352" s="25">
        <v>1954329</v>
      </c>
      <c r="B4352" s="26" t="s">
        <v>5423</v>
      </c>
      <c r="C4352" s="26" t="s">
        <v>14115</v>
      </c>
      <c r="D4352" s="26" t="s">
        <v>14111</v>
      </c>
      <c r="E4352" s="26" t="s">
        <v>5491</v>
      </c>
      <c r="F4352" s="27">
        <v>6665218</v>
      </c>
      <c r="G4352" s="27">
        <v>0</v>
      </c>
      <c r="H4352" s="27">
        <v>0</v>
      </c>
      <c r="I4352" s="27">
        <v>0</v>
      </c>
      <c r="J4352" s="30">
        <f t="shared" si="213"/>
        <v>0</v>
      </c>
      <c r="K4352" s="30">
        <f t="shared" si="214"/>
        <v>0</v>
      </c>
      <c r="L4352" s="26">
        <f t="shared" si="215"/>
        <v>0</v>
      </c>
      <c r="M4352" s="32"/>
    </row>
    <row r="4353" spans="1:13" ht="14.25" customHeight="1">
      <c r="A4353" s="25">
        <v>1954608</v>
      </c>
      <c r="B4353" s="26" t="s">
        <v>5427</v>
      </c>
      <c r="C4353" s="26" t="s">
        <v>14116</v>
      </c>
      <c r="D4353" s="26" t="s">
        <v>14111</v>
      </c>
      <c r="E4353" s="26" t="s">
        <v>5586</v>
      </c>
      <c r="F4353" s="27">
        <v>6665432</v>
      </c>
      <c r="G4353" s="27">
        <v>1</v>
      </c>
      <c r="H4353" s="27">
        <v>0</v>
      </c>
      <c r="I4353" s="27">
        <v>1</v>
      </c>
      <c r="J4353" s="30">
        <f t="shared" si="213"/>
        <v>1</v>
      </c>
      <c r="K4353" s="30">
        <f t="shared" si="214"/>
        <v>0</v>
      </c>
      <c r="L4353" s="26">
        <f t="shared" si="215"/>
        <v>0</v>
      </c>
      <c r="M4353" s="32" t="s">
        <v>14117</v>
      </c>
    </row>
    <row r="4354" spans="1:13" ht="14.25" customHeight="1">
      <c r="A4354" s="25">
        <v>1954682</v>
      </c>
      <c r="B4354" s="26" t="s">
        <v>5423</v>
      </c>
      <c r="C4354" s="26" t="s">
        <v>14118</v>
      </c>
      <c r="D4354" s="26" t="s">
        <v>14111</v>
      </c>
      <c r="E4354" s="26" t="s">
        <v>5535</v>
      </c>
      <c r="F4354" s="27">
        <v>6648886</v>
      </c>
      <c r="G4354" s="27">
        <v>1</v>
      </c>
      <c r="H4354" s="27">
        <v>0</v>
      </c>
      <c r="I4354" s="27">
        <v>1</v>
      </c>
      <c r="J4354" s="30">
        <f t="shared" si="213"/>
        <v>1</v>
      </c>
      <c r="K4354" s="30">
        <f t="shared" si="214"/>
        <v>0</v>
      </c>
      <c r="L4354" s="26">
        <f t="shared" si="215"/>
        <v>0</v>
      </c>
      <c r="M4354" s="32"/>
    </row>
    <row r="4355" spans="1:13" ht="14.25" customHeight="1">
      <c r="A4355" s="25">
        <v>1943877</v>
      </c>
      <c r="B4355" s="26" t="s">
        <v>5423</v>
      </c>
      <c r="C4355" s="26" t="s">
        <v>14119</v>
      </c>
      <c r="D4355" s="26" t="s">
        <v>14120</v>
      </c>
      <c r="E4355" s="26" t="s">
        <v>5603</v>
      </c>
      <c r="F4355" s="27">
        <v>6639224</v>
      </c>
      <c r="G4355" s="27">
        <v>1</v>
      </c>
      <c r="H4355" s="27">
        <v>0</v>
      </c>
      <c r="I4355" s="27">
        <v>1</v>
      </c>
      <c r="J4355" s="30">
        <f t="shared" si="213"/>
        <v>1</v>
      </c>
      <c r="K4355" s="30">
        <f t="shared" si="214"/>
        <v>0</v>
      </c>
      <c r="L4355" s="26">
        <f t="shared" si="215"/>
        <v>0</v>
      </c>
      <c r="M4355" s="32"/>
    </row>
    <row r="4356" spans="1:13" ht="14.25" customHeight="1">
      <c r="A4356" s="25">
        <v>1952702</v>
      </c>
      <c r="B4356" s="26" t="s">
        <v>5423</v>
      </c>
      <c r="C4356" s="26" t="s">
        <v>14121</v>
      </c>
      <c r="D4356" s="26" t="s">
        <v>14120</v>
      </c>
      <c r="E4356" s="26" t="s">
        <v>5442</v>
      </c>
      <c r="F4356" s="27">
        <v>6502589</v>
      </c>
      <c r="G4356" s="27">
        <v>2</v>
      </c>
      <c r="H4356" s="27">
        <v>1</v>
      </c>
      <c r="I4356" s="27">
        <v>1</v>
      </c>
      <c r="J4356" s="30">
        <f t="shared" si="213"/>
        <v>1</v>
      </c>
      <c r="K4356" s="30">
        <f t="shared" si="214"/>
        <v>1</v>
      </c>
      <c r="L4356" s="26">
        <f t="shared" si="215"/>
        <v>1</v>
      </c>
      <c r="M4356" s="32"/>
    </row>
    <row r="4357" spans="1:13" ht="14.25" customHeight="1">
      <c r="A4357" s="25">
        <v>1953054</v>
      </c>
      <c r="B4357" s="26" t="s">
        <v>5423</v>
      </c>
      <c r="C4357" s="26" t="s">
        <v>14122</v>
      </c>
      <c r="D4357" s="26" t="s">
        <v>14123</v>
      </c>
      <c r="E4357" s="26" t="s">
        <v>5463</v>
      </c>
      <c r="F4357" s="27">
        <v>6662136</v>
      </c>
      <c r="G4357" s="27">
        <v>1</v>
      </c>
      <c r="H4357" s="27">
        <v>1</v>
      </c>
      <c r="I4357" s="27">
        <v>1</v>
      </c>
      <c r="J4357" s="30">
        <f t="shared" si="213"/>
        <v>1</v>
      </c>
      <c r="K4357" s="30">
        <f t="shared" si="214"/>
        <v>1</v>
      </c>
      <c r="L4357" s="26">
        <f t="shared" si="215"/>
        <v>1</v>
      </c>
      <c r="M4357" s="32"/>
    </row>
    <row r="4358" spans="1:13" ht="14.25" customHeight="1">
      <c r="A4358" s="25">
        <v>1954404</v>
      </c>
      <c r="B4358" s="26" t="s">
        <v>5427</v>
      </c>
      <c r="C4358" s="26" t="s">
        <v>14124</v>
      </c>
      <c r="D4358" s="26" t="s">
        <v>14123</v>
      </c>
      <c r="E4358" s="26" t="s">
        <v>5507</v>
      </c>
      <c r="F4358" s="27">
        <v>6663117</v>
      </c>
      <c r="G4358" s="27">
        <v>1</v>
      </c>
      <c r="H4358" s="27">
        <v>0</v>
      </c>
      <c r="I4358" s="27">
        <v>1</v>
      </c>
      <c r="J4358" s="30">
        <f t="shared" si="213"/>
        <v>1</v>
      </c>
      <c r="K4358" s="30">
        <f t="shared" si="214"/>
        <v>0</v>
      </c>
      <c r="L4358" s="26">
        <f t="shared" si="215"/>
        <v>0</v>
      </c>
      <c r="M4358" s="32"/>
    </row>
    <row r="4359" spans="1:13" ht="14.25" customHeight="1">
      <c r="A4359" s="25">
        <v>1954444</v>
      </c>
      <c r="B4359" s="26" t="s">
        <v>5427</v>
      </c>
      <c r="C4359" s="26" t="s">
        <v>14125</v>
      </c>
      <c r="D4359" s="26" t="s">
        <v>14123</v>
      </c>
      <c r="E4359" s="26" t="s">
        <v>5442</v>
      </c>
      <c r="F4359" s="27">
        <v>6665153</v>
      </c>
      <c r="G4359" s="27">
        <v>1</v>
      </c>
      <c r="H4359" s="27">
        <v>1</v>
      </c>
      <c r="I4359" s="27">
        <v>1</v>
      </c>
      <c r="J4359" s="30">
        <f t="shared" si="213"/>
        <v>1</v>
      </c>
      <c r="K4359" s="30">
        <f t="shared" si="214"/>
        <v>1</v>
      </c>
      <c r="L4359" s="26">
        <f t="shared" si="215"/>
        <v>1</v>
      </c>
      <c r="M4359" s="32"/>
    </row>
    <row r="4360" spans="1:13" ht="14.25" customHeight="1">
      <c r="A4360" s="25">
        <v>1953931</v>
      </c>
      <c r="B4360" s="26" t="s">
        <v>5423</v>
      </c>
      <c r="C4360" s="26" t="s">
        <v>14126</v>
      </c>
      <c r="D4360" s="26" t="s">
        <v>14127</v>
      </c>
      <c r="E4360" s="26" t="s">
        <v>5430</v>
      </c>
      <c r="F4360" s="27">
        <v>6663939</v>
      </c>
      <c r="G4360" s="27">
        <v>0</v>
      </c>
      <c r="H4360" s="27">
        <v>0</v>
      </c>
      <c r="I4360" s="27">
        <v>0</v>
      </c>
      <c r="J4360" s="30">
        <f t="shared" si="213"/>
        <v>0</v>
      </c>
      <c r="K4360" s="30">
        <f t="shared" si="214"/>
        <v>0</v>
      </c>
      <c r="L4360" s="26">
        <f t="shared" si="215"/>
        <v>0</v>
      </c>
      <c r="M4360" s="32"/>
    </row>
    <row r="4361" spans="1:13" ht="14.25" customHeight="1">
      <c r="A4361" s="25">
        <v>1954258</v>
      </c>
      <c r="B4361" s="26" t="s">
        <v>5423</v>
      </c>
      <c r="C4361" s="26" t="s">
        <v>14128</v>
      </c>
      <c r="D4361" s="26" t="s">
        <v>14127</v>
      </c>
      <c r="E4361" s="26" t="s">
        <v>5491</v>
      </c>
      <c r="F4361" s="27">
        <v>6665150</v>
      </c>
      <c r="G4361" s="27">
        <v>1</v>
      </c>
      <c r="H4361" s="27">
        <v>1</v>
      </c>
      <c r="I4361" s="27">
        <v>1</v>
      </c>
      <c r="J4361" s="30">
        <f t="shared" si="213"/>
        <v>1</v>
      </c>
      <c r="K4361" s="30">
        <f t="shared" si="214"/>
        <v>1</v>
      </c>
      <c r="L4361" s="26">
        <f t="shared" si="215"/>
        <v>1</v>
      </c>
      <c r="M4361" s="32"/>
    </row>
    <row r="4362" spans="1:13" ht="14.25" customHeight="1">
      <c r="A4362" s="25">
        <v>1954943</v>
      </c>
      <c r="B4362" s="26" t="s">
        <v>5427</v>
      </c>
      <c r="C4362" s="26" t="s">
        <v>14129</v>
      </c>
      <c r="D4362" s="26" t="s">
        <v>14127</v>
      </c>
      <c r="E4362" s="26" t="s">
        <v>5540</v>
      </c>
      <c r="F4362" s="27">
        <v>6666455</v>
      </c>
      <c r="G4362" s="27">
        <v>1</v>
      </c>
      <c r="H4362" s="27">
        <v>1</v>
      </c>
      <c r="I4362" s="27">
        <v>1</v>
      </c>
      <c r="J4362" s="30">
        <f t="shared" si="213"/>
        <v>1</v>
      </c>
      <c r="K4362" s="30">
        <f t="shared" si="214"/>
        <v>1</v>
      </c>
      <c r="L4362" s="26">
        <f t="shared" si="215"/>
        <v>1</v>
      </c>
      <c r="M4362" s="32"/>
    </row>
    <row r="4363" spans="1:13" ht="14.25" customHeight="1">
      <c r="A4363" s="25">
        <v>1955273</v>
      </c>
      <c r="B4363" s="26" t="s">
        <v>5423</v>
      </c>
      <c r="C4363" s="26" t="s">
        <v>14130</v>
      </c>
      <c r="D4363" s="26" t="s">
        <v>14127</v>
      </c>
      <c r="E4363" s="26" t="s">
        <v>5491</v>
      </c>
      <c r="F4363" s="27">
        <v>6668463</v>
      </c>
      <c r="G4363" s="27">
        <v>0</v>
      </c>
      <c r="H4363" s="27">
        <v>0</v>
      </c>
      <c r="I4363" s="27">
        <v>0</v>
      </c>
      <c r="J4363" s="30">
        <f t="shared" si="213"/>
        <v>0</v>
      </c>
      <c r="K4363" s="30">
        <f t="shared" si="214"/>
        <v>0</v>
      </c>
      <c r="L4363" s="26">
        <f t="shared" si="215"/>
        <v>0</v>
      </c>
      <c r="M4363" s="32"/>
    </row>
    <row r="4364" spans="1:13" ht="14.25" customHeight="1">
      <c r="A4364" s="25">
        <v>1954394</v>
      </c>
      <c r="B4364" s="26" t="s">
        <v>5423</v>
      </c>
      <c r="C4364" s="26" t="s">
        <v>14131</v>
      </c>
      <c r="D4364" s="26" t="s">
        <v>14132</v>
      </c>
      <c r="E4364" s="26" t="s">
        <v>5442</v>
      </c>
      <c r="F4364" s="27">
        <v>6664927</v>
      </c>
      <c r="G4364" s="27">
        <v>1</v>
      </c>
      <c r="H4364" s="27">
        <v>1</v>
      </c>
      <c r="I4364" s="27">
        <v>1</v>
      </c>
      <c r="J4364" s="30">
        <f t="shared" si="213"/>
        <v>1</v>
      </c>
      <c r="K4364" s="30">
        <f t="shared" si="214"/>
        <v>1</v>
      </c>
      <c r="L4364" s="26">
        <f t="shared" si="215"/>
        <v>1</v>
      </c>
      <c r="M4364" s="32"/>
    </row>
    <row r="4365" spans="1:13" ht="14.25" customHeight="1">
      <c r="A4365" s="25">
        <v>1954264</v>
      </c>
      <c r="B4365" s="26" t="s">
        <v>5423</v>
      </c>
      <c r="C4365" s="26" t="s">
        <v>14133</v>
      </c>
      <c r="D4365" s="26" t="s">
        <v>14134</v>
      </c>
      <c r="E4365" s="26" t="s">
        <v>5610</v>
      </c>
      <c r="F4365" s="27">
        <v>6665152</v>
      </c>
      <c r="G4365" s="27">
        <v>1</v>
      </c>
      <c r="H4365" s="27">
        <v>1</v>
      </c>
      <c r="I4365" s="27">
        <v>1</v>
      </c>
      <c r="J4365" s="30">
        <f t="shared" si="213"/>
        <v>1</v>
      </c>
      <c r="K4365" s="30">
        <f t="shared" si="214"/>
        <v>1</v>
      </c>
      <c r="L4365" s="26">
        <f t="shared" si="215"/>
        <v>1</v>
      </c>
      <c r="M4365" s="32"/>
    </row>
    <row r="4366" spans="1:13" ht="14.25" customHeight="1">
      <c r="A4366" s="25">
        <v>1955714</v>
      </c>
      <c r="B4366" s="26" t="s">
        <v>5423</v>
      </c>
      <c r="C4366" s="26" t="s">
        <v>14135</v>
      </c>
      <c r="D4366" s="26" t="s">
        <v>14136</v>
      </c>
      <c r="E4366" s="26" t="s">
        <v>5458</v>
      </c>
      <c r="F4366" s="27">
        <v>6668969</v>
      </c>
      <c r="G4366" s="27">
        <v>0</v>
      </c>
      <c r="H4366" s="27">
        <v>0</v>
      </c>
      <c r="I4366" s="27">
        <v>0</v>
      </c>
      <c r="J4366" s="30">
        <f t="shared" si="213"/>
        <v>0</v>
      </c>
      <c r="K4366" s="30">
        <f t="shared" si="214"/>
        <v>0</v>
      </c>
      <c r="L4366" s="26">
        <f t="shared" si="215"/>
        <v>0</v>
      </c>
      <c r="M4366" s="32"/>
    </row>
    <row r="4367" spans="1:13" ht="14.25" customHeight="1">
      <c r="A4367" s="25">
        <v>1955589</v>
      </c>
      <c r="B4367" s="26" t="s">
        <v>5427</v>
      </c>
      <c r="C4367" s="26" t="s">
        <v>14137</v>
      </c>
      <c r="D4367" s="26" t="s">
        <v>14138</v>
      </c>
      <c r="E4367" s="26" t="s">
        <v>5507</v>
      </c>
      <c r="F4367" s="27">
        <v>6668565</v>
      </c>
      <c r="G4367" s="27">
        <v>0</v>
      </c>
      <c r="H4367" s="27">
        <v>0</v>
      </c>
      <c r="I4367" s="27">
        <v>0</v>
      </c>
      <c r="J4367" s="30">
        <f t="shared" si="213"/>
        <v>0</v>
      </c>
      <c r="K4367" s="30">
        <f t="shared" si="214"/>
        <v>0</v>
      </c>
      <c r="L4367" s="26">
        <f t="shared" si="215"/>
        <v>0</v>
      </c>
      <c r="M4367" s="32" t="s">
        <v>14109</v>
      </c>
    </row>
    <row r="4368" spans="1:13" ht="14.25" customHeight="1">
      <c r="A4368" s="25">
        <v>1955821</v>
      </c>
      <c r="B4368" s="26" t="s">
        <v>5423</v>
      </c>
      <c r="C4368" s="26" t="s">
        <v>14139</v>
      </c>
      <c r="D4368" s="26" t="s">
        <v>14140</v>
      </c>
      <c r="E4368" s="26" t="s">
        <v>5488</v>
      </c>
      <c r="F4368" s="27">
        <v>6668780</v>
      </c>
      <c r="G4368" s="27">
        <v>1</v>
      </c>
      <c r="H4368" s="27">
        <v>0</v>
      </c>
      <c r="I4368" s="27">
        <v>1</v>
      </c>
      <c r="J4368" s="30">
        <f t="shared" si="213"/>
        <v>1</v>
      </c>
      <c r="K4368" s="30">
        <f t="shared" si="214"/>
        <v>0</v>
      </c>
      <c r="L4368" s="26">
        <f t="shared" si="215"/>
        <v>0</v>
      </c>
      <c r="M4368" s="32"/>
    </row>
    <row r="4369" spans="1:13" ht="14.25" customHeight="1">
      <c r="A4369" s="25">
        <v>1925796</v>
      </c>
      <c r="B4369" s="26" t="s">
        <v>5427</v>
      </c>
      <c r="C4369" s="26" t="s">
        <v>14141</v>
      </c>
      <c r="D4369" s="26" t="s">
        <v>14142</v>
      </c>
      <c r="E4369" s="26" t="s">
        <v>5610</v>
      </c>
      <c r="F4369" s="27">
        <v>6562703</v>
      </c>
      <c r="G4369" s="27">
        <v>1</v>
      </c>
      <c r="H4369" s="27">
        <v>0</v>
      </c>
      <c r="I4369" s="27">
        <v>1</v>
      </c>
      <c r="J4369" s="30">
        <f t="shared" ref="J4369:J4383" si="216">IF(G4369&gt;0,1,0)</f>
        <v>1</v>
      </c>
      <c r="K4369" s="30">
        <f t="shared" ref="K4369:K4383" si="217">IF(H4369&gt;0,1,0)</f>
        <v>0</v>
      </c>
      <c r="L4369" s="26">
        <f t="shared" ref="L4369:L4383" si="218">IF(G4369&gt;0,IF(H4369&gt;0,1,0),0)</f>
        <v>0</v>
      </c>
      <c r="M4369" s="32"/>
    </row>
    <row r="4370" spans="1:13" ht="14.25" customHeight="1">
      <c r="A4370" s="25">
        <v>1955798</v>
      </c>
      <c r="B4370" s="26" t="s">
        <v>5427</v>
      </c>
      <c r="C4370" s="26" t="s">
        <v>14143</v>
      </c>
      <c r="D4370" s="26" t="s">
        <v>14142</v>
      </c>
      <c r="E4370" s="26" t="s">
        <v>5560</v>
      </c>
      <c r="F4370" s="27">
        <v>6564080</v>
      </c>
      <c r="G4370" s="27">
        <v>1</v>
      </c>
      <c r="H4370" s="27">
        <v>0</v>
      </c>
      <c r="I4370" s="27">
        <v>1</v>
      </c>
      <c r="J4370" s="30">
        <f t="shared" si="216"/>
        <v>1</v>
      </c>
      <c r="K4370" s="30">
        <f t="shared" si="217"/>
        <v>0</v>
      </c>
      <c r="L4370" s="26">
        <f t="shared" si="218"/>
        <v>0</v>
      </c>
      <c r="M4370" s="32"/>
    </row>
    <row r="4371" spans="1:13" ht="14.25" customHeight="1">
      <c r="A4371" s="25">
        <v>1956954</v>
      </c>
      <c r="B4371" s="26" t="s">
        <v>5427</v>
      </c>
      <c r="C4371" s="26" t="s">
        <v>14144</v>
      </c>
      <c r="D4371" s="26" t="s">
        <v>14142</v>
      </c>
      <c r="E4371" s="26" t="s">
        <v>5560</v>
      </c>
      <c r="F4371" s="27">
        <v>6664743</v>
      </c>
      <c r="G4371" s="27">
        <v>1</v>
      </c>
      <c r="H4371" s="27">
        <v>0</v>
      </c>
      <c r="I4371" s="27">
        <v>1</v>
      </c>
      <c r="J4371" s="30">
        <f t="shared" si="216"/>
        <v>1</v>
      </c>
      <c r="K4371" s="30">
        <f t="shared" si="217"/>
        <v>0</v>
      </c>
      <c r="L4371" s="26">
        <f t="shared" si="218"/>
        <v>0</v>
      </c>
      <c r="M4371" s="32"/>
    </row>
    <row r="4372" spans="1:13" ht="14.25" customHeight="1">
      <c r="A4372" s="25">
        <v>1956967</v>
      </c>
      <c r="B4372" s="26" t="s">
        <v>5427</v>
      </c>
      <c r="C4372" s="26" t="s">
        <v>14145</v>
      </c>
      <c r="D4372" s="26" t="s">
        <v>14142</v>
      </c>
      <c r="E4372" s="26" t="s">
        <v>5603</v>
      </c>
      <c r="F4372" s="27">
        <v>6672620</v>
      </c>
      <c r="G4372" s="27">
        <v>0</v>
      </c>
      <c r="H4372" s="27">
        <v>0</v>
      </c>
      <c r="I4372" s="27">
        <v>0</v>
      </c>
      <c r="J4372" s="30">
        <f t="shared" si="216"/>
        <v>0</v>
      </c>
      <c r="K4372" s="30">
        <f t="shared" si="217"/>
        <v>0</v>
      </c>
      <c r="L4372" s="26">
        <f t="shared" si="218"/>
        <v>0</v>
      </c>
      <c r="M4372" s="32"/>
    </row>
    <row r="4373" spans="1:13" ht="14.25" customHeight="1">
      <c r="A4373" s="25">
        <v>1956992</v>
      </c>
      <c r="B4373" s="26" t="s">
        <v>5423</v>
      </c>
      <c r="C4373" s="26" t="s">
        <v>14146</v>
      </c>
      <c r="D4373" s="26" t="s">
        <v>14142</v>
      </c>
      <c r="E4373" s="26" t="s">
        <v>5654</v>
      </c>
      <c r="F4373" s="27"/>
      <c r="G4373" s="27">
        <v>0</v>
      </c>
      <c r="H4373" s="27">
        <v>0</v>
      </c>
      <c r="I4373" s="27">
        <v>0</v>
      </c>
      <c r="J4373" s="30">
        <f t="shared" si="216"/>
        <v>0</v>
      </c>
      <c r="K4373" s="30">
        <f t="shared" si="217"/>
        <v>0</v>
      </c>
      <c r="L4373" s="26">
        <f t="shared" si="218"/>
        <v>0</v>
      </c>
      <c r="M4373" s="32" t="s">
        <v>14147</v>
      </c>
    </row>
    <row r="4374" spans="1:13" ht="14.25" customHeight="1">
      <c r="A4374" s="25">
        <v>1954701</v>
      </c>
      <c r="B4374" s="26" t="s">
        <v>5423</v>
      </c>
      <c r="C4374" s="26" t="s">
        <v>14148</v>
      </c>
      <c r="D4374" s="26" t="s">
        <v>14149</v>
      </c>
      <c r="E4374" s="26" t="s">
        <v>5455</v>
      </c>
      <c r="F4374" s="27">
        <v>6665798</v>
      </c>
      <c r="G4374" s="27">
        <v>1</v>
      </c>
      <c r="H4374" s="27">
        <v>1</v>
      </c>
      <c r="I4374" s="27">
        <v>1</v>
      </c>
      <c r="J4374" s="30">
        <f t="shared" si="216"/>
        <v>1</v>
      </c>
      <c r="K4374" s="30">
        <f t="shared" si="217"/>
        <v>1</v>
      </c>
      <c r="L4374" s="26">
        <f t="shared" si="218"/>
        <v>1</v>
      </c>
      <c r="M4374" s="32"/>
    </row>
    <row r="4375" spans="1:13" ht="14.25" customHeight="1">
      <c r="A4375" s="25">
        <v>1956110</v>
      </c>
      <c r="B4375" s="26" t="s">
        <v>5423</v>
      </c>
      <c r="C4375" s="26" t="s">
        <v>14150</v>
      </c>
      <c r="D4375" s="26" t="s">
        <v>14151</v>
      </c>
      <c r="E4375" s="26" t="s">
        <v>5485</v>
      </c>
      <c r="F4375" s="27">
        <v>6670082</v>
      </c>
      <c r="G4375" s="27">
        <v>1</v>
      </c>
      <c r="H4375" s="27">
        <v>1</v>
      </c>
      <c r="I4375" s="27">
        <v>1</v>
      </c>
      <c r="J4375" s="30">
        <f t="shared" si="216"/>
        <v>1</v>
      </c>
      <c r="K4375" s="30">
        <f t="shared" si="217"/>
        <v>1</v>
      </c>
      <c r="L4375" s="26">
        <f t="shared" si="218"/>
        <v>1</v>
      </c>
      <c r="M4375" s="32"/>
    </row>
    <row r="4376" spans="1:13" ht="14.25" customHeight="1">
      <c r="A4376" s="25">
        <v>1956124</v>
      </c>
      <c r="B4376" s="26" t="s">
        <v>5423</v>
      </c>
      <c r="C4376" s="26" t="s">
        <v>14152</v>
      </c>
      <c r="D4376" s="26" t="s">
        <v>14151</v>
      </c>
      <c r="E4376" s="26" t="s">
        <v>5480</v>
      </c>
      <c r="F4376" s="27">
        <v>6670074</v>
      </c>
      <c r="G4376" s="27">
        <v>1</v>
      </c>
      <c r="H4376" s="27">
        <v>0</v>
      </c>
      <c r="I4376" s="27">
        <v>1</v>
      </c>
      <c r="J4376" s="30">
        <f t="shared" si="216"/>
        <v>1</v>
      </c>
      <c r="K4376" s="30">
        <f t="shared" si="217"/>
        <v>0</v>
      </c>
      <c r="L4376" s="26">
        <f t="shared" si="218"/>
        <v>0</v>
      </c>
      <c r="M4376" s="32"/>
    </row>
    <row r="4377" spans="1:13" ht="14.25" customHeight="1">
      <c r="A4377" s="25">
        <v>1956150</v>
      </c>
      <c r="B4377" s="26" t="s">
        <v>5423</v>
      </c>
      <c r="C4377" s="26" t="s">
        <v>14153</v>
      </c>
      <c r="D4377" s="26" t="s">
        <v>14154</v>
      </c>
      <c r="E4377" s="26" t="s">
        <v>5485</v>
      </c>
      <c r="F4377" s="27">
        <v>6670073</v>
      </c>
      <c r="G4377" s="27">
        <v>0</v>
      </c>
      <c r="H4377" s="27">
        <v>0</v>
      </c>
      <c r="I4377" s="27">
        <v>0</v>
      </c>
      <c r="J4377" s="30">
        <f t="shared" si="216"/>
        <v>0</v>
      </c>
      <c r="K4377" s="30">
        <f t="shared" si="217"/>
        <v>0</v>
      </c>
      <c r="L4377" s="26">
        <f t="shared" si="218"/>
        <v>0</v>
      </c>
      <c r="M4377" s="32" t="s">
        <v>14155</v>
      </c>
    </row>
    <row r="4378" spans="1:13" ht="14.25" customHeight="1">
      <c r="A4378" s="25">
        <v>1957318</v>
      </c>
      <c r="B4378" s="26" t="s">
        <v>5427</v>
      </c>
      <c r="C4378" s="26" t="s">
        <v>14156</v>
      </c>
      <c r="D4378" s="26" t="s">
        <v>14157</v>
      </c>
      <c r="E4378" s="26" t="s">
        <v>5718</v>
      </c>
      <c r="F4378" s="27">
        <v>6673134</v>
      </c>
      <c r="G4378" s="27">
        <v>1</v>
      </c>
      <c r="H4378" s="27">
        <v>1</v>
      </c>
      <c r="I4378" s="27">
        <v>1</v>
      </c>
      <c r="J4378" s="30">
        <f t="shared" si="216"/>
        <v>1</v>
      </c>
      <c r="K4378" s="30">
        <f t="shared" si="217"/>
        <v>1</v>
      </c>
      <c r="L4378" s="26">
        <f t="shared" si="218"/>
        <v>1</v>
      </c>
      <c r="M4378" s="32"/>
    </row>
    <row r="4379" spans="1:13" ht="14.25" customHeight="1">
      <c r="A4379" s="25">
        <v>1957391</v>
      </c>
      <c r="B4379" s="26" t="s">
        <v>5423</v>
      </c>
      <c r="C4379" s="26" t="s">
        <v>14158</v>
      </c>
      <c r="D4379" s="26" t="s">
        <v>14157</v>
      </c>
      <c r="E4379" s="26" t="s">
        <v>5442</v>
      </c>
      <c r="F4379" s="27">
        <v>6660659</v>
      </c>
      <c r="G4379" s="27">
        <v>1</v>
      </c>
      <c r="H4379" s="27">
        <v>0</v>
      </c>
      <c r="I4379" s="27">
        <v>1</v>
      </c>
      <c r="J4379" s="30">
        <f t="shared" si="216"/>
        <v>1</v>
      </c>
      <c r="K4379" s="30">
        <f t="shared" si="217"/>
        <v>0</v>
      </c>
      <c r="L4379" s="26">
        <f t="shared" si="218"/>
        <v>0</v>
      </c>
      <c r="M4379" s="32"/>
    </row>
    <row r="4380" spans="1:13" ht="14.25" customHeight="1">
      <c r="A4380" s="25">
        <v>1957417</v>
      </c>
      <c r="B4380" s="26" t="s">
        <v>5427</v>
      </c>
      <c r="C4380" s="26" t="s">
        <v>14159</v>
      </c>
      <c r="D4380" s="26" t="s">
        <v>14157</v>
      </c>
      <c r="E4380" s="26" t="s">
        <v>5891</v>
      </c>
      <c r="F4380" s="27">
        <v>6673135</v>
      </c>
      <c r="G4380" s="27">
        <v>1</v>
      </c>
      <c r="H4380" s="27">
        <v>1</v>
      </c>
      <c r="I4380" s="27">
        <v>1</v>
      </c>
      <c r="J4380" s="30">
        <f t="shared" si="216"/>
        <v>1</v>
      </c>
      <c r="K4380" s="30">
        <f t="shared" si="217"/>
        <v>1</v>
      </c>
      <c r="L4380" s="26">
        <f t="shared" si="218"/>
        <v>1</v>
      </c>
      <c r="M4380" s="32"/>
    </row>
    <row r="4381" spans="1:13" ht="14.25" customHeight="1">
      <c r="A4381" s="25">
        <v>1956141</v>
      </c>
      <c r="B4381" s="26" t="s">
        <v>5423</v>
      </c>
      <c r="C4381" s="26" t="s">
        <v>14160</v>
      </c>
      <c r="D4381" s="26" t="s">
        <v>14161</v>
      </c>
      <c r="E4381" s="26" t="s">
        <v>5488</v>
      </c>
      <c r="F4381" s="27">
        <v>6670092</v>
      </c>
      <c r="G4381" s="27">
        <v>1</v>
      </c>
      <c r="H4381" s="27">
        <v>1</v>
      </c>
      <c r="I4381" s="27">
        <v>1</v>
      </c>
      <c r="J4381" s="30">
        <f t="shared" si="216"/>
        <v>1</v>
      </c>
      <c r="K4381" s="30">
        <f t="shared" si="217"/>
        <v>1</v>
      </c>
      <c r="L4381" s="26">
        <f t="shared" si="218"/>
        <v>1</v>
      </c>
      <c r="M4381" s="32"/>
    </row>
    <row r="4382" spans="1:13" ht="14.25" customHeight="1">
      <c r="A4382" s="25">
        <v>1956424</v>
      </c>
      <c r="B4382" s="26" t="s">
        <v>5423</v>
      </c>
      <c r="C4382" s="26" t="s">
        <v>14162</v>
      </c>
      <c r="D4382" s="26" t="s">
        <v>14161</v>
      </c>
      <c r="E4382" s="26" t="s">
        <v>5458</v>
      </c>
      <c r="F4382" s="27">
        <v>6670435</v>
      </c>
      <c r="G4382" s="27">
        <v>1</v>
      </c>
      <c r="H4382" s="27">
        <v>1</v>
      </c>
      <c r="I4382" s="27">
        <v>1</v>
      </c>
      <c r="J4382" s="30">
        <f t="shared" si="216"/>
        <v>1</v>
      </c>
      <c r="K4382" s="30">
        <f t="shared" si="217"/>
        <v>1</v>
      </c>
      <c r="L4382" s="26">
        <f t="shared" si="218"/>
        <v>1</v>
      </c>
      <c r="M4382" s="32"/>
    </row>
    <row r="4383" spans="1:13" ht="14.25" customHeight="1">
      <c r="A4383" s="25">
        <v>1957622</v>
      </c>
      <c r="B4383" s="26" t="s">
        <v>5423</v>
      </c>
      <c r="C4383" s="26" t="s">
        <v>14163</v>
      </c>
      <c r="D4383" s="26" t="s">
        <v>14161</v>
      </c>
      <c r="E4383" s="26" t="s">
        <v>5504</v>
      </c>
      <c r="F4383" s="27">
        <v>6673365</v>
      </c>
      <c r="G4383" s="27">
        <v>0</v>
      </c>
      <c r="H4383" s="27">
        <v>0</v>
      </c>
      <c r="I4383" s="27">
        <v>0</v>
      </c>
      <c r="J4383" s="30">
        <f t="shared" si="216"/>
        <v>0</v>
      </c>
      <c r="K4383" s="30">
        <f t="shared" si="217"/>
        <v>0</v>
      </c>
      <c r="L4383" s="26">
        <f t="shared" si="218"/>
        <v>0</v>
      </c>
      <c r="M4383" s="32"/>
    </row>
    <row r="4384" spans="1:13" ht="14.25" customHeight="1">
      <c r="A4384" s="25"/>
      <c r="B4384" s="26"/>
      <c r="C4384" s="26"/>
      <c r="D4384" s="26"/>
      <c r="E4384" s="26"/>
      <c r="F4384" s="27"/>
      <c r="G4384" s="34">
        <f t="shared" ref="G4384:L4384" si="219">SUM(G2:G4383)</f>
        <v>2572</v>
      </c>
      <c r="H4384" s="34">
        <f t="shared" si="219"/>
        <v>1335</v>
      </c>
      <c r="I4384" s="34">
        <f t="shared" si="219"/>
        <v>2703</v>
      </c>
      <c r="J4384" s="35">
        <f t="shared" si="219"/>
        <v>2493</v>
      </c>
      <c r="K4384" s="35">
        <f t="shared" si="219"/>
        <v>1324</v>
      </c>
      <c r="L4384" s="26">
        <f t="shared" si="219"/>
        <v>1113</v>
      </c>
      <c r="M4384" s="32">
        <f>'2024.9-'!G68+'2024.9-'!H68+'2020-2024.8'!G4384+'2020-2024.8'!H4384+'2015-2019'!G2021+'2015-2019'!H2021</f>
        <v>4017</v>
      </c>
    </row>
    <row r="4385" spans="1:13" ht="14.25" customHeight="1">
      <c r="A4385" s="25"/>
      <c r="B4385" s="26"/>
      <c r="C4385" s="26"/>
      <c r="D4385" s="26"/>
      <c r="E4385" s="26"/>
      <c r="F4385" s="27"/>
      <c r="G4385" s="34">
        <f>('2020-2024.8'!G4384+'2024.9-'!G68+'2015-2019'!G2021)/30</f>
        <v>88.233333333333334</v>
      </c>
      <c r="H4385" s="34">
        <f>('2020-2024.8'!H4384+'2024.9-'!H68+'2015-2019'!H2021)/30</f>
        <v>45.666666666666664</v>
      </c>
      <c r="I4385" s="34"/>
      <c r="J4385" s="35"/>
      <c r="K4385" s="35"/>
      <c r="L4385" s="26"/>
      <c r="M4385" s="32">
        <f>M4384/60</f>
        <v>66.95</v>
      </c>
    </row>
  </sheetData>
  <phoneticPr fontId="18" type="noConversion"/>
  <conditionalFormatting sqref="A4129">
    <cfRule type="duplicateValues" dxfId="255" priority="322"/>
  </conditionalFormatting>
  <conditionalFormatting sqref="A4130">
    <cfRule type="duplicateValues" dxfId="254" priority="321"/>
  </conditionalFormatting>
  <conditionalFormatting sqref="A4131">
    <cfRule type="duplicateValues" dxfId="253" priority="320"/>
  </conditionalFormatting>
  <conditionalFormatting sqref="A4132">
    <cfRule type="duplicateValues" dxfId="252" priority="319"/>
  </conditionalFormatting>
  <conditionalFormatting sqref="A4133">
    <cfRule type="duplicateValues" dxfId="251" priority="318"/>
  </conditionalFormatting>
  <conditionalFormatting sqref="A4134">
    <cfRule type="duplicateValues" dxfId="250" priority="317"/>
  </conditionalFormatting>
  <conditionalFormatting sqref="A4135">
    <cfRule type="duplicateValues" dxfId="249" priority="316"/>
  </conditionalFormatting>
  <conditionalFormatting sqref="A4136">
    <cfRule type="duplicateValues" dxfId="248" priority="315"/>
  </conditionalFormatting>
  <conditionalFormatting sqref="A4137">
    <cfRule type="duplicateValues" dxfId="247" priority="314"/>
  </conditionalFormatting>
  <conditionalFormatting sqref="A4138">
    <cfRule type="duplicateValues" dxfId="246" priority="313"/>
  </conditionalFormatting>
  <conditionalFormatting sqref="A4139">
    <cfRule type="duplicateValues" dxfId="245" priority="57"/>
  </conditionalFormatting>
  <conditionalFormatting sqref="A4140">
    <cfRule type="duplicateValues" dxfId="244" priority="56"/>
  </conditionalFormatting>
  <conditionalFormatting sqref="A4141">
    <cfRule type="duplicateValues" dxfId="243" priority="55"/>
  </conditionalFormatting>
  <conditionalFormatting sqref="A4142">
    <cfRule type="duplicateValues" dxfId="242" priority="54"/>
  </conditionalFormatting>
  <conditionalFormatting sqref="A4143">
    <cfRule type="duplicateValues" dxfId="241" priority="53"/>
  </conditionalFormatting>
  <conditionalFormatting sqref="A4144">
    <cfRule type="duplicateValues" dxfId="240" priority="52"/>
  </conditionalFormatting>
  <conditionalFormatting sqref="A4145">
    <cfRule type="duplicateValues" dxfId="239" priority="51"/>
  </conditionalFormatting>
  <conditionalFormatting sqref="A4146">
    <cfRule type="duplicateValues" dxfId="238" priority="50"/>
  </conditionalFormatting>
  <conditionalFormatting sqref="A4147">
    <cfRule type="duplicateValues" dxfId="237" priority="49"/>
  </conditionalFormatting>
  <conditionalFormatting sqref="A4148">
    <cfRule type="duplicateValues" dxfId="236" priority="48"/>
  </conditionalFormatting>
  <conditionalFormatting sqref="A4149">
    <cfRule type="duplicateValues" dxfId="235" priority="47"/>
  </conditionalFormatting>
  <conditionalFormatting sqref="A4150">
    <cfRule type="duplicateValues" dxfId="234" priority="46"/>
  </conditionalFormatting>
  <conditionalFormatting sqref="A4151">
    <cfRule type="duplicateValues" dxfId="233" priority="45"/>
  </conditionalFormatting>
  <conditionalFormatting sqref="A4152">
    <cfRule type="duplicateValues" dxfId="232" priority="44"/>
  </conditionalFormatting>
  <conditionalFormatting sqref="A4153">
    <cfRule type="duplicateValues" dxfId="231" priority="43"/>
  </conditionalFormatting>
  <conditionalFormatting sqref="A4154">
    <cfRule type="duplicateValues" dxfId="230" priority="42"/>
  </conditionalFormatting>
  <conditionalFormatting sqref="A4155">
    <cfRule type="duplicateValues" dxfId="229" priority="41"/>
  </conditionalFormatting>
  <conditionalFormatting sqref="A4156">
    <cfRule type="duplicateValues" dxfId="228" priority="40"/>
  </conditionalFormatting>
  <conditionalFormatting sqref="A4157">
    <cfRule type="duplicateValues" dxfId="227" priority="39"/>
  </conditionalFormatting>
  <conditionalFormatting sqref="A4158">
    <cfRule type="duplicateValues" dxfId="226" priority="38"/>
  </conditionalFormatting>
  <conditionalFormatting sqref="A4159">
    <cfRule type="duplicateValues" dxfId="225" priority="37"/>
  </conditionalFormatting>
  <conditionalFormatting sqref="A4160">
    <cfRule type="duplicateValues" dxfId="224" priority="36"/>
  </conditionalFormatting>
  <conditionalFormatting sqref="A4161">
    <cfRule type="duplicateValues" dxfId="223" priority="35"/>
  </conditionalFormatting>
  <conditionalFormatting sqref="A4162">
    <cfRule type="duplicateValues" dxfId="222" priority="34"/>
  </conditionalFormatting>
  <conditionalFormatting sqref="A4163">
    <cfRule type="duplicateValues" dxfId="221" priority="33"/>
  </conditionalFormatting>
  <conditionalFormatting sqref="A4164">
    <cfRule type="duplicateValues" dxfId="220" priority="32"/>
  </conditionalFormatting>
  <conditionalFormatting sqref="A4165">
    <cfRule type="duplicateValues" dxfId="219" priority="31"/>
  </conditionalFormatting>
  <conditionalFormatting sqref="A4166">
    <cfRule type="duplicateValues" dxfId="218" priority="30"/>
  </conditionalFormatting>
  <conditionalFormatting sqref="A4167">
    <cfRule type="duplicateValues" dxfId="217" priority="29"/>
  </conditionalFormatting>
  <conditionalFormatting sqref="A4168">
    <cfRule type="duplicateValues" dxfId="216" priority="28"/>
  </conditionalFormatting>
  <conditionalFormatting sqref="A4169">
    <cfRule type="duplicateValues" dxfId="215" priority="27"/>
  </conditionalFormatting>
  <conditionalFormatting sqref="A4170">
    <cfRule type="duplicateValues" dxfId="214" priority="26"/>
  </conditionalFormatting>
  <conditionalFormatting sqref="A4171">
    <cfRule type="duplicateValues" dxfId="213" priority="25"/>
  </conditionalFormatting>
  <conditionalFormatting sqref="A4172">
    <cfRule type="duplicateValues" dxfId="212" priority="24"/>
  </conditionalFormatting>
  <conditionalFormatting sqref="A4173">
    <cfRule type="duplicateValues" dxfId="211" priority="23"/>
  </conditionalFormatting>
  <conditionalFormatting sqref="A4174">
    <cfRule type="duplicateValues" dxfId="210" priority="22"/>
  </conditionalFormatting>
  <conditionalFormatting sqref="A4175">
    <cfRule type="duplicateValues" dxfId="209" priority="21"/>
  </conditionalFormatting>
  <conditionalFormatting sqref="A4176">
    <cfRule type="duplicateValues" dxfId="208" priority="20"/>
  </conditionalFormatting>
  <conditionalFormatting sqref="A4177">
    <cfRule type="duplicateValues" dxfId="207" priority="19"/>
  </conditionalFormatting>
  <conditionalFormatting sqref="A4178">
    <cfRule type="duplicateValues" dxfId="206" priority="18"/>
  </conditionalFormatting>
  <conditionalFormatting sqref="A4179">
    <cfRule type="duplicateValues" dxfId="205" priority="17"/>
  </conditionalFormatting>
  <conditionalFormatting sqref="A4180">
    <cfRule type="duplicateValues" dxfId="204" priority="16"/>
  </conditionalFormatting>
  <conditionalFormatting sqref="A4181">
    <cfRule type="duplicateValues" dxfId="203" priority="15"/>
  </conditionalFormatting>
  <conditionalFormatting sqref="A4182">
    <cfRule type="duplicateValues" dxfId="202" priority="14"/>
  </conditionalFormatting>
  <conditionalFormatting sqref="A4183">
    <cfRule type="duplicateValues" dxfId="201" priority="13"/>
  </conditionalFormatting>
  <conditionalFormatting sqref="A4184">
    <cfRule type="duplicateValues" dxfId="200" priority="12"/>
  </conditionalFormatting>
  <conditionalFormatting sqref="A4185">
    <cfRule type="duplicateValues" dxfId="199" priority="11"/>
  </conditionalFormatting>
  <conditionalFormatting sqref="A4186">
    <cfRule type="duplicateValues" dxfId="198" priority="10"/>
  </conditionalFormatting>
  <conditionalFormatting sqref="A4187">
    <cfRule type="duplicateValues" dxfId="197" priority="9"/>
  </conditionalFormatting>
  <conditionalFormatting sqref="A4188">
    <cfRule type="duplicateValues" dxfId="196" priority="8"/>
  </conditionalFormatting>
  <conditionalFormatting sqref="A4189">
    <cfRule type="duplicateValues" dxfId="195" priority="7"/>
  </conditionalFormatting>
  <conditionalFormatting sqref="A4190">
    <cfRule type="duplicateValues" dxfId="194" priority="6"/>
  </conditionalFormatting>
  <conditionalFormatting sqref="A4191">
    <cfRule type="duplicateValues" dxfId="193" priority="5"/>
  </conditionalFormatting>
  <conditionalFormatting sqref="A4192">
    <cfRule type="duplicateValues" dxfId="192" priority="4"/>
  </conditionalFormatting>
  <conditionalFormatting sqref="A4193">
    <cfRule type="duplicateValues" dxfId="191" priority="3"/>
  </conditionalFormatting>
  <conditionalFormatting sqref="A4194">
    <cfRule type="duplicateValues" dxfId="190" priority="2"/>
  </conditionalFormatting>
  <conditionalFormatting sqref="A4195">
    <cfRule type="duplicateValues" dxfId="189" priority="1"/>
  </conditionalFormatting>
  <conditionalFormatting sqref="A4196">
    <cfRule type="duplicateValues" dxfId="188" priority="255"/>
  </conditionalFormatting>
  <conditionalFormatting sqref="A4197">
    <cfRule type="duplicateValues" dxfId="187" priority="254"/>
  </conditionalFormatting>
  <conditionalFormatting sqref="A4198">
    <cfRule type="duplicateValues" dxfId="186" priority="253"/>
  </conditionalFormatting>
  <conditionalFormatting sqref="A4199">
    <cfRule type="duplicateValues" dxfId="185" priority="252"/>
  </conditionalFormatting>
  <conditionalFormatting sqref="A4200">
    <cfRule type="duplicateValues" dxfId="184" priority="251"/>
  </conditionalFormatting>
  <conditionalFormatting sqref="A4201">
    <cfRule type="duplicateValues" dxfId="183" priority="250"/>
  </conditionalFormatting>
  <conditionalFormatting sqref="A4202">
    <cfRule type="duplicateValues" dxfId="182" priority="249"/>
  </conditionalFormatting>
  <conditionalFormatting sqref="A4203">
    <cfRule type="duplicateValues" dxfId="181" priority="248"/>
  </conditionalFormatting>
  <conditionalFormatting sqref="A4204">
    <cfRule type="duplicateValues" dxfId="180" priority="247"/>
  </conditionalFormatting>
  <conditionalFormatting sqref="A4205">
    <cfRule type="duplicateValues" dxfId="179" priority="246"/>
  </conditionalFormatting>
  <conditionalFormatting sqref="A4206">
    <cfRule type="duplicateValues" dxfId="178" priority="245"/>
  </conditionalFormatting>
  <conditionalFormatting sqref="A4207">
    <cfRule type="duplicateValues" dxfId="177" priority="244"/>
  </conditionalFormatting>
  <conditionalFormatting sqref="A4208">
    <cfRule type="duplicateValues" dxfId="176" priority="243"/>
  </conditionalFormatting>
  <conditionalFormatting sqref="A4209">
    <cfRule type="duplicateValues" dxfId="175" priority="233"/>
  </conditionalFormatting>
  <conditionalFormatting sqref="A4210">
    <cfRule type="duplicateValues" dxfId="174" priority="232"/>
  </conditionalFormatting>
  <conditionalFormatting sqref="A4211">
    <cfRule type="duplicateValues" dxfId="173" priority="231"/>
  </conditionalFormatting>
  <conditionalFormatting sqref="A4212">
    <cfRule type="duplicateValues" dxfId="172" priority="230"/>
  </conditionalFormatting>
  <conditionalFormatting sqref="A4213">
    <cfRule type="duplicateValues" dxfId="171" priority="229"/>
  </conditionalFormatting>
  <conditionalFormatting sqref="A4214">
    <cfRule type="duplicateValues" dxfId="170" priority="228"/>
  </conditionalFormatting>
  <conditionalFormatting sqref="A4215">
    <cfRule type="duplicateValues" dxfId="169" priority="227"/>
  </conditionalFormatting>
  <conditionalFormatting sqref="A4216">
    <cfRule type="duplicateValues" dxfId="168" priority="226"/>
  </conditionalFormatting>
  <conditionalFormatting sqref="A4217">
    <cfRule type="duplicateValues" dxfId="167" priority="225"/>
  </conditionalFormatting>
  <conditionalFormatting sqref="A4218">
    <cfRule type="duplicateValues" dxfId="166" priority="224"/>
  </conditionalFormatting>
  <conditionalFormatting sqref="A4219">
    <cfRule type="duplicateValues" dxfId="165" priority="223"/>
  </conditionalFormatting>
  <conditionalFormatting sqref="A4220">
    <cfRule type="duplicateValues" dxfId="164" priority="222"/>
  </conditionalFormatting>
  <conditionalFormatting sqref="A4221">
    <cfRule type="duplicateValues" dxfId="163" priority="221"/>
  </conditionalFormatting>
  <conditionalFormatting sqref="A4222">
    <cfRule type="duplicateValues" dxfId="162" priority="220"/>
  </conditionalFormatting>
  <conditionalFormatting sqref="A4223">
    <cfRule type="duplicateValues" dxfId="161" priority="219"/>
  </conditionalFormatting>
  <conditionalFormatting sqref="A4224">
    <cfRule type="duplicateValues" dxfId="160" priority="218"/>
  </conditionalFormatting>
  <conditionalFormatting sqref="A4225">
    <cfRule type="duplicateValues" dxfId="159" priority="217"/>
  </conditionalFormatting>
  <conditionalFormatting sqref="A4226">
    <cfRule type="duplicateValues" dxfId="158" priority="216"/>
  </conditionalFormatting>
  <conditionalFormatting sqref="A4227">
    <cfRule type="duplicateValues" dxfId="157" priority="215"/>
  </conditionalFormatting>
  <conditionalFormatting sqref="A4228">
    <cfRule type="duplicateValues" dxfId="156" priority="214"/>
  </conditionalFormatting>
  <conditionalFormatting sqref="A4229">
    <cfRule type="duplicateValues" dxfId="155" priority="213"/>
  </conditionalFormatting>
  <conditionalFormatting sqref="A4230">
    <cfRule type="duplicateValues" dxfId="154" priority="212"/>
  </conditionalFormatting>
  <conditionalFormatting sqref="A4231">
    <cfRule type="duplicateValues" dxfId="153" priority="211"/>
  </conditionalFormatting>
  <conditionalFormatting sqref="A4232">
    <cfRule type="duplicateValues" dxfId="152" priority="210"/>
  </conditionalFormatting>
  <conditionalFormatting sqref="A4233">
    <cfRule type="duplicateValues" dxfId="151" priority="209"/>
  </conditionalFormatting>
  <conditionalFormatting sqref="A4234">
    <cfRule type="duplicateValues" dxfId="150" priority="208"/>
  </conditionalFormatting>
  <conditionalFormatting sqref="A4235">
    <cfRule type="duplicateValues" dxfId="149" priority="207"/>
  </conditionalFormatting>
  <conditionalFormatting sqref="A4236">
    <cfRule type="duplicateValues" dxfId="148" priority="206"/>
  </conditionalFormatting>
  <conditionalFormatting sqref="A4237">
    <cfRule type="duplicateValues" dxfId="147" priority="205"/>
  </conditionalFormatting>
  <conditionalFormatting sqref="A4238">
    <cfRule type="duplicateValues" dxfId="146" priority="204"/>
  </conditionalFormatting>
  <conditionalFormatting sqref="A4239">
    <cfRule type="duplicateValues" dxfId="145" priority="203"/>
  </conditionalFormatting>
  <conditionalFormatting sqref="A4240">
    <cfRule type="duplicateValues" dxfId="144" priority="202"/>
  </conditionalFormatting>
  <conditionalFormatting sqref="A4241">
    <cfRule type="duplicateValues" dxfId="143" priority="201"/>
  </conditionalFormatting>
  <conditionalFormatting sqref="A4242">
    <cfRule type="duplicateValues" dxfId="142" priority="200"/>
  </conditionalFormatting>
  <conditionalFormatting sqref="A4243">
    <cfRule type="duplicateValues" dxfId="141" priority="199"/>
  </conditionalFormatting>
  <conditionalFormatting sqref="A4244">
    <cfRule type="duplicateValues" dxfId="140" priority="198"/>
  </conditionalFormatting>
  <conditionalFormatting sqref="A4245">
    <cfRule type="duplicateValues" dxfId="139" priority="197"/>
  </conditionalFormatting>
  <conditionalFormatting sqref="A4246">
    <cfRule type="duplicateValues" dxfId="138" priority="196"/>
  </conditionalFormatting>
  <conditionalFormatting sqref="A4247">
    <cfRule type="duplicateValues" dxfId="137" priority="195"/>
  </conditionalFormatting>
  <conditionalFormatting sqref="A4248">
    <cfRule type="duplicateValues" dxfId="136" priority="194"/>
  </conditionalFormatting>
  <conditionalFormatting sqref="A4249">
    <cfRule type="duplicateValues" dxfId="135" priority="193"/>
  </conditionalFormatting>
  <conditionalFormatting sqref="A4250">
    <cfRule type="duplicateValues" dxfId="134" priority="192"/>
  </conditionalFormatting>
  <conditionalFormatting sqref="A4251">
    <cfRule type="duplicateValues" dxfId="133" priority="191"/>
  </conditionalFormatting>
  <conditionalFormatting sqref="A4252">
    <cfRule type="duplicateValues" dxfId="132" priority="190"/>
  </conditionalFormatting>
  <conditionalFormatting sqref="A4253">
    <cfRule type="duplicateValues" dxfId="131" priority="189"/>
  </conditionalFormatting>
  <conditionalFormatting sqref="A4254">
    <cfRule type="duplicateValues" dxfId="130" priority="188"/>
  </conditionalFormatting>
  <conditionalFormatting sqref="A4255">
    <cfRule type="duplicateValues" dxfId="129" priority="187"/>
  </conditionalFormatting>
  <conditionalFormatting sqref="A4256">
    <cfRule type="duplicateValues" dxfId="128" priority="186"/>
  </conditionalFormatting>
  <conditionalFormatting sqref="A4257">
    <cfRule type="duplicateValues" dxfId="127" priority="185"/>
  </conditionalFormatting>
  <conditionalFormatting sqref="A4258">
    <cfRule type="duplicateValues" dxfId="126" priority="184"/>
  </conditionalFormatting>
  <conditionalFormatting sqref="A4259">
    <cfRule type="duplicateValues" dxfId="125" priority="183"/>
  </conditionalFormatting>
  <conditionalFormatting sqref="A4260">
    <cfRule type="duplicateValues" dxfId="124" priority="182"/>
  </conditionalFormatting>
  <conditionalFormatting sqref="A4261">
    <cfRule type="duplicateValues" dxfId="123" priority="181"/>
  </conditionalFormatting>
  <conditionalFormatting sqref="A4262">
    <cfRule type="duplicateValues" dxfId="122" priority="180"/>
  </conditionalFormatting>
  <conditionalFormatting sqref="A4263">
    <cfRule type="duplicateValues" dxfId="121" priority="179"/>
  </conditionalFormatting>
  <conditionalFormatting sqref="A4264">
    <cfRule type="duplicateValues" dxfId="120" priority="178"/>
  </conditionalFormatting>
  <conditionalFormatting sqref="A4265">
    <cfRule type="duplicateValues" dxfId="119" priority="177"/>
  </conditionalFormatting>
  <conditionalFormatting sqref="A4266">
    <cfRule type="duplicateValues" dxfId="118" priority="176"/>
  </conditionalFormatting>
  <conditionalFormatting sqref="A4267">
    <cfRule type="duplicateValues" dxfId="117" priority="175"/>
  </conditionalFormatting>
  <conditionalFormatting sqref="A4268">
    <cfRule type="duplicateValues" dxfId="116" priority="174"/>
  </conditionalFormatting>
  <conditionalFormatting sqref="A4269">
    <cfRule type="duplicateValues" dxfId="115" priority="173"/>
  </conditionalFormatting>
  <conditionalFormatting sqref="A4270">
    <cfRule type="duplicateValues" dxfId="114" priority="172"/>
  </conditionalFormatting>
  <conditionalFormatting sqref="A4271">
    <cfRule type="duplicateValues" dxfId="113" priority="171"/>
  </conditionalFormatting>
  <conditionalFormatting sqref="A4272">
    <cfRule type="duplicateValues" dxfId="112" priority="170"/>
  </conditionalFormatting>
  <conditionalFormatting sqref="A4273">
    <cfRule type="duplicateValues" dxfId="111" priority="169"/>
  </conditionalFormatting>
  <conditionalFormatting sqref="A4274">
    <cfRule type="duplicateValues" dxfId="110" priority="168"/>
  </conditionalFormatting>
  <conditionalFormatting sqref="A4275">
    <cfRule type="duplicateValues" dxfId="109" priority="167"/>
  </conditionalFormatting>
  <conditionalFormatting sqref="A4276">
    <cfRule type="duplicateValues" dxfId="108" priority="166"/>
  </conditionalFormatting>
  <conditionalFormatting sqref="A4277">
    <cfRule type="duplicateValues" dxfId="107" priority="165"/>
  </conditionalFormatting>
  <conditionalFormatting sqref="A4278">
    <cfRule type="duplicateValues" dxfId="106" priority="164"/>
  </conditionalFormatting>
  <conditionalFormatting sqref="A4279">
    <cfRule type="duplicateValues" dxfId="105" priority="163"/>
  </conditionalFormatting>
  <conditionalFormatting sqref="A4280">
    <cfRule type="duplicateValues" dxfId="104" priority="162"/>
  </conditionalFormatting>
  <conditionalFormatting sqref="A4281">
    <cfRule type="duplicateValues" dxfId="103" priority="161"/>
  </conditionalFormatting>
  <conditionalFormatting sqref="A4282">
    <cfRule type="duplicateValues" dxfId="102" priority="160"/>
  </conditionalFormatting>
  <conditionalFormatting sqref="A4283">
    <cfRule type="duplicateValues" dxfId="101" priority="159"/>
  </conditionalFormatting>
  <conditionalFormatting sqref="A4284">
    <cfRule type="duplicateValues" dxfId="100" priority="158"/>
  </conditionalFormatting>
  <conditionalFormatting sqref="A4285">
    <cfRule type="duplicateValues" dxfId="99" priority="157"/>
  </conditionalFormatting>
  <conditionalFormatting sqref="A4286">
    <cfRule type="duplicateValues" dxfId="98" priority="156"/>
  </conditionalFormatting>
  <conditionalFormatting sqref="A4287">
    <cfRule type="duplicateValues" dxfId="97" priority="155"/>
  </conditionalFormatting>
  <conditionalFormatting sqref="A4288">
    <cfRule type="duplicateValues" dxfId="96" priority="154"/>
  </conditionalFormatting>
  <conditionalFormatting sqref="A4289">
    <cfRule type="duplicateValues" dxfId="95" priority="153"/>
  </conditionalFormatting>
  <conditionalFormatting sqref="A4290">
    <cfRule type="duplicateValues" dxfId="94" priority="152"/>
  </conditionalFormatting>
  <conditionalFormatting sqref="A4291">
    <cfRule type="duplicateValues" dxfId="93" priority="151"/>
  </conditionalFormatting>
  <conditionalFormatting sqref="A4292">
    <cfRule type="duplicateValues" dxfId="92" priority="150"/>
  </conditionalFormatting>
  <conditionalFormatting sqref="A4293">
    <cfRule type="duplicateValues" dxfId="91" priority="149"/>
  </conditionalFormatting>
  <conditionalFormatting sqref="A4294">
    <cfRule type="duplicateValues" dxfId="90" priority="148"/>
  </conditionalFormatting>
  <conditionalFormatting sqref="A4295">
    <cfRule type="duplicateValues" dxfId="89" priority="147"/>
  </conditionalFormatting>
  <conditionalFormatting sqref="A4296">
    <cfRule type="duplicateValues" dxfId="88" priority="146"/>
  </conditionalFormatting>
  <conditionalFormatting sqref="A4297">
    <cfRule type="duplicateValues" dxfId="87" priority="145"/>
  </conditionalFormatting>
  <conditionalFormatting sqref="A4298">
    <cfRule type="duplicateValues" dxfId="86" priority="144"/>
  </conditionalFormatting>
  <conditionalFormatting sqref="A4299">
    <cfRule type="duplicateValues" dxfId="85" priority="143"/>
  </conditionalFormatting>
  <conditionalFormatting sqref="A4300">
    <cfRule type="duplicateValues" dxfId="84" priority="142"/>
  </conditionalFormatting>
  <conditionalFormatting sqref="A4301">
    <cfRule type="duplicateValues" dxfId="83" priority="141"/>
  </conditionalFormatting>
  <conditionalFormatting sqref="A4302">
    <cfRule type="duplicateValues" dxfId="82" priority="140"/>
  </conditionalFormatting>
  <conditionalFormatting sqref="A4303">
    <cfRule type="duplicateValues" dxfId="81" priority="139"/>
  </conditionalFormatting>
  <conditionalFormatting sqref="A4304">
    <cfRule type="duplicateValues" dxfId="80" priority="138"/>
  </conditionalFormatting>
  <conditionalFormatting sqref="A4305">
    <cfRule type="duplicateValues" dxfId="79" priority="137"/>
  </conditionalFormatting>
  <conditionalFormatting sqref="A4306">
    <cfRule type="duplicateValues" dxfId="78" priority="136"/>
  </conditionalFormatting>
  <conditionalFormatting sqref="A4307">
    <cfRule type="duplicateValues" dxfId="77" priority="135"/>
  </conditionalFormatting>
  <conditionalFormatting sqref="A4308">
    <cfRule type="duplicateValues" dxfId="76" priority="134"/>
  </conditionalFormatting>
  <conditionalFormatting sqref="A4309">
    <cfRule type="duplicateValues" dxfId="75" priority="133"/>
  </conditionalFormatting>
  <conditionalFormatting sqref="A4310">
    <cfRule type="duplicateValues" dxfId="74" priority="132"/>
  </conditionalFormatting>
  <conditionalFormatting sqref="A4311">
    <cfRule type="duplicateValues" dxfId="73" priority="131"/>
  </conditionalFormatting>
  <conditionalFormatting sqref="A4312">
    <cfRule type="duplicateValues" dxfId="72" priority="130"/>
  </conditionalFormatting>
  <conditionalFormatting sqref="A4313">
    <cfRule type="duplicateValues" dxfId="71" priority="129"/>
  </conditionalFormatting>
  <conditionalFormatting sqref="A4314">
    <cfRule type="duplicateValues" dxfId="70" priority="128"/>
  </conditionalFormatting>
  <conditionalFormatting sqref="A4315">
    <cfRule type="duplicateValues" dxfId="69" priority="127"/>
  </conditionalFormatting>
  <conditionalFormatting sqref="A4316">
    <cfRule type="duplicateValues" dxfId="68" priority="126"/>
  </conditionalFormatting>
  <conditionalFormatting sqref="A4317">
    <cfRule type="duplicateValues" dxfId="67" priority="125"/>
  </conditionalFormatting>
  <conditionalFormatting sqref="A4318">
    <cfRule type="duplicateValues" dxfId="66" priority="124"/>
  </conditionalFormatting>
  <conditionalFormatting sqref="A4319">
    <cfRule type="duplicateValues" dxfId="65" priority="123"/>
  </conditionalFormatting>
  <conditionalFormatting sqref="A4320">
    <cfRule type="duplicateValues" dxfId="64" priority="122"/>
  </conditionalFormatting>
  <conditionalFormatting sqref="A4321">
    <cfRule type="duplicateValues" dxfId="63" priority="121"/>
  </conditionalFormatting>
  <conditionalFormatting sqref="A4322">
    <cfRule type="duplicateValues" dxfId="62" priority="120"/>
  </conditionalFormatting>
  <conditionalFormatting sqref="A4323">
    <cfRule type="duplicateValues" dxfId="61" priority="119"/>
  </conditionalFormatting>
  <conditionalFormatting sqref="A4324">
    <cfRule type="duplicateValues" dxfId="60" priority="118"/>
  </conditionalFormatting>
  <conditionalFormatting sqref="A4325">
    <cfRule type="duplicateValues" dxfId="59" priority="117"/>
  </conditionalFormatting>
  <conditionalFormatting sqref="A4326">
    <cfRule type="duplicateValues" dxfId="58" priority="116"/>
  </conditionalFormatting>
  <conditionalFormatting sqref="A4327">
    <cfRule type="duplicateValues" dxfId="57" priority="115"/>
  </conditionalFormatting>
  <conditionalFormatting sqref="A4328">
    <cfRule type="duplicateValues" dxfId="56" priority="114"/>
  </conditionalFormatting>
  <conditionalFormatting sqref="A4329">
    <cfRule type="duplicateValues" dxfId="55" priority="113"/>
  </conditionalFormatting>
  <conditionalFormatting sqref="A4330">
    <cfRule type="duplicateValues" dxfId="54" priority="112"/>
  </conditionalFormatting>
  <conditionalFormatting sqref="A4331">
    <cfRule type="duplicateValues" dxfId="53" priority="111"/>
  </conditionalFormatting>
  <conditionalFormatting sqref="A4332">
    <cfRule type="duplicateValues" dxfId="52" priority="110"/>
  </conditionalFormatting>
  <conditionalFormatting sqref="A4333">
    <cfRule type="duplicateValues" dxfId="51" priority="109"/>
  </conditionalFormatting>
  <conditionalFormatting sqref="A4334">
    <cfRule type="duplicateValues" dxfId="50" priority="108"/>
  </conditionalFormatting>
  <conditionalFormatting sqref="A4335">
    <cfRule type="duplicateValues" dxfId="49" priority="107"/>
  </conditionalFormatting>
  <conditionalFormatting sqref="A4336">
    <cfRule type="duplicateValues" dxfId="48" priority="106"/>
  </conditionalFormatting>
  <conditionalFormatting sqref="A4337">
    <cfRule type="duplicateValues" dxfId="47" priority="105"/>
  </conditionalFormatting>
  <conditionalFormatting sqref="A4338">
    <cfRule type="duplicateValues" dxfId="46" priority="104"/>
  </conditionalFormatting>
  <conditionalFormatting sqref="A4339">
    <cfRule type="duplicateValues" dxfId="45" priority="103"/>
  </conditionalFormatting>
  <conditionalFormatting sqref="A4340">
    <cfRule type="duplicateValues" dxfId="44" priority="102"/>
  </conditionalFormatting>
  <conditionalFormatting sqref="A4341">
    <cfRule type="duplicateValues" dxfId="43" priority="101"/>
  </conditionalFormatting>
  <conditionalFormatting sqref="A4342">
    <cfRule type="duplicateValues" dxfId="42" priority="100"/>
  </conditionalFormatting>
  <conditionalFormatting sqref="A4343">
    <cfRule type="duplicateValues" dxfId="41" priority="99"/>
  </conditionalFormatting>
  <conditionalFormatting sqref="A4344">
    <cfRule type="duplicateValues" dxfId="40" priority="98"/>
  </conditionalFormatting>
  <conditionalFormatting sqref="A4345">
    <cfRule type="duplicateValues" dxfId="39" priority="97"/>
  </conditionalFormatting>
  <conditionalFormatting sqref="A4346">
    <cfRule type="duplicateValues" dxfId="38" priority="96"/>
  </conditionalFormatting>
  <conditionalFormatting sqref="A4347">
    <cfRule type="duplicateValues" dxfId="37" priority="95"/>
  </conditionalFormatting>
  <conditionalFormatting sqref="A4348">
    <cfRule type="duplicateValues" dxfId="36" priority="94"/>
  </conditionalFormatting>
  <conditionalFormatting sqref="A4349">
    <cfRule type="duplicateValues" dxfId="35" priority="93"/>
  </conditionalFormatting>
  <conditionalFormatting sqref="A4350">
    <cfRule type="duplicateValues" dxfId="34" priority="92"/>
  </conditionalFormatting>
  <conditionalFormatting sqref="A4351">
    <cfRule type="duplicateValues" dxfId="33" priority="91"/>
  </conditionalFormatting>
  <conditionalFormatting sqref="A4352">
    <cfRule type="duplicateValues" dxfId="32" priority="90"/>
  </conditionalFormatting>
  <conditionalFormatting sqref="A4353">
    <cfRule type="duplicateValues" dxfId="31" priority="89"/>
  </conditionalFormatting>
  <conditionalFormatting sqref="A4354">
    <cfRule type="duplicateValues" dxfId="30" priority="88"/>
  </conditionalFormatting>
  <conditionalFormatting sqref="A4355">
    <cfRule type="duplicateValues" dxfId="29" priority="87"/>
  </conditionalFormatting>
  <conditionalFormatting sqref="A4356">
    <cfRule type="duplicateValues" dxfId="28" priority="86"/>
  </conditionalFormatting>
  <conditionalFormatting sqref="A4357">
    <cfRule type="duplicateValues" dxfId="27" priority="85"/>
  </conditionalFormatting>
  <conditionalFormatting sqref="A4358">
    <cfRule type="duplicateValues" dxfId="26" priority="84"/>
  </conditionalFormatting>
  <conditionalFormatting sqref="A4359">
    <cfRule type="duplicateValues" dxfId="25" priority="83"/>
  </conditionalFormatting>
  <conditionalFormatting sqref="A4360">
    <cfRule type="duplicateValues" dxfId="24" priority="82"/>
  </conditionalFormatting>
  <conditionalFormatting sqref="A4361">
    <cfRule type="duplicateValues" dxfId="23" priority="81"/>
  </conditionalFormatting>
  <conditionalFormatting sqref="A4362">
    <cfRule type="duplicateValues" dxfId="22" priority="80"/>
  </conditionalFormatting>
  <conditionalFormatting sqref="A4363">
    <cfRule type="duplicateValues" dxfId="21" priority="79"/>
  </conditionalFormatting>
  <conditionalFormatting sqref="A4364">
    <cfRule type="duplicateValues" dxfId="20" priority="78"/>
  </conditionalFormatting>
  <conditionalFormatting sqref="A4365">
    <cfRule type="duplicateValues" dxfId="19" priority="77"/>
  </conditionalFormatting>
  <conditionalFormatting sqref="A4366">
    <cfRule type="duplicateValues" dxfId="18" priority="76"/>
  </conditionalFormatting>
  <conditionalFormatting sqref="A4367">
    <cfRule type="duplicateValues" dxfId="17" priority="75"/>
  </conditionalFormatting>
  <conditionalFormatting sqref="A4368">
    <cfRule type="duplicateValues" dxfId="16" priority="74"/>
  </conditionalFormatting>
  <conditionalFormatting sqref="A4369">
    <cfRule type="duplicateValues" dxfId="15" priority="73"/>
  </conditionalFormatting>
  <conditionalFormatting sqref="A4370">
    <cfRule type="duplicateValues" dxfId="14" priority="72"/>
  </conditionalFormatting>
  <conditionalFormatting sqref="A4371">
    <cfRule type="duplicateValues" dxfId="13" priority="71"/>
  </conditionalFormatting>
  <conditionalFormatting sqref="A4372">
    <cfRule type="duplicateValues" dxfId="12" priority="70"/>
  </conditionalFormatting>
  <conditionalFormatting sqref="A4373">
    <cfRule type="duplicateValues" dxfId="11" priority="69"/>
  </conditionalFormatting>
  <conditionalFormatting sqref="A4374">
    <cfRule type="duplicateValues" dxfId="10" priority="68"/>
  </conditionalFormatting>
  <conditionalFormatting sqref="A4375">
    <cfRule type="duplicateValues" dxfId="9" priority="67"/>
  </conditionalFormatting>
  <conditionalFormatting sqref="A4376">
    <cfRule type="duplicateValues" dxfId="8" priority="66"/>
  </conditionalFormatting>
  <conditionalFormatting sqref="A4377">
    <cfRule type="duplicateValues" dxfId="7" priority="65"/>
  </conditionalFormatting>
  <conditionalFormatting sqref="A4378">
    <cfRule type="duplicateValues" dxfId="6" priority="64"/>
  </conditionalFormatting>
  <conditionalFormatting sqref="A4379">
    <cfRule type="duplicateValues" dxfId="5" priority="63"/>
  </conditionalFormatting>
  <conditionalFormatting sqref="A4380">
    <cfRule type="duplicateValues" dxfId="4" priority="62"/>
  </conditionalFormatting>
  <conditionalFormatting sqref="A4381">
    <cfRule type="duplicateValues" dxfId="3" priority="61"/>
  </conditionalFormatting>
  <conditionalFormatting sqref="A4382">
    <cfRule type="duplicateValues" dxfId="2" priority="60"/>
  </conditionalFormatting>
  <conditionalFormatting sqref="A1:A4128">
    <cfRule type="duplicateValues" dxfId="1" priority="323"/>
  </conditionalFormatting>
  <conditionalFormatting sqref="A4383:A4385">
    <cfRule type="duplicateValues" dxfId="0" priority="59"/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A69"/>
  <sheetViews>
    <sheetView showGridLines="0" tabSelected="1" zoomScale="120" zoomScaleNormal="120" workbookViewId="0">
      <pane ySplit="1" topLeftCell="A80" activePane="bottomLeft" state="frozen"/>
      <selection pane="bottomLeft" activeCell="C1" sqref="C1:C1048576"/>
    </sheetView>
  </sheetViews>
  <sheetFormatPr baseColWidth="10" defaultColWidth="9.1640625" defaultRowHeight="13"/>
  <cols>
    <col min="1" max="1" width="8.5" style="4" customWidth="1"/>
    <col min="2" max="2" width="5.83203125" style="5" customWidth="1"/>
    <col min="3" max="4" width="16.6640625" style="5" customWidth="1"/>
    <col min="5" max="5" width="6.5" style="5" customWidth="1"/>
    <col min="6" max="6" width="11" style="7" customWidth="1"/>
    <col min="7" max="8" width="8.5" style="5" customWidth="1"/>
    <col min="9" max="9" width="7.6640625" style="5" customWidth="1"/>
    <col min="10" max="11" width="10" style="6" customWidth="1"/>
    <col min="12" max="12" width="12.83203125" style="5" customWidth="1"/>
    <col min="13" max="13" width="18.5" style="5" customWidth="1"/>
    <col min="14" max="16384" width="9.1640625" style="8"/>
  </cols>
  <sheetData>
    <row r="1" spans="1:27" s="1" customFormat="1" ht="14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5" t="s">
        <v>11</v>
      </c>
      <c r="M1" s="11" t="s">
        <v>12</v>
      </c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spans="1:27" s="2" customFormat="1" ht="14">
      <c r="A2" s="12" t="s">
        <v>14164</v>
      </c>
      <c r="B2" s="13" t="s">
        <v>14</v>
      </c>
      <c r="C2" s="13" t="s">
        <v>14165</v>
      </c>
      <c r="D2" s="13" t="s">
        <v>14166</v>
      </c>
      <c r="E2" s="13" t="s">
        <v>3509</v>
      </c>
      <c r="F2" s="14">
        <v>6670083</v>
      </c>
      <c r="G2" s="14">
        <v>0</v>
      </c>
      <c r="H2" s="14">
        <v>0</v>
      </c>
      <c r="I2" s="14">
        <v>0</v>
      </c>
      <c r="J2" s="14">
        <f t="shared" ref="J2:J47" si="0">IF(G2&gt;0,1,0)</f>
        <v>0</v>
      </c>
      <c r="K2" s="14">
        <f t="shared" ref="K2:K47" si="1">IF(H2&gt;0,1,0)</f>
        <v>0</v>
      </c>
      <c r="L2" s="17">
        <f t="shared" ref="L2:L47" si="2">IF(G2&gt;0,IF(H2&gt;0,1,0),0)</f>
        <v>0</v>
      </c>
      <c r="M2" s="14" t="s">
        <v>14167</v>
      </c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 spans="1:27" s="2" customFormat="1" ht="14">
      <c r="A3" s="12">
        <v>1954910</v>
      </c>
      <c r="B3" s="13" t="s">
        <v>14</v>
      </c>
      <c r="C3" s="13" t="s">
        <v>14168</v>
      </c>
      <c r="D3" s="13" t="s">
        <v>14169</v>
      </c>
      <c r="E3" s="13" t="s">
        <v>4049</v>
      </c>
      <c r="F3" s="14">
        <v>6666185</v>
      </c>
      <c r="G3" s="14">
        <v>1</v>
      </c>
      <c r="H3" s="14">
        <v>0</v>
      </c>
      <c r="I3" s="14">
        <v>1</v>
      </c>
      <c r="J3" s="14">
        <f t="shared" si="0"/>
        <v>1</v>
      </c>
      <c r="K3" s="14">
        <f t="shared" si="1"/>
        <v>0</v>
      </c>
      <c r="L3" s="17">
        <f t="shared" si="2"/>
        <v>0</v>
      </c>
      <c r="M3" s="14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 spans="1:27" s="2" customFormat="1" ht="14">
      <c r="A4" s="12">
        <v>1954950</v>
      </c>
      <c r="B4" s="13" t="s">
        <v>14</v>
      </c>
      <c r="C4" s="13" t="s">
        <v>14170</v>
      </c>
      <c r="D4" s="13" t="s">
        <v>14169</v>
      </c>
      <c r="E4" s="13" t="s">
        <v>3327</v>
      </c>
      <c r="F4" s="14">
        <v>6666486</v>
      </c>
      <c r="G4" s="14">
        <v>1</v>
      </c>
      <c r="H4" s="14">
        <v>0</v>
      </c>
      <c r="I4" s="14">
        <v>1</v>
      </c>
      <c r="J4" s="14">
        <f t="shared" si="0"/>
        <v>1</v>
      </c>
      <c r="K4" s="14">
        <f t="shared" si="1"/>
        <v>0</v>
      </c>
      <c r="L4" s="17">
        <f t="shared" si="2"/>
        <v>0</v>
      </c>
      <c r="M4" s="14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 spans="1:27" s="2" customFormat="1" ht="14">
      <c r="A5" s="12">
        <v>1956849</v>
      </c>
      <c r="B5" s="13" t="s">
        <v>14</v>
      </c>
      <c r="C5" s="13" t="s">
        <v>14171</v>
      </c>
      <c r="D5" s="13" t="s">
        <v>14169</v>
      </c>
      <c r="E5" s="13" t="s">
        <v>837</v>
      </c>
      <c r="F5" s="14">
        <v>6671837</v>
      </c>
      <c r="G5" s="14">
        <v>1</v>
      </c>
      <c r="H5" s="14">
        <v>1</v>
      </c>
      <c r="I5" s="14">
        <v>1</v>
      </c>
      <c r="J5" s="14">
        <f t="shared" si="0"/>
        <v>1</v>
      </c>
      <c r="K5" s="14">
        <f t="shared" si="1"/>
        <v>1</v>
      </c>
      <c r="L5" s="17">
        <f t="shared" si="2"/>
        <v>1</v>
      </c>
      <c r="M5" s="14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 spans="1:27" s="2" customFormat="1" ht="14">
      <c r="A6" s="12">
        <v>1957899</v>
      </c>
      <c r="B6" s="13" t="s">
        <v>14</v>
      </c>
      <c r="C6" s="13" t="s">
        <v>14172</v>
      </c>
      <c r="D6" s="13" t="s">
        <v>14169</v>
      </c>
      <c r="E6" s="13" t="s">
        <v>3635</v>
      </c>
      <c r="F6" s="14">
        <v>6663697</v>
      </c>
      <c r="G6" s="14">
        <v>1</v>
      </c>
      <c r="H6" s="14">
        <v>0</v>
      </c>
      <c r="I6" s="14">
        <v>1</v>
      </c>
      <c r="J6" s="14">
        <f t="shared" si="0"/>
        <v>1</v>
      </c>
      <c r="K6" s="14">
        <f t="shared" si="1"/>
        <v>0</v>
      </c>
      <c r="L6" s="17">
        <f t="shared" si="2"/>
        <v>0</v>
      </c>
      <c r="M6" s="14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 spans="1:27" s="2" customFormat="1" ht="14">
      <c r="A7" s="12">
        <v>1957977</v>
      </c>
      <c r="B7" s="13" t="s">
        <v>62</v>
      </c>
      <c r="C7" s="13" t="s">
        <v>14173</v>
      </c>
      <c r="D7" s="13" t="s">
        <v>14169</v>
      </c>
      <c r="E7" s="13" t="s">
        <v>3796</v>
      </c>
      <c r="F7" s="14">
        <v>6628340</v>
      </c>
      <c r="G7" s="14">
        <v>1</v>
      </c>
      <c r="H7" s="14">
        <v>0</v>
      </c>
      <c r="I7" s="14">
        <v>1</v>
      </c>
      <c r="J7" s="14">
        <f t="shared" si="0"/>
        <v>1</v>
      </c>
      <c r="K7" s="14">
        <f t="shared" si="1"/>
        <v>0</v>
      </c>
      <c r="L7" s="17">
        <f t="shared" si="2"/>
        <v>0</v>
      </c>
      <c r="M7" s="14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 spans="1:27" s="2" customFormat="1" ht="14">
      <c r="A8" s="12" t="s">
        <v>14174</v>
      </c>
      <c r="B8" s="13" t="s">
        <v>14</v>
      </c>
      <c r="C8" s="13" t="s">
        <v>14175</v>
      </c>
      <c r="D8" s="13" t="s">
        <v>14176</v>
      </c>
      <c r="E8" s="13" t="s">
        <v>3649</v>
      </c>
      <c r="F8" s="14">
        <v>6676253</v>
      </c>
      <c r="G8" s="14">
        <v>0</v>
      </c>
      <c r="H8" s="14">
        <v>0</v>
      </c>
      <c r="I8" s="14">
        <v>0</v>
      </c>
      <c r="J8" s="14">
        <f t="shared" si="0"/>
        <v>0</v>
      </c>
      <c r="K8" s="14">
        <f t="shared" si="1"/>
        <v>0</v>
      </c>
      <c r="L8" s="17">
        <f t="shared" si="2"/>
        <v>0</v>
      </c>
      <c r="M8" s="14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 spans="1:27" s="2" customFormat="1" ht="14">
      <c r="A9" s="12">
        <v>1957433</v>
      </c>
      <c r="B9" s="13" t="s">
        <v>14</v>
      </c>
      <c r="C9" s="13" t="s">
        <v>14177</v>
      </c>
      <c r="D9" s="13" t="s">
        <v>14178</v>
      </c>
      <c r="E9" s="13" t="s">
        <v>3576</v>
      </c>
      <c r="F9" s="14">
        <v>6672993</v>
      </c>
      <c r="G9" s="14">
        <v>1</v>
      </c>
      <c r="H9" s="14">
        <v>1</v>
      </c>
      <c r="I9" s="14">
        <v>1</v>
      </c>
      <c r="J9" s="14">
        <f t="shared" si="0"/>
        <v>1</v>
      </c>
      <c r="K9" s="14">
        <f t="shared" si="1"/>
        <v>1</v>
      </c>
      <c r="L9" s="17">
        <f t="shared" si="2"/>
        <v>1</v>
      </c>
      <c r="M9" s="14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 spans="1:27" s="2" customFormat="1" ht="14">
      <c r="A10" s="12">
        <v>1957765</v>
      </c>
      <c r="B10" s="13" t="s">
        <v>14</v>
      </c>
      <c r="C10" s="13" t="s">
        <v>14179</v>
      </c>
      <c r="D10" s="13" t="s">
        <v>14180</v>
      </c>
      <c r="E10" s="13" t="s">
        <v>4049</v>
      </c>
      <c r="F10" s="14">
        <v>6674356</v>
      </c>
      <c r="G10" s="14">
        <v>1</v>
      </c>
      <c r="H10" s="14">
        <v>1</v>
      </c>
      <c r="I10" s="14">
        <v>1</v>
      </c>
      <c r="J10" s="14">
        <f t="shared" si="0"/>
        <v>1</v>
      </c>
      <c r="K10" s="14">
        <f t="shared" si="1"/>
        <v>1</v>
      </c>
      <c r="L10" s="17">
        <f t="shared" si="2"/>
        <v>1</v>
      </c>
      <c r="M10" s="14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spans="1:27" s="2" customFormat="1" ht="14">
      <c r="A11" s="12">
        <v>1957962</v>
      </c>
      <c r="B11" s="13" t="s">
        <v>14</v>
      </c>
      <c r="C11" s="13" t="s">
        <v>14181</v>
      </c>
      <c r="D11" s="13" t="s">
        <v>14180</v>
      </c>
      <c r="E11" s="13" t="s">
        <v>1998</v>
      </c>
      <c r="F11" s="14">
        <v>6674355</v>
      </c>
      <c r="G11" s="14">
        <v>1</v>
      </c>
      <c r="H11" s="14">
        <v>1</v>
      </c>
      <c r="I11" s="14">
        <v>1</v>
      </c>
      <c r="J11" s="14">
        <f t="shared" si="0"/>
        <v>1</v>
      </c>
      <c r="K11" s="14">
        <f t="shared" si="1"/>
        <v>1</v>
      </c>
      <c r="L11" s="17">
        <f t="shared" si="2"/>
        <v>1</v>
      </c>
      <c r="M11" s="14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 spans="1:27" s="2" customFormat="1" ht="14">
      <c r="A12" s="12">
        <v>1956282</v>
      </c>
      <c r="B12" s="13" t="s">
        <v>62</v>
      </c>
      <c r="C12" s="13" t="s">
        <v>14182</v>
      </c>
      <c r="D12" s="13" t="s">
        <v>14183</v>
      </c>
      <c r="E12" s="13" t="s">
        <v>4453</v>
      </c>
      <c r="F12" s="14">
        <v>6670377</v>
      </c>
      <c r="G12" s="14">
        <v>1</v>
      </c>
      <c r="H12" s="14">
        <v>0</v>
      </c>
      <c r="I12" s="14">
        <v>1</v>
      </c>
      <c r="J12" s="14">
        <f t="shared" si="0"/>
        <v>1</v>
      </c>
      <c r="K12" s="14">
        <f t="shared" si="1"/>
        <v>0</v>
      </c>
      <c r="L12" s="17">
        <f t="shared" si="2"/>
        <v>0</v>
      </c>
      <c r="M12" s="14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spans="1:27" s="2" customFormat="1" ht="14">
      <c r="A13" s="12">
        <v>1958866</v>
      </c>
      <c r="B13" s="13" t="s">
        <v>14</v>
      </c>
      <c r="C13" s="13" t="s">
        <v>14184</v>
      </c>
      <c r="D13" s="13" t="s">
        <v>14183</v>
      </c>
      <c r="E13" s="13" t="s">
        <v>3632</v>
      </c>
      <c r="F13" s="14">
        <v>4728754</v>
      </c>
      <c r="G13" s="14">
        <v>1</v>
      </c>
      <c r="H13" s="14">
        <v>0</v>
      </c>
      <c r="I13" s="14">
        <v>1</v>
      </c>
      <c r="J13" s="14">
        <f t="shared" si="0"/>
        <v>1</v>
      </c>
      <c r="K13" s="14">
        <f t="shared" si="1"/>
        <v>0</v>
      </c>
      <c r="L13" s="17">
        <f t="shared" si="2"/>
        <v>0</v>
      </c>
      <c r="M13" s="14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spans="1:27" s="2" customFormat="1" ht="14">
      <c r="A14" s="12" t="s">
        <v>14185</v>
      </c>
      <c r="B14" s="13" t="s">
        <v>14</v>
      </c>
      <c r="C14" s="13" t="s">
        <v>14186</v>
      </c>
      <c r="D14" s="13" t="s">
        <v>14187</v>
      </c>
      <c r="E14" s="13" t="s">
        <v>3189</v>
      </c>
      <c r="F14" s="14">
        <v>6675771</v>
      </c>
      <c r="G14" s="14">
        <v>0</v>
      </c>
      <c r="H14" s="14">
        <v>0</v>
      </c>
      <c r="I14" s="14">
        <v>0</v>
      </c>
      <c r="J14" s="14">
        <f t="shared" si="0"/>
        <v>0</v>
      </c>
      <c r="K14" s="14">
        <f t="shared" si="1"/>
        <v>0</v>
      </c>
      <c r="L14" s="17">
        <f t="shared" si="2"/>
        <v>0</v>
      </c>
      <c r="M14" s="14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 spans="1:27" s="2" customFormat="1" ht="14">
      <c r="A15" s="12">
        <v>1959051</v>
      </c>
      <c r="B15" s="13" t="s">
        <v>62</v>
      </c>
      <c r="C15" s="13" t="s">
        <v>14188</v>
      </c>
      <c r="D15" s="13" t="s">
        <v>14189</v>
      </c>
      <c r="E15" s="13" t="s">
        <v>4747</v>
      </c>
      <c r="F15" s="14">
        <v>6676929</v>
      </c>
      <c r="G15" s="14">
        <v>0</v>
      </c>
      <c r="H15" s="14">
        <v>1</v>
      </c>
      <c r="I15" s="14">
        <v>1</v>
      </c>
      <c r="J15" s="14">
        <f t="shared" si="0"/>
        <v>0</v>
      </c>
      <c r="K15" s="14">
        <f t="shared" si="1"/>
        <v>1</v>
      </c>
      <c r="L15" s="17">
        <f t="shared" si="2"/>
        <v>0</v>
      </c>
      <c r="M15" s="14" t="s">
        <v>14190</v>
      </c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 spans="1:27" s="2" customFormat="1" ht="14">
      <c r="A16" s="12">
        <v>1959448</v>
      </c>
      <c r="B16" s="13" t="s">
        <v>14</v>
      </c>
      <c r="C16" s="13" t="s">
        <v>14191</v>
      </c>
      <c r="D16" s="13" t="s">
        <v>14189</v>
      </c>
      <c r="E16" s="13" t="s">
        <v>1839</v>
      </c>
      <c r="F16" s="14">
        <v>6539376</v>
      </c>
      <c r="G16" s="14">
        <v>1</v>
      </c>
      <c r="H16" s="14">
        <v>0</v>
      </c>
      <c r="I16" s="14">
        <v>1</v>
      </c>
      <c r="J16" s="14">
        <f t="shared" si="0"/>
        <v>1</v>
      </c>
      <c r="K16" s="14">
        <f t="shared" si="1"/>
        <v>0</v>
      </c>
      <c r="L16" s="17">
        <f t="shared" si="2"/>
        <v>0</v>
      </c>
      <c r="M16" s="14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 spans="1:27" s="2" customFormat="1" ht="14">
      <c r="A17" s="12" t="s">
        <v>14192</v>
      </c>
      <c r="B17" s="13" t="s">
        <v>14</v>
      </c>
      <c r="C17" s="13" t="s">
        <v>14193</v>
      </c>
      <c r="D17" s="13" t="s">
        <v>14194</v>
      </c>
      <c r="E17" s="13" t="s">
        <v>3796</v>
      </c>
      <c r="F17" s="14">
        <v>6678171</v>
      </c>
      <c r="G17" s="14">
        <v>0</v>
      </c>
      <c r="H17" s="14">
        <v>0</v>
      </c>
      <c r="I17" s="14">
        <v>0</v>
      </c>
      <c r="J17" s="14">
        <f t="shared" si="0"/>
        <v>0</v>
      </c>
      <c r="K17" s="14">
        <f t="shared" si="1"/>
        <v>0</v>
      </c>
      <c r="L17" s="17">
        <f t="shared" si="2"/>
        <v>0</v>
      </c>
      <c r="M17" s="14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 spans="1:27" s="2" customFormat="1" ht="14">
      <c r="A18" s="12" t="s">
        <v>14195</v>
      </c>
      <c r="B18" s="13" t="s">
        <v>14</v>
      </c>
      <c r="C18" s="13" t="s">
        <v>14196</v>
      </c>
      <c r="D18" s="13" t="s">
        <v>14194</v>
      </c>
      <c r="E18" s="13" t="s">
        <v>3189</v>
      </c>
      <c r="F18" s="14">
        <v>6677847</v>
      </c>
      <c r="G18" s="14">
        <v>0</v>
      </c>
      <c r="H18" s="14">
        <v>0</v>
      </c>
      <c r="I18" s="14">
        <v>0</v>
      </c>
      <c r="J18" s="14">
        <f t="shared" si="0"/>
        <v>0</v>
      </c>
      <c r="K18" s="14">
        <f t="shared" si="1"/>
        <v>0</v>
      </c>
      <c r="L18" s="17">
        <f t="shared" si="2"/>
        <v>0</v>
      </c>
      <c r="M18" s="14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 spans="1:27" s="2" customFormat="1" ht="14">
      <c r="A19" s="12" t="s">
        <v>14197</v>
      </c>
      <c r="B19" s="13" t="s">
        <v>14</v>
      </c>
      <c r="C19" s="13" t="s">
        <v>14198</v>
      </c>
      <c r="D19" s="13" t="s">
        <v>14199</v>
      </c>
      <c r="E19" s="13" t="s">
        <v>3948</v>
      </c>
      <c r="F19" s="14">
        <v>6680306</v>
      </c>
      <c r="G19" s="14">
        <v>0</v>
      </c>
      <c r="H19" s="14">
        <v>0</v>
      </c>
      <c r="I19" s="14">
        <v>0</v>
      </c>
      <c r="J19" s="14">
        <f t="shared" si="0"/>
        <v>0</v>
      </c>
      <c r="K19" s="14">
        <f t="shared" si="1"/>
        <v>0</v>
      </c>
      <c r="L19" s="17">
        <f t="shared" si="2"/>
        <v>0</v>
      </c>
      <c r="M19" s="14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 spans="1:27" s="2" customFormat="1" ht="14">
      <c r="A20" s="12">
        <v>1960192</v>
      </c>
      <c r="B20" s="13" t="s">
        <v>14</v>
      </c>
      <c r="C20" s="13" t="s">
        <v>14200</v>
      </c>
      <c r="D20" s="13" t="s">
        <v>14199</v>
      </c>
      <c r="E20" s="13" t="s">
        <v>1573</v>
      </c>
      <c r="F20" s="14">
        <v>6679622</v>
      </c>
      <c r="G20" s="14">
        <v>1</v>
      </c>
      <c r="H20" s="14">
        <v>0</v>
      </c>
      <c r="I20" s="14">
        <v>1</v>
      </c>
      <c r="J20" s="14">
        <f t="shared" si="0"/>
        <v>1</v>
      </c>
      <c r="K20" s="14">
        <f t="shared" si="1"/>
        <v>0</v>
      </c>
      <c r="L20" s="17">
        <f t="shared" si="2"/>
        <v>0</v>
      </c>
      <c r="M20" s="14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spans="1:27" s="2" customFormat="1" ht="14">
      <c r="A21" s="12">
        <v>1960616</v>
      </c>
      <c r="B21" s="13" t="s">
        <v>14</v>
      </c>
      <c r="C21" s="13" t="s">
        <v>14201</v>
      </c>
      <c r="D21" s="13" t="s">
        <v>14202</v>
      </c>
      <c r="E21" s="13" t="s">
        <v>3632</v>
      </c>
      <c r="F21" s="14">
        <v>6680812</v>
      </c>
      <c r="G21" s="14">
        <v>1</v>
      </c>
      <c r="H21" s="14">
        <v>0</v>
      </c>
      <c r="I21" s="14">
        <v>1</v>
      </c>
      <c r="J21" s="14">
        <f t="shared" si="0"/>
        <v>1</v>
      </c>
      <c r="K21" s="14">
        <f t="shared" si="1"/>
        <v>0</v>
      </c>
      <c r="L21" s="17">
        <f t="shared" si="2"/>
        <v>0</v>
      </c>
      <c r="M21" s="14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spans="1:27" s="2" customFormat="1" ht="14">
      <c r="A22" s="12">
        <v>1958803</v>
      </c>
      <c r="B22" s="13" t="s">
        <v>14</v>
      </c>
      <c r="C22" s="13" t="s">
        <v>14203</v>
      </c>
      <c r="D22" s="13" t="s">
        <v>14204</v>
      </c>
      <c r="E22" s="13" t="s">
        <v>3682</v>
      </c>
      <c r="F22" s="14">
        <v>6676543</v>
      </c>
      <c r="G22" s="14">
        <v>1</v>
      </c>
      <c r="H22" s="14">
        <v>1</v>
      </c>
      <c r="I22" s="14">
        <v>1</v>
      </c>
      <c r="J22" s="14">
        <f t="shared" si="0"/>
        <v>1</v>
      </c>
      <c r="K22" s="14">
        <f t="shared" si="1"/>
        <v>1</v>
      </c>
      <c r="L22" s="17">
        <f t="shared" si="2"/>
        <v>1</v>
      </c>
      <c r="M22" s="14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spans="1:27" s="2" customFormat="1" ht="14">
      <c r="A23" s="12">
        <v>1958842</v>
      </c>
      <c r="B23" s="13" t="s">
        <v>14</v>
      </c>
      <c r="C23" s="13" t="s">
        <v>14205</v>
      </c>
      <c r="D23" s="13" t="s">
        <v>14204</v>
      </c>
      <c r="E23" s="13" t="s">
        <v>1579</v>
      </c>
      <c r="F23" s="14">
        <v>6645538</v>
      </c>
      <c r="G23" s="14">
        <v>1</v>
      </c>
      <c r="H23" s="14">
        <v>1</v>
      </c>
      <c r="I23" s="14">
        <v>1</v>
      </c>
      <c r="J23" s="14">
        <f t="shared" si="0"/>
        <v>1</v>
      </c>
      <c r="K23" s="14">
        <f t="shared" si="1"/>
        <v>1</v>
      </c>
      <c r="L23" s="17">
        <f t="shared" si="2"/>
        <v>1</v>
      </c>
      <c r="M23" s="14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spans="1:27" s="2" customFormat="1" ht="14">
      <c r="A24" s="12">
        <v>1959202</v>
      </c>
      <c r="B24" s="13" t="s">
        <v>14</v>
      </c>
      <c r="C24" s="13" t="s">
        <v>14206</v>
      </c>
      <c r="D24" s="13" t="s">
        <v>14207</v>
      </c>
      <c r="E24" s="13" t="s">
        <v>3533</v>
      </c>
      <c r="F24" s="14">
        <v>6631197</v>
      </c>
      <c r="G24" s="14">
        <v>1</v>
      </c>
      <c r="H24" s="14">
        <v>1</v>
      </c>
      <c r="I24" s="14">
        <v>1</v>
      </c>
      <c r="J24" s="14">
        <f t="shared" si="0"/>
        <v>1</v>
      </c>
      <c r="K24" s="14">
        <f t="shared" si="1"/>
        <v>1</v>
      </c>
      <c r="L24" s="17">
        <f t="shared" si="2"/>
        <v>1</v>
      </c>
      <c r="M24" s="14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spans="1:27" s="2" customFormat="1" ht="14">
      <c r="A25" s="12" t="s">
        <v>14208</v>
      </c>
      <c r="B25" s="13" t="s">
        <v>62</v>
      </c>
      <c r="C25" s="13" t="s">
        <v>14209</v>
      </c>
      <c r="D25" s="13" t="s">
        <v>14207</v>
      </c>
      <c r="E25" s="13" t="s">
        <v>3816</v>
      </c>
      <c r="F25" s="14">
        <v>6680366</v>
      </c>
      <c r="G25" s="14">
        <v>0</v>
      </c>
      <c r="H25" s="14">
        <v>0</v>
      </c>
      <c r="I25" s="14">
        <v>0</v>
      </c>
      <c r="J25" s="14">
        <f t="shared" si="0"/>
        <v>0</v>
      </c>
      <c r="K25" s="14">
        <f t="shared" si="1"/>
        <v>0</v>
      </c>
      <c r="L25" s="17">
        <f t="shared" si="2"/>
        <v>0</v>
      </c>
      <c r="M25" s="18" t="s">
        <v>14210</v>
      </c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spans="1:27" s="2" customFormat="1" ht="14">
      <c r="A26" s="12" t="s">
        <v>14211</v>
      </c>
      <c r="B26" s="13" t="s">
        <v>14</v>
      </c>
      <c r="C26" s="13" t="s">
        <v>14212</v>
      </c>
      <c r="D26" s="13" t="s">
        <v>14213</v>
      </c>
      <c r="E26" s="13" t="s">
        <v>1573</v>
      </c>
      <c r="F26" s="14">
        <v>6656795</v>
      </c>
      <c r="G26" s="14">
        <v>0</v>
      </c>
      <c r="H26" s="14">
        <v>0</v>
      </c>
      <c r="I26" s="14">
        <v>0</v>
      </c>
      <c r="J26" s="14">
        <f t="shared" si="0"/>
        <v>0</v>
      </c>
      <c r="K26" s="14">
        <f t="shared" si="1"/>
        <v>0</v>
      </c>
      <c r="L26" s="17">
        <f t="shared" si="2"/>
        <v>0</v>
      </c>
      <c r="M26" s="14" t="s">
        <v>14214</v>
      </c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spans="1:27" s="2" customFormat="1" ht="14">
      <c r="A27" s="12">
        <v>1956732</v>
      </c>
      <c r="B27" s="13" t="s">
        <v>14</v>
      </c>
      <c r="C27" s="13" t="s">
        <v>14215</v>
      </c>
      <c r="D27" s="13" t="s">
        <v>14213</v>
      </c>
      <c r="E27" s="13" t="s">
        <v>14216</v>
      </c>
      <c r="F27" s="14">
        <v>5103121</v>
      </c>
      <c r="G27" s="14">
        <v>1</v>
      </c>
      <c r="H27" s="14">
        <v>0</v>
      </c>
      <c r="I27" s="14">
        <v>1</v>
      </c>
      <c r="J27" s="14">
        <f t="shared" si="0"/>
        <v>1</v>
      </c>
      <c r="K27" s="14">
        <f t="shared" si="1"/>
        <v>0</v>
      </c>
      <c r="L27" s="17">
        <f t="shared" si="2"/>
        <v>0</v>
      </c>
      <c r="M27" s="14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spans="1:27" s="2" customFormat="1" ht="14">
      <c r="A28" s="12">
        <v>1960340</v>
      </c>
      <c r="B28" s="13" t="s">
        <v>62</v>
      </c>
      <c r="C28" s="13" t="s">
        <v>14217</v>
      </c>
      <c r="D28" s="13" t="s">
        <v>14213</v>
      </c>
      <c r="E28" s="13" t="s">
        <v>3816</v>
      </c>
      <c r="F28" s="14">
        <v>6674422</v>
      </c>
      <c r="G28" s="14">
        <v>1</v>
      </c>
      <c r="H28" s="14">
        <v>1</v>
      </c>
      <c r="I28" s="14">
        <v>1</v>
      </c>
      <c r="J28" s="14">
        <f t="shared" si="0"/>
        <v>1</v>
      </c>
      <c r="K28" s="14">
        <f t="shared" si="1"/>
        <v>1</v>
      </c>
      <c r="L28" s="17">
        <f t="shared" si="2"/>
        <v>1</v>
      </c>
      <c r="M28" s="14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spans="1:27" s="2" customFormat="1" ht="14">
      <c r="A29" s="12">
        <v>1960403</v>
      </c>
      <c r="B29" s="13" t="s">
        <v>14</v>
      </c>
      <c r="C29" s="13" t="s">
        <v>14218</v>
      </c>
      <c r="D29" s="13" t="s">
        <v>14213</v>
      </c>
      <c r="E29" s="13" t="s">
        <v>4747</v>
      </c>
      <c r="F29" s="14">
        <v>6680397</v>
      </c>
      <c r="G29" s="14">
        <v>1</v>
      </c>
      <c r="H29" s="14">
        <v>0</v>
      </c>
      <c r="I29" s="14">
        <v>1</v>
      </c>
      <c r="J29" s="14">
        <f t="shared" si="0"/>
        <v>1</v>
      </c>
      <c r="K29" s="14">
        <f t="shared" si="1"/>
        <v>0</v>
      </c>
      <c r="L29" s="17">
        <f t="shared" si="2"/>
        <v>0</v>
      </c>
      <c r="M29" s="14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spans="1:27" s="2" customFormat="1" ht="14">
      <c r="A30" s="12">
        <v>1960499</v>
      </c>
      <c r="B30" s="13" t="s">
        <v>14</v>
      </c>
      <c r="C30" s="13" t="s">
        <v>14219</v>
      </c>
      <c r="D30" s="13" t="s">
        <v>14213</v>
      </c>
      <c r="E30" s="13" t="s">
        <v>3872</v>
      </c>
      <c r="F30" s="14">
        <v>6676114</v>
      </c>
      <c r="G30" s="14">
        <v>1</v>
      </c>
      <c r="H30" s="14">
        <v>1</v>
      </c>
      <c r="I30" s="14">
        <v>1</v>
      </c>
      <c r="J30" s="14">
        <f t="shared" si="0"/>
        <v>1</v>
      </c>
      <c r="K30" s="14">
        <f t="shared" si="1"/>
        <v>1</v>
      </c>
      <c r="L30" s="17">
        <f t="shared" si="2"/>
        <v>1</v>
      </c>
      <c r="M30" s="14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spans="1:27" s="2" customFormat="1" ht="14">
      <c r="A31" s="12">
        <v>1960506</v>
      </c>
      <c r="B31" s="13" t="s">
        <v>14</v>
      </c>
      <c r="C31" s="13" t="s">
        <v>14220</v>
      </c>
      <c r="D31" s="13" t="s">
        <v>14213</v>
      </c>
      <c r="E31" s="13" t="s">
        <v>3324</v>
      </c>
      <c r="F31" s="14">
        <v>6680606</v>
      </c>
      <c r="G31" s="14">
        <v>1</v>
      </c>
      <c r="H31" s="14">
        <v>0</v>
      </c>
      <c r="I31" s="14">
        <v>1</v>
      </c>
      <c r="J31" s="14">
        <f t="shared" si="0"/>
        <v>1</v>
      </c>
      <c r="K31" s="14">
        <f t="shared" si="1"/>
        <v>0</v>
      </c>
      <c r="L31" s="17">
        <f t="shared" si="2"/>
        <v>0</v>
      </c>
      <c r="M31" s="14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spans="1:27" s="2" customFormat="1" ht="14">
      <c r="A32" s="12">
        <v>1960642</v>
      </c>
      <c r="B32" s="13" t="s">
        <v>14</v>
      </c>
      <c r="C32" s="13" t="s">
        <v>14221</v>
      </c>
      <c r="D32" s="13" t="s">
        <v>14213</v>
      </c>
      <c r="E32" s="13" t="s">
        <v>3703</v>
      </c>
      <c r="F32" s="14">
        <v>6680847</v>
      </c>
      <c r="G32" s="14">
        <v>1</v>
      </c>
      <c r="H32" s="14">
        <v>1</v>
      </c>
      <c r="I32" s="14">
        <v>1</v>
      </c>
      <c r="J32" s="14">
        <f t="shared" si="0"/>
        <v>1</v>
      </c>
      <c r="K32" s="14">
        <f t="shared" si="1"/>
        <v>1</v>
      </c>
      <c r="L32" s="17">
        <f t="shared" si="2"/>
        <v>1</v>
      </c>
      <c r="M32" s="14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 spans="1:27" s="2" customFormat="1" ht="14">
      <c r="A33" s="12" t="s">
        <v>14222</v>
      </c>
      <c r="B33" s="13" t="s">
        <v>14</v>
      </c>
      <c r="C33" s="13" t="s">
        <v>14223</v>
      </c>
      <c r="D33" s="13" t="s">
        <v>14213</v>
      </c>
      <c r="E33" s="13" t="s">
        <v>3632</v>
      </c>
      <c r="F33" s="14">
        <v>6682761</v>
      </c>
      <c r="G33" s="14">
        <v>0</v>
      </c>
      <c r="H33" s="14">
        <v>0</v>
      </c>
      <c r="I33" s="14">
        <v>0</v>
      </c>
      <c r="J33" s="14">
        <f t="shared" si="0"/>
        <v>0</v>
      </c>
      <c r="K33" s="14">
        <f t="shared" si="1"/>
        <v>0</v>
      </c>
      <c r="L33" s="17">
        <f t="shared" si="2"/>
        <v>0</v>
      </c>
      <c r="M33" s="14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 spans="1:27" s="2" customFormat="1" ht="14">
      <c r="A34" s="12" t="s">
        <v>14224</v>
      </c>
      <c r="B34" s="13" t="s">
        <v>14</v>
      </c>
      <c r="C34" s="13" t="s">
        <v>14225</v>
      </c>
      <c r="D34" s="13" t="s">
        <v>14213</v>
      </c>
      <c r="E34" s="13" t="s">
        <v>1573</v>
      </c>
      <c r="F34" s="14">
        <v>6682254</v>
      </c>
      <c r="G34" s="14">
        <v>0</v>
      </c>
      <c r="H34" s="14">
        <v>0</v>
      </c>
      <c r="I34" s="14">
        <v>0</v>
      </c>
      <c r="J34" s="14">
        <f t="shared" si="0"/>
        <v>0</v>
      </c>
      <c r="K34" s="14">
        <f t="shared" si="1"/>
        <v>0</v>
      </c>
      <c r="L34" s="17">
        <f t="shared" si="2"/>
        <v>0</v>
      </c>
      <c r="M34" s="14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 spans="1:27" s="2" customFormat="1" ht="14">
      <c r="A35" s="12" t="s">
        <v>14226</v>
      </c>
      <c r="B35" s="13" t="s">
        <v>62</v>
      </c>
      <c r="C35" s="13" t="s">
        <v>14227</v>
      </c>
      <c r="D35" s="13" t="s">
        <v>14228</v>
      </c>
      <c r="E35" s="13" t="s">
        <v>3465</v>
      </c>
      <c r="F35" s="14">
        <v>5597271</v>
      </c>
      <c r="G35" s="14">
        <v>0</v>
      </c>
      <c r="H35" s="14">
        <v>0</v>
      </c>
      <c r="I35" s="14">
        <v>0</v>
      </c>
      <c r="J35" s="14">
        <f t="shared" si="0"/>
        <v>0</v>
      </c>
      <c r="K35" s="14">
        <f t="shared" si="1"/>
        <v>0</v>
      </c>
      <c r="L35" s="17">
        <f t="shared" si="2"/>
        <v>0</v>
      </c>
      <c r="M35" s="14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 spans="1:27" s="2" customFormat="1" ht="14">
      <c r="A36" s="12">
        <v>1961376</v>
      </c>
      <c r="B36" s="13" t="s">
        <v>14</v>
      </c>
      <c r="C36" s="13" t="s">
        <v>14229</v>
      </c>
      <c r="D36" s="13" t="s">
        <v>14230</v>
      </c>
      <c r="E36" s="13" t="s">
        <v>3682</v>
      </c>
      <c r="F36" s="14">
        <v>6682949</v>
      </c>
      <c r="G36" s="14">
        <v>1</v>
      </c>
      <c r="H36" s="14">
        <v>1</v>
      </c>
      <c r="I36" s="14">
        <v>1</v>
      </c>
      <c r="J36" s="14">
        <f t="shared" si="0"/>
        <v>1</v>
      </c>
      <c r="K36" s="14">
        <f t="shared" si="1"/>
        <v>1</v>
      </c>
      <c r="L36" s="17">
        <f t="shared" si="2"/>
        <v>1</v>
      </c>
      <c r="M36" s="14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 spans="1:27" s="2" customFormat="1" ht="14">
      <c r="A37" s="12">
        <v>1961357</v>
      </c>
      <c r="B37" s="13" t="s">
        <v>14</v>
      </c>
      <c r="C37" s="13" t="s">
        <v>14231</v>
      </c>
      <c r="D37" s="13" t="s">
        <v>14232</v>
      </c>
      <c r="E37" s="13" t="s">
        <v>3402</v>
      </c>
      <c r="F37" s="14">
        <v>6683265</v>
      </c>
      <c r="G37" s="14">
        <v>1</v>
      </c>
      <c r="H37" s="14">
        <v>0</v>
      </c>
      <c r="I37" s="14">
        <v>1</v>
      </c>
      <c r="J37" s="14">
        <f t="shared" si="0"/>
        <v>1</v>
      </c>
      <c r="K37" s="14">
        <f t="shared" si="1"/>
        <v>0</v>
      </c>
      <c r="L37" s="17">
        <f t="shared" si="2"/>
        <v>0</v>
      </c>
      <c r="M37" s="14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 spans="1:27" s="2" customFormat="1" ht="14">
      <c r="A38" s="12" t="s">
        <v>14233</v>
      </c>
      <c r="B38" s="13" t="s">
        <v>14</v>
      </c>
      <c r="C38" s="13" t="s">
        <v>14234</v>
      </c>
      <c r="D38" s="13" t="s">
        <v>14232</v>
      </c>
      <c r="E38" s="13" t="s">
        <v>3530</v>
      </c>
      <c r="F38" s="14"/>
      <c r="G38" s="14">
        <v>0</v>
      </c>
      <c r="H38" s="14">
        <v>0</v>
      </c>
      <c r="I38" s="14">
        <v>0</v>
      </c>
      <c r="J38" s="14">
        <f t="shared" si="0"/>
        <v>0</v>
      </c>
      <c r="K38" s="14">
        <f t="shared" si="1"/>
        <v>0</v>
      </c>
      <c r="L38" s="17">
        <f t="shared" si="2"/>
        <v>0</v>
      </c>
      <c r="M38" s="14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spans="1:27" s="2" customFormat="1" ht="14">
      <c r="A39" s="12" t="s">
        <v>14235</v>
      </c>
      <c r="B39" s="13" t="s">
        <v>14</v>
      </c>
      <c r="C39" s="13" t="s">
        <v>14236</v>
      </c>
      <c r="D39" s="13" t="s">
        <v>14232</v>
      </c>
      <c r="E39" s="13" t="s">
        <v>3512</v>
      </c>
      <c r="F39" s="14">
        <v>6683264</v>
      </c>
      <c r="G39" s="14">
        <v>0</v>
      </c>
      <c r="H39" s="14">
        <v>0</v>
      </c>
      <c r="I39" s="14">
        <v>0</v>
      </c>
      <c r="J39" s="14">
        <f t="shared" si="0"/>
        <v>0</v>
      </c>
      <c r="K39" s="14">
        <f t="shared" si="1"/>
        <v>0</v>
      </c>
      <c r="L39" s="17">
        <f t="shared" si="2"/>
        <v>0</v>
      </c>
      <c r="M39" s="14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spans="1:27" s="2" customFormat="1" ht="14">
      <c r="A40" s="12" t="s">
        <v>14237</v>
      </c>
      <c r="B40" s="13" t="s">
        <v>62</v>
      </c>
      <c r="C40" s="13" t="s">
        <v>14238</v>
      </c>
      <c r="D40" s="13" t="s">
        <v>14232</v>
      </c>
      <c r="E40" s="13" t="s">
        <v>3843</v>
      </c>
      <c r="F40" s="14">
        <v>6683936</v>
      </c>
      <c r="G40" s="14">
        <v>0</v>
      </c>
      <c r="H40" s="14">
        <v>0</v>
      </c>
      <c r="I40" s="14">
        <v>0</v>
      </c>
      <c r="J40" s="14">
        <f t="shared" si="0"/>
        <v>0</v>
      </c>
      <c r="K40" s="14">
        <f t="shared" si="1"/>
        <v>0</v>
      </c>
      <c r="L40" s="17">
        <f t="shared" si="2"/>
        <v>0</v>
      </c>
      <c r="M40" s="14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 spans="1:27" s="2" customFormat="1" ht="14">
      <c r="A41" s="12" t="s">
        <v>14239</v>
      </c>
      <c r="B41" s="13" t="s">
        <v>62</v>
      </c>
      <c r="C41" s="13" t="s">
        <v>14240</v>
      </c>
      <c r="D41" s="13" t="s">
        <v>14232</v>
      </c>
      <c r="E41" s="13" t="s">
        <v>3843</v>
      </c>
      <c r="F41" s="14">
        <v>6683932</v>
      </c>
      <c r="G41" s="14">
        <v>0</v>
      </c>
      <c r="H41" s="14">
        <v>0</v>
      </c>
      <c r="I41" s="14">
        <v>0</v>
      </c>
      <c r="J41" s="14">
        <f t="shared" si="0"/>
        <v>0</v>
      </c>
      <c r="K41" s="14">
        <f t="shared" si="1"/>
        <v>0</v>
      </c>
      <c r="L41" s="17">
        <f t="shared" si="2"/>
        <v>0</v>
      </c>
      <c r="M41" s="14" t="s">
        <v>14241</v>
      </c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 spans="1:27" s="2" customFormat="1" ht="14">
      <c r="A42" s="12" t="s">
        <v>14242</v>
      </c>
      <c r="B42" s="13" t="s">
        <v>14</v>
      </c>
      <c r="C42" s="13" t="s">
        <v>14243</v>
      </c>
      <c r="D42" s="13" t="s">
        <v>14232</v>
      </c>
      <c r="E42" s="13" t="s">
        <v>3530</v>
      </c>
      <c r="F42" s="14">
        <v>6684160</v>
      </c>
      <c r="G42" s="14">
        <v>0</v>
      </c>
      <c r="H42" s="14">
        <v>0</v>
      </c>
      <c r="I42" s="14">
        <v>0</v>
      </c>
      <c r="J42" s="14">
        <f t="shared" si="0"/>
        <v>0</v>
      </c>
      <c r="K42" s="14">
        <f t="shared" si="1"/>
        <v>0</v>
      </c>
      <c r="L42" s="17">
        <f t="shared" si="2"/>
        <v>0</v>
      </c>
      <c r="M42" s="14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 spans="1:27" s="2" customFormat="1" ht="14">
      <c r="A43" s="12">
        <v>1962508</v>
      </c>
      <c r="B43" s="13" t="s">
        <v>14</v>
      </c>
      <c r="C43" s="13" t="s">
        <v>14244</v>
      </c>
      <c r="D43" s="13" t="s">
        <v>14245</v>
      </c>
      <c r="E43" s="13" t="s">
        <v>3327</v>
      </c>
      <c r="F43" s="14">
        <v>5526934</v>
      </c>
      <c r="G43" s="14">
        <v>1</v>
      </c>
      <c r="H43" s="14">
        <v>0</v>
      </c>
      <c r="I43" s="14">
        <v>1</v>
      </c>
      <c r="J43" s="14">
        <f t="shared" si="0"/>
        <v>1</v>
      </c>
      <c r="K43" s="14">
        <f t="shared" si="1"/>
        <v>0</v>
      </c>
      <c r="L43" s="17">
        <f t="shared" si="2"/>
        <v>0</v>
      </c>
      <c r="M43" s="14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 spans="1:27" s="2" customFormat="1" ht="14">
      <c r="A44" s="12">
        <v>1962579</v>
      </c>
      <c r="B44" s="13" t="s">
        <v>62</v>
      </c>
      <c r="C44" s="13" t="s">
        <v>14246</v>
      </c>
      <c r="D44" s="13" t="s">
        <v>14245</v>
      </c>
      <c r="E44" s="13" t="s">
        <v>3986</v>
      </c>
      <c r="F44" s="14">
        <v>6329856</v>
      </c>
      <c r="G44" s="14">
        <v>1</v>
      </c>
      <c r="H44" s="14">
        <v>0</v>
      </c>
      <c r="I44" s="14">
        <v>1</v>
      </c>
      <c r="J44" s="14">
        <f t="shared" si="0"/>
        <v>1</v>
      </c>
      <c r="K44" s="14">
        <f t="shared" si="1"/>
        <v>0</v>
      </c>
      <c r="L44" s="17">
        <f t="shared" si="2"/>
        <v>0</v>
      </c>
      <c r="M44" s="14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 spans="1:27" s="2" customFormat="1" ht="14">
      <c r="A45" s="12">
        <v>1963178</v>
      </c>
      <c r="B45" s="13" t="s">
        <v>62</v>
      </c>
      <c r="C45" s="13" t="s">
        <v>14247</v>
      </c>
      <c r="D45" s="13" t="s">
        <v>14245</v>
      </c>
      <c r="E45" s="13" t="s">
        <v>4261</v>
      </c>
      <c r="F45" s="14">
        <v>6675873</v>
      </c>
      <c r="G45" s="14">
        <v>1</v>
      </c>
      <c r="H45" s="14">
        <v>0</v>
      </c>
      <c r="I45" s="14">
        <v>1</v>
      </c>
      <c r="J45" s="14">
        <f t="shared" si="0"/>
        <v>1</v>
      </c>
      <c r="K45" s="14">
        <f t="shared" si="1"/>
        <v>0</v>
      </c>
      <c r="L45" s="17">
        <f t="shared" si="2"/>
        <v>0</v>
      </c>
      <c r="M45" s="14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 spans="1:27" s="2" customFormat="1" ht="14">
      <c r="A46" s="12">
        <v>1962253</v>
      </c>
      <c r="B46" s="13" t="s">
        <v>14</v>
      </c>
      <c r="C46" s="13" t="s">
        <v>14248</v>
      </c>
      <c r="D46" s="13" t="s">
        <v>14249</v>
      </c>
      <c r="E46" s="13" t="s">
        <v>3649</v>
      </c>
      <c r="F46" s="14">
        <v>6632665</v>
      </c>
      <c r="G46" s="14">
        <v>1</v>
      </c>
      <c r="H46" s="14">
        <v>1</v>
      </c>
      <c r="I46" s="14">
        <v>1</v>
      </c>
      <c r="J46" s="14">
        <f t="shared" si="0"/>
        <v>1</v>
      </c>
      <c r="K46" s="14">
        <f t="shared" si="1"/>
        <v>1</v>
      </c>
      <c r="L46" s="17">
        <f t="shared" si="2"/>
        <v>1</v>
      </c>
      <c r="M46" s="14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 spans="1:27" s="2" customFormat="1" ht="14">
      <c r="A47" s="12">
        <v>1962521</v>
      </c>
      <c r="B47" s="13" t="s">
        <v>14</v>
      </c>
      <c r="C47" s="13" t="s">
        <v>14250</v>
      </c>
      <c r="D47" s="13" t="s">
        <v>14249</v>
      </c>
      <c r="E47" s="13" t="s">
        <v>3576</v>
      </c>
      <c r="F47" s="14">
        <v>6577999</v>
      </c>
      <c r="G47" s="14">
        <v>1</v>
      </c>
      <c r="H47" s="14">
        <v>0</v>
      </c>
      <c r="I47" s="14">
        <v>1</v>
      </c>
      <c r="J47" s="14">
        <f t="shared" si="0"/>
        <v>1</v>
      </c>
      <c r="K47" s="14">
        <f t="shared" si="1"/>
        <v>0</v>
      </c>
      <c r="L47" s="17">
        <f t="shared" si="2"/>
        <v>0</v>
      </c>
      <c r="M47" s="14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 spans="1:27" s="3" customFormat="1" ht="14.25" customHeight="1">
      <c r="A48" s="12">
        <v>1962535</v>
      </c>
      <c r="B48" s="13" t="s">
        <v>14251</v>
      </c>
      <c r="C48" s="13" t="s">
        <v>14252</v>
      </c>
      <c r="D48" s="13" t="s">
        <v>14253</v>
      </c>
      <c r="E48" s="13" t="s">
        <v>14254</v>
      </c>
      <c r="F48" s="14">
        <v>4981437</v>
      </c>
      <c r="G48" s="14">
        <v>1</v>
      </c>
      <c r="H48" s="14">
        <v>0</v>
      </c>
      <c r="I48" s="14">
        <v>1</v>
      </c>
      <c r="J48" s="14">
        <f t="shared" ref="J48:J54" si="3">IF(G48&gt;0,1,0)</f>
        <v>1</v>
      </c>
      <c r="K48" s="14">
        <f t="shared" ref="K48:K54" si="4">IF(H48&gt;0,1,0)</f>
        <v>0</v>
      </c>
      <c r="L48" s="17">
        <f t="shared" ref="L48:L54" si="5">IF(G48&gt;0,IF(H48&gt;0,1,0),0)</f>
        <v>0</v>
      </c>
      <c r="M48" s="14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</row>
    <row r="49" spans="1:27" s="3" customFormat="1" ht="14.25" customHeight="1">
      <c r="A49" s="12">
        <v>1962538</v>
      </c>
      <c r="B49" s="13" t="s">
        <v>14251</v>
      </c>
      <c r="C49" s="13" t="s">
        <v>14255</v>
      </c>
      <c r="D49" s="13" t="s">
        <v>14253</v>
      </c>
      <c r="E49" s="13" t="s">
        <v>14256</v>
      </c>
      <c r="F49" s="14">
        <v>6685866</v>
      </c>
      <c r="G49" s="14">
        <v>1</v>
      </c>
      <c r="H49" s="14">
        <v>0</v>
      </c>
      <c r="I49" s="14">
        <v>1</v>
      </c>
      <c r="J49" s="14">
        <f t="shared" si="3"/>
        <v>1</v>
      </c>
      <c r="K49" s="14">
        <f t="shared" si="4"/>
        <v>0</v>
      </c>
      <c r="L49" s="17">
        <f t="shared" si="5"/>
        <v>0</v>
      </c>
      <c r="M49" s="14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</row>
    <row r="50" spans="1:27" s="3" customFormat="1" ht="14.25" customHeight="1">
      <c r="A50" s="12">
        <v>1962572</v>
      </c>
      <c r="B50" s="13" t="s">
        <v>14257</v>
      </c>
      <c r="C50" s="13" t="s">
        <v>14258</v>
      </c>
      <c r="D50" s="13" t="s">
        <v>14253</v>
      </c>
      <c r="E50" s="13" t="s">
        <v>14259</v>
      </c>
      <c r="F50" s="14">
        <v>6645403</v>
      </c>
      <c r="G50" s="14">
        <v>1</v>
      </c>
      <c r="H50" s="14">
        <v>1</v>
      </c>
      <c r="I50" s="14">
        <v>1</v>
      </c>
      <c r="J50" s="14">
        <f t="shared" si="3"/>
        <v>1</v>
      </c>
      <c r="K50" s="14">
        <f t="shared" si="4"/>
        <v>1</v>
      </c>
      <c r="L50" s="17">
        <f t="shared" si="5"/>
        <v>1</v>
      </c>
      <c r="M50" s="14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</row>
    <row r="51" spans="1:27" s="3" customFormat="1" ht="14.25" customHeight="1">
      <c r="A51" s="12">
        <v>1963252</v>
      </c>
      <c r="B51" s="13" t="s">
        <v>14251</v>
      </c>
      <c r="C51" s="13" t="s">
        <v>14260</v>
      </c>
      <c r="D51" s="13" t="s">
        <v>14261</v>
      </c>
      <c r="E51" s="13" t="s">
        <v>14262</v>
      </c>
      <c r="F51" s="14">
        <v>6687235</v>
      </c>
      <c r="G51" s="14">
        <v>1</v>
      </c>
      <c r="H51" s="14">
        <v>1</v>
      </c>
      <c r="I51" s="14">
        <v>1</v>
      </c>
      <c r="J51" s="14">
        <f t="shared" si="3"/>
        <v>1</v>
      </c>
      <c r="K51" s="14">
        <f t="shared" si="4"/>
        <v>1</v>
      </c>
      <c r="L51" s="17">
        <f t="shared" si="5"/>
        <v>1</v>
      </c>
      <c r="M51" s="14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</row>
    <row r="52" spans="1:27" s="3" customFormat="1" ht="14.25" customHeight="1">
      <c r="A52" s="12">
        <v>1963295</v>
      </c>
      <c r="B52" s="13" t="s">
        <v>14251</v>
      </c>
      <c r="C52" s="13" t="s">
        <v>14263</v>
      </c>
      <c r="D52" s="13" t="s">
        <v>14261</v>
      </c>
      <c r="E52" s="13" t="s">
        <v>14264</v>
      </c>
      <c r="F52" s="14">
        <v>6687293</v>
      </c>
      <c r="G52" s="14">
        <v>1</v>
      </c>
      <c r="H52" s="14">
        <v>1</v>
      </c>
      <c r="I52" s="14">
        <v>1</v>
      </c>
      <c r="J52" s="14">
        <f t="shared" si="3"/>
        <v>1</v>
      </c>
      <c r="K52" s="14">
        <f t="shared" si="4"/>
        <v>1</v>
      </c>
      <c r="L52" s="17">
        <f t="shared" si="5"/>
        <v>1</v>
      </c>
      <c r="M52" s="14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</row>
    <row r="53" spans="1:27" s="3" customFormat="1" ht="14.25" customHeight="1">
      <c r="A53" s="12" t="s">
        <v>14265</v>
      </c>
      <c r="B53" s="13" t="s">
        <v>14251</v>
      </c>
      <c r="C53" s="13" t="s">
        <v>14266</v>
      </c>
      <c r="D53" s="13" t="s">
        <v>14261</v>
      </c>
      <c r="E53" s="13" t="s">
        <v>14267</v>
      </c>
      <c r="F53" s="14">
        <v>6690565</v>
      </c>
      <c r="G53" s="14">
        <v>0</v>
      </c>
      <c r="H53" s="14">
        <v>0</v>
      </c>
      <c r="I53" s="14">
        <v>0</v>
      </c>
      <c r="J53" s="14">
        <f t="shared" si="3"/>
        <v>0</v>
      </c>
      <c r="K53" s="14">
        <f t="shared" si="4"/>
        <v>0</v>
      </c>
      <c r="L53" s="17">
        <f t="shared" si="5"/>
        <v>0</v>
      </c>
      <c r="M53" s="14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</row>
    <row r="54" spans="1:27" s="3" customFormat="1" ht="14.25" customHeight="1">
      <c r="A54" s="12">
        <v>1964640</v>
      </c>
      <c r="B54" s="13" t="s">
        <v>14251</v>
      </c>
      <c r="C54" s="13" t="s">
        <v>14268</v>
      </c>
      <c r="D54" s="13" t="s">
        <v>14261</v>
      </c>
      <c r="E54" s="13" t="s">
        <v>14269</v>
      </c>
      <c r="F54" s="14">
        <v>6683222</v>
      </c>
      <c r="G54" s="14">
        <v>1</v>
      </c>
      <c r="H54" s="14">
        <v>0</v>
      </c>
      <c r="I54" s="14">
        <v>1</v>
      </c>
      <c r="J54" s="14">
        <f t="shared" si="3"/>
        <v>1</v>
      </c>
      <c r="K54" s="14">
        <f t="shared" si="4"/>
        <v>0</v>
      </c>
      <c r="L54" s="17">
        <f t="shared" si="5"/>
        <v>0</v>
      </c>
      <c r="M54" s="14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</row>
    <row r="55" spans="1:27" s="2" customFormat="1" ht="14.25" customHeight="1">
      <c r="A55" s="12" t="s">
        <v>14270</v>
      </c>
      <c r="B55" s="13" t="s">
        <v>14251</v>
      </c>
      <c r="C55" s="13" t="s">
        <v>14271</v>
      </c>
      <c r="D55" s="13" t="s">
        <v>14272</v>
      </c>
      <c r="E55" s="13" t="s">
        <v>14254</v>
      </c>
      <c r="F55" s="14"/>
      <c r="G55" s="14">
        <v>0</v>
      </c>
      <c r="H55" s="14">
        <v>0</v>
      </c>
      <c r="I55" s="14">
        <v>0</v>
      </c>
      <c r="J55" s="14">
        <f t="shared" ref="J55:J61" si="6">IF(G55&gt;0,1,0)</f>
        <v>0</v>
      </c>
      <c r="K55" s="14">
        <f t="shared" ref="K55:K61" si="7">IF(H55&gt;0,1,0)</f>
        <v>0</v>
      </c>
      <c r="L55" s="17">
        <f t="shared" ref="L55:L61" si="8">IF(G55&gt;0,IF(H55&gt;0,1,0),0)</f>
        <v>0</v>
      </c>
      <c r="M55" s="14" t="s">
        <v>5258</v>
      </c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 spans="1:27" s="2" customFormat="1" ht="14.25" customHeight="1">
      <c r="A56" s="12">
        <v>1963195</v>
      </c>
      <c r="B56" s="13" t="s">
        <v>14251</v>
      </c>
      <c r="C56" s="13" t="s">
        <v>14273</v>
      </c>
      <c r="D56" s="13" t="s">
        <v>14272</v>
      </c>
      <c r="E56" s="13" t="s">
        <v>14274</v>
      </c>
      <c r="F56" s="14">
        <v>6670925</v>
      </c>
      <c r="G56" s="14">
        <v>1</v>
      </c>
      <c r="H56" s="14">
        <v>1</v>
      </c>
      <c r="I56" s="14">
        <v>1</v>
      </c>
      <c r="J56" s="14">
        <f t="shared" si="6"/>
        <v>1</v>
      </c>
      <c r="K56" s="14">
        <f t="shared" si="7"/>
        <v>1</v>
      </c>
      <c r="L56" s="17">
        <f t="shared" si="8"/>
        <v>1</v>
      </c>
      <c r="M56" s="14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 spans="1:27" s="2" customFormat="1" ht="14.25" customHeight="1">
      <c r="A57" s="12">
        <v>1963564</v>
      </c>
      <c r="B57" s="13" t="s">
        <v>14251</v>
      </c>
      <c r="C57" s="13" t="s">
        <v>14275</v>
      </c>
      <c r="D57" s="13" t="s">
        <v>14272</v>
      </c>
      <c r="E57" s="13" t="s">
        <v>14276</v>
      </c>
      <c r="F57" s="14">
        <v>6484541</v>
      </c>
      <c r="G57" s="14">
        <v>1</v>
      </c>
      <c r="H57" s="14">
        <v>1</v>
      </c>
      <c r="I57" s="14">
        <v>1</v>
      </c>
      <c r="J57" s="14">
        <f t="shared" si="6"/>
        <v>1</v>
      </c>
      <c r="K57" s="14">
        <f t="shared" si="7"/>
        <v>1</v>
      </c>
      <c r="L57" s="17">
        <f t="shared" si="8"/>
        <v>1</v>
      </c>
      <c r="M57" s="14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 spans="1:27" s="2" customFormat="1" ht="14.25" customHeight="1">
      <c r="A58" s="12">
        <v>1962695</v>
      </c>
      <c r="B58" s="13" t="s">
        <v>14251</v>
      </c>
      <c r="C58" s="13" t="s">
        <v>14277</v>
      </c>
      <c r="D58" s="13" t="s">
        <v>14278</v>
      </c>
      <c r="E58" s="13" t="s">
        <v>14279</v>
      </c>
      <c r="F58" s="14">
        <v>6533261</v>
      </c>
      <c r="G58" s="14">
        <v>1</v>
      </c>
      <c r="H58" s="14">
        <v>1</v>
      </c>
      <c r="I58" s="14">
        <v>1</v>
      </c>
      <c r="J58" s="14">
        <f t="shared" si="6"/>
        <v>1</v>
      </c>
      <c r="K58" s="14">
        <f t="shared" si="7"/>
        <v>1</v>
      </c>
      <c r="L58" s="17">
        <f t="shared" si="8"/>
        <v>1</v>
      </c>
      <c r="M58" s="14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 spans="1:27" s="2" customFormat="1" ht="14.25" customHeight="1">
      <c r="A59" s="12">
        <v>1964060</v>
      </c>
      <c r="B59" s="13" t="s">
        <v>14251</v>
      </c>
      <c r="C59" s="13" t="s">
        <v>14280</v>
      </c>
      <c r="D59" s="13" t="s">
        <v>14278</v>
      </c>
      <c r="E59" s="13" t="s">
        <v>14281</v>
      </c>
      <c r="F59" s="14">
        <v>5761683</v>
      </c>
      <c r="G59" s="14">
        <v>1</v>
      </c>
      <c r="H59" s="14">
        <v>0</v>
      </c>
      <c r="I59" s="14">
        <v>1</v>
      </c>
      <c r="J59" s="14">
        <f t="shared" si="6"/>
        <v>1</v>
      </c>
      <c r="K59" s="14">
        <f t="shared" si="7"/>
        <v>0</v>
      </c>
      <c r="L59" s="17">
        <f t="shared" si="8"/>
        <v>0</v>
      </c>
      <c r="M59" s="14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 spans="1:27" s="2" customFormat="1" ht="14.25" customHeight="1">
      <c r="A60" s="12">
        <v>1964772</v>
      </c>
      <c r="B60" s="13" t="s">
        <v>14251</v>
      </c>
      <c r="C60" s="13" t="s">
        <v>14282</v>
      </c>
      <c r="D60" s="13" t="s">
        <v>14278</v>
      </c>
      <c r="E60" s="13" t="s">
        <v>14276</v>
      </c>
      <c r="F60" s="14">
        <v>6327150</v>
      </c>
      <c r="G60" s="14">
        <v>1</v>
      </c>
      <c r="H60" s="14">
        <v>1</v>
      </c>
      <c r="I60" s="14">
        <v>1</v>
      </c>
      <c r="J60" s="14">
        <f t="shared" si="6"/>
        <v>1</v>
      </c>
      <c r="K60" s="14">
        <f t="shared" si="7"/>
        <v>1</v>
      </c>
      <c r="L60" s="17">
        <f t="shared" si="8"/>
        <v>1</v>
      </c>
      <c r="M60" s="14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 spans="1:27" s="2" customFormat="1" ht="14.25" customHeight="1">
      <c r="A61" s="12">
        <v>1964639</v>
      </c>
      <c r="B61" s="13" t="s">
        <v>14251</v>
      </c>
      <c r="C61" s="13" t="s">
        <v>14283</v>
      </c>
      <c r="D61" s="13" t="s">
        <v>14284</v>
      </c>
      <c r="E61" s="13" t="s">
        <v>14262</v>
      </c>
      <c r="F61" s="14">
        <v>6678377</v>
      </c>
      <c r="G61" s="14">
        <v>1</v>
      </c>
      <c r="H61" s="14">
        <v>0</v>
      </c>
      <c r="I61" s="14">
        <v>1</v>
      </c>
      <c r="J61" s="14">
        <f t="shared" si="6"/>
        <v>1</v>
      </c>
      <c r="K61" s="14">
        <f t="shared" si="7"/>
        <v>0</v>
      </c>
      <c r="L61" s="17">
        <f t="shared" si="8"/>
        <v>0</v>
      </c>
      <c r="M61" s="14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 spans="1:27" s="2" customFormat="1" ht="14.25" customHeight="1">
      <c r="A62" s="12">
        <v>1963432</v>
      </c>
      <c r="B62" s="13" t="s">
        <v>14257</v>
      </c>
      <c r="C62" s="13" t="s">
        <v>14285</v>
      </c>
      <c r="D62" s="13" t="s">
        <v>14284</v>
      </c>
      <c r="E62" s="13" t="s">
        <v>14286</v>
      </c>
      <c r="F62" s="14">
        <v>6687804</v>
      </c>
      <c r="G62" s="14">
        <v>1</v>
      </c>
      <c r="H62" s="14">
        <v>0</v>
      </c>
      <c r="I62" s="14">
        <v>1</v>
      </c>
      <c r="J62" s="14">
        <f t="shared" ref="J62:J67" si="9">IF(G62&gt;0,1,0)</f>
        <v>1</v>
      </c>
      <c r="K62" s="14">
        <f t="shared" ref="K62:K67" si="10">IF(H62&gt;0,1,0)</f>
        <v>0</v>
      </c>
      <c r="L62" s="17">
        <f t="shared" ref="L62:L67" si="11">IF(G62&gt;0,IF(H62&gt;0,1,0),0)</f>
        <v>0</v>
      </c>
      <c r="M62" s="14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 spans="1:27" s="2" customFormat="1" ht="14.25" customHeight="1">
      <c r="A63" s="12">
        <v>1964121</v>
      </c>
      <c r="B63" s="13" t="s">
        <v>14251</v>
      </c>
      <c r="C63" s="13" t="s">
        <v>14287</v>
      </c>
      <c r="D63" s="13" t="s">
        <v>14284</v>
      </c>
      <c r="E63" s="13" t="s">
        <v>14288</v>
      </c>
      <c r="F63" s="14">
        <v>6689481</v>
      </c>
      <c r="G63" s="14">
        <v>1</v>
      </c>
      <c r="H63" s="14">
        <v>0</v>
      </c>
      <c r="I63" s="14">
        <v>1</v>
      </c>
      <c r="J63" s="14">
        <f t="shared" si="9"/>
        <v>1</v>
      </c>
      <c r="K63" s="14">
        <f t="shared" si="10"/>
        <v>0</v>
      </c>
      <c r="L63" s="17">
        <f t="shared" si="11"/>
        <v>0</v>
      </c>
      <c r="M63" s="14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 spans="1:27" s="2" customFormat="1" ht="14.25" customHeight="1">
      <c r="A64" s="12">
        <v>1964122</v>
      </c>
      <c r="B64" s="13" t="s">
        <v>14251</v>
      </c>
      <c r="C64" s="13" t="s">
        <v>14289</v>
      </c>
      <c r="D64" s="13" t="s">
        <v>14284</v>
      </c>
      <c r="E64" s="13" t="s">
        <v>14267</v>
      </c>
      <c r="F64" s="14">
        <v>6590561</v>
      </c>
      <c r="G64" s="14">
        <v>1</v>
      </c>
      <c r="H64" s="14">
        <v>0</v>
      </c>
      <c r="I64" s="14">
        <v>1</v>
      </c>
      <c r="J64" s="14">
        <f t="shared" si="9"/>
        <v>1</v>
      </c>
      <c r="K64" s="14">
        <f t="shared" si="10"/>
        <v>0</v>
      </c>
      <c r="L64" s="17">
        <f t="shared" si="11"/>
        <v>0</v>
      </c>
      <c r="M64" s="14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 spans="1:27" s="2" customFormat="1" ht="14.25" customHeight="1">
      <c r="A65" s="12">
        <v>1964306</v>
      </c>
      <c r="B65" s="13" t="s">
        <v>14251</v>
      </c>
      <c r="C65" s="13" t="s">
        <v>14290</v>
      </c>
      <c r="D65" s="13" t="s">
        <v>14291</v>
      </c>
      <c r="E65" s="13" t="s">
        <v>14292</v>
      </c>
      <c r="F65" s="14">
        <v>6689874</v>
      </c>
      <c r="G65" s="14">
        <v>1</v>
      </c>
      <c r="H65" s="14">
        <v>0</v>
      </c>
      <c r="I65" s="14">
        <v>1</v>
      </c>
      <c r="J65" s="14">
        <f t="shared" si="9"/>
        <v>1</v>
      </c>
      <c r="K65" s="14">
        <f t="shared" si="10"/>
        <v>0</v>
      </c>
      <c r="L65" s="17">
        <f t="shared" si="11"/>
        <v>0</v>
      </c>
      <c r="M65" s="18" t="s">
        <v>14293</v>
      </c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 spans="1:27" s="2" customFormat="1" ht="14.25" customHeight="1">
      <c r="A66" s="12">
        <v>1964492</v>
      </c>
      <c r="B66" s="13" t="s">
        <v>14251</v>
      </c>
      <c r="C66" s="13" t="s">
        <v>14294</v>
      </c>
      <c r="D66" s="13" t="s">
        <v>14291</v>
      </c>
      <c r="E66" s="13" t="s">
        <v>14295</v>
      </c>
      <c r="F66" s="14">
        <v>6691080</v>
      </c>
      <c r="G66" s="14">
        <v>0</v>
      </c>
      <c r="H66" s="14">
        <v>0</v>
      </c>
      <c r="I66" s="14">
        <v>0</v>
      </c>
      <c r="J66" s="14">
        <f t="shared" si="9"/>
        <v>0</v>
      </c>
      <c r="K66" s="14">
        <f t="shared" si="10"/>
        <v>0</v>
      </c>
      <c r="L66" s="17">
        <f t="shared" si="11"/>
        <v>0</v>
      </c>
      <c r="M66" s="14" t="s">
        <v>14296</v>
      </c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 spans="1:27" s="2" customFormat="1" ht="14.25" customHeight="1">
      <c r="A67" s="12">
        <v>1964348</v>
      </c>
      <c r="B67" s="13" t="s">
        <v>14257</v>
      </c>
      <c r="C67" s="13" t="s">
        <v>14297</v>
      </c>
      <c r="D67" s="13" t="s">
        <v>14298</v>
      </c>
      <c r="E67" s="13" t="s">
        <v>14299</v>
      </c>
      <c r="F67" s="14">
        <v>6684589</v>
      </c>
      <c r="G67" s="14">
        <v>1</v>
      </c>
      <c r="H67" s="14">
        <v>0</v>
      </c>
      <c r="I67" s="14">
        <v>1</v>
      </c>
      <c r="J67" s="14">
        <f t="shared" si="9"/>
        <v>1</v>
      </c>
      <c r="K67" s="14">
        <f t="shared" si="10"/>
        <v>0</v>
      </c>
      <c r="L67" s="17">
        <f t="shared" si="11"/>
        <v>0</v>
      </c>
      <c r="M67" s="14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 spans="1:27" s="2" customFormat="1" ht="14.25" customHeight="1">
      <c r="A68" s="12"/>
      <c r="B68" s="13"/>
      <c r="C68" s="13"/>
      <c r="D68" s="13"/>
      <c r="E68" s="13"/>
      <c r="F68" s="14"/>
      <c r="G68" s="14">
        <f t="shared" ref="G68:L68" si="12">SUM(G2:G67)</f>
        <v>46</v>
      </c>
      <c r="H68" s="14">
        <f t="shared" si="12"/>
        <v>20</v>
      </c>
      <c r="I68" s="14">
        <f t="shared" si="12"/>
        <v>47</v>
      </c>
      <c r="J68" s="14">
        <f t="shared" si="12"/>
        <v>46</v>
      </c>
      <c r="K68" s="14">
        <f t="shared" si="12"/>
        <v>20</v>
      </c>
      <c r="L68" s="14">
        <f t="shared" si="12"/>
        <v>19</v>
      </c>
      <c r="M68" s="14">
        <f>'2024.9-'!G68+'2024.9-'!H68+'2020-2024.8'!G4384+'2020-2024.8'!H4384+'2015-2019'!G2021+'2015-2019'!H2021</f>
        <v>4017</v>
      </c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 spans="1:27" s="2" customFormat="1" ht="14.25" customHeight="1">
      <c r="A69" s="12"/>
      <c r="B69" s="13"/>
      <c r="C69" s="13"/>
      <c r="D69" s="13"/>
      <c r="E69" s="13"/>
      <c r="F69" s="14"/>
      <c r="G69" s="14">
        <f>('2020-2024.8'!G4384+'2024.9-'!G68+'2015-2019'!G2021)/30</f>
        <v>88.233333333333334</v>
      </c>
      <c r="H69" s="14">
        <f>('2020-2024.8'!H4384+'2024.9-'!H68+'2015-2019'!H2021)/30</f>
        <v>45.666666666666664</v>
      </c>
      <c r="I69" s="14"/>
      <c r="J69" s="14"/>
      <c r="K69" s="14"/>
      <c r="L69" s="17"/>
      <c r="M69" s="14">
        <f>M68/60</f>
        <v>66.95</v>
      </c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</sheetData>
  <autoFilter ref="A1:L89" xr:uid="{00000000-0009-0000-0000-000002000000}"/>
  <sortState xmlns:xlrd2="http://schemas.microsoft.com/office/spreadsheetml/2017/richdata2" ref="A2:M49">
    <sortCondition ref="D2:D49"/>
  </sortState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"/>
  <sheetViews>
    <sheetView workbookViewId="0"/>
  </sheetViews>
  <sheetFormatPr baseColWidth="10" defaultColWidth="9.1640625" defaultRowHeight="13"/>
  <sheetData/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2015-2019</vt:lpstr>
      <vt:lpstr>2020-2024.8</vt:lpstr>
      <vt:lpstr>2024.9-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2024-07-09T20:09:00Z</dcterms:created>
  <dcterms:modified xsi:type="dcterms:W3CDTF">2025-10-25T07:25:16Z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BBA30D1217D44364B98D45CAA89995C8</vt:lpwstr>
  </property>
  <property fmtid="{D5CDD505-2E9C-101B-9397-08002B2CF9AE}" pid="3" name="KSOProductBuildVer">
    <vt:lpwstr>2052-12.1.0.18543</vt:lpwstr>
  </property>
</Properties>
</file>